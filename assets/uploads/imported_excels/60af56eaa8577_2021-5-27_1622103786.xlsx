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23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4025" documentId="8_{5B502D95-7A37-4D5A-8B6B-374537CC2F26}" xr6:coauthVersionLast="47" xr6:coauthVersionMax="47" xr10:uidLastSave="{2B4F05E9-B050-4DF0-83D4-792439045261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6" i="2" l="1"/>
  <c r="V35" i="2"/>
  <c r="M36" i="2"/>
  <c r="L36" i="2"/>
  <c r="F36" i="2"/>
  <c r="K35" i="6"/>
  <c r="I35" i="6"/>
  <c r="G35" i="6"/>
  <c r="E35" i="6"/>
  <c r="C35" i="6"/>
  <c r="V34" i="2"/>
  <c r="M35" i="2"/>
  <c r="L35" i="2"/>
  <c r="F35" i="2"/>
  <c r="K34" i="6"/>
  <c r="N35" i="2" s="1"/>
  <c r="I34" i="6"/>
  <c r="G34" i="6"/>
  <c r="E34" i="6"/>
  <c r="C34" i="6"/>
  <c r="Q39" i="2"/>
  <c r="H39" i="2"/>
  <c r="V33" i="2"/>
  <c r="N34" i="2"/>
  <c r="M34" i="2"/>
  <c r="L34" i="2"/>
  <c r="F34" i="2"/>
  <c r="K33" i="6"/>
  <c r="I33" i="6"/>
  <c r="G33" i="6"/>
  <c r="E33" i="6"/>
  <c r="C33" i="6"/>
  <c r="V30" i="2"/>
  <c r="V31" i="2"/>
  <c r="V32" i="2"/>
  <c r="N31" i="2"/>
  <c r="N32" i="2"/>
  <c r="N33" i="2"/>
  <c r="M31" i="2"/>
  <c r="M32" i="2"/>
  <c r="M33" i="2"/>
  <c r="L31" i="2"/>
  <c r="L32" i="2"/>
  <c r="L33" i="2"/>
  <c r="F31" i="2"/>
  <c r="F32" i="2"/>
  <c r="F33" i="2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K30" i="6"/>
  <c r="K31" i="6"/>
  <c r="K32" i="6"/>
  <c r="I30" i="6"/>
  <c r="I31" i="6"/>
  <c r="I32" i="6"/>
  <c r="G30" i="6"/>
  <c r="G31" i="6"/>
  <c r="G32" i="6"/>
  <c r="E30" i="6"/>
  <c r="E31" i="6"/>
  <c r="E32" i="6"/>
  <c r="C30" i="6"/>
  <c r="C31" i="6"/>
  <c r="C32" i="6"/>
  <c r="V29" i="2"/>
  <c r="N30" i="2"/>
  <c r="M30" i="2"/>
  <c r="L30" i="2"/>
  <c r="F30" i="2"/>
  <c r="K29" i="6"/>
  <c r="I29" i="6"/>
  <c r="G29" i="6"/>
  <c r="E29" i="6"/>
  <c r="C29" i="6"/>
  <c r="V28" i="2"/>
  <c r="N29" i="2"/>
  <c r="M29" i="2"/>
  <c r="L29" i="2"/>
  <c r="F29" i="2"/>
  <c r="K28" i="6"/>
  <c r="I28" i="6"/>
  <c r="G28" i="6"/>
  <c r="E28" i="6"/>
  <c r="C28" i="6"/>
  <c r="V27" i="2"/>
  <c r="N28" i="2"/>
  <c r="M28" i="2"/>
  <c r="L28" i="2"/>
  <c r="F28" i="2"/>
  <c r="K27" i="6"/>
  <c r="I27" i="6"/>
  <c r="G27" i="6"/>
  <c r="E27" i="6"/>
  <c r="C27" i="6"/>
  <c r="V15" i="2"/>
  <c r="V16" i="2"/>
  <c r="V17" i="2"/>
  <c r="V18" i="2"/>
  <c r="V19" i="2"/>
  <c r="V20" i="2"/>
  <c r="V21" i="2"/>
  <c r="V22" i="2"/>
  <c r="V23" i="2"/>
  <c r="V24" i="2"/>
  <c r="V25" i="2"/>
  <c r="V26" i="2"/>
  <c r="N17" i="2"/>
  <c r="N18" i="2"/>
  <c r="N19" i="2"/>
  <c r="N20" i="2"/>
  <c r="N21" i="2"/>
  <c r="N22" i="2"/>
  <c r="N23" i="2"/>
  <c r="N24" i="2"/>
  <c r="N25" i="2"/>
  <c r="N26" i="2"/>
  <c r="N27" i="2"/>
  <c r="M17" i="2"/>
  <c r="M18" i="2"/>
  <c r="M19" i="2"/>
  <c r="M20" i="2"/>
  <c r="M21" i="2"/>
  <c r="M22" i="2"/>
  <c r="M23" i="2"/>
  <c r="M24" i="2"/>
  <c r="M25" i="2"/>
  <c r="M26" i="2"/>
  <c r="M27" i="2"/>
  <c r="L17" i="2"/>
  <c r="L18" i="2"/>
  <c r="L19" i="2"/>
  <c r="L20" i="2"/>
  <c r="L21" i="2"/>
  <c r="L22" i="2"/>
  <c r="L23" i="2"/>
  <c r="L24" i="2"/>
  <c r="L25" i="2"/>
  <c r="L26" i="2"/>
  <c r="F17" i="2"/>
  <c r="F18" i="2"/>
  <c r="F19" i="2"/>
  <c r="F20" i="2"/>
  <c r="F21" i="2"/>
  <c r="F22" i="2"/>
  <c r="F23" i="2"/>
  <c r="F24" i="2"/>
  <c r="F25" i="2"/>
  <c r="F26" i="2"/>
  <c r="F27" i="2"/>
  <c r="K26" i="6"/>
  <c r="I26" i="6"/>
  <c r="G26" i="6"/>
  <c r="L27" i="2" s="1"/>
  <c r="E26" i="6"/>
  <c r="C26" i="6"/>
  <c r="K25" i="6"/>
  <c r="I25" i="6"/>
  <c r="G25" i="6"/>
  <c r="E25" i="6"/>
  <c r="C25" i="6"/>
  <c r="K24" i="6"/>
  <c r="I24" i="6"/>
  <c r="G24" i="6"/>
  <c r="E24" i="6"/>
  <c r="C24" i="6"/>
  <c r="K23" i="6"/>
  <c r="I23" i="6"/>
  <c r="G23" i="6"/>
  <c r="E23" i="6"/>
  <c r="C23" i="6"/>
  <c r="K22" i="6"/>
  <c r="I22" i="6"/>
  <c r="G22" i="6"/>
  <c r="E22" i="6"/>
  <c r="C22" i="6"/>
  <c r="K21" i="6"/>
  <c r="I21" i="6"/>
  <c r="G21" i="6"/>
  <c r="E21" i="6"/>
  <c r="C21" i="6"/>
  <c r="K19" i="6"/>
  <c r="K20" i="6"/>
  <c r="I19" i="6"/>
  <c r="I20" i="6"/>
  <c r="G19" i="6"/>
  <c r="G20" i="6"/>
  <c r="E19" i="6"/>
  <c r="E20" i="6"/>
  <c r="C19" i="6"/>
  <c r="C20" i="6"/>
  <c r="K18" i="6"/>
  <c r="I18" i="6"/>
  <c r="G18" i="6"/>
  <c r="E18" i="6"/>
  <c r="C18" i="6"/>
  <c r="K16" i="6"/>
  <c r="K17" i="6"/>
  <c r="I16" i="6"/>
  <c r="I17" i="6"/>
  <c r="G16" i="6"/>
  <c r="G17" i="6"/>
  <c r="E16" i="6"/>
  <c r="E17" i="6"/>
  <c r="C16" i="6"/>
  <c r="C17" i="6"/>
  <c r="AC9" i="4"/>
  <c r="AC10" i="4"/>
  <c r="N16" i="2"/>
  <c r="M16" i="2"/>
  <c r="L16" i="2"/>
  <c r="F16" i="2"/>
  <c r="K15" i="6"/>
  <c r="I15" i="6"/>
  <c r="G15" i="6"/>
  <c r="E15" i="6"/>
  <c r="C15" i="6"/>
  <c r="V14" i="2"/>
  <c r="N15" i="2"/>
  <c r="M15" i="2"/>
  <c r="L15" i="2"/>
  <c r="F15" i="2"/>
  <c r="K14" i="6"/>
  <c r="I14" i="6"/>
  <c r="G14" i="6"/>
  <c r="E14" i="6"/>
  <c r="C14" i="6"/>
  <c r="V13" i="2"/>
  <c r="N14" i="2"/>
  <c r="M14" i="2"/>
  <c r="L14" i="2"/>
  <c r="F14" i="2"/>
  <c r="K13" i="6"/>
  <c r="I13" i="6"/>
  <c r="G13" i="6"/>
  <c r="E13" i="6"/>
  <c r="C13" i="6"/>
  <c r="V11" i="2"/>
  <c r="V12" i="2"/>
  <c r="V10" i="2"/>
  <c r="N11" i="2"/>
  <c r="N12" i="2"/>
  <c r="N13" i="2"/>
  <c r="M11" i="2"/>
  <c r="M12" i="2"/>
  <c r="L11" i="2"/>
  <c r="L12" i="2"/>
  <c r="L13" i="2"/>
  <c r="F11" i="2"/>
  <c r="F12" i="2"/>
  <c r="F13" i="2"/>
  <c r="K12" i="6"/>
  <c r="I12" i="6"/>
  <c r="M13" i="2" s="1"/>
  <c r="G12" i="6"/>
  <c r="E12" i="6"/>
  <c r="C12" i="6"/>
  <c r="K11" i="6"/>
  <c r="I11" i="6"/>
  <c r="G11" i="6"/>
  <c r="E11" i="6"/>
  <c r="C11" i="6"/>
  <c r="K10" i="6"/>
  <c r="I10" i="6"/>
  <c r="G10" i="6"/>
  <c r="E10" i="6"/>
  <c r="C10" i="6"/>
  <c r="G6" i="21"/>
  <c r="G7" i="21"/>
  <c r="G8" i="21"/>
  <c r="I31" i="21"/>
  <c r="I32" i="21"/>
  <c r="H31" i="21"/>
  <c r="H32" i="21"/>
  <c r="G31" i="21"/>
  <c r="G32" i="21"/>
  <c r="F31" i="21"/>
  <c r="F32" i="21"/>
  <c r="E31" i="21"/>
  <c r="E32" i="21"/>
  <c r="B31" i="21"/>
  <c r="B32" i="21"/>
  <c r="L31" i="22"/>
  <c r="L32" i="22"/>
  <c r="K31" i="22"/>
  <c r="K32" i="22"/>
  <c r="I31" i="22"/>
  <c r="I32" i="22"/>
  <c r="G31" i="22"/>
  <c r="G32" i="22"/>
  <c r="E32" i="22"/>
  <c r="B31" i="22"/>
  <c r="B32" i="22"/>
  <c r="N10" i="2"/>
  <c r="M10" i="2"/>
  <c r="L10" i="2"/>
  <c r="F10" i="2"/>
  <c r="G4" i="4"/>
  <c r="E4" i="4"/>
  <c r="C4" i="4"/>
  <c r="O11" i="2"/>
  <c r="I23" i="21"/>
  <c r="I24" i="21"/>
  <c r="I25" i="21"/>
  <c r="I26" i="21"/>
  <c r="I27" i="21"/>
  <c r="I28" i="21"/>
  <c r="I29" i="21"/>
  <c r="I30" i="21"/>
  <c r="H23" i="21"/>
  <c r="H24" i="21"/>
  <c r="H25" i="21"/>
  <c r="H26" i="21"/>
  <c r="H27" i="21"/>
  <c r="H28" i="21"/>
  <c r="H29" i="21"/>
  <c r="H30" i="21"/>
  <c r="G23" i="21"/>
  <c r="G24" i="21"/>
  <c r="G25" i="21"/>
  <c r="G26" i="21"/>
  <c r="G27" i="21"/>
  <c r="G28" i="21"/>
  <c r="G29" i="21"/>
  <c r="G30" i="21"/>
  <c r="F23" i="21"/>
  <c r="F24" i="21"/>
  <c r="F25" i="21"/>
  <c r="F26" i="21"/>
  <c r="F27" i="21"/>
  <c r="F28" i="21"/>
  <c r="F29" i="21"/>
  <c r="F30" i="21"/>
  <c r="E23" i="21"/>
  <c r="E24" i="21"/>
  <c r="E25" i="21"/>
  <c r="E26" i="21"/>
  <c r="E27" i="21"/>
  <c r="E28" i="21"/>
  <c r="E29" i="21"/>
  <c r="E30" i="21"/>
  <c r="E31" i="22"/>
  <c r="E28" i="22"/>
  <c r="E29" i="22"/>
  <c r="E30" i="22"/>
  <c r="O38" i="2"/>
  <c r="O40" i="2"/>
  <c r="E23" i="22"/>
  <c r="E24" i="22"/>
  <c r="E25" i="22"/>
  <c r="E26" i="22"/>
  <c r="E27" i="22"/>
  <c r="I27" i="22"/>
  <c r="I28" i="22"/>
  <c r="I29" i="22"/>
  <c r="I30" i="22"/>
  <c r="G30" i="22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M5" i="4"/>
  <c r="M6" i="4"/>
  <c r="M7" i="4"/>
  <c r="M4" i="4"/>
  <c r="O37" i="2"/>
  <c r="H37" i="2"/>
  <c r="H38" i="2"/>
  <c r="Q37" i="2"/>
  <c r="Q38" i="2"/>
  <c r="Q40" i="2"/>
  <c r="X38" i="2"/>
  <c r="X40" i="2"/>
  <c r="F41" i="2"/>
  <c r="L27" i="22"/>
  <c r="L28" i="22"/>
  <c r="L29" i="22"/>
  <c r="K27" i="22"/>
  <c r="K28" i="22"/>
  <c r="K29" i="22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Q33" i="2"/>
  <c r="O35" i="2"/>
  <c r="H35" i="2"/>
  <c r="H36" i="2"/>
  <c r="H40" i="2"/>
  <c r="O34" i="2"/>
  <c r="Q34" i="2"/>
  <c r="H34" i="2"/>
  <c r="O32" i="2"/>
  <c r="Q32" i="2"/>
  <c r="I24" i="22"/>
  <c r="O31" i="2"/>
  <c r="H31" i="2"/>
  <c r="H30" i="2"/>
  <c r="F21" i="21"/>
  <c r="I21" i="22"/>
  <c r="G20" i="21"/>
  <c r="F20" i="21"/>
  <c r="O28" i="2"/>
  <c r="Q28" i="2"/>
  <c r="I20" i="22"/>
  <c r="G19" i="21"/>
  <c r="F19" i="21"/>
  <c r="E19" i="22" s="1"/>
  <c r="I19" i="22"/>
  <c r="G18" i="21"/>
  <c r="F18" i="21"/>
  <c r="E18" i="2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I25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K20" i="22"/>
  <c r="L20" i="22"/>
  <c r="K21" i="22"/>
  <c r="L21" i="22"/>
  <c r="K22" i="22"/>
  <c r="L22" i="22"/>
  <c r="K23" i="22"/>
  <c r="L23" i="22"/>
  <c r="K24" i="22"/>
  <c r="L24" i="22"/>
  <c r="K25" i="22"/>
  <c r="L25" i="22"/>
  <c r="K26" i="22"/>
  <c r="L26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1" i="2"/>
  <c r="K30" i="22" s="1"/>
  <c r="E41" i="2"/>
  <c r="L30" i="22" s="1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L5" i="4" s="1"/>
  <c r="N5" i="4" s="1"/>
  <c r="O5" i="4" s="1"/>
  <c r="P5" i="4" s="1"/>
  <c r="I5" i="4"/>
  <c r="AD5" i="4"/>
  <c r="AE5" i="4"/>
  <c r="AC6" i="4"/>
  <c r="L6" i="4" s="1"/>
  <c r="N6" i="4" s="1"/>
  <c r="O6" i="4" s="1"/>
  <c r="P6" i="4" s="1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E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P42" i="4" s="1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C35" i="4"/>
  <c r="G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P41" i="4" s="1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I30" i="4"/>
  <c r="B13" i="11"/>
  <c r="F13" i="11"/>
  <c r="F20" i="11" s="1"/>
  <c r="I16" i="4"/>
  <c r="H19" i="2"/>
  <c r="I12" i="22"/>
  <c r="H23" i="2"/>
  <c r="E8" i="21"/>
  <c r="H27" i="2"/>
  <c r="H28" i="2"/>
  <c r="I18" i="22"/>
  <c r="I10" i="22"/>
  <c r="H22" i="2"/>
  <c r="F9" i="21"/>
  <c r="E9" i="22" s="1"/>
  <c r="H32" i="2"/>
  <c r="G17" i="21"/>
  <c r="E20" i="21"/>
  <c r="E20" i="22"/>
  <c r="I23" i="22"/>
  <c r="E11" i="21"/>
  <c r="E11" i="22" s="1"/>
  <c r="J11" i="21"/>
  <c r="H24" i="2"/>
  <c r="F22" i="21"/>
  <c r="E22" i="22" s="1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6" i="2"/>
  <c r="O16" i="2"/>
  <c r="O36" i="2"/>
  <c r="E21" i="21"/>
  <c r="E21" i="22" s="1"/>
  <c r="J21" i="21"/>
  <c r="I17" i="22"/>
  <c r="O20" i="2"/>
  <c r="Q19" i="2"/>
  <c r="E17" i="21"/>
  <c r="E17" i="22"/>
  <c r="I26" i="22"/>
  <c r="H15" i="2"/>
  <c r="Q17" i="2"/>
  <c r="O21" i="2"/>
  <c r="O22" i="2"/>
  <c r="H29" i="2"/>
  <c r="O30" i="2"/>
  <c r="Q35" i="2"/>
  <c r="Q30" i="2"/>
  <c r="E10" i="21"/>
  <c r="E10" i="22"/>
  <c r="O18" i="2"/>
  <c r="O29" i="2"/>
  <c r="O19" i="2"/>
  <c r="I13" i="22"/>
  <c r="E15" i="21"/>
  <c r="E15" i="22"/>
  <c r="I22" i="22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P23" i="4" s="1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L28" i="4"/>
  <c r="N28" i="4"/>
  <c r="O28" i="4"/>
  <c r="P28" i="4" s="1"/>
  <c r="L16" i="4"/>
  <c r="N16" i="4"/>
  <c r="O16" i="4"/>
  <c r="P16" i="4" s="1"/>
  <c r="L14" i="4"/>
  <c r="N14" i="4"/>
  <c r="O14" i="4"/>
  <c r="P14" i="4" s="1"/>
  <c r="L27" i="4"/>
  <c r="N27" i="4"/>
  <c r="O27" i="4"/>
  <c r="P27" i="4" s="1"/>
  <c r="L34" i="4"/>
  <c r="N34" i="4"/>
  <c r="O34" i="4"/>
  <c r="P34" i="4" s="1"/>
  <c r="L30" i="4"/>
  <c r="N30" i="4"/>
  <c r="O30" i="4"/>
  <c r="P30" i="4" s="1"/>
  <c r="L18" i="4"/>
  <c r="N18" i="4"/>
  <c r="O18" i="4"/>
  <c r="P18" i="4" s="1"/>
  <c r="L21" i="4"/>
  <c r="N21" i="4"/>
  <c r="O21" i="4"/>
  <c r="P21" i="4" s="1"/>
  <c r="L29" i="4"/>
  <c r="N29" i="4"/>
  <c r="O29" i="4"/>
  <c r="P29" i="4" s="1"/>
  <c r="L24" i="4"/>
  <c r="N24" i="4"/>
  <c r="O24" i="4"/>
  <c r="P24" i="4" s="1"/>
  <c r="L12" i="4"/>
  <c r="N12" i="4"/>
  <c r="O12" i="4"/>
  <c r="P12" i="4" s="1"/>
  <c r="L11" i="4"/>
  <c r="N11" i="4"/>
  <c r="O11" i="4"/>
  <c r="P11" i="4" s="1"/>
  <c r="L32" i="4"/>
  <c r="N32" i="4"/>
  <c r="O32" i="4"/>
  <c r="P32" i="4" s="1"/>
  <c r="L26" i="4"/>
  <c r="N26" i="4"/>
  <c r="O26" i="4"/>
  <c r="P26" i="4" s="1"/>
  <c r="L25" i="4"/>
  <c r="N25" i="4"/>
  <c r="O25" i="4"/>
  <c r="P25" i="4" s="1"/>
  <c r="L19" i="4"/>
  <c r="N19" i="4"/>
  <c r="O19" i="4"/>
  <c r="P19" i="4" s="1"/>
  <c r="L20" i="4"/>
  <c r="N20" i="4"/>
  <c r="O20" i="4"/>
  <c r="P20" i="4" s="1"/>
  <c r="L33" i="4"/>
  <c r="N33" i="4"/>
  <c r="O33" i="4"/>
  <c r="P33" i="4" s="1"/>
  <c r="L15" i="4"/>
  <c r="N15" i="4"/>
  <c r="O15" i="4"/>
  <c r="P15" i="4" s="1"/>
  <c r="Q21" i="2"/>
  <c r="Q26" i="2"/>
  <c r="J23" i="21"/>
  <c r="Q27" i="2"/>
  <c r="O27" i="2"/>
  <c r="J25" i="21"/>
  <c r="O33" i="2"/>
  <c r="E18" i="22"/>
  <c r="Q10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E16" i="22"/>
  <c r="J24" i="21"/>
  <c r="J10" i="21"/>
  <c r="J30" i="21"/>
  <c r="J20" i="21"/>
  <c r="J12" i="21"/>
  <c r="E13" i="22"/>
  <c r="H10" i="2"/>
  <c r="E2" i="22"/>
  <c r="J19" i="21"/>
  <c r="M41" i="2"/>
  <c r="I45" i="2"/>
  <c r="L45" i="2"/>
  <c r="N41" i="2"/>
  <c r="I46" i="2"/>
  <c r="L46" i="2"/>
  <c r="Q16" i="2"/>
  <c r="J8" i="21"/>
  <c r="Q44" i="4"/>
  <c r="AC44" i="4"/>
  <c r="K48" i="4"/>
  <c r="L48" i="4"/>
  <c r="M48" i="4" s="1"/>
  <c r="L9" i="4"/>
  <c r="N9" i="4"/>
  <c r="AC43" i="4"/>
  <c r="I9" i="4"/>
  <c r="O9" i="4"/>
  <c r="E8" i="22" l="1"/>
  <c r="P31" i="4"/>
  <c r="X37" i="2"/>
  <c r="Q14" i="2"/>
  <c r="O14" i="2"/>
  <c r="P9" i="4"/>
  <c r="L8" i="4"/>
  <c r="N8" i="4" s="1"/>
  <c r="O8" i="4" s="1"/>
  <c r="P8" i="4" s="1"/>
  <c r="X14" i="2"/>
  <c r="X13" i="2"/>
  <c r="X21" i="2"/>
  <c r="X26" i="2"/>
  <c r="X25" i="2"/>
  <c r="X31" i="2"/>
  <c r="X32" i="2"/>
  <c r="X17" i="2"/>
  <c r="X18" i="2"/>
  <c r="X30" i="2"/>
  <c r="X35" i="2"/>
  <c r="X27" i="2"/>
  <c r="X24" i="2"/>
  <c r="X33" i="2"/>
  <c r="X20" i="2"/>
  <c r="X22" i="2"/>
  <c r="X34" i="2"/>
  <c r="X16" i="2"/>
  <c r="X19" i="2"/>
  <c r="X23" i="2"/>
  <c r="X29" i="2"/>
  <c r="X28" i="2"/>
  <c r="G8" i="22"/>
  <c r="G5" i="22"/>
  <c r="J14" i="21"/>
  <c r="E14" i="22"/>
  <c r="X12" i="2"/>
  <c r="X11" i="2"/>
  <c r="I4" i="4"/>
  <c r="L4" i="4"/>
  <c r="N4" i="4" s="1"/>
  <c r="X15" i="2" l="1"/>
  <c r="G7" i="22"/>
  <c r="G28" i="22"/>
  <c r="X36" i="2"/>
  <c r="G27" i="22"/>
  <c r="G19" i="22"/>
  <c r="M19" i="22" s="1"/>
  <c r="G20" i="22"/>
  <c r="M20" i="22" s="1"/>
  <c r="G14" i="22"/>
  <c r="M14" i="22" s="1"/>
  <c r="G10" i="22"/>
  <c r="M10" i="22" s="1"/>
  <c r="G25" i="22"/>
  <c r="M25" i="22" s="1"/>
  <c r="G13" i="22"/>
  <c r="M13" i="22" s="1"/>
  <c r="G11" i="22"/>
  <c r="M11" i="22" s="1"/>
  <c r="G24" i="22"/>
  <c r="M24" i="22" s="1"/>
  <c r="G15" i="22"/>
  <c r="M15" i="22" s="1"/>
  <c r="G18" i="22"/>
  <c r="M18" i="22" s="1"/>
  <c r="G26" i="22"/>
  <c r="M26" i="22" s="1"/>
  <c r="G21" i="22"/>
  <c r="M21" i="22" s="1"/>
  <c r="G9" i="22"/>
  <c r="M9" i="22" s="1"/>
  <c r="G23" i="22"/>
  <c r="M23" i="22" s="1"/>
  <c r="G22" i="22"/>
  <c r="M22" i="22" s="1"/>
  <c r="G16" i="22"/>
  <c r="M16" i="22" s="1"/>
  <c r="G17" i="22"/>
  <c r="M17" i="22" s="1"/>
  <c r="G12" i="22"/>
  <c r="M12" i="22" s="1"/>
  <c r="G6" i="22"/>
  <c r="E7" i="21"/>
  <c r="E7" i="22" s="1"/>
  <c r="O15" i="2"/>
  <c r="Q15" i="2"/>
  <c r="E6" i="21"/>
  <c r="E6" i="22" s="1"/>
  <c r="O13" i="2"/>
  <c r="Q13" i="2"/>
  <c r="E5" i="21"/>
  <c r="E5" i="22" s="1"/>
  <c r="E4" i="21"/>
  <c r="Q12" i="2"/>
  <c r="Q41" i="2" s="1"/>
  <c r="L41" i="2"/>
  <c r="O12" i="2"/>
  <c r="O41" i="2" s="1"/>
  <c r="I8" i="22"/>
  <c r="M8" i="22" s="1"/>
  <c r="H16" i="2"/>
  <c r="H14" i="2"/>
  <c r="I6" i="22"/>
  <c r="I5" i="22"/>
  <c r="H13" i="2"/>
  <c r="I4" i="22"/>
  <c r="H12" i="2"/>
  <c r="I3" i="22"/>
  <c r="H11" i="2"/>
  <c r="H41" i="2" s="1"/>
  <c r="O4" i="4"/>
  <c r="P4" i="4" s="1"/>
  <c r="N43" i="4"/>
  <c r="G3" i="22"/>
  <c r="M3" i="22" s="1"/>
  <c r="G4" i="22"/>
  <c r="I48" i="2" l="1"/>
  <c r="L48" i="2" s="1"/>
  <c r="N48" i="2" s="1"/>
  <c r="M32" i="22"/>
  <c r="I44" i="2"/>
  <c r="L44" i="2" s="1"/>
  <c r="N44" i="2" s="1"/>
  <c r="N47" i="2" s="1"/>
  <c r="J4" i="21"/>
  <c r="E4" i="22"/>
  <c r="M4" i="22" s="1"/>
  <c r="J5" i="21"/>
  <c r="M5" i="22"/>
  <c r="M6" i="22"/>
  <c r="J6" i="21"/>
  <c r="M7" i="22"/>
  <c r="J7" i="21"/>
  <c r="O43" i="4"/>
  <c r="P43" i="4" s="1"/>
  <c r="K47" i="4"/>
  <c r="X10" i="2"/>
  <c r="X41" i="2" s="1"/>
  <c r="J32" i="21" l="1"/>
  <c r="G2" i="22"/>
  <c r="M2" i="22" s="1"/>
  <c r="V41" i="2"/>
  <c r="L47" i="4"/>
  <c r="M47" i="4"/>
  <c r="M30" i="22" l="1"/>
  <c r="G29" i="22"/>
  <c r="I49" i="2"/>
  <c r="L49" i="2" s="1"/>
  <c r="N49" i="2" s="1"/>
</calcChain>
</file>

<file path=xl/sharedStrings.xml><?xml version="1.0" encoding="utf-8"?>
<sst xmlns="http://schemas.openxmlformats.org/spreadsheetml/2006/main" count="480" uniqueCount="187">
  <si>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</si>
  <si>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</si>
  <si>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</si>
  <si>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</si>
  <si>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</si>
  <si>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</si>
  <si>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</si>
  <si>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</si>
  <si>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</si>
  <si>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</si>
  <si>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</si>
  <si>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</si>
  <si>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</si>
  <si>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</si>
  <si>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</si>
  <si>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</si>
  <si>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</si>
  <si>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</si>
  <si>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</si>
  <si>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</si>
  <si>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</si>
  <si>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</si>
  <si>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</si>
  <si>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</si>
  <si>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</si>
  <si>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</si>
  <si>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</si>
  <si>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</si>
  <si>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</si>
  <si>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</si>
  <si>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</si>
  <si>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</si>
  <si>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</si>
  <si>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</si>
  <si>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</si>
  <si>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</si>
  <si>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</si>
  <si>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</si>
  <si>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</si>
  <si>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</si>
  <si>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</si>
  <si>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Avril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</si>
  <si>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</si>
  <si>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</si>
  <si>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</si>
  <si>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</si>
  <si>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</si>
  <si>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</si>
  <si>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</si>
  <si>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</si>
  <si>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</si>
  <si>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</si>
  <si>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</si>
  <si>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</si>
  <si>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</si>
  <si>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</si>
  <si>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</si>
  <si>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Mai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</si>
  <si>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</si>
  <si>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</si>
  <si>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</si>
  <si>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</si>
  <si>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</si>
  <si>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</si>
  <si>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</si>
  <si>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</si>
  <si>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</si>
  <si>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</si>
  <si>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</si>
  <si>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</si>
  <si>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</si>
  <si>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</si>
  <si>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</si>
  <si>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</si>
  <si>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</si>
  <si>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</si>
  <si>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</si>
  <si>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</si>
  <si>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</si>
  <si>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</si>
  <si>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</si>
  <si>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</si>
  <si>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</si>
  <si>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</si>
  <si>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</si>
  <si>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</si>
  <si>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</si>
  <si>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Mai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</si>
  <si>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</si>
  <si>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</si>
  <si>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</si>
  <si>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</si>
  <si>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</si>
  <si>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</si>
  <si>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</si>
  <si>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</si>
  <si>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</si>
  <si>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</si>
  <si>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</si>
  <si>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</si>
  <si>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</si>
  <si>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</si>
  <si>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</si>
  <si>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</si>
  <si>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</si>
  <si>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</si>
  <si>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</si>
  <si>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</si>
  <si>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</si>
  <si>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</si>
  <si>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</si>
  <si>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</si>
  <si>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</si>
  <si>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</si>
  <si>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</si>
  <si>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</si>
  <si>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</si>
  <si>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</si>
  <si>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</si>
  <si>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</si>
  <si>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</si>
  <si>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</si>
  <si>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</si>
  <si>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</si>
  <si>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</si>
  <si>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</si>
  <si>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</si>
  <si>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</si>
  <si>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</si>
  <si>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</si>
  <si>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</si>
  <si>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17/5/2021</t>
  </si>
  <si>
    <t>18/5/2021</t>
  </si>
  <si>
    <t>01jours</t>
  </si>
  <si>
    <t>Estimation de la consommation d'Eau Sanitaire Mai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</si>
  <si>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</si>
  <si>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</si>
  <si>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</si>
  <si>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</si>
  <si>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</si>
  <si>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</si>
  <si>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</si>
  <si>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</si>
  <si>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</si>
  <si>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</si>
  <si>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</si>
  <si>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</si>
  <si>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</si>
  <si>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</si>
  <si>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</si>
  <si>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</si>
  <si>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</si>
  <si>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</si>
  <si>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</si>
  <si>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</si>
  <si>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</si>
  <si>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Mai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</si>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</sst>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0" fontId="1" fillId="0" borderId="16" xfId="0" applyFont="1" applyBorder="1" applyAlignment="1">
      <alignment horizontal="center" vertical="center" wrapText="1"/>
    </xf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27" fillId="0" borderId="10" xfId="0" applyFont="1" applyBorder="1" applyAlignment="1">
      <alignment horizontal="center"/>
    </xf>
    <xf numFmtId="0" fontId="21" fillId="30" borderId="16" xfId="0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9" xfId="0" applyBorder="1" applyAlignment="1"/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  <c:pt idx="3">
                  <c:v>44320</c:v>
                </c:pt>
                <c:pt idx="4">
                  <c:v>44321</c:v>
                </c:pt>
                <c:pt idx="5">
                  <c:v>44322</c:v>
                </c:pt>
                <c:pt idx="6">
                  <c:v>44323</c:v>
                </c:pt>
                <c:pt idx="7">
                  <c:v>44324</c:v>
                </c:pt>
                <c:pt idx="8">
                  <c:v>44325</c:v>
                </c:pt>
                <c:pt idx="9">
                  <c:v>44326</c:v>
                </c:pt>
                <c:pt idx="10">
                  <c:v>44327</c:v>
                </c:pt>
                <c:pt idx="11">
                  <c:v>44328</c:v>
                </c:pt>
                <c:pt idx="12">
                  <c:v>44329</c:v>
                </c:pt>
                <c:pt idx="13">
                  <c:v>44330</c:v>
                </c:pt>
                <c:pt idx="14">
                  <c:v>44331</c:v>
                </c:pt>
                <c:pt idx="15">
                  <c:v>44332</c:v>
                </c:pt>
                <c:pt idx="16">
                  <c:v>44333</c:v>
                </c:pt>
                <c:pt idx="17">
                  <c:v>44334</c:v>
                </c:pt>
                <c:pt idx="18">
                  <c:v>44335</c:v>
                </c:pt>
                <c:pt idx="19">
                  <c:v>44336</c:v>
                </c:pt>
                <c:pt idx="20">
                  <c:v>44337</c:v>
                </c:pt>
                <c:pt idx="21">
                  <c:v>44338</c:v>
                </c:pt>
                <c:pt idx="22">
                  <c:v>44339</c:v>
                </c:pt>
                <c:pt idx="23">
                  <c:v>44340</c:v>
                </c:pt>
                <c:pt idx="24">
                  <c:v>44341</c:v>
                </c:pt>
                <c:pt idx="25">
                  <c:v>44342</c:v>
                </c:pt>
                <c:pt idx="26">
                  <c:v>44343</c:v>
                </c:pt>
                <c:pt idx="27">
                  <c:v>44344</c:v>
                </c:pt>
                <c:pt idx="28">
                  <c:v>44345</c:v>
                </c:pt>
                <c:pt idx="29">
                  <c:v>44346</c:v>
                </c:pt>
                <c:pt idx="30">
                  <c:v>44347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39.80000000000291</c:v>
                </c:pt>
                <c:pt idx="1">
                  <c:v>55.400000000008731</c:v>
                </c:pt>
                <c:pt idx="2">
                  <c:v>45.099999999991269</c:v>
                </c:pt>
                <c:pt idx="3">
                  <c:v>87.69999999999709</c:v>
                </c:pt>
                <c:pt idx="4">
                  <c:v>68.30000000000291</c:v>
                </c:pt>
                <c:pt idx="5">
                  <c:v>54.80000000000291</c:v>
                </c:pt>
                <c:pt idx="6">
                  <c:v>48.30000000000291</c:v>
                </c:pt>
                <c:pt idx="7">
                  <c:v>88.399999999994179</c:v>
                </c:pt>
                <c:pt idx="8">
                  <c:v>58.900000000008731</c:v>
                </c:pt>
                <c:pt idx="9">
                  <c:v>40.899999999994179</c:v>
                </c:pt>
                <c:pt idx="10">
                  <c:v>93</c:v>
                </c:pt>
                <c:pt idx="11">
                  <c:v>94.5</c:v>
                </c:pt>
                <c:pt idx="12">
                  <c:v>79.899999999994179</c:v>
                </c:pt>
                <c:pt idx="13">
                  <c:v>114.30000000000291</c:v>
                </c:pt>
                <c:pt idx="14">
                  <c:v>89.30000000000291</c:v>
                </c:pt>
                <c:pt idx="15">
                  <c:v>128.89999999999418</c:v>
                </c:pt>
                <c:pt idx="16">
                  <c:v>227.90000000000873</c:v>
                </c:pt>
                <c:pt idx="17">
                  <c:v>89.69999999999709</c:v>
                </c:pt>
                <c:pt idx="18">
                  <c:v>81.100000000005821</c:v>
                </c:pt>
                <c:pt idx="19">
                  <c:v>60.5</c:v>
                </c:pt>
                <c:pt idx="20">
                  <c:v>70.599999999991269</c:v>
                </c:pt>
                <c:pt idx="21">
                  <c:v>81.400000000008731</c:v>
                </c:pt>
                <c:pt idx="22">
                  <c:v>83.899999999994179</c:v>
                </c:pt>
                <c:pt idx="23">
                  <c:v>71</c:v>
                </c:pt>
                <c:pt idx="24">
                  <c:v>80.899999999994179</c:v>
                </c:pt>
                <c:pt idx="25">
                  <c:v>99.700000000011642</c:v>
                </c:pt>
                <c:pt idx="26">
                  <c:v>78.69999999999709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  <c:pt idx="3">
                  <c:v>44320</c:v>
                </c:pt>
                <c:pt idx="4">
                  <c:v>44321</c:v>
                </c:pt>
                <c:pt idx="5">
                  <c:v>44322</c:v>
                </c:pt>
                <c:pt idx="6">
                  <c:v>44323</c:v>
                </c:pt>
                <c:pt idx="7">
                  <c:v>44324</c:v>
                </c:pt>
                <c:pt idx="8">
                  <c:v>44325</c:v>
                </c:pt>
                <c:pt idx="9">
                  <c:v>44326</c:v>
                </c:pt>
                <c:pt idx="10">
                  <c:v>44327</c:v>
                </c:pt>
                <c:pt idx="11">
                  <c:v>44328</c:v>
                </c:pt>
                <c:pt idx="12">
                  <c:v>44329</c:v>
                </c:pt>
                <c:pt idx="13">
                  <c:v>44330</c:v>
                </c:pt>
                <c:pt idx="14">
                  <c:v>44331</c:v>
                </c:pt>
                <c:pt idx="15">
                  <c:v>44332</c:v>
                </c:pt>
                <c:pt idx="16">
                  <c:v>44333</c:v>
                </c:pt>
                <c:pt idx="17">
                  <c:v>44334</c:v>
                </c:pt>
                <c:pt idx="18">
                  <c:v>44335</c:v>
                </c:pt>
                <c:pt idx="19">
                  <c:v>44336</c:v>
                </c:pt>
                <c:pt idx="20">
                  <c:v>44337</c:v>
                </c:pt>
                <c:pt idx="21">
                  <c:v>44338</c:v>
                </c:pt>
                <c:pt idx="22">
                  <c:v>44339</c:v>
                </c:pt>
                <c:pt idx="23">
                  <c:v>44340</c:v>
                </c:pt>
                <c:pt idx="24">
                  <c:v>44341</c:v>
                </c:pt>
                <c:pt idx="25">
                  <c:v>44342</c:v>
                </c:pt>
                <c:pt idx="26">
                  <c:v>44343</c:v>
                </c:pt>
                <c:pt idx="27">
                  <c:v>44344</c:v>
                </c:pt>
                <c:pt idx="28">
                  <c:v>44345</c:v>
                </c:pt>
                <c:pt idx="29">
                  <c:v>44346</c:v>
                </c:pt>
                <c:pt idx="30">
                  <c:v>44347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2179</c:v>
                </c:pt>
                <c:pt idx="1">
                  <c:v>2110</c:v>
                </c:pt>
                <c:pt idx="2">
                  <c:v>2140</c:v>
                </c:pt>
                <c:pt idx="3">
                  <c:v>2305</c:v>
                </c:pt>
                <c:pt idx="4">
                  <c:v>2272</c:v>
                </c:pt>
                <c:pt idx="5">
                  <c:v>2540</c:v>
                </c:pt>
                <c:pt idx="6">
                  <c:v>2189</c:v>
                </c:pt>
                <c:pt idx="7">
                  <c:v>2405</c:v>
                </c:pt>
                <c:pt idx="8">
                  <c:v>2361</c:v>
                </c:pt>
                <c:pt idx="9">
                  <c:v>2018</c:v>
                </c:pt>
                <c:pt idx="10">
                  <c:v>2509</c:v>
                </c:pt>
                <c:pt idx="11">
                  <c:v>2352</c:v>
                </c:pt>
                <c:pt idx="12">
                  <c:v>1813</c:v>
                </c:pt>
                <c:pt idx="13">
                  <c:v>2409</c:v>
                </c:pt>
                <c:pt idx="14">
                  <c:v>2046</c:v>
                </c:pt>
                <c:pt idx="15">
                  <c:v>2002</c:v>
                </c:pt>
                <c:pt idx="16">
                  <c:v>2228</c:v>
                </c:pt>
                <c:pt idx="17">
                  <c:v>2321</c:v>
                </c:pt>
                <c:pt idx="18">
                  <c:v>2579</c:v>
                </c:pt>
                <c:pt idx="19">
                  <c:v>2272</c:v>
                </c:pt>
                <c:pt idx="20">
                  <c:v>2784</c:v>
                </c:pt>
                <c:pt idx="21">
                  <c:v>2613</c:v>
                </c:pt>
                <c:pt idx="22">
                  <c:v>3229</c:v>
                </c:pt>
                <c:pt idx="23">
                  <c:v>2697</c:v>
                </c:pt>
                <c:pt idx="24">
                  <c:v>2337</c:v>
                </c:pt>
                <c:pt idx="25">
                  <c:v>2340</c:v>
                </c:pt>
                <c:pt idx="26">
                  <c:v>2832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  <c:pt idx="3">
                  <c:v>44320</c:v>
                </c:pt>
                <c:pt idx="4">
                  <c:v>44321</c:v>
                </c:pt>
                <c:pt idx="5">
                  <c:v>44322</c:v>
                </c:pt>
                <c:pt idx="6">
                  <c:v>44323</c:v>
                </c:pt>
                <c:pt idx="7">
                  <c:v>44324</c:v>
                </c:pt>
                <c:pt idx="8">
                  <c:v>44325</c:v>
                </c:pt>
                <c:pt idx="9">
                  <c:v>44326</c:v>
                </c:pt>
                <c:pt idx="10">
                  <c:v>44327</c:v>
                </c:pt>
                <c:pt idx="11">
                  <c:v>44328</c:v>
                </c:pt>
                <c:pt idx="12">
                  <c:v>44329</c:v>
                </c:pt>
                <c:pt idx="13">
                  <c:v>44330</c:v>
                </c:pt>
                <c:pt idx="14">
                  <c:v>44331</c:v>
                </c:pt>
                <c:pt idx="15">
                  <c:v>44332</c:v>
                </c:pt>
                <c:pt idx="16">
                  <c:v>44333</c:v>
                </c:pt>
                <c:pt idx="17">
                  <c:v>44334</c:v>
                </c:pt>
                <c:pt idx="18">
                  <c:v>44335</c:v>
                </c:pt>
                <c:pt idx="19">
                  <c:v>44336</c:v>
                </c:pt>
                <c:pt idx="20">
                  <c:v>44337</c:v>
                </c:pt>
                <c:pt idx="21">
                  <c:v>44338</c:v>
                </c:pt>
                <c:pt idx="22">
                  <c:v>44339</c:v>
                </c:pt>
                <c:pt idx="23">
                  <c:v>44340</c:v>
                </c:pt>
                <c:pt idx="24">
                  <c:v>44341</c:v>
                </c:pt>
                <c:pt idx="25">
                  <c:v>44342</c:v>
                </c:pt>
                <c:pt idx="26">
                  <c:v>44343</c:v>
                </c:pt>
                <c:pt idx="27">
                  <c:v>44344</c:v>
                </c:pt>
                <c:pt idx="28">
                  <c:v>44345</c:v>
                </c:pt>
                <c:pt idx="29">
                  <c:v>44346</c:v>
                </c:pt>
                <c:pt idx="30">
                  <c:v>44347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4209</c:v>
                </c:pt>
                <c:pt idx="1">
                  <c:v>4163</c:v>
                </c:pt>
                <c:pt idx="2">
                  <c:v>4363</c:v>
                </c:pt>
                <c:pt idx="3">
                  <c:v>4560</c:v>
                </c:pt>
                <c:pt idx="4">
                  <c:v>4652</c:v>
                </c:pt>
                <c:pt idx="5">
                  <c:v>4525</c:v>
                </c:pt>
                <c:pt idx="6">
                  <c:v>5081</c:v>
                </c:pt>
                <c:pt idx="7">
                  <c:v>5123</c:v>
                </c:pt>
                <c:pt idx="8">
                  <c:v>4690</c:v>
                </c:pt>
                <c:pt idx="9">
                  <c:v>3884</c:v>
                </c:pt>
                <c:pt idx="10">
                  <c:v>3408</c:v>
                </c:pt>
                <c:pt idx="11">
                  <c:v>4549</c:v>
                </c:pt>
                <c:pt idx="12">
                  <c:v>4432</c:v>
                </c:pt>
                <c:pt idx="13">
                  <c:v>4657</c:v>
                </c:pt>
                <c:pt idx="14">
                  <c:v>4540</c:v>
                </c:pt>
                <c:pt idx="15">
                  <c:v>4495</c:v>
                </c:pt>
                <c:pt idx="16">
                  <c:v>5209</c:v>
                </c:pt>
                <c:pt idx="17">
                  <c:v>4284</c:v>
                </c:pt>
                <c:pt idx="18">
                  <c:v>5006</c:v>
                </c:pt>
                <c:pt idx="19">
                  <c:v>5410</c:v>
                </c:pt>
                <c:pt idx="20">
                  <c:v>5527</c:v>
                </c:pt>
                <c:pt idx="21">
                  <c:v>5902</c:v>
                </c:pt>
                <c:pt idx="22">
                  <c:v>5717</c:v>
                </c:pt>
                <c:pt idx="23">
                  <c:v>5437</c:v>
                </c:pt>
                <c:pt idx="24">
                  <c:v>5440</c:v>
                </c:pt>
                <c:pt idx="25">
                  <c:v>5517</c:v>
                </c:pt>
                <c:pt idx="26">
                  <c:v>5247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  <c:pt idx="3">
                  <c:v>44320</c:v>
                </c:pt>
                <c:pt idx="4">
                  <c:v>44321</c:v>
                </c:pt>
                <c:pt idx="5">
                  <c:v>44322</c:v>
                </c:pt>
                <c:pt idx="6">
                  <c:v>44323</c:v>
                </c:pt>
                <c:pt idx="7">
                  <c:v>44324</c:v>
                </c:pt>
                <c:pt idx="8">
                  <c:v>44325</c:v>
                </c:pt>
                <c:pt idx="9">
                  <c:v>44326</c:v>
                </c:pt>
                <c:pt idx="10">
                  <c:v>44327</c:v>
                </c:pt>
                <c:pt idx="11">
                  <c:v>44328</c:v>
                </c:pt>
                <c:pt idx="12">
                  <c:v>44329</c:v>
                </c:pt>
                <c:pt idx="13">
                  <c:v>44330</c:v>
                </c:pt>
                <c:pt idx="14">
                  <c:v>44331</c:v>
                </c:pt>
                <c:pt idx="15">
                  <c:v>44332</c:v>
                </c:pt>
                <c:pt idx="16">
                  <c:v>44333</c:v>
                </c:pt>
                <c:pt idx="17">
                  <c:v>44334</c:v>
                </c:pt>
                <c:pt idx="18">
                  <c:v>44335</c:v>
                </c:pt>
                <c:pt idx="19">
                  <c:v>44336</c:v>
                </c:pt>
                <c:pt idx="20">
                  <c:v>44337</c:v>
                </c:pt>
                <c:pt idx="21">
                  <c:v>44338</c:v>
                </c:pt>
                <c:pt idx="22">
                  <c:v>44339</c:v>
                </c:pt>
                <c:pt idx="23">
                  <c:v>44340</c:v>
                </c:pt>
                <c:pt idx="24">
                  <c:v>44341</c:v>
                </c:pt>
                <c:pt idx="25">
                  <c:v>44342</c:v>
                </c:pt>
                <c:pt idx="26">
                  <c:v>44343</c:v>
                </c:pt>
                <c:pt idx="27">
                  <c:v>44344</c:v>
                </c:pt>
                <c:pt idx="28">
                  <c:v>44345</c:v>
                </c:pt>
                <c:pt idx="29">
                  <c:v>44346</c:v>
                </c:pt>
                <c:pt idx="30">
                  <c:v>44347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1751</c:v>
                </c:pt>
                <c:pt idx="1">
                  <c:v>1825</c:v>
                </c:pt>
                <c:pt idx="2">
                  <c:v>1702</c:v>
                </c:pt>
                <c:pt idx="3">
                  <c:v>1593</c:v>
                </c:pt>
                <c:pt idx="4">
                  <c:v>1722</c:v>
                </c:pt>
                <c:pt idx="5">
                  <c:v>1752</c:v>
                </c:pt>
                <c:pt idx="6">
                  <c:v>1862</c:v>
                </c:pt>
                <c:pt idx="7">
                  <c:v>1899</c:v>
                </c:pt>
                <c:pt idx="8">
                  <c:v>2032</c:v>
                </c:pt>
                <c:pt idx="9">
                  <c:v>1697</c:v>
                </c:pt>
                <c:pt idx="10">
                  <c:v>1981</c:v>
                </c:pt>
                <c:pt idx="11">
                  <c:v>1732</c:v>
                </c:pt>
                <c:pt idx="12">
                  <c:v>1673</c:v>
                </c:pt>
                <c:pt idx="13">
                  <c:v>1927</c:v>
                </c:pt>
                <c:pt idx="14">
                  <c:v>1936</c:v>
                </c:pt>
                <c:pt idx="15">
                  <c:v>1812</c:v>
                </c:pt>
                <c:pt idx="16">
                  <c:v>1784</c:v>
                </c:pt>
                <c:pt idx="17">
                  <c:v>1945</c:v>
                </c:pt>
                <c:pt idx="18">
                  <c:v>1819</c:v>
                </c:pt>
                <c:pt idx="19">
                  <c:v>1945</c:v>
                </c:pt>
                <c:pt idx="20">
                  <c:v>1970</c:v>
                </c:pt>
                <c:pt idx="21">
                  <c:v>2369</c:v>
                </c:pt>
                <c:pt idx="22">
                  <c:v>3096</c:v>
                </c:pt>
                <c:pt idx="23">
                  <c:v>1585</c:v>
                </c:pt>
                <c:pt idx="24">
                  <c:v>4037</c:v>
                </c:pt>
                <c:pt idx="25">
                  <c:v>115</c:v>
                </c:pt>
                <c:pt idx="26">
                  <c:v>2001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  <c:pt idx="3">
                  <c:v>44320</c:v>
                </c:pt>
                <c:pt idx="4">
                  <c:v>44321</c:v>
                </c:pt>
                <c:pt idx="5">
                  <c:v>44322</c:v>
                </c:pt>
                <c:pt idx="6">
                  <c:v>44323</c:v>
                </c:pt>
                <c:pt idx="7">
                  <c:v>44324</c:v>
                </c:pt>
                <c:pt idx="8">
                  <c:v>44325</c:v>
                </c:pt>
                <c:pt idx="9">
                  <c:v>44326</c:v>
                </c:pt>
                <c:pt idx="10">
                  <c:v>44327</c:v>
                </c:pt>
                <c:pt idx="11">
                  <c:v>44328</c:v>
                </c:pt>
                <c:pt idx="12">
                  <c:v>44329</c:v>
                </c:pt>
                <c:pt idx="13">
                  <c:v>44330</c:v>
                </c:pt>
                <c:pt idx="14">
                  <c:v>44331</c:v>
                </c:pt>
                <c:pt idx="15">
                  <c:v>44332</c:v>
                </c:pt>
                <c:pt idx="16">
                  <c:v>44333</c:v>
                </c:pt>
                <c:pt idx="17">
                  <c:v>44334</c:v>
                </c:pt>
                <c:pt idx="18">
                  <c:v>44335</c:v>
                </c:pt>
                <c:pt idx="19">
                  <c:v>44336</c:v>
                </c:pt>
                <c:pt idx="20">
                  <c:v>44337</c:v>
                </c:pt>
                <c:pt idx="21">
                  <c:v>44338</c:v>
                </c:pt>
                <c:pt idx="22">
                  <c:v>44339</c:v>
                </c:pt>
                <c:pt idx="23">
                  <c:v>44340</c:v>
                </c:pt>
                <c:pt idx="24">
                  <c:v>44341</c:v>
                </c:pt>
                <c:pt idx="25">
                  <c:v>44342</c:v>
                </c:pt>
                <c:pt idx="26">
                  <c:v>44343</c:v>
                </c:pt>
                <c:pt idx="27">
                  <c:v>44344</c:v>
                </c:pt>
                <c:pt idx="28">
                  <c:v>44345</c:v>
                </c:pt>
                <c:pt idx="29">
                  <c:v>44346</c:v>
                </c:pt>
                <c:pt idx="30">
                  <c:v>44347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259.21000000000004</c:v>
                </c:pt>
                <c:pt idx="1">
                  <c:v>407.33000000000004</c:v>
                </c:pt>
                <c:pt idx="2">
                  <c:v>333.27000000000004</c:v>
                </c:pt>
                <c:pt idx="3">
                  <c:v>333.90000000000003</c:v>
                </c:pt>
                <c:pt idx="4">
                  <c:v>127.99684000000001</c:v>
                </c:pt>
                <c:pt idx="5">
                  <c:v>223.99447000000001</c:v>
                </c:pt>
                <c:pt idx="6">
                  <c:v>63.998420000000003</c:v>
                </c:pt>
                <c:pt idx="7">
                  <c:v>255.99368000000001</c:v>
                </c:pt>
                <c:pt idx="8">
                  <c:v>319.99209999999999</c:v>
                </c:pt>
                <c:pt idx="9">
                  <c:v>351.99131</c:v>
                </c:pt>
                <c:pt idx="10">
                  <c:v>255.99368000000001</c:v>
                </c:pt>
                <c:pt idx="11">
                  <c:v>319.99209999999999</c:v>
                </c:pt>
                <c:pt idx="12">
                  <c:v>319.99209999999999</c:v>
                </c:pt>
                <c:pt idx="13">
                  <c:v>447.98894000000001</c:v>
                </c:pt>
                <c:pt idx="14">
                  <c:v>319.99209999999999</c:v>
                </c:pt>
                <c:pt idx="15">
                  <c:v>287.99288999999999</c:v>
                </c:pt>
                <c:pt idx="16">
                  <c:v>31.999210000000001</c:v>
                </c:pt>
                <c:pt idx="17">
                  <c:v>479.98815000000002</c:v>
                </c:pt>
                <c:pt idx="18">
                  <c:v>319.99209999999999</c:v>
                </c:pt>
                <c:pt idx="19">
                  <c:v>415.98973000000001</c:v>
                </c:pt>
                <c:pt idx="20">
                  <c:v>127.99684000000001</c:v>
                </c:pt>
                <c:pt idx="21">
                  <c:v>383.99052</c:v>
                </c:pt>
                <c:pt idx="22">
                  <c:v>255.99368000000001</c:v>
                </c:pt>
                <c:pt idx="23">
                  <c:v>575.98577999999998</c:v>
                </c:pt>
                <c:pt idx="24">
                  <c:v>319.99209999999999</c:v>
                </c:pt>
                <c:pt idx="25">
                  <c:v>223.99447000000001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  <c:pt idx="3">
                  <c:v>282564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3</xdr:row>
      <xdr:rowOff>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1"/>
  <sheetViews>
    <sheetView topLeftCell="A7" workbookViewId="0">
      <selection activeCell="E6" sqref="E6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6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6" t="s">
        <v>10</v>
      </c>
      <c r="L1" s="146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5</v>
      </c>
      <c r="D2" s="141">
        <v>2021</v>
      </c>
      <c r="E2" s="137">
        <f>submetering!E2+submetering!F2+submetering!G2</f>
        <v>8139</v>
      </c>
      <c r="F2" s="134">
        <v>1.05</v>
      </c>
      <c r="G2" s="134">
        <f>'Consommation mensuel énergie'!V10</f>
        <v>259.21000000000004</v>
      </c>
      <c r="H2" s="134">
        <v>8.6999999999999993</v>
      </c>
      <c r="I2" s="134">
        <f>'Consommation mensuel énergie'!F10</f>
        <v>39.80000000000291</v>
      </c>
      <c r="J2" s="134">
        <v>11.4</v>
      </c>
      <c r="K2" s="137">
        <f>'Consommation mensuel énergie'!D10</f>
        <v>36</v>
      </c>
      <c r="L2" s="137">
        <f>'Consommation mensuel énergie'!E10</f>
        <v>62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5</v>
      </c>
      <c r="D3" s="141">
        <v>2021</v>
      </c>
      <c r="E3" s="137">
        <f>submetering!E3+submetering!F3+submetering!G3</f>
        <v>7995</v>
      </c>
      <c r="F3" s="134">
        <v>1.05</v>
      </c>
      <c r="G3" s="134">
        <f>'Consommation mensuel énergie'!V11</f>
        <v>407.33000000000004</v>
      </c>
      <c r="H3" s="134">
        <v>8.6999999999999993</v>
      </c>
      <c r="I3" s="134">
        <f>'Consommation mensuel énergie'!F11</f>
        <v>55.400000000008731</v>
      </c>
      <c r="J3" s="134">
        <v>11.4</v>
      </c>
      <c r="K3" s="137">
        <f>'Consommation mensuel énergie'!D11</f>
        <v>24</v>
      </c>
      <c r="L3" s="137">
        <f>'Consommation mensuel énergie'!E11</f>
        <v>37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5</v>
      </c>
      <c r="D4" s="141">
        <v>2021</v>
      </c>
      <c r="E4" s="137">
        <f>submetering!E4+submetering!F4+submetering!G4</f>
        <v>8205</v>
      </c>
      <c r="F4" s="134">
        <v>1.05</v>
      </c>
      <c r="G4" s="134">
        <f>'Consommation mensuel énergie'!V12</f>
        <v>333.27000000000004</v>
      </c>
      <c r="H4" s="134">
        <v>8.6999999999999993</v>
      </c>
      <c r="I4" s="134">
        <f>'Consommation mensuel énergie'!F12</f>
        <v>45.099999999991269</v>
      </c>
      <c r="J4" s="134">
        <v>11.4</v>
      </c>
      <c r="K4" s="137">
        <f>'Consommation mensuel énergie'!D12</f>
        <v>10</v>
      </c>
      <c r="L4" s="137">
        <f>'Consommation mensuel énergie'!E12</f>
        <v>20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5</v>
      </c>
      <c r="D5" s="141">
        <v>2021</v>
      </c>
      <c r="E5" s="137">
        <f>submetering!E5+submetering!F5+submetering!G5</f>
        <v>8458</v>
      </c>
      <c r="F5" s="134">
        <v>1.05</v>
      </c>
      <c r="G5" s="134">
        <f>'Consommation mensuel énergie'!V13</f>
        <v>333.90000000000003</v>
      </c>
      <c r="H5" s="134">
        <v>8.6999999999999993</v>
      </c>
      <c r="I5" s="134">
        <f>'Consommation mensuel énergie'!F13</f>
        <v>87.69999999999709</v>
      </c>
      <c r="J5" s="134">
        <v>11.4</v>
      </c>
      <c r="K5" s="137">
        <f>'Consommation mensuel énergie'!D13</f>
        <v>7</v>
      </c>
      <c r="L5" s="137">
        <f>'Consommation mensuel énergie'!E13</f>
        <v>12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5</v>
      </c>
      <c r="D6" s="141">
        <v>2021</v>
      </c>
      <c r="E6" s="137">
        <f>submetering!E6+submetering!F6+submetering!G6</f>
        <v>8646</v>
      </c>
      <c r="F6" s="134">
        <v>1.05</v>
      </c>
      <c r="G6" s="134">
        <f>'Consommation mensuel énergie'!V14</f>
        <v>127.99684000000001</v>
      </c>
      <c r="H6" s="134">
        <v>8.6999999999999993</v>
      </c>
      <c r="I6" s="134">
        <f>'Consommation mensuel énergie'!F14</f>
        <v>68.30000000000291</v>
      </c>
      <c r="J6" s="134">
        <v>11.4</v>
      </c>
      <c r="K6" s="137">
        <f>'Consommation mensuel énergie'!D14</f>
        <v>31</v>
      </c>
      <c r="L6" s="137">
        <f>'Consommation mensuel énergie'!E14</f>
        <v>41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5</v>
      </c>
      <c r="D7" s="141">
        <v>2021</v>
      </c>
      <c r="E7" s="137">
        <f>submetering!E7+submetering!F7+submetering!G7</f>
        <v>8817</v>
      </c>
      <c r="F7" s="134">
        <v>1.05</v>
      </c>
      <c r="G7" s="134">
        <f>'Consommation mensuel énergie'!V15</f>
        <v>223.99447000000001</v>
      </c>
      <c r="H7" s="134">
        <v>8.6999999999999993</v>
      </c>
      <c r="I7" s="134">
        <f>'Consommation mensuel énergie'!F15</f>
        <v>54.80000000000291</v>
      </c>
      <c r="J7" s="134">
        <v>11.4</v>
      </c>
      <c r="K7" s="137">
        <f>'Consommation mensuel énergie'!D15</f>
        <v>24</v>
      </c>
      <c r="L7" s="137">
        <f>'Consommation mensuel énergie'!E15</f>
        <v>32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5</v>
      </c>
      <c r="D8" s="141">
        <v>2021</v>
      </c>
      <c r="E8" s="137">
        <f>submetering!E8+submetering!F8+submetering!G8</f>
        <v>9132</v>
      </c>
      <c r="F8" s="134">
        <v>1.05</v>
      </c>
      <c r="G8" s="134">
        <f>'Consommation mensuel énergie'!V16</f>
        <v>63.998420000000003</v>
      </c>
      <c r="H8" s="134">
        <v>8.6999999999999993</v>
      </c>
      <c r="I8" s="134">
        <f>'Consommation mensuel énergie'!F16</f>
        <v>48.30000000000291</v>
      </c>
      <c r="J8" s="134">
        <v>11.4</v>
      </c>
      <c r="K8" s="137">
        <f>'Consommation mensuel énergie'!D16</f>
        <v>21</v>
      </c>
      <c r="L8" s="137">
        <f>'Consommation mensuel énergie'!E16</f>
        <v>27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5</v>
      </c>
      <c r="D9" s="141">
        <v>2021</v>
      </c>
      <c r="E9" s="137">
        <f>submetering!E9+submetering!F9+submetering!G9</f>
        <v>9427</v>
      </c>
      <c r="F9" s="134">
        <v>1.05</v>
      </c>
      <c r="G9" s="134">
        <f>'Consommation mensuel énergie'!V17</f>
        <v>255.99368000000001</v>
      </c>
      <c r="H9" s="134">
        <v>8.6999999999999993</v>
      </c>
      <c r="I9" s="134">
        <f>'Consommation mensuel énergie'!F17</f>
        <v>88.399999999994179</v>
      </c>
      <c r="J9" s="134">
        <v>11.4</v>
      </c>
      <c r="K9" s="137">
        <f>'Consommation mensuel énergie'!D17</f>
        <v>11</v>
      </c>
      <c r="L9" s="137">
        <f>'Consommation mensuel énergie'!E17</f>
        <v>18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5</v>
      </c>
      <c r="D10" s="141">
        <v>2021</v>
      </c>
      <c r="E10" s="137">
        <f>submetering!E10+submetering!F10+submetering!G10</f>
        <v>9083</v>
      </c>
      <c r="F10" s="134">
        <v>1.05</v>
      </c>
      <c r="G10" s="134">
        <f>'Consommation mensuel énergie'!V19</f>
        <v>351.99131</v>
      </c>
      <c r="H10" s="134">
        <v>8.6999999999999993</v>
      </c>
      <c r="I10" s="134">
        <f>'Consommation mensuel énergie'!F18</f>
        <v>58.900000000008731</v>
      </c>
      <c r="J10" s="134">
        <v>11.4</v>
      </c>
      <c r="K10" s="137">
        <f>'Consommation mensuel énergie'!D18</f>
        <v>22</v>
      </c>
      <c r="L10" s="137">
        <f>'Consommation mensuel énergie'!E18</f>
        <v>39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5</v>
      </c>
      <c r="D11" s="141">
        <v>2021</v>
      </c>
      <c r="E11" s="137">
        <f>submetering!E11+submetering!F11+submetering!G11</f>
        <v>7599</v>
      </c>
      <c r="F11" s="134">
        <v>1.05</v>
      </c>
      <c r="G11" s="134">
        <f>'Consommation mensuel énergie'!V20</f>
        <v>255.99368000000001</v>
      </c>
      <c r="H11" s="134">
        <v>8.6999999999999993</v>
      </c>
      <c r="I11" s="134">
        <f>'Consommation mensuel énergie'!F19</f>
        <v>40.899999999994179</v>
      </c>
      <c r="J11" s="134">
        <v>11.4</v>
      </c>
      <c r="K11" s="137">
        <f>'Consommation mensuel énergie'!D19</f>
        <v>18</v>
      </c>
      <c r="L11" s="137">
        <f>'Consommation mensuel énergie'!E19</f>
        <v>28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5</v>
      </c>
      <c r="D12" s="141">
        <v>2021</v>
      </c>
      <c r="E12" s="137">
        <f>submetering!E12+submetering!F12+submetering!G12</f>
        <v>7898</v>
      </c>
      <c r="F12" s="134">
        <v>1.05</v>
      </c>
      <c r="G12" s="134">
        <f>'Consommation mensuel énergie'!V21</f>
        <v>319.99209999999999</v>
      </c>
      <c r="H12" s="134">
        <v>8.6999999999999993</v>
      </c>
      <c r="I12" s="134">
        <f>'Consommation mensuel énergie'!F20</f>
        <v>93</v>
      </c>
      <c r="J12" s="134">
        <v>11.4</v>
      </c>
      <c r="K12" s="137">
        <f>'Consommation mensuel énergie'!D20</f>
        <v>14</v>
      </c>
      <c r="L12" s="137">
        <f>'Consommation mensuel énergie'!E20</f>
        <v>31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5</v>
      </c>
      <c r="D13" s="141">
        <v>2021</v>
      </c>
      <c r="E13" s="137">
        <f>submetering!E13+submetering!F13+submetering!G13</f>
        <v>8633</v>
      </c>
      <c r="F13" s="134">
        <v>1.05</v>
      </c>
      <c r="G13" s="134">
        <f>'Consommation mensuel énergie'!V22</f>
        <v>319.99209999999999</v>
      </c>
      <c r="H13" s="134">
        <v>8.6999999999999993</v>
      </c>
      <c r="I13" s="134">
        <f>'Consommation mensuel énergie'!F21</f>
        <v>94.5</v>
      </c>
      <c r="J13" s="134">
        <v>11.4</v>
      </c>
      <c r="K13" s="137">
        <f>'Consommation mensuel énergie'!D21</f>
        <v>15</v>
      </c>
      <c r="L13" s="137">
        <f>'Consommation mensuel énergie'!E21</f>
        <v>33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5</v>
      </c>
      <c r="D14" s="141">
        <v>2021</v>
      </c>
      <c r="E14" s="137">
        <f>submetering!E14+submetering!F14+submetering!G14</f>
        <v>7918</v>
      </c>
      <c r="F14" s="134">
        <v>1.05</v>
      </c>
      <c r="G14" s="134">
        <f>'Consommation mensuel énergie'!V23</f>
        <v>447.98894000000001</v>
      </c>
      <c r="H14" s="134">
        <v>8.6999999999999993</v>
      </c>
      <c r="I14" s="134">
        <f>'Consommation mensuel énergie'!F22</f>
        <v>79.899999999994179</v>
      </c>
      <c r="J14" s="134">
        <v>11.4</v>
      </c>
      <c r="K14" s="137">
        <f>'Consommation mensuel énergie'!D22</f>
        <v>18</v>
      </c>
      <c r="L14" s="137">
        <f>'Consommation mensuel énergie'!E22</f>
        <v>35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5</v>
      </c>
      <c r="D15" s="141">
        <v>2021</v>
      </c>
      <c r="E15" s="137">
        <f>submetering!E15+submetering!F15+submetering!G15</f>
        <v>8993</v>
      </c>
      <c r="F15" s="134">
        <v>1.05</v>
      </c>
      <c r="G15" s="134">
        <f>'Consommation mensuel énergie'!V24</f>
        <v>319.99209999999999</v>
      </c>
      <c r="H15" s="134">
        <v>8.6999999999999993</v>
      </c>
      <c r="I15" s="134">
        <f>'Consommation mensuel énergie'!F23</f>
        <v>114.30000000000291</v>
      </c>
      <c r="J15" s="134">
        <v>11.4</v>
      </c>
      <c r="K15" s="137">
        <f>'Consommation mensuel énergie'!D23</f>
        <v>13</v>
      </c>
      <c r="L15" s="137">
        <f>'Consommation mensuel énergie'!E23</f>
        <v>26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5</v>
      </c>
      <c r="D16" s="141">
        <v>2021</v>
      </c>
      <c r="E16" s="137">
        <f>submetering!E16+submetering!F16+submetering!G16</f>
        <v>8522</v>
      </c>
      <c r="F16" s="134">
        <v>1.05</v>
      </c>
      <c r="G16" s="134">
        <f>'Consommation mensuel énergie'!V25</f>
        <v>287.99288999999999</v>
      </c>
      <c r="H16" s="134">
        <v>8.6999999999999993</v>
      </c>
      <c r="I16" s="134">
        <f>'Consommation mensuel énergie'!F24</f>
        <v>89.30000000000291</v>
      </c>
      <c r="J16" s="134">
        <v>11.4</v>
      </c>
      <c r="K16" s="137">
        <f>'Consommation mensuel énergie'!D24</f>
        <v>18</v>
      </c>
      <c r="L16" s="137">
        <f>'Consommation mensuel énergie'!E24</f>
        <v>35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5</v>
      </c>
      <c r="D17" s="141">
        <v>2021</v>
      </c>
      <c r="E17" s="137">
        <f>submetering!E17+submetering!F17+submetering!G17</f>
        <v>8309</v>
      </c>
      <c r="F17" s="134">
        <v>1.05</v>
      </c>
      <c r="G17" s="134">
        <f>'Consommation mensuel énergie'!V26</f>
        <v>31.999210000000001</v>
      </c>
      <c r="H17" s="134">
        <v>8.6999999999999993</v>
      </c>
      <c r="I17" s="134">
        <f>'Consommation mensuel énergie'!F25</f>
        <v>128.89999999999418</v>
      </c>
      <c r="J17" s="134">
        <v>11.4</v>
      </c>
      <c r="K17" s="137">
        <f>'Consommation mensuel énergie'!D25</f>
        <v>14</v>
      </c>
      <c r="L17" s="137">
        <f>'Consommation mensuel énergie'!E25</f>
        <v>20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5</v>
      </c>
      <c r="D18" s="141">
        <v>2021</v>
      </c>
      <c r="E18" s="137">
        <f>submetering!E18+submetering!F18+submetering!G18</f>
        <v>9221</v>
      </c>
      <c r="F18" s="134">
        <v>1.05</v>
      </c>
      <c r="G18" s="134">
        <f>'Consommation mensuel énergie'!V27</f>
        <v>479.98815000000002</v>
      </c>
      <c r="H18" s="134">
        <v>8.6999999999999993</v>
      </c>
      <c r="I18" s="134">
        <f>'Consommation mensuel énergie'!F26</f>
        <v>227.90000000000873</v>
      </c>
      <c r="J18" s="134">
        <v>11.4</v>
      </c>
      <c r="K18" s="137">
        <f>'Consommation mensuel énergie'!D26</f>
        <v>14</v>
      </c>
      <c r="L18" s="137">
        <f>'Consommation mensuel énergie'!E26</f>
        <v>23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5</v>
      </c>
      <c r="D19" s="141">
        <v>2021</v>
      </c>
      <c r="E19" s="137">
        <f>submetering!E19+submetering!F19+submetering!G19</f>
        <v>8550</v>
      </c>
      <c r="F19" s="134">
        <v>1.05</v>
      </c>
      <c r="G19" s="134">
        <f>'Consommation mensuel énergie'!V28</f>
        <v>319.99209999999999</v>
      </c>
      <c r="H19" s="134">
        <v>8.6999999999999993</v>
      </c>
      <c r="I19" s="134">
        <f>'Consommation mensuel énergie'!F27</f>
        <v>89.69999999999709</v>
      </c>
      <c r="J19" s="134">
        <v>11.4</v>
      </c>
      <c r="K19" s="137">
        <f>'Consommation mensuel énergie'!D27</f>
        <v>19</v>
      </c>
      <c r="L19" s="137">
        <f>'Consommation mensuel énergie'!E27</f>
        <v>33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5</v>
      </c>
      <c r="D20" s="141">
        <v>2021</v>
      </c>
      <c r="E20" s="137">
        <f>submetering!E20+submetering!F20+submetering!G20</f>
        <v>9404</v>
      </c>
      <c r="F20" s="134">
        <v>1.05</v>
      </c>
      <c r="G20" s="134">
        <f>'Consommation mensuel énergie'!V29</f>
        <v>415.98973000000001</v>
      </c>
      <c r="H20" s="134">
        <v>8.6999999999999993</v>
      </c>
      <c r="I20" s="134">
        <f>'Consommation mensuel énergie'!F28</f>
        <v>81.100000000005821</v>
      </c>
      <c r="J20" s="134">
        <v>11.4</v>
      </c>
      <c r="K20" s="137">
        <f>'Consommation mensuel énergie'!D28</f>
        <v>23</v>
      </c>
      <c r="L20" s="137">
        <f>'Consommation mensuel énergie'!E28</f>
        <v>38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5</v>
      </c>
      <c r="D21" s="141">
        <v>2021</v>
      </c>
      <c r="E21" s="137">
        <f>submetering!E21+submetering!F21+submetering!G21</f>
        <v>9627</v>
      </c>
      <c r="F21" s="134">
        <v>1.05</v>
      </c>
      <c r="G21" s="134">
        <f>'Consommation mensuel énergie'!V30</f>
        <v>127.99684000000001</v>
      </c>
      <c r="H21" s="134">
        <v>8.6999999999999993</v>
      </c>
      <c r="I21" s="134">
        <f>'Consommation mensuel énergie'!F29</f>
        <v>60.5</v>
      </c>
      <c r="J21" s="134">
        <v>11.4</v>
      </c>
      <c r="K21" s="137">
        <f>'Consommation mensuel énergie'!D29</f>
        <v>40</v>
      </c>
      <c r="L21" s="137">
        <f>'Consommation mensuel énergie'!E29</f>
        <v>50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5</v>
      </c>
      <c r="D22" s="141">
        <v>2021</v>
      </c>
      <c r="E22" s="137">
        <f>submetering!E22+submetering!F22+submetering!G22</f>
        <v>10281</v>
      </c>
      <c r="F22" s="134">
        <v>1.05</v>
      </c>
      <c r="G22" s="134">
        <f>'Consommation mensuel énergie'!V31</f>
        <v>383.99052</v>
      </c>
      <c r="H22" s="134">
        <v>8.6999999999999993</v>
      </c>
      <c r="I22" s="134">
        <f>'Consommation mensuel énergie'!F30</f>
        <v>70.599999999991269</v>
      </c>
      <c r="J22" s="134">
        <v>11.4</v>
      </c>
      <c r="K22" s="137">
        <f>'Consommation mensuel énergie'!D30</f>
        <v>69</v>
      </c>
      <c r="L22" s="137">
        <f>'Consommation mensuel énergie'!E30</f>
        <v>76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5</v>
      </c>
      <c r="D23" s="141">
        <v>2021</v>
      </c>
      <c r="E23" s="137">
        <f>submetering!E23+submetering!F23+submetering!G23</f>
        <v>10884</v>
      </c>
      <c r="F23" s="134">
        <v>1.05</v>
      </c>
      <c r="G23" s="134">
        <f>'Consommation mensuel énergie'!V32</f>
        <v>255.99368000000001</v>
      </c>
      <c r="H23" s="134">
        <v>8.6999999999999993</v>
      </c>
      <c r="I23" s="134">
        <f>'Consommation mensuel énergie'!F31</f>
        <v>81.400000000008731</v>
      </c>
      <c r="J23" s="134">
        <v>11.4</v>
      </c>
      <c r="K23" s="137">
        <f>'Consommation mensuel énergie'!D31</f>
        <v>78</v>
      </c>
      <c r="L23" s="137">
        <f>'Consommation mensuel énergie'!E31</f>
        <v>109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5</v>
      </c>
      <c r="D24" s="141">
        <v>2021</v>
      </c>
      <c r="E24" s="137">
        <f>submetering!E24+submetering!F24+submetering!G24</f>
        <v>12042</v>
      </c>
      <c r="F24" s="134">
        <v>1.05</v>
      </c>
      <c r="G24" s="134">
        <f>'Consommation mensuel énergie'!V33</f>
        <v>575.98577999999998</v>
      </c>
      <c r="H24" s="134">
        <v>8.6999999999999993</v>
      </c>
      <c r="I24" s="134">
        <f>'Consommation mensuel énergie'!F32</f>
        <v>83.899999999994179</v>
      </c>
      <c r="J24" s="134">
        <v>11.4</v>
      </c>
      <c r="K24" s="137">
        <f>'Consommation mensuel énergie'!D32</f>
        <v>61</v>
      </c>
      <c r="L24" s="137">
        <f>'Consommation mensuel énergie'!E32</f>
        <v>80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5</v>
      </c>
      <c r="D25" s="141">
        <v>2021</v>
      </c>
      <c r="E25" s="137">
        <f>submetering!E25+submetering!F25+submetering!G25</f>
        <v>9719</v>
      </c>
      <c r="F25" s="134">
        <v>1.05</v>
      </c>
      <c r="G25" s="134">
        <f>'Consommation mensuel énergie'!V34</f>
        <v>319.99209999999999</v>
      </c>
      <c r="H25" s="134">
        <v>8.6999999999999993</v>
      </c>
      <c r="I25" s="134">
        <f>'Consommation mensuel énergie'!F33</f>
        <v>71</v>
      </c>
      <c r="J25" s="134">
        <v>11.4</v>
      </c>
      <c r="K25" s="137">
        <f>'Consommation mensuel énergie'!D33</f>
        <v>49</v>
      </c>
      <c r="L25" s="137">
        <f>'Consommation mensuel énergie'!E33</f>
        <v>69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5</v>
      </c>
      <c r="D26" s="141">
        <v>2021</v>
      </c>
      <c r="E26" s="137">
        <f>submetering!E26+submetering!F26+submetering!G26</f>
        <v>11814</v>
      </c>
      <c r="F26" s="134">
        <v>1.05</v>
      </c>
      <c r="G26" s="134">
        <f>'Consommation mensuel énergie'!V35</f>
        <v>223.99447000000001</v>
      </c>
      <c r="H26" s="134">
        <v>8.6999999999999993</v>
      </c>
      <c r="I26" s="134">
        <f>'Consommation mensuel énergie'!F34</f>
        <v>80.899999999994179</v>
      </c>
      <c r="J26" s="134">
        <v>11.4</v>
      </c>
      <c r="K26" s="137">
        <f>'Consommation mensuel énergie'!D34</f>
        <v>52</v>
      </c>
      <c r="L26" s="137">
        <f>'Consommation mensuel énergie'!E34</f>
        <v>73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2" si="1">B26+1</f>
        <v>26</v>
      </c>
      <c r="C27" s="140">
        <v>5</v>
      </c>
      <c r="D27" s="141">
        <v>2021</v>
      </c>
      <c r="E27" s="137">
        <f>submetering!E27+submetering!F27+submetering!G27</f>
        <v>7972</v>
      </c>
      <c r="F27" s="134">
        <v>1.05</v>
      </c>
      <c r="G27" s="134">
        <f>'Consommation mensuel énergie'!V36</f>
        <v>0</v>
      </c>
      <c r="H27" s="134">
        <v>8.6999999999999993</v>
      </c>
      <c r="I27" s="134">
        <f>'Consommation mensuel énergie'!F35</f>
        <v>99.700000000011642</v>
      </c>
      <c r="J27" s="134">
        <v>11.4</v>
      </c>
      <c r="K27" s="137">
        <f>'Consommation mensuel énergie'!D35</f>
        <v>54</v>
      </c>
      <c r="L27" s="137">
        <f>'Consommation mensuel énergie'!E35</f>
        <v>57</v>
      </c>
      <c r="M27" s="133"/>
    </row>
    <row r="28" spans="1:13">
      <c r="A28" s="136" t="s">
        <v>13</v>
      </c>
      <c r="B28" s="140">
        <f t="shared" si="1"/>
        <v>27</v>
      </c>
      <c r="C28" s="140">
        <v>5</v>
      </c>
      <c r="D28" s="141">
        <v>2021</v>
      </c>
      <c r="E28" s="137">
        <f>submetering!E28+submetering!F28+submetering!G28</f>
        <v>10080</v>
      </c>
      <c r="F28" s="134">
        <v>1.05</v>
      </c>
      <c r="G28" s="134">
        <f>'Consommation mensuel énergie'!V40</f>
        <v>0</v>
      </c>
      <c r="H28" s="134">
        <v>8.6999999999999993</v>
      </c>
      <c r="I28" s="134">
        <f>'Consommation mensuel énergie'!F36</f>
        <v>78.69999999999709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5</v>
      </c>
      <c r="D29" s="141">
        <v>2021</v>
      </c>
      <c r="E29" s="137">
        <f>submetering!E29+submetering!F29+submetering!G29</f>
        <v>0</v>
      </c>
      <c r="F29" s="134">
        <v>1.05</v>
      </c>
      <c r="G29" s="134">
        <f>'Consommation mensuel énergie'!V41</f>
        <v>7765.5512100000014</v>
      </c>
      <c r="H29" s="134">
        <v>8.6999999999999993</v>
      </c>
      <c r="I29" s="134">
        <f>'Consommation mensuel énergie'!F37</f>
        <v>0</v>
      </c>
      <c r="J29" s="134">
        <v>11.4</v>
      </c>
      <c r="K29" s="137">
        <f>'Consommation mensuel énergie'!D40</f>
        <v>0</v>
      </c>
      <c r="L29" s="137">
        <f>'Consommation mensuel énergie'!E40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5</v>
      </c>
      <c r="D30" s="141">
        <v>2021</v>
      </c>
      <c r="E30" s="137">
        <f>submetering!E30+submetering!F30+submetering!G30</f>
        <v>0</v>
      </c>
      <c r="F30" s="134">
        <v>1.05</v>
      </c>
      <c r="G30" s="134">
        <f>'Consommation mensuel énergie'!V42</f>
        <v>0</v>
      </c>
      <c r="H30" s="134">
        <v>8.6999999999999993</v>
      </c>
      <c r="I30" s="134">
        <f>'Consommation mensuel énergie'!F38</f>
        <v>0</v>
      </c>
      <c r="J30" s="134">
        <v>11.4</v>
      </c>
      <c r="K30" s="137">
        <f>'Consommation mensuel énergie'!D41</f>
        <v>755</v>
      </c>
      <c r="L30" s="137">
        <f>'Consommation mensuel énergie'!E41</f>
        <v>1104</v>
      </c>
      <c r="M30" s="133" t="e">
        <f>E30*F30+G30*H30+#REF!*#REF!+I30*J30</f>
        <v>#REF!</v>
      </c>
    </row>
    <row r="31" spans="1:13">
      <c r="A31" s="136" t="s">
        <v>13</v>
      </c>
      <c r="B31" s="140">
        <f t="shared" si="1"/>
        <v>30</v>
      </c>
      <c r="C31" s="140">
        <v>5</v>
      </c>
      <c r="D31" s="141">
        <v>2021</v>
      </c>
      <c r="E31" s="137">
        <f>submetering!E32+submetering!F32+submetering!G32</f>
        <v>0</v>
      </c>
      <c r="F31" s="134">
        <v>1.05</v>
      </c>
      <c r="G31" s="134">
        <f>'Consommation mensuel énergie'!V43</f>
        <v>0</v>
      </c>
      <c r="H31" s="134">
        <v>8.6999999999999993</v>
      </c>
      <c r="I31" s="134">
        <f>'Consommation mensuel énergie'!F39</f>
        <v>0</v>
      </c>
      <c r="J31" s="134">
        <v>11.4</v>
      </c>
      <c r="K31" s="137">
        <f>'Consommation mensuel énergie'!D42</f>
        <v>0</v>
      </c>
      <c r="L31" s="137">
        <f>'Consommation mensuel énergie'!E42</f>
        <v>0</v>
      </c>
      <c r="M31" s="133"/>
    </row>
    <row r="32" spans="1:13">
      <c r="A32" s="136" t="s">
        <v>13</v>
      </c>
      <c r="B32" s="140">
        <f t="shared" si="1"/>
        <v>31</v>
      </c>
      <c r="C32" s="140">
        <v>5</v>
      </c>
      <c r="D32" s="141">
        <v>2021</v>
      </c>
      <c r="E32" s="137">
        <f>submetering!E33+submetering!F33+submetering!G33</f>
        <v>0</v>
      </c>
      <c r="F32" s="134">
        <v>1.05</v>
      </c>
      <c r="G32" s="134">
        <f>'Consommation mensuel énergie'!V44</f>
        <v>0</v>
      </c>
      <c r="H32" s="134">
        <v>8.6999999999999993</v>
      </c>
      <c r="I32" s="134">
        <f>'Consommation mensuel énergie'!F40</f>
        <v>0</v>
      </c>
      <c r="J32" s="134">
        <v>11.4</v>
      </c>
      <c r="K32" s="137">
        <f>'Consommation mensuel énergie'!D43</f>
        <v>0</v>
      </c>
      <c r="L32" s="137">
        <f>'Consommation mensuel énergie'!E43</f>
        <v>0</v>
      </c>
      <c r="M32" s="133" t="e">
        <f>E32*F32+G32*H32+#REF!*#REF!+I32*J32</f>
        <v>#REF!</v>
      </c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A34" s="136"/>
      <c r="F34" s="134"/>
      <c r="G34" s="134"/>
      <c r="H34" s="134"/>
      <c r="I34" s="134"/>
      <c r="J34" s="134"/>
      <c r="M34" s="133"/>
    </row>
    <row r="35" spans="1:13">
      <c r="F35" s="134"/>
      <c r="G35" s="134"/>
      <c r="H35" s="134"/>
      <c r="I35" s="134"/>
      <c r="J35" s="134"/>
    </row>
    <row r="36" spans="1:13">
      <c r="F36" s="134"/>
      <c r="G36" s="134"/>
      <c r="H36" s="134"/>
      <c r="I36" s="134"/>
      <c r="J36" s="134"/>
    </row>
    <row r="37" spans="1:13">
      <c r="F37" s="134"/>
      <c r="G37" s="134"/>
      <c r="H37" s="134"/>
      <c r="I37" s="134"/>
      <c r="J37" s="134"/>
    </row>
    <row r="38" spans="1:13">
      <c r="F38" s="134"/>
      <c r="G38" s="134"/>
      <c r="H38" s="134"/>
      <c r="I38" s="134"/>
      <c r="J38" s="134"/>
    </row>
    <row r="39" spans="1:13">
      <c r="F39" s="134"/>
      <c r="G39" s="134"/>
      <c r="H39" s="134"/>
      <c r="I39" s="134"/>
      <c r="J39" s="134"/>
    </row>
    <row r="40" spans="1:13">
      <c r="F40" s="134"/>
      <c r="G40" s="134"/>
      <c r="H40" s="134"/>
      <c r="I40" s="134"/>
      <c r="J40" s="134"/>
    </row>
    <row r="41" spans="1:13">
      <c r="F41" s="134"/>
      <c r="G41" s="134"/>
      <c r="H41" s="134"/>
      <c r="I41" s="134"/>
      <c r="J41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workbookViewId="0">
      <selection activeCell="G14" sqref="G14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5</v>
      </c>
      <c r="D2" s="141">
        <v>2021</v>
      </c>
      <c r="E2" s="137">
        <f>'Consommation mensuel énergie'!L10</f>
        <v>2179</v>
      </c>
      <c r="F2" s="137">
        <f>'Consommation mensuel énergie'!M10</f>
        <v>4209</v>
      </c>
      <c r="G2" s="137">
        <f>'Consommation mensuel énergie'!N10</f>
        <v>1751</v>
      </c>
      <c r="H2" s="137">
        <f>'Consommation mensuel énergie'!D10</f>
        <v>36</v>
      </c>
      <c r="I2" s="137">
        <f>'Consommation mensuel énergie'!E10</f>
        <v>62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5</v>
      </c>
      <c r="D3" s="141">
        <v>2021</v>
      </c>
      <c r="E3" s="137">
        <f>'Consommation mensuel énergie'!L11</f>
        <v>2110</v>
      </c>
      <c r="F3" s="137">
        <f>'Consommation mensuel énergie'!M11</f>
        <v>4163</v>
      </c>
      <c r="G3" s="137">
        <f>'Consommation mensuel énergie'!N14</f>
        <v>1722</v>
      </c>
      <c r="H3" s="137">
        <f>'Consommation mensuel énergie'!D11</f>
        <v>24</v>
      </c>
      <c r="I3" s="137">
        <f>'Consommation mensuel énergie'!E11</f>
        <v>37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5</v>
      </c>
      <c r="D4" s="141">
        <v>2021</v>
      </c>
      <c r="E4" s="137">
        <f>'Consommation mensuel énergie'!L12</f>
        <v>2140</v>
      </c>
      <c r="F4" s="137">
        <f>'Consommation mensuel énergie'!M12</f>
        <v>4363</v>
      </c>
      <c r="G4" s="137">
        <f>'Consommation mensuel énergie'!N12</f>
        <v>1702</v>
      </c>
      <c r="H4" s="137">
        <f>'Consommation mensuel énergie'!D12</f>
        <v>10</v>
      </c>
      <c r="I4" s="137">
        <f>'Consommation mensuel énergie'!E12</f>
        <v>20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5</v>
      </c>
      <c r="D5" s="141">
        <v>2021</v>
      </c>
      <c r="E5" s="137">
        <f>'Consommation mensuel énergie'!L13</f>
        <v>2305</v>
      </c>
      <c r="F5" s="137">
        <f>'Consommation mensuel énergie'!M13</f>
        <v>4560</v>
      </c>
      <c r="G5" s="137">
        <f>'Consommation mensuel énergie'!N13</f>
        <v>1593</v>
      </c>
      <c r="H5" s="137">
        <f>'Consommation mensuel énergie'!D13</f>
        <v>7</v>
      </c>
      <c r="I5" s="137">
        <f>'Consommation mensuel énergie'!E13</f>
        <v>12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5</v>
      </c>
      <c r="D6" s="141">
        <v>2021</v>
      </c>
      <c r="E6" s="137">
        <f>'Consommation mensuel énergie'!L14</f>
        <v>2272</v>
      </c>
      <c r="F6" s="137">
        <f>'Consommation mensuel énergie'!M14</f>
        <v>4652</v>
      </c>
      <c r="G6" s="137">
        <f>'Consommation mensuel énergie'!N14</f>
        <v>1722</v>
      </c>
      <c r="H6" s="137">
        <f>'Consommation mensuel énergie'!D14</f>
        <v>31</v>
      </c>
      <c r="I6" s="137">
        <f>'Consommation mensuel énergie'!E14</f>
        <v>41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5</v>
      </c>
      <c r="D7" s="141">
        <v>2021</v>
      </c>
      <c r="E7" s="137">
        <f>'Consommation mensuel énergie'!L15</f>
        <v>2540</v>
      </c>
      <c r="F7" s="137">
        <f>'Consommation mensuel énergie'!M15</f>
        <v>4525</v>
      </c>
      <c r="G7" s="137">
        <f>'Consommation mensuel énergie'!N15</f>
        <v>1752</v>
      </c>
      <c r="H7" s="137">
        <f>'Consommation mensuel énergie'!D15</f>
        <v>24</v>
      </c>
      <c r="I7" s="137">
        <f>'Consommation mensuel énergie'!E15</f>
        <v>32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5</v>
      </c>
      <c r="D8" s="141">
        <v>2021</v>
      </c>
      <c r="E8" s="137">
        <f>'Consommation mensuel énergie'!L16</f>
        <v>2189</v>
      </c>
      <c r="F8" s="137">
        <f>'Consommation mensuel énergie'!M16</f>
        <v>5081</v>
      </c>
      <c r="G8" s="137">
        <f>'Consommation mensuel énergie'!N16</f>
        <v>1862</v>
      </c>
      <c r="H8" s="137">
        <f>'Consommation mensuel énergie'!D16</f>
        <v>21</v>
      </c>
      <c r="I8" s="137">
        <f>'Consommation mensuel énergie'!E16</f>
        <v>27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5</v>
      </c>
      <c r="D9" s="141">
        <v>2021</v>
      </c>
      <c r="E9" s="137">
        <f>'Consommation mensuel énergie'!L17</f>
        <v>2405</v>
      </c>
      <c r="F9" s="137">
        <f>'Consommation mensuel énergie'!M17</f>
        <v>5123</v>
      </c>
      <c r="G9" s="137">
        <f>'Consommation mensuel énergie'!N17</f>
        <v>1899</v>
      </c>
      <c r="H9" s="137">
        <f>'Consommation mensuel énergie'!D17</f>
        <v>11</v>
      </c>
      <c r="I9" s="137">
        <f>'Consommation mensuel énergie'!E17</f>
        <v>18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5</v>
      </c>
      <c r="D10" s="141">
        <v>2021</v>
      </c>
      <c r="E10" s="137">
        <f>'Consommation mensuel énergie'!L18</f>
        <v>2361</v>
      </c>
      <c r="F10" s="137">
        <f>'Consommation mensuel énergie'!M18</f>
        <v>4690</v>
      </c>
      <c r="G10" s="137">
        <f>'Consommation mensuel énergie'!N18</f>
        <v>2032</v>
      </c>
      <c r="H10" s="137">
        <f>'Consommation mensuel énergie'!D18</f>
        <v>22</v>
      </c>
      <c r="I10" s="137">
        <f>'Consommation mensuel énergie'!E18</f>
        <v>39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5</v>
      </c>
      <c r="D11" s="141">
        <v>2021</v>
      </c>
      <c r="E11" s="137">
        <f>'Consommation mensuel énergie'!L19</f>
        <v>2018</v>
      </c>
      <c r="F11" s="137">
        <f>'Consommation mensuel énergie'!M19</f>
        <v>3884</v>
      </c>
      <c r="G11" s="137">
        <f>'Consommation mensuel énergie'!N19</f>
        <v>1697</v>
      </c>
      <c r="H11" s="137">
        <f>'Consommation mensuel énergie'!D19</f>
        <v>18</v>
      </c>
      <c r="I11" s="137">
        <f>'Consommation mensuel énergie'!E19</f>
        <v>28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5</v>
      </c>
      <c r="D12" s="141">
        <v>2021</v>
      </c>
      <c r="E12" s="137">
        <f>'Consommation mensuel énergie'!L20</f>
        <v>2509</v>
      </c>
      <c r="F12" s="137">
        <f>'Consommation mensuel énergie'!M20</f>
        <v>3408</v>
      </c>
      <c r="G12" s="137">
        <f>'Consommation mensuel énergie'!N20</f>
        <v>1981</v>
      </c>
      <c r="H12" s="137">
        <f>'Consommation mensuel énergie'!D20</f>
        <v>14</v>
      </c>
      <c r="I12" s="137">
        <f>'Consommation mensuel énergie'!E20</f>
        <v>31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5</v>
      </c>
      <c r="D13" s="141">
        <v>2021</v>
      </c>
      <c r="E13" s="137">
        <f>'Consommation mensuel énergie'!L21</f>
        <v>2352</v>
      </c>
      <c r="F13" s="137">
        <f>'Consommation mensuel énergie'!M21</f>
        <v>4549</v>
      </c>
      <c r="G13" s="137">
        <f>'Consommation mensuel énergie'!N21</f>
        <v>1732</v>
      </c>
      <c r="H13" s="137">
        <f>'Consommation mensuel énergie'!D21</f>
        <v>15</v>
      </c>
      <c r="I13" s="137">
        <f>'Consommation mensuel énergie'!E21</f>
        <v>33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5</v>
      </c>
      <c r="D14" s="141">
        <v>2021</v>
      </c>
      <c r="E14" s="137">
        <f>'Consommation mensuel énergie'!L22</f>
        <v>1813</v>
      </c>
      <c r="F14" s="137">
        <f>'Consommation mensuel énergie'!M22</f>
        <v>4432</v>
      </c>
      <c r="G14" s="137">
        <f>'Consommation mensuel énergie'!N22</f>
        <v>1673</v>
      </c>
      <c r="H14" s="137">
        <f>'Consommation mensuel énergie'!D22</f>
        <v>18</v>
      </c>
      <c r="I14" s="137">
        <f>'Consommation mensuel énergie'!E22</f>
        <v>35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5</v>
      </c>
      <c r="D15" s="141">
        <v>2021</v>
      </c>
      <c r="E15" s="137">
        <f>'Consommation mensuel énergie'!L23</f>
        <v>2409</v>
      </c>
      <c r="F15" s="137">
        <f>'Consommation mensuel énergie'!M23</f>
        <v>4657</v>
      </c>
      <c r="G15" s="137">
        <f>'Consommation mensuel énergie'!N23</f>
        <v>1927</v>
      </c>
      <c r="H15" s="137">
        <f>'Consommation mensuel énergie'!D23</f>
        <v>13</v>
      </c>
      <c r="I15" s="137">
        <f>'Consommation mensuel énergie'!E23</f>
        <v>26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5</v>
      </c>
      <c r="D16" s="141">
        <v>2021</v>
      </c>
      <c r="E16" s="137">
        <f>'Consommation mensuel énergie'!L24</f>
        <v>2046</v>
      </c>
      <c r="F16" s="137">
        <f>'Consommation mensuel énergie'!M24</f>
        <v>4540</v>
      </c>
      <c r="G16" s="137">
        <f>'Consommation mensuel énergie'!N24</f>
        <v>1936</v>
      </c>
      <c r="H16" s="137">
        <f>'Consommation mensuel énergie'!D24</f>
        <v>18</v>
      </c>
      <c r="I16" s="137">
        <f>'Consommation mensuel énergie'!E24</f>
        <v>35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5</v>
      </c>
      <c r="D17" s="141">
        <v>2021</v>
      </c>
      <c r="E17" s="137">
        <f>'Consommation mensuel énergie'!L25</f>
        <v>2002</v>
      </c>
      <c r="F17" s="137">
        <f>'Consommation mensuel énergie'!M25</f>
        <v>4495</v>
      </c>
      <c r="G17" s="137">
        <f>'Consommation mensuel énergie'!N25</f>
        <v>1812</v>
      </c>
      <c r="H17" s="137">
        <f>'Consommation mensuel énergie'!D25</f>
        <v>14</v>
      </c>
      <c r="I17" s="137">
        <f>'Consommation mensuel énergie'!E25</f>
        <v>20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5</v>
      </c>
      <c r="D18" s="141">
        <v>2021</v>
      </c>
      <c r="E18" s="137">
        <f>'Consommation mensuel énergie'!L26</f>
        <v>2228</v>
      </c>
      <c r="F18" s="137">
        <f>'Consommation mensuel énergie'!M26</f>
        <v>5209</v>
      </c>
      <c r="G18" s="137">
        <f>'Consommation mensuel énergie'!N26</f>
        <v>1784</v>
      </c>
      <c r="H18" s="137">
        <f>'Consommation mensuel énergie'!D26</f>
        <v>14</v>
      </c>
      <c r="I18" s="137">
        <f>'Consommation mensuel énergie'!E26</f>
        <v>23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5</v>
      </c>
      <c r="D19" s="141">
        <v>2021</v>
      </c>
      <c r="E19" s="137">
        <f>'Consommation mensuel énergie'!L27</f>
        <v>2321</v>
      </c>
      <c r="F19" s="137">
        <f>'Consommation mensuel énergie'!M27</f>
        <v>4284</v>
      </c>
      <c r="G19" s="137">
        <f>'Consommation mensuel énergie'!N27</f>
        <v>1945</v>
      </c>
      <c r="H19" s="137">
        <f>'Consommation mensuel énergie'!D27</f>
        <v>19</v>
      </c>
      <c r="I19" s="137">
        <f>'Consommation mensuel énergie'!E27</f>
        <v>33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5</v>
      </c>
      <c r="D20" s="141">
        <v>2021</v>
      </c>
      <c r="E20" s="137">
        <f>'Consommation mensuel énergie'!L28</f>
        <v>2579</v>
      </c>
      <c r="F20" s="137">
        <f>'Consommation mensuel énergie'!M28</f>
        <v>5006</v>
      </c>
      <c r="G20" s="137">
        <f>'Consommation mensuel énergie'!N28</f>
        <v>1819</v>
      </c>
      <c r="H20" s="137">
        <f>'Consommation mensuel énergie'!D28</f>
        <v>23</v>
      </c>
      <c r="I20" s="137">
        <f>'Consommation mensuel énergie'!E28</f>
        <v>38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5</v>
      </c>
      <c r="D21" s="141">
        <v>2021</v>
      </c>
      <c r="E21" s="137">
        <f>'Consommation mensuel énergie'!L29</f>
        <v>2272</v>
      </c>
      <c r="F21" s="137">
        <f>'Consommation mensuel énergie'!M29</f>
        <v>5410</v>
      </c>
      <c r="G21" s="137">
        <f>'Consommation mensuel énergie'!N29</f>
        <v>1945</v>
      </c>
      <c r="H21" s="137">
        <f>'Consommation mensuel énergie'!D29</f>
        <v>40</v>
      </c>
      <c r="I21" s="137">
        <f>'Consommation mensuel énergie'!E29</f>
        <v>50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5</v>
      </c>
      <c r="D22" s="141">
        <v>2021</v>
      </c>
      <c r="E22" s="137">
        <f>'Consommation mensuel énergie'!L30</f>
        <v>2784</v>
      </c>
      <c r="F22" s="137">
        <f>'Consommation mensuel énergie'!M30</f>
        <v>5527</v>
      </c>
      <c r="G22" s="137">
        <f>'Consommation mensuel énergie'!N30</f>
        <v>1970</v>
      </c>
      <c r="H22" s="137">
        <f>'Consommation mensuel énergie'!D30</f>
        <v>69</v>
      </c>
      <c r="I22" s="137">
        <f>'Consommation mensuel énergie'!E30</f>
        <v>76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5</v>
      </c>
      <c r="D23" s="141">
        <v>2021</v>
      </c>
      <c r="E23" s="137">
        <f>'Consommation mensuel énergie'!L31</f>
        <v>2613</v>
      </c>
      <c r="F23" s="137">
        <f>'Consommation mensuel énergie'!M31</f>
        <v>5902</v>
      </c>
      <c r="G23" s="137">
        <f>'Consommation mensuel énergie'!N31</f>
        <v>2369</v>
      </c>
      <c r="H23" s="137">
        <f>'Consommation mensuel énergie'!D31</f>
        <v>78</v>
      </c>
      <c r="I23" s="137">
        <f>'Consommation mensuel énergie'!E31</f>
        <v>109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5</v>
      </c>
      <c r="D24" s="141">
        <v>2021</v>
      </c>
      <c r="E24" s="137">
        <f>'Consommation mensuel énergie'!L32</f>
        <v>3229</v>
      </c>
      <c r="F24" s="137">
        <f>'Consommation mensuel énergie'!M32</f>
        <v>5717</v>
      </c>
      <c r="G24" s="137">
        <f>'Consommation mensuel énergie'!N32</f>
        <v>3096</v>
      </c>
      <c r="H24" s="137">
        <f>'Consommation mensuel énergie'!D32</f>
        <v>61</v>
      </c>
      <c r="I24" s="137">
        <f>'Consommation mensuel énergie'!E32</f>
        <v>80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5</v>
      </c>
      <c r="D25" s="141">
        <v>2021</v>
      </c>
      <c r="E25" s="137">
        <f>'Consommation mensuel énergie'!L33</f>
        <v>2697</v>
      </c>
      <c r="F25" s="137">
        <f>'Consommation mensuel énergie'!M33</f>
        <v>5437</v>
      </c>
      <c r="G25" s="137">
        <f>'Consommation mensuel énergie'!N33</f>
        <v>1585</v>
      </c>
      <c r="H25" s="137">
        <f>'Consommation mensuel énergie'!D33</f>
        <v>49</v>
      </c>
      <c r="I25" s="137">
        <f>'Consommation mensuel énergie'!E33</f>
        <v>69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5</v>
      </c>
      <c r="D26" s="141">
        <v>2021</v>
      </c>
      <c r="E26" s="137">
        <f>'Consommation mensuel énergie'!L34</f>
        <v>2337</v>
      </c>
      <c r="F26" s="137">
        <f>'Consommation mensuel énergie'!M34</f>
        <v>5440</v>
      </c>
      <c r="G26" s="137">
        <f>'Consommation mensuel énergie'!N34</f>
        <v>4037</v>
      </c>
      <c r="H26" s="137">
        <f>'Consommation mensuel énergie'!D34</f>
        <v>52</v>
      </c>
      <c r="I26" s="137">
        <f>'Consommation mensuel énergie'!E34</f>
        <v>73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2" si="1">B26+1</f>
        <v>26</v>
      </c>
      <c r="C27" s="140">
        <v>5</v>
      </c>
      <c r="D27" s="141">
        <v>2021</v>
      </c>
      <c r="E27" s="137">
        <f>'Consommation mensuel énergie'!L35</f>
        <v>2340</v>
      </c>
      <c r="F27" s="137">
        <f>'Consommation mensuel énergie'!M35</f>
        <v>5517</v>
      </c>
      <c r="G27" s="137">
        <f>'Consommation mensuel énergie'!N35</f>
        <v>115</v>
      </c>
      <c r="H27" s="137">
        <f>'Consommation mensuel énergie'!D35</f>
        <v>54</v>
      </c>
      <c r="I27" s="137">
        <f>'Consommation mensuel énergie'!E35</f>
        <v>57</v>
      </c>
      <c r="J27" s="133"/>
    </row>
    <row r="28" spans="1:10">
      <c r="A28" s="136" t="s">
        <v>13</v>
      </c>
      <c r="B28" s="140">
        <f t="shared" si="1"/>
        <v>27</v>
      </c>
      <c r="C28" s="140">
        <v>5</v>
      </c>
      <c r="D28" s="141">
        <v>2021</v>
      </c>
      <c r="E28" s="137">
        <f>'Consommation mensuel énergie'!L36</f>
        <v>2832</v>
      </c>
      <c r="F28" s="137">
        <f>'Consommation mensuel énergie'!M36</f>
        <v>5247</v>
      </c>
      <c r="G28" s="137">
        <f>'Consommation mensuel énergie'!N36</f>
        <v>2001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5</v>
      </c>
      <c r="D29" s="141">
        <v>2021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5</v>
      </c>
      <c r="D30" s="141">
        <v>2021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 t="e">
        <f>E30*F30+G30*#REF!+#REF!*#REF!+#REF!*#REF!</f>
        <v>#REF!</v>
      </c>
    </row>
    <row r="31" spans="1:10">
      <c r="A31" s="136" t="s">
        <v>13</v>
      </c>
      <c r="B31" s="140">
        <f t="shared" si="1"/>
        <v>30</v>
      </c>
      <c r="C31" s="140">
        <v>5</v>
      </c>
      <c r="D31" s="141">
        <v>2021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énergie'!D39</f>
        <v>0</v>
      </c>
      <c r="I31" s="137">
        <f>'Consommation mensuel énergie'!E39</f>
        <v>0</v>
      </c>
      <c r="J31" s="133"/>
    </row>
    <row r="32" spans="1:10">
      <c r="A32" s="136" t="s">
        <v>13</v>
      </c>
      <c r="B32" s="140">
        <f t="shared" si="1"/>
        <v>31</v>
      </c>
      <c r="C32" s="140">
        <v>5</v>
      </c>
      <c r="D32" s="141">
        <v>2021</v>
      </c>
      <c r="E32" s="137">
        <f>'Consommation mensuel énergie'!L40</f>
        <v>0</v>
      </c>
      <c r="F32" s="137">
        <f>'Consommation mensuel énergie'!M40</f>
        <v>0</v>
      </c>
      <c r="G32" s="137">
        <f>'Consommation mensuel énergie'!N40</f>
        <v>0</v>
      </c>
      <c r="H32" s="137">
        <f>'Consommation mensuel énergie'!D40</f>
        <v>0</v>
      </c>
      <c r="I32" s="137">
        <f>'Consommation mensuel énergie'!E40</f>
        <v>0</v>
      </c>
      <c r="J32" s="133" t="e">
        <f>E32*F32+G32*#REF!+#REF!*#REF!+#REF!*#REF!</f>
        <v>#REF!</v>
      </c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  <row r="37" spans="5:9">
      <c r="E37" s="134"/>
      <c r="F37" s="134"/>
      <c r="G37" s="134"/>
      <c r="H37" s="133"/>
      <c r="I37" s="133"/>
    </row>
    <row r="38" spans="5:9">
      <c r="E38" s="134"/>
      <c r="F38" s="134"/>
      <c r="G38" s="134"/>
      <c r="H38" s="133"/>
      <c r="I38" s="133"/>
    </row>
    <row r="39" spans="5:9">
      <c r="E39" s="134"/>
      <c r="F39" s="134"/>
      <c r="G39" s="134"/>
      <c r="H39" s="133"/>
      <c r="I39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tabSelected="1" zoomScale="55" zoomScaleNormal="55" workbookViewId="0">
      <pane xSplit="3" ySplit="9" topLeftCell="D34" activePane="bottomRight" state="frozen"/>
      <selection pane="bottomRight" activeCell="N35" sqref="N35:N36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182"/>
      <c r="B2" s="183"/>
      <c r="C2" s="183"/>
      <c r="D2" s="183"/>
      <c r="E2" s="183"/>
      <c r="F2" s="183"/>
      <c r="G2" s="183"/>
      <c r="H2" s="184"/>
      <c r="I2" s="193" t="s">
        <v>17</v>
      </c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</row>
    <row r="3" spans="1:24" ht="15" hidden="1" customHeight="1" thickBot="1"/>
    <row r="4" spans="1:24" ht="39" hidden="1" customHeight="1" thickBot="1">
      <c r="A4" s="185"/>
      <c r="B4" s="185"/>
      <c r="C4" s="185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185"/>
      <c r="B5" s="185"/>
      <c r="C5" s="185"/>
      <c r="D5" s="5"/>
      <c r="E5" s="5"/>
      <c r="F5" s="5"/>
      <c r="G5" s="5"/>
      <c r="H5" s="5"/>
      <c r="I5" s="5"/>
      <c r="J5" s="5"/>
      <c r="K5" s="5"/>
      <c r="L5" s="5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</row>
    <row r="6" spans="1:24" s="5" customFormat="1" ht="44.25" hidden="1" customHeight="1" thickBot="1">
      <c r="A6" s="3"/>
      <c r="B6" s="3"/>
      <c r="C6" s="3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</row>
    <row r="7" spans="1:24" s="5" customFormat="1" ht="18.75" hidden="1" customHeight="1" thickBot="1">
      <c r="F7" s="186"/>
      <c r="G7" s="186"/>
      <c r="H7" s="186"/>
      <c r="I7" s="186"/>
      <c r="J7" s="186"/>
      <c r="K7" s="186"/>
      <c r="L7" s="186"/>
      <c r="M7" s="186"/>
      <c r="N7" s="195"/>
      <c r="O7" s="195"/>
      <c r="P7" s="186"/>
      <c r="Q7" s="186"/>
      <c r="R7" s="186"/>
      <c r="S7" s="186"/>
      <c r="T7" s="186"/>
      <c r="U7" s="186"/>
      <c r="V7" s="186"/>
      <c r="W7" s="186"/>
      <c r="X7" s="186"/>
    </row>
    <row r="8" spans="1:24" ht="18.75" customHeight="1" thickBot="1">
      <c r="A8" s="186"/>
      <c r="B8" s="197" t="s">
        <v>19</v>
      </c>
      <c r="C8" s="4"/>
      <c r="D8" s="198" t="s">
        <v>20</v>
      </c>
      <c r="E8" s="198" t="s">
        <v>21</v>
      </c>
      <c r="F8" s="178" t="s">
        <v>22</v>
      </c>
      <c r="G8" s="2"/>
      <c r="H8" s="187" t="s">
        <v>23</v>
      </c>
      <c r="I8" s="188"/>
      <c r="J8" s="189"/>
      <c r="K8" s="180" t="s">
        <v>24</v>
      </c>
      <c r="L8" s="177" t="s">
        <v>25</v>
      </c>
      <c r="M8" s="177"/>
      <c r="N8" s="177"/>
      <c r="O8" s="177" t="s">
        <v>26</v>
      </c>
      <c r="P8" s="2"/>
      <c r="Q8" s="175" t="s">
        <v>23</v>
      </c>
      <c r="R8" s="2"/>
      <c r="S8" s="175" t="s">
        <v>27</v>
      </c>
      <c r="T8" s="2"/>
      <c r="U8" s="175" t="s">
        <v>28</v>
      </c>
      <c r="V8" s="200" t="s">
        <v>29</v>
      </c>
      <c r="W8" s="2"/>
      <c r="X8" s="175" t="s">
        <v>23</v>
      </c>
    </row>
    <row r="9" spans="1:24" ht="59.25" customHeight="1" thickBot="1">
      <c r="A9" s="186"/>
      <c r="B9" s="197"/>
      <c r="C9" s="4"/>
      <c r="D9" s="199"/>
      <c r="E9" s="199"/>
      <c r="F9" s="179"/>
      <c r="G9" s="2"/>
      <c r="H9" s="190"/>
      <c r="I9" s="191"/>
      <c r="J9" s="192"/>
      <c r="K9" s="181"/>
      <c r="L9" s="163" t="s">
        <v>30</v>
      </c>
      <c r="M9" s="163" t="s">
        <v>31</v>
      </c>
      <c r="N9" s="163" t="s">
        <v>32</v>
      </c>
      <c r="O9" s="196"/>
      <c r="P9" s="2"/>
      <c r="Q9" s="176"/>
      <c r="R9" s="2"/>
      <c r="S9" s="176"/>
      <c r="T9" s="2"/>
      <c r="U9" s="176"/>
      <c r="V9" s="201"/>
      <c r="W9" s="2"/>
      <c r="X9" s="176"/>
    </row>
    <row r="10" spans="1:24" ht="32.25" customHeight="1">
      <c r="A10" s="2"/>
      <c r="B10" s="6">
        <v>44317</v>
      </c>
      <c r="C10" s="7"/>
      <c r="D10" s="143">
        <v>36</v>
      </c>
      <c r="E10" s="143">
        <v>62</v>
      </c>
      <c r="F10" s="13">
        <f>'Suivi EAU-ELEC'!E9</f>
        <v>39.80000000000291</v>
      </c>
      <c r="G10" s="11"/>
      <c r="H10" s="171">
        <f>F10*8.79</f>
        <v>349.84200000002556</v>
      </c>
      <c r="I10" s="172"/>
      <c r="J10" s="172"/>
      <c r="K10" s="60">
        <v>42278</v>
      </c>
      <c r="L10" s="90">
        <f>'Suivi EAU-ELEC'!G9</f>
        <v>2179</v>
      </c>
      <c r="M10" s="91">
        <f>'Suivi EAU-ELEC'!I9</f>
        <v>4209</v>
      </c>
      <c r="N10" s="91">
        <f>'Suivi EAU-ELEC'!K9</f>
        <v>1751</v>
      </c>
      <c r="O10" s="91">
        <f>L10+M10+N10</f>
        <v>8139</v>
      </c>
      <c r="P10" s="11"/>
      <c r="Q10" s="34">
        <f>L10*0.6985+M10*0.9514+N10*1.3304</f>
        <v>7856.0045000000009</v>
      </c>
      <c r="R10" s="11"/>
      <c r="S10" s="28"/>
      <c r="T10" s="11"/>
      <c r="U10" s="28"/>
      <c r="V10" s="147">
        <f>'Suvi Gaz'!O4</f>
        <v>259.21000000000004</v>
      </c>
      <c r="W10" s="11"/>
      <c r="X10" s="34">
        <f>V10*9.8209</f>
        <v>2545.6754890000002</v>
      </c>
    </row>
    <row r="11" spans="1:24" ht="32.25" customHeight="1">
      <c r="A11" s="2"/>
      <c r="B11" s="6">
        <v>44318</v>
      </c>
      <c r="C11" s="7"/>
      <c r="D11" s="143">
        <v>24</v>
      </c>
      <c r="E11" s="143">
        <v>37</v>
      </c>
      <c r="F11" s="13">
        <f>'Suivi EAU-ELEC'!E10</f>
        <v>55.400000000008731</v>
      </c>
      <c r="G11" s="11"/>
      <c r="H11" s="171">
        <f t="shared" ref="H11:H21" si="0">F11*8.79</f>
        <v>486.96600000007669</v>
      </c>
      <c r="I11" s="172"/>
      <c r="J11" s="172"/>
      <c r="K11" s="60">
        <v>42279</v>
      </c>
      <c r="L11" s="90">
        <f>'Suivi EAU-ELEC'!G10</f>
        <v>2110</v>
      </c>
      <c r="M11" s="91">
        <f>'Suivi EAU-ELEC'!I10</f>
        <v>4163</v>
      </c>
      <c r="N11" s="91">
        <f>'Suivi EAU-ELEC'!K10</f>
        <v>1825</v>
      </c>
      <c r="O11" s="91">
        <f>L11+M11+N11</f>
        <v>8098</v>
      </c>
      <c r="P11" s="11"/>
      <c r="Q11" s="34">
        <f>L11*0.6985+M11*0.9514+N14*1.3304</f>
        <v>7725.4620000000004</v>
      </c>
      <c r="R11" s="11"/>
      <c r="S11" s="28"/>
      <c r="T11" s="11"/>
      <c r="U11" s="28"/>
      <c r="V11" s="147">
        <f>'Suvi Gaz'!O5</f>
        <v>407.33000000000004</v>
      </c>
      <c r="W11" s="11"/>
      <c r="X11" s="34">
        <f t="shared" ref="X11:X40" si="1">V11*9.8209</f>
        <v>4000.3471970000005</v>
      </c>
    </row>
    <row r="12" spans="1:24" ht="32.25" customHeight="1">
      <c r="A12" s="2"/>
      <c r="B12" s="6">
        <v>44319</v>
      </c>
      <c r="C12" s="7"/>
      <c r="D12" s="143">
        <v>10</v>
      </c>
      <c r="E12" s="143">
        <v>20</v>
      </c>
      <c r="F12" s="13">
        <f>'Suivi EAU-ELEC'!E11</f>
        <v>45.099999999991269</v>
      </c>
      <c r="G12" s="11"/>
      <c r="H12" s="171">
        <f t="shared" si="0"/>
        <v>396.42899999992324</v>
      </c>
      <c r="I12" s="172"/>
      <c r="J12" s="172"/>
      <c r="K12" s="60">
        <v>42280</v>
      </c>
      <c r="L12" s="90">
        <f>'Suivi EAU-ELEC'!G11</f>
        <v>2140</v>
      </c>
      <c r="M12" s="91">
        <f>'Suivi EAU-ELEC'!I11</f>
        <v>4363</v>
      </c>
      <c r="N12" s="91">
        <f>'Suivi EAU-ELEC'!K11</f>
        <v>1702</v>
      </c>
      <c r="O12" s="91">
        <f>L12+M12+N12</f>
        <v>8205</v>
      </c>
      <c r="P12" s="11"/>
      <c r="Q12" s="34">
        <f>L12*0.6985+M12*0.9514+N12*1.3304</f>
        <v>7910.0889999999999</v>
      </c>
      <c r="R12" s="11"/>
      <c r="S12" s="28"/>
      <c r="T12" s="11"/>
      <c r="U12" s="28"/>
      <c r="V12" s="147">
        <f>'Suvi Gaz'!O6</f>
        <v>333.27000000000004</v>
      </c>
      <c r="W12" s="11"/>
      <c r="X12" s="34">
        <f t="shared" si="1"/>
        <v>3273.0113430000006</v>
      </c>
    </row>
    <row r="13" spans="1:24" ht="32.25" customHeight="1">
      <c r="A13" s="2"/>
      <c r="B13" s="6">
        <v>44320</v>
      </c>
      <c r="C13" s="7"/>
      <c r="D13" s="143">
        <v>7</v>
      </c>
      <c r="E13" s="143">
        <v>12</v>
      </c>
      <c r="F13" s="13">
        <f>'Suivi EAU-ELEC'!E12</f>
        <v>87.69999999999709</v>
      </c>
      <c r="G13" s="11"/>
      <c r="H13" s="171">
        <f t="shared" si="0"/>
        <v>770.88299999997434</v>
      </c>
      <c r="I13" s="172"/>
      <c r="J13" s="172"/>
      <c r="K13" s="60">
        <v>42281</v>
      </c>
      <c r="L13" s="90">
        <f>'Suivi EAU-ELEC'!G12</f>
        <v>2305</v>
      </c>
      <c r="M13" s="91">
        <f>'Suivi EAU-ELEC'!I12</f>
        <v>4560</v>
      </c>
      <c r="N13" s="91">
        <f>'Suivi EAU-ELEC'!K12</f>
        <v>1593</v>
      </c>
      <c r="O13" s="91">
        <f t="shared" ref="O13:O40" si="2">L13+M13+N13</f>
        <v>8458</v>
      </c>
      <c r="P13" s="11"/>
      <c r="Q13" s="34">
        <f t="shared" ref="Q13:Q40" si="3">L13*0.6985+M13*0.9514+N13*1.3304</f>
        <v>8067.7536999999993</v>
      </c>
      <c r="R13" s="11"/>
      <c r="S13" s="28"/>
      <c r="T13" s="11"/>
      <c r="U13" s="28"/>
      <c r="V13" s="147">
        <f>'Suvi Gaz'!O7</f>
        <v>333.90000000000003</v>
      </c>
      <c r="W13" s="11"/>
      <c r="X13" s="34">
        <f t="shared" si="1"/>
        <v>3279.1985100000002</v>
      </c>
    </row>
    <row r="14" spans="1:24" ht="32.25" customHeight="1">
      <c r="A14" s="2"/>
      <c r="B14" s="6">
        <v>44321</v>
      </c>
      <c r="C14" s="7"/>
      <c r="D14" s="143">
        <v>31</v>
      </c>
      <c r="E14" s="143">
        <v>41</v>
      </c>
      <c r="F14" s="13">
        <f>'Suivi EAU-ELEC'!E13</f>
        <v>68.30000000000291</v>
      </c>
      <c r="G14" s="12"/>
      <c r="H14" s="171">
        <f t="shared" si="0"/>
        <v>600.35700000002555</v>
      </c>
      <c r="I14" s="172"/>
      <c r="J14" s="172"/>
      <c r="K14" s="60">
        <v>42282</v>
      </c>
      <c r="L14" s="90">
        <f>'Suivi EAU-ELEC'!G13</f>
        <v>2272</v>
      </c>
      <c r="M14" s="91">
        <f>'Suivi EAU-ELEC'!I13</f>
        <v>4652</v>
      </c>
      <c r="N14" s="91">
        <f>'Suivi EAU-ELEC'!K13</f>
        <v>1722</v>
      </c>
      <c r="O14" s="91">
        <f t="shared" si="2"/>
        <v>8646</v>
      </c>
      <c r="P14" s="12"/>
      <c r="Q14" s="34">
        <f t="shared" si="3"/>
        <v>8303.8536000000004</v>
      </c>
      <c r="R14" s="12"/>
      <c r="S14" s="28"/>
      <c r="T14" s="12"/>
      <c r="U14" s="28"/>
      <c r="V14" s="147">
        <f>'Suvi Gaz'!O8</f>
        <v>127.99684000000001</v>
      </c>
      <c r="W14" s="11"/>
      <c r="X14" s="34">
        <f t="shared" si="1"/>
        <v>1257.0441659560001</v>
      </c>
    </row>
    <row r="15" spans="1:24" ht="32.25" customHeight="1">
      <c r="A15" s="5"/>
      <c r="B15" s="6">
        <v>44322</v>
      </c>
      <c r="C15" s="7"/>
      <c r="D15" s="143">
        <v>24</v>
      </c>
      <c r="E15" s="143">
        <v>32</v>
      </c>
      <c r="F15" s="13">
        <f>'Suivi EAU-ELEC'!E14</f>
        <v>54.80000000000291</v>
      </c>
      <c r="G15" s="11"/>
      <c r="H15" s="171">
        <f t="shared" si="0"/>
        <v>481.69200000002553</v>
      </c>
      <c r="I15" s="172"/>
      <c r="J15" s="172"/>
      <c r="K15" s="60">
        <v>42283</v>
      </c>
      <c r="L15" s="90">
        <f>'Suivi EAU-ELEC'!G14</f>
        <v>2540</v>
      </c>
      <c r="M15" s="91">
        <f>'Suivi EAU-ELEC'!I14</f>
        <v>4525</v>
      </c>
      <c r="N15" s="91">
        <f>'Suivi EAU-ELEC'!K14</f>
        <v>1752</v>
      </c>
      <c r="O15" s="91">
        <f t="shared" si="2"/>
        <v>8817</v>
      </c>
      <c r="P15" s="12"/>
      <c r="Q15" s="34">
        <f>L15*0.6985+M15*0.9514+N15*1.3304</f>
        <v>8410.1358</v>
      </c>
      <c r="R15" s="12"/>
      <c r="S15" s="28"/>
      <c r="T15" s="12"/>
      <c r="U15" s="28"/>
      <c r="V15" s="147">
        <f>'Suvi Gaz'!O9</f>
        <v>223.99447000000001</v>
      </c>
      <c r="W15" s="11"/>
      <c r="X15" s="34">
        <f t="shared" si="1"/>
        <v>2199.8272904230002</v>
      </c>
    </row>
    <row r="16" spans="1:24" ht="32.25" customHeight="1">
      <c r="A16" s="5"/>
      <c r="B16" s="6">
        <v>44323</v>
      </c>
      <c r="C16" s="7"/>
      <c r="D16" s="143">
        <v>21</v>
      </c>
      <c r="E16" s="143">
        <v>27</v>
      </c>
      <c r="F16" s="13">
        <f>'Suivi EAU-ELEC'!E15</f>
        <v>48.30000000000291</v>
      </c>
      <c r="G16" s="11"/>
      <c r="H16" s="171">
        <f t="shared" si="0"/>
        <v>424.55700000002554</v>
      </c>
      <c r="I16" s="172"/>
      <c r="J16" s="172"/>
      <c r="K16" s="60">
        <v>42284</v>
      </c>
      <c r="L16" s="90">
        <f>'Suivi EAU-ELEC'!G15</f>
        <v>2189</v>
      </c>
      <c r="M16" s="91">
        <f>'Suivi EAU-ELEC'!I15</f>
        <v>5081</v>
      </c>
      <c r="N16" s="91">
        <f>'Suivi EAU-ELEC'!K15</f>
        <v>1862</v>
      </c>
      <c r="O16" s="91">
        <f t="shared" si="2"/>
        <v>9132</v>
      </c>
      <c r="P16" s="11"/>
      <c r="Q16" s="34">
        <f t="shared" si="3"/>
        <v>8840.2847000000002</v>
      </c>
      <c r="R16" s="11"/>
      <c r="S16" s="28"/>
      <c r="T16" s="11"/>
      <c r="U16" s="28"/>
      <c r="V16" s="147">
        <f>'Suvi Gaz'!O10</f>
        <v>63.998420000000003</v>
      </c>
      <c r="W16" s="11"/>
      <c r="X16" s="34">
        <f t="shared" si="1"/>
        <v>628.52208297800007</v>
      </c>
    </row>
    <row r="17" spans="1:24" s="5" customFormat="1" ht="32.25" customHeight="1">
      <c r="A17" s="2"/>
      <c r="B17" s="6">
        <v>44324</v>
      </c>
      <c r="C17" s="7"/>
      <c r="D17" s="143">
        <v>11</v>
      </c>
      <c r="E17" s="143">
        <v>18</v>
      </c>
      <c r="F17" s="13">
        <f>'Suivi EAU-ELEC'!E16</f>
        <v>88.399999999994179</v>
      </c>
      <c r="G17" s="11"/>
      <c r="H17" s="171">
        <f t="shared" si="0"/>
        <v>777.03599999994879</v>
      </c>
      <c r="I17" s="172"/>
      <c r="J17" s="172"/>
      <c r="K17" s="60">
        <v>42285</v>
      </c>
      <c r="L17" s="90">
        <f>'Suivi EAU-ELEC'!G16</f>
        <v>2405</v>
      </c>
      <c r="M17" s="91">
        <f>'Suivi EAU-ELEC'!I16</f>
        <v>5123</v>
      </c>
      <c r="N17" s="91">
        <f>'Suivi EAU-ELEC'!K16</f>
        <v>1899</v>
      </c>
      <c r="O17" s="91">
        <f t="shared" si="2"/>
        <v>9427</v>
      </c>
      <c r="P17" s="12"/>
      <c r="Q17" s="34">
        <f t="shared" si="3"/>
        <v>9080.3443000000007</v>
      </c>
      <c r="R17" s="12"/>
      <c r="S17" s="28"/>
      <c r="T17" s="12"/>
      <c r="U17" s="28"/>
      <c r="V17" s="147">
        <f>'Suvi Gaz'!O11</f>
        <v>255.99368000000001</v>
      </c>
      <c r="W17" s="11"/>
      <c r="X17" s="34">
        <f t="shared" si="1"/>
        <v>2514.0883319120003</v>
      </c>
    </row>
    <row r="18" spans="1:24" ht="32.25" customHeight="1">
      <c r="A18" s="2"/>
      <c r="B18" s="6">
        <v>44325</v>
      </c>
      <c r="C18" s="7"/>
      <c r="D18" s="143">
        <v>22</v>
      </c>
      <c r="E18" s="143">
        <v>39</v>
      </c>
      <c r="F18" s="13">
        <f>'Suivi EAU-ELEC'!E17</f>
        <v>58.900000000008731</v>
      </c>
      <c r="G18" s="11"/>
      <c r="H18" s="171">
        <f t="shared" si="0"/>
        <v>517.73100000007673</v>
      </c>
      <c r="I18" s="172"/>
      <c r="J18" s="172"/>
      <c r="K18" s="60">
        <v>42286</v>
      </c>
      <c r="L18" s="90">
        <f>'Suivi EAU-ELEC'!G17</f>
        <v>2361</v>
      </c>
      <c r="M18" s="91">
        <f>'Suivi EAU-ELEC'!I17</f>
        <v>4690</v>
      </c>
      <c r="N18" s="91">
        <f>'Suivi EAU-ELEC'!K17</f>
        <v>2032</v>
      </c>
      <c r="O18" s="91">
        <f t="shared" si="2"/>
        <v>9083</v>
      </c>
      <c r="P18" s="12"/>
      <c r="Q18" s="34">
        <f t="shared" si="3"/>
        <v>8814.5973000000013</v>
      </c>
      <c r="R18" s="12"/>
      <c r="S18" s="28"/>
      <c r="T18" s="12"/>
      <c r="U18" s="28"/>
      <c r="V18" s="147">
        <f>'Suvi Gaz'!O12</f>
        <v>319.99209999999999</v>
      </c>
      <c r="W18" s="11"/>
      <c r="X18" s="34">
        <f t="shared" si="1"/>
        <v>3142.6104148899999</v>
      </c>
    </row>
    <row r="19" spans="1:24" ht="32.25" customHeight="1">
      <c r="A19" s="2"/>
      <c r="B19" s="6">
        <v>44326</v>
      </c>
      <c r="C19" s="7"/>
      <c r="D19" s="143">
        <v>18</v>
      </c>
      <c r="E19" s="143">
        <v>28</v>
      </c>
      <c r="F19" s="13">
        <f>'Suivi EAU-ELEC'!E18</f>
        <v>40.899999999994179</v>
      </c>
      <c r="G19" s="12"/>
      <c r="H19" s="171">
        <f t="shared" si="0"/>
        <v>359.51099999994881</v>
      </c>
      <c r="I19" s="172"/>
      <c r="J19" s="172"/>
      <c r="K19" s="60">
        <v>42287</v>
      </c>
      <c r="L19" s="90">
        <f>'Suivi EAU-ELEC'!G18</f>
        <v>2018</v>
      </c>
      <c r="M19" s="91">
        <f>'Suivi EAU-ELEC'!I18</f>
        <v>3884</v>
      </c>
      <c r="N19" s="91">
        <f>'Suivi EAU-ELEC'!K18</f>
        <v>1697</v>
      </c>
      <c r="O19" s="91">
        <f t="shared" si="2"/>
        <v>7599</v>
      </c>
      <c r="P19" s="12"/>
      <c r="Q19" s="34">
        <f t="shared" si="3"/>
        <v>7362.4993999999997</v>
      </c>
      <c r="R19" s="12"/>
      <c r="S19" s="28"/>
      <c r="T19" s="12"/>
      <c r="U19" s="28"/>
      <c r="V19" s="147">
        <f>'Suvi Gaz'!O13</f>
        <v>351.99131</v>
      </c>
      <c r="W19" s="11"/>
      <c r="X19" s="34">
        <f t="shared" si="1"/>
        <v>3456.8714563789999</v>
      </c>
    </row>
    <row r="20" spans="1:24" ht="32.25" customHeight="1">
      <c r="A20" s="2"/>
      <c r="B20" s="6">
        <v>44327</v>
      </c>
      <c r="C20" s="7"/>
      <c r="D20" s="143">
        <v>14</v>
      </c>
      <c r="E20" s="143">
        <v>31</v>
      </c>
      <c r="F20" s="13">
        <f>'Suivi EAU-ELEC'!E19</f>
        <v>93</v>
      </c>
      <c r="G20" s="12"/>
      <c r="H20" s="171">
        <f t="shared" si="0"/>
        <v>817.46999999999991</v>
      </c>
      <c r="I20" s="172"/>
      <c r="J20" s="172"/>
      <c r="K20" s="60">
        <v>42288</v>
      </c>
      <c r="L20" s="90">
        <f>'Suivi EAU-ELEC'!G19</f>
        <v>2509</v>
      </c>
      <c r="M20" s="91">
        <f>'Suivi EAU-ELEC'!I19</f>
        <v>3408</v>
      </c>
      <c r="N20" s="91">
        <f>'Suivi EAU-ELEC'!K19</f>
        <v>1981</v>
      </c>
      <c r="O20" s="91">
        <f t="shared" si="2"/>
        <v>7898</v>
      </c>
      <c r="P20" s="12"/>
      <c r="Q20" s="34">
        <f t="shared" si="3"/>
        <v>7630.4300999999996</v>
      </c>
      <c r="R20" s="12"/>
      <c r="S20" s="28"/>
      <c r="T20" s="12"/>
      <c r="U20" s="28"/>
      <c r="V20" s="147">
        <f>'Suvi Gaz'!O14</f>
        <v>255.99368000000001</v>
      </c>
      <c r="W20" s="11"/>
      <c r="X20" s="34">
        <f t="shared" si="1"/>
        <v>2514.0883319120003</v>
      </c>
    </row>
    <row r="21" spans="1:24" ht="32.25" customHeight="1">
      <c r="A21" s="2"/>
      <c r="B21" s="6">
        <v>44328</v>
      </c>
      <c r="C21" s="7"/>
      <c r="D21" s="143">
        <v>15</v>
      </c>
      <c r="E21" s="143">
        <v>33</v>
      </c>
      <c r="F21" s="13">
        <f>'Suivi EAU-ELEC'!E20</f>
        <v>94.5</v>
      </c>
      <c r="G21" s="12"/>
      <c r="H21" s="171">
        <f t="shared" si="0"/>
        <v>830.65499999999997</v>
      </c>
      <c r="I21" s="172"/>
      <c r="J21" s="172"/>
      <c r="K21" s="60">
        <v>42289</v>
      </c>
      <c r="L21" s="90">
        <f>'Suivi EAU-ELEC'!G20</f>
        <v>2352</v>
      </c>
      <c r="M21" s="91">
        <f>'Suivi EAU-ELEC'!I20</f>
        <v>4549</v>
      </c>
      <c r="N21" s="91">
        <f>'Suivi EAU-ELEC'!K20</f>
        <v>1732</v>
      </c>
      <c r="O21" s="91">
        <f>L21+M21+N21</f>
        <v>8633</v>
      </c>
      <c r="P21" s="12"/>
      <c r="Q21" s="34">
        <f t="shared" si="3"/>
        <v>8275.0434000000005</v>
      </c>
      <c r="R21" s="12"/>
      <c r="S21" s="28"/>
      <c r="T21" s="12"/>
      <c r="U21" s="28"/>
      <c r="V21" s="147">
        <f>'Suvi Gaz'!O15</f>
        <v>319.99209999999999</v>
      </c>
      <c r="W21" s="11"/>
      <c r="X21" s="34">
        <f t="shared" si="1"/>
        <v>3142.6104148899999</v>
      </c>
    </row>
    <row r="22" spans="1:24" ht="32.25" customHeight="1">
      <c r="A22" s="2"/>
      <c r="B22" s="6">
        <v>44329</v>
      </c>
      <c r="C22" s="7"/>
      <c r="D22" s="143">
        <v>18</v>
      </c>
      <c r="E22" s="143">
        <v>35</v>
      </c>
      <c r="F22" s="13">
        <f>'Suivi EAU-ELEC'!E21</f>
        <v>79.899999999994179</v>
      </c>
      <c r="G22" s="12"/>
      <c r="H22" s="171">
        <f t="shared" ref="H22:H35" si="4">F22*8.79</f>
        <v>702.32099999994875</v>
      </c>
      <c r="I22" s="172"/>
      <c r="J22" s="172"/>
      <c r="K22" s="60">
        <v>42290</v>
      </c>
      <c r="L22" s="90">
        <f>'Suivi EAU-ELEC'!G21</f>
        <v>1813</v>
      </c>
      <c r="M22" s="91">
        <f>'Suivi EAU-ELEC'!I21</f>
        <v>4432</v>
      </c>
      <c r="N22" s="91">
        <f>'Suivi EAU-ELEC'!K21</f>
        <v>1673</v>
      </c>
      <c r="O22" s="91">
        <f t="shared" si="2"/>
        <v>7918</v>
      </c>
      <c r="P22" s="12"/>
      <c r="Q22" s="34">
        <f t="shared" si="3"/>
        <v>7708.7445000000007</v>
      </c>
      <c r="R22" s="12"/>
      <c r="S22" s="28"/>
      <c r="T22" s="12"/>
      <c r="U22" s="28"/>
      <c r="V22" s="147">
        <f>'Suvi Gaz'!O16</f>
        <v>319.99209999999999</v>
      </c>
      <c r="W22" s="11"/>
      <c r="X22" s="34">
        <f t="shared" si="1"/>
        <v>3142.6104148899999</v>
      </c>
    </row>
    <row r="23" spans="1:24" ht="32.25" customHeight="1">
      <c r="A23" s="2"/>
      <c r="B23" s="6">
        <v>44330</v>
      </c>
      <c r="C23" s="7"/>
      <c r="D23" s="143">
        <v>13</v>
      </c>
      <c r="E23" s="143">
        <v>26</v>
      </c>
      <c r="F23" s="13">
        <f>'Suivi EAU-ELEC'!E22</f>
        <v>114.30000000000291</v>
      </c>
      <c r="G23" s="14"/>
      <c r="H23" s="171">
        <f t="shared" si="4"/>
        <v>1004.6970000000255</v>
      </c>
      <c r="I23" s="172"/>
      <c r="J23" s="172"/>
      <c r="K23" s="60">
        <v>42291</v>
      </c>
      <c r="L23" s="90">
        <f>'Suivi EAU-ELEC'!G22</f>
        <v>2409</v>
      </c>
      <c r="M23" s="91">
        <f>'Suivi EAU-ELEC'!I22</f>
        <v>4657</v>
      </c>
      <c r="N23" s="91">
        <f>'Suivi EAU-ELEC'!K22</f>
        <v>1927</v>
      </c>
      <c r="O23" s="91">
        <f t="shared" si="2"/>
        <v>8993</v>
      </c>
      <c r="P23" s="12"/>
      <c r="Q23" s="34">
        <f t="shared" si="3"/>
        <v>8677.0370999999996</v>
      </c>
      <c r="R23" s="12"/>
      <c r="S23" s="28"/>
      <c r="T23" s="14"/>
      <c r="U23" s="28"/>
      <c r="V23" s="147">
        <f>'Suvi Gaz'!O17</f>
        <v>447.98894000000001</v>
      </c>
      <c r="W23" s="11"/>
      <c r="X23" s="34">
        <f t="shared" si="1"/>
        <v>4399.6545808460005</v>
      </c>
    </row>
    <row r="24" spans="1:24" ht="32.25" customHeight="1">
      <c r="A24" s="2"/>
      <c r="B24" s="6">
        <v>44331</v>
      </c>
      <c r="C24" s="7"/>
      <c r="D24" s="143">
        <v>18</v>
      </c>
      <c r="E24" s="143">
        <v>35</v>
      </c>
      <c r="F24" s="13">
        <f>'Suivi EAU-ELEC'!E23</f>
        <v>89.30000000000291</v>
      </c>
      <c r="G24" s="14"/>
      <c r="H24" s="171">
        <f t="shared" si="4"/>
        <v>784.94700000002547</v>
      </c>
      <c r="I24" s="172"/>
      <c r="J24" s="172"/>
      <c r="K24" s="60">
        <v>42292</v>
      </c>
      <c r="L24" s="90">
        <f>'Suivi EAU-ELEC'!G23</f>
        <v>2046</v>
      </c>
      <c r="M24" s="91">
        <f>'Suivi EAU-ELEC'!I23</f>
        <v>4540</v>
      </c>
      <c r="N24" s="91">
        <f>'Suivi EAU-ELEC'!K23</f>
        <v>1936</v>
      </c>
      <c r="O24" s="91">
        <f t="shared" si="2"/>
        <v>8522</v>
      </c>
      <c r="P24" s="12"/>
      <c r="Q24" s="34">
        <f t="shared" si="3"/>
        <v>8324.1414000000004</v>
      </c>
      <c r="R24" s="12"/>
      <c r="S24" s="28"/>
      <c r="T24" s="14"/>
      <c r="U24" s="28"/>
      <c r="V24" s="147">
        <f>'Suvi Gaz'!O18</f>
        <v>319.99209999999999</v>
      </c>
      <c r="W24" s="11"/>
      <c r="X24" s="34">
        <f t="shared" si="1"/>
        <v>3142.6104148899999</v>
      </c>
    </row>
    <row r="25" spans="1:24" ht="32.25" customHeight="1">
      <c r="A25" s="2"/>
      <c r="B25" s="6">
        <v>44332</v>
      </c>
      <c r="C25" s="7"/>
      <c r="D25" s="143">
        <v>14</v>
      </c>
      <c r="E25" s="143">
        <v>20</v>
      </c>
      <c r="F25" s="13">
        <f>'Suivi EAU-ELEC'!E24</f>
        <v>128.89999999999418</v>
      </c>
      <c r="G25" s="14"/>
      <c r="H25" s="171">
        <f t="shared" si="4"/>
        <v>1133.0309999999488</v>
      </c>
      <c r="I25" s="172"/>
      <c r="J25" s="172"/>
      <c r="K25" s="60">
        <v>42293</v>
      </c>
      <c r="L25" s="90">
        <f>'Suivi EAU-ELEC'!G24</f>
        <v>2002</v>
      </c>
      <c r="M25" s="91">
        <f>'Suivi EAU-ELEC'!I24</f>
        <v>4495</v>
      </c>
      <c r="N25" s="91">
        <f>'Suivi EAU-ELEC'!K24</f>
        <v>1812</v>
      </c>
      <c r="O25" s="91">
        <f t="shared" si="2"/>
        <v>8309</v>
      </c>
      <c r="P25" s="12"/>
      <c r="Q25" s="34">
        <f t="shared" si="3"/>
        <v>8085.6247999999996</v>
      </c>
      <c r="R25" s="12"/>
      <c r="S25" s="28"/>
      <c r="T25" s="14"/>
      <c r="U25" s="28"/>
      <c r="V25" s="147">
        <f>'Suvi Gaz'!O19</f>
        <v>287.99288999999999</v>
      </c>
      <c r="W25" s="11"/>
      <c r="X25" s="34">
        <f t="shared" si="1"/>
        <v>2828.3493734009999</v>
      </c>
    </row>
    <row r="26" spans="1:24" ht="32.25" customHeight="1">
      <c r="A26" s="2"/>
      <c r="B26" s="6">
        <v>44333</v>
      </c>
      <c r="C26" s="7"/>
      <c r="D26" s="143">
        <v>14</v>
      </c>
      <c r="E26" s="143">
        <v>23</v>
      </c>
      <c r="F26" s="13">
        <f>'Suivi EAU-ELEC'!E25</f>
        <v>227.90000000000873</v>
      </c>
      <c r="G26" s="14"/>
      <c r="H26" s="171">
        <f t="shared" si="4"/>
        <v>2003.2410000000766</v>
      </c>
      <c r="I26" s="172"/>
      <c r="J26" s="172"/>
      <c r="K26" s="60">
        <v>42294</v>
      </c>
      <c r="L26" s="90">
        <f>'Suivi EAU-ELEC'!G25</f>
        <v>2228</v>
      </c>
      <c r="M26" s="91">
        <f>'Suivi EAU-ELEC'!I25</f>
        <v>5209</v>
      </c>
      <c r="N26" s="91">
        <f>'Suivi EAU-ELEC'!K25</f>
        <v>1784</v>
      </c>
      <c r="O26" s="91">
        <f t="shared" si="2"/>
        <v>9221</v>
      </c>
      <c r="P26" s="14"/>
      <c r="Q26" s="34">
        <f t="shared" si="3"/>
        <v>8885.5342000000001</v>
      </c>
      <c r="R26" s="14"/>
      <c r="S26" s="28"/>
      <c r="T26" s="14"/>
      <c r="U26" s="28"/>
      <c r="V26" s="147">
        <f>'Suvi Gaz'!O20</f>
        <v>31.999210000000001</v>
      </c>
      <c r="W26" s="11"/>
      <c r="X26" s="34">
        <f t="shared" si="1"/>
        <v>314.26104148900004</v>
      </c>
    </row>
    <row r="27" spans="1:24" ht="32.25" customHeight="1">
      <c r="A27" s="2"/>
      <c r="B27" s="6">
        <v>44334</v>
      </c>
      <c r="C27" s="7"/>
      <c r="D27" s="143">
        <v>19</v>
      </c>
      <c r="E27" s="143">
        <v>33</v>
      </c>
      <c r="F27" s="13">
        <f>'Suivi EAU-ELEC'!E26</f>
        <v>89.69999999999709</v>
      </c>
      <c r="G27" s="14"/>
      <c r="H27" s="171">
        <f t="shared" si="4"/>
        <v>788.46299999997439</v>
      </c>
      <c r="I27" s="172"/>
      <c r="J27" s="172"/>
      <c r="K27" s="60">
        <v>42295</v>
      </c>
      <c r="L27" s="90">
        <f>'Suivi EAU-ELEC'!G26</f>
        <v>2321</v>
      </c>
      <c r="M27" s="91">
        <f>'Suivi EAU-ELEC'!I26</f>
        <v>4284</v>
      </c>
      <c r="N27" s="91">
        <f>'Suivi EAU-ELEC'!K26</f>
        <v>1945</v>
      </c>
      <c r="O27" s="91">
        <f t="shared" si="2"/>
        <v>8550</v>
      </c>
      <c r="P27" s="14"/>
      <c r="Q27" s="34">
        <f t="shared" si="3"/>
        <v>8284.6440999999995</v>
      </c>
      <c r="R27" s="14"/>
      <c r="S27" s="28"/>
      <c r="T27" s="14"/>
      <c r="U27" s="28"/>
      <c r="V27" s="147">
        <f>'Suvi Gaz'!O21</f>
        <v>479.98815000000002</v>
      </c>
      <c r="W27" s="11"/>
      <c r="X27" s="34">
        <f t="shared" si="1"/>
        <v>4713.9156223350001</v>
      </c>
    </row>
    <row r="28" spans="1:24" ht="32.25" customHeight="1">
      <c r="A28" s="2"/>
      <c r="B28" s="6">
        <v>44335</v>
      </c>
      <c r="C28" s="7"/>
      <c r="D28" s="143">
        <v>23</v>
      </c>
      <c r="E28" s="143">
        <v>38</v>
      </c>
      <c r="F28" s="13">
        <f>'Suivi EAU-ELEC'!E27</f>
        <v>81.100000000005821</v>
      </c>
      <c r="G28" s="11"/>
      <c r="H28" s="171">
        <f t="shared" si="4"/>
        <v>712.86900000005107</v>
      </c>
      <c r="I28" s="172"/>
      <c r="J28" s="172"/>
      <c r="K28" s="60">
        <v>42296</v>
      </c>
      <c r="L28" s="90">
        <f>'Suivi EAU-ELEC'!G27</f>
        <v>2579</v>
      </c>
      <c r="M28" s="91">
        <f>'Suivi EAU-ELEC'!I27</f>
        <v>5006</v>
      </c>
      <c r="N28" s="91">
        <f>'Suivi EAU-ELEC'!K27</f>
        <v>1819</v>
      </c>
      <c r="O28" s="91">
        <f t="shared" si="2"/>
        <v>9404</v>
      </c>
      <c r="P28" s="11"/>
      <c r="Q28" s="34">
        <f>L28*0.6985+M28*0.9514+N28*1.3304</f>
        <v>8984.1375000000007</v>
      </c>
      <c r="R28" s="11"/>
      <c r="S28" s="28"/>
      <c r="T28" s="11"/>
      <c r="U28" s="28"/>
      <c r="V28" s="147">
        <f>'Suvi Gaz'!O22</f>
        <v>319.99209999999999</v>
      </c>
      <c r="W28" s="11"/>
      <c r="X28" s="34">
        <f t="shared" si="1"/>
        <v>3142.6104148899999</v>
      </c>
    </row>
    <row r="29" spans="1:24" ht="32.25" customHeight="1">
      <c r="A29" s="2"/>
      <c r="B29" s="6">
        <v>44336</v>
      </c>
      <c r="C29" s="7"/>
      <c r="D29" s="143">
        <v>40</v>
      </c>
      <c r="E29" s="143">
        <v>50</v>
      </c>
      <c r="F29" s="13">
        <f>'Suivi EAU-ELEC'!E28</f>
        <v>60.5</v>
      </c>
      <c r="G29" s="11"/>
      <c r="H29" s="171">
        <f t="shared" si="4"/>
        <v>531.79499999999996</v>
      </c>
      <c r="I29" s="172"/>
      <c r="J29" s="172"/>
      <c r="K29" s="60">
        <v>42297</v>
      </c>
      <c r="L29" s="90">
        <f>'Suivi EAU-ELEC'!G28</f>
        <v>2272</v>
      </c>
      <c r="M29" s="91">
        <f>'Suivi EAU-ELEC'!I28</f>
        <v>5410</v>
      </c>
      <c r="N29" s="91">
        <f>'Suivi EAU-ELEC'!K28</f>
        <v>1945</v>
      </c>
      <c r="O29" s="91">
        <f>L29+M29+N29</f>
        <v>9627</v>
      </c>
      <c r="P29" s="11"/>
      <c r="Q29" s="34">
        <f t="shared" si="3"/>
        <v>9321.6940000000013</v>
      </c>
      <c r="R29" s="11"/>
      <c r="S29" s="28"/>
      <c r="T29" s="11"/>
      <c r="U29" s="28"/>
      <c r="V29" s="147">
        <f>'Suvi Gaz'!O23</f>
        <v>415.98973000000001</v>
      </c>
      <c r="W29" s="11"/>
      <c r="X29" s="34">
        <f t="shared" si="1"/>
        <v>4085.393539357</v>
      </c>
    </row>
    <row r="30" spans="1:24" ht="32.25" customHeight="1">
      <c r="A30" s="2"/>
      <c r="B30" s="6">
        <v>44337</v>
      </c>
      <c r="C30" s="7"/>
      <c r="D30" s="143">
        <v>69</v>
      </c>
      <c r="E30" s="143">
        <v>76</v>
      </c>
      <c r="F30" s="13">
        <f>'Suivi EAU-ELEC'!E29</f>
        <v>70.599999999991269</v>
      </c>
      <c r="G30" s="11"/>
      <c r="H30" s="171">
        <f t="shared" si="4"/>
        <v>620.57399999992322</v>
      </c>
      <c r="I30" s="172"/>
      <c r="J30" s="172"/>
      <c r="K30" s="60">
        <v>42298</v>
      </c>
      <c r="L30" s="90">
        <f>'Suivi EAU-ELEC'!G29</f>
        <v>2784</v>
      </c>
      <c r="M30" s="91">
        <f>'Suivi EAU-ELEC'!I29</f>
        <v>5527</v>
      </c>
      <c r="N30" s="91">
        <f>'Suivi EAU-ELEC'!K29</f>
        <v>1970</v>
      </c>
      <c r="O30" s="91">
        <f>L30+M30+N30</f>
        <v>10281</v>
      </c>
      <c r="P30" s="11"/>
      <c r="Q30" s="34">
        <f>L30*0.6985+M30*0.9514+N30*1.3304</f>
        <v>9823.8997999999992</v>
      </c>
      <c r="R30" s="11"/>
      <c r="S30" s="28"/>
      <c r="T30" s="11"/>
      <c r="U30" s="28"/>
      <c r="V30" s="147">
        <f>'Suvi Gaz'!O24</f>
        <v>127.99684000000001</v>
      </c>
      <c r="W30" s="11"/>
      <c r="X30" s="34">
        <f t="shared" si="1"/>
        <v>1257.0441659560001</v>
      </c>
    </row>
    <row r="31" spans="1:24" ht="27.75" customHeight="1">
      <c r="A31" s="2"/>
      <c r="B31" s="6">
        <v>44338</v>
      </c>
      <c r="C31" s="7"/>
      <c r="D31" s="143">
        <v>78</v>
      </c>
      <c r="E31" s="143">
        <v>109</v>
      </c>
      <c r="F31" s="13">
        <f>'Suivi EAU-ELEC'!E30</f>
        <v>81.400000000008731</v>
      </c>
      <c r="G31" s="11"/>
      <c r="H31" s="171">
        <f t="shared" si="4"/>
        <v>715.50600000007671</v>
      </c>
      <c r="I31" s="172"/>
      <c r="J31" s="172"/>
      <c r="K31" s="60">
        <v>42299</v>
      </c>
      <c r="L31" s="90">
        <f>'Suivi EAU-ELEC'!G30</f>
        <v>2613</v>
      </c>
      <c r="M31" s="91">
        <f>'Suivi EAU-ELEC'!I30</f>
        <v>5902</v>
      </c>
      <c r="N31" s="91">
        <f>'Suivi EAU-ELEC'!K30</f>
        <v>2369</v>
      </c>
      <c r="O31" s="91">
        <f>L31+M31+N31</f>
        <v>10884</v>
      </c>
      <c r="P31" s="11"/>
      <c r="Q31" s="34">
        <f>L31*0.6985+M31*0.9514+N31*1.3304</f>
        <v>10592.0609</v>
      </c>
      <c r="R31" s="11"/>
      <c r="S31" s="28"/>
      <c r="T31" s="11"/>
      <c r="U31" s="28"/>
      <c r="V31" s="147">
        <f>'Suvi Gaz'!O25</f>
        <v>383.99052</v>
      </c>
      <c r="W31" s="11"/>
      <c r="X31" s="34">
        <f t="shared" si="1"/>
        <v>3771.132497868</v>
      </c>
    </row>
    <row r="32" spans="1:24" ht="37.5" customHeight="1">
      <c r="A32" s="2"/>
      <c r="B32" s="6">
        <v>44339</v>
      </c>
      <c r="C32" s="7"/>
      <c r="D32" s="143">
        <v>61</v>
      </c>
      <c r="E32" s="143">
        <v>80</v>
      </c>
      <c r="F32" s="13">
        <f>'Suivi EAU-ELEC'!E31</f>
        <v>83.899999999994179</v>
      </c>
      <c r="G32" s="11"/>
      <c r="H32" s="171">
        <f t="shared" si="4"/>
        <v>737.48099999994872</v>
      </c>
      <c r="I32" s="172"/>
      <c r="J32" s="172"/>
      <c r="K32" s="60">
        <v>42300</v>
      </c>
      <c r="L32" s="90">
        <f>'Suivi EAU-ELEC'!G31</f>
        <v>3229</v>
      </c>
      <c r="M32" s="91">
        <f>'Suivi EAU-ELEC'!I31</f>
        <v>5717</v>
      </c>
      <c r="N32" s="91">
        <f>'Suivi EAU-ELEC'!K31</f>
        <v>3096</v>
      </c>
      <c r="O32" s="91">
        <f t="shared" si="2"/>
        <v>12042</v>
      </c>
      <c r="P32" s="11"/>
      <c r="Q32" s="34">
        <f t="shared" si="3"/>
        <v>11813.528700000001</v>
      </c>
      <c r="R32" s="11"/>
      <c r="S32" s="28"/>
      <c r="T32" s="11"/>
      <c r="U32" s="28"/>
      <c r="V32" s="147">
        <f>'Suvi Gaz'!O26</f>
        <v>255.99368000000001</v>
      </c>
      <c r="W32" s="11"/>
      <c r="X32" s="34">
        <f t="shared" si="1"/>
        <v>2514.0883319120003</v>
      </c>
    </row>
    <row r="33" spans="1:24" ht="37.5" customHeight="1">
      <c r="A33" s="2"/>
      <c r="B33" s="6">
        <v>44340</v>
      </c>
      <c r="C33" s="7"/>
      <c r="D33" s="143">
        <v>49</v>
      </c>
      <c r="E33" s="143">
        <v>69</v>
      </c>
      <c r="F33" s="13">
        <f>'Suivi EAU-ELEC'!E32</f>
        <v>71</v>
      </c>
      <c r="G33" s="11"/>
      <c r="H33" s="171">
        <f t="shared" si="4"/>
        <v>624.08999999999992</v>
      </c>
      <c r="I33" s="172"/>
      <c r="J33" s="172"/>
      <c r="K33" s="60">
        <v>42301</v>
      </c>
      <c r="L33" s="90">
        <f>'Suivi EAU-ELEC'!G32</f>
        <v>2697</v>
      </c>
      <c r="M33" s="91">
        <f>'Suivi EAU-ELEC'!I32</f>
        <v>5437</v>
      </c>
      <c r="N33" s="91">
        <f>'Suivi EAU-ELEC'!K32</f>
        <v>1585</v>
      </c>
      <c r="O33" s="91">
        <f t="shared" si="2"/>
        <v>9719</v>
      </c>
      <c r="P33" s="11"/>
      <c r="Q33" s="34">
        <f t="shared" si="3"/>
        <v>9165.300299999999</v>
      </c>
      <c r="R33" s="11"/>
      <c r="S33" s="28"/>
      <c r="T33" s="11"/>
      <c r="U33" s="28"/>
      <c r="V33" s="147">
        <f>'Suvi Gaz'!O27</f>
        <v>575.98577999999998</v>
      </c>
      <c r="W33" s="11"/>
      <c r="X33" s="34">
        <f t="shared" si="1"/>
        <v>5656.6987468019997</v>
      </c>
    </row>
    <row r="34" spans="1:24" ht="37.5" customHeight="1">
      <c r="A34" s="2"/>
      <c r="B34" s="6">
        <v>44341</v>
      </c>
      <c r="C34" s="7"/>
      <c r="D34" s="143">
        <v>52</v>
      </c>
      <c r="E34" s="143">
        <v>73</v>
      </c>
      <c r="F34" s="13">
        <f>'Suivi EAU-ELEC'!E33</f>
        <v>80.899999999994179</v>
      </c>
      <c r="G34" s="11"/>
      <c r="H34" s="171">
        <f t="shared" si="4"/>
        <v>711.11099999994872</v>
      </c>
      <c r="I34" s="172"/>
      <c r="J34" s="172"/>
      <c r="K34" s="60">
        <v>42302</v>
      </c>
      <c r="L34" s="90">
        <f>'Suivi EAU-ELEC'!G33</f>
        <v>2337</v>
      </c>
      <c r="M34" s="91">
        <f>'Suivi EAU-ELEC'!I33</f>
        <v>5440</v>
      </c>
      <c r="N34" s="91">
        <f>'Suivi EAU-ELEC'!K33</f>
        <v>4037</v>
      </c>
      <c r="O34" s="91">
        <f t="shared" si="2"/>
        <v>11814</v>
      </c>
      <c r="P34" s="11"/>
      <c r="Q34" s="34">
        <f t="shared" si="3"/>
        <v>12178.835300000001</v>
      </c>
      <c r="R34" s="11"/>
      <c r="S34" s="28"/>
      <c r="T34" s="11"/>
      <c r="U34" s="28"/>
      <c r="V34" s="147">
        <f>'Suvi Gaz'!O28</f>
        <v>319.99209999999999</v>
      </c>
      <c r="W34" s="11"/>
      <c r="X34" s="34">
        <f t="shared" si="1"/>
        <v>3142.6104148899999</v>
      </c>
    </row>
    <row r="35" spans="1:24" ht="33.75" customHeight="1">
      <c r="A35" s="2"/>
      <c r="B35" s="6">
        <v>44342</v>
      </c>
      <c r="C35" s="7"/>
      <c r="D35" s="143">
        <v>54</v>
      </c>
      <c r="E35" s="143">
        <v>57</v>
      </c>
      <c r="F35" s="13">
        <f>'Suivi EAU-ELEC'!E34</f>
        <v>99.700000000011642</v>
      </c>
      <c r="G35" s="11"/>
      <c r="H35" s="171">
        <f t="shared" si="4"/>
        <v>876.36300000010226</v>
      </c>
      <c r="I35" s="172"/>
      <c r="J35" s="172"/>
      <c r="K35" s="60">
        <v>42303</v>
      </c>
      <c r="L35" s="90">
        <f>'Suivi EAU-ELEC'!G34</f>
        <v>2340</v>
      </c>
      <c r="M35" s="91">
        <f>'Suivi EAU-ELEC'!I34</f>
        <v>5517</v>
      </c>
      <c r="N35" s="91">
        <f>'Suivi EAU-ELEC'!K34</f>
        <v>115</v>
      </c>
      <c r="O35" s="91">
        <f t="shared" si="2"/>
        <v>7972</v>
      </c>
      <c r="P35" s="11"/>
      <c r="Q35" s="34">
        <f t="shared" si="3"/>
        <v>7036.3598000000002</v>
      </c>
      <c r="R35" s="11"/>
      <c r="S35" s="28"/>
      <c r="T35" s="11"/>
      <c r="U35" s="28"/>
      <c r="V35" s="147">
        <f>'Suvi Gaz'!O29</f>
        <v>223.99447000000001</v>
      </c>
      <c r="W35" s="11"/>
      <c r="X35" s="34">
        <f t="shared" si="1"/>
        <v>2199.8272904230002</v>
      </c>
    </row>
    <row r="36" spans="1:24" ht="33.75" customHeight="1">
      <c r="A36" s="2"/>
      <c r="B36" s="6">
        <v>44343</v>
      </c>
      <c r="C36" s="7"/>
      <c r="D36" s="143"/>
      <c r="E36" s="143"/>
      <c r="F36" s="13">
        <f>'Suivi EAU-ELEC'!E35</f>
        <v>78.69999999999709</v>
      </c>
      <c r="G36" s="11"/>
      <c r="H36" s="171">
        <f>F36*8.79</f>
        <v>691.77299999997433</v>
      </c>
      <c r="I36" s="172"/>
      <c r="J36" s="172"/>
      <c r="K36" s="60">
        <v>42304</v>
      </c>
      <c r="L36" s="90">
        <f>'Suivi EAU-ELEC'!G35</f>
        <v>2832</v>
      </c>
      <c r="M36" s="91">
        <f>'Suivi EAU-ELEC'!I35</f>
        <v>5247</v>
      </c>
      <c r="N36" s="91">
        <f>'Suivi EAU-ELEC'!K35</f>
        <v>2001</v>
      </c>
      <c r="O36" s="91">
        <f t="shared" si="2"/>
        <v>10080</v>
      </c>
      <c r="P36" s="11"/>
      <c r="Q36" s="34">
        <f t="shared" si="3"/>
        <v>9632.2782000000007</v>
      </c>
      <c r="R36" s="11"/>
      <c r="S36" s="28"/>
      <c r="T36" s="11"/>
      <c r="U36" s="28"/>
      <c r="V36" s="147"/>
      <c r="W36" s="11"/>
      <c r="X36" s="34">
        <f t="shared" si="1"/>
        <v>0</v>
      </c>
    </row>
    <row r="37" spans="1:24" ht="33.75" customHeight="1">
      <c r="A37" s="2"/>
      <c r="B37" s="6">
        <v>44344</v>
      </c>
      <c r="C37" s="7"/>
      <c r="D37" s="143"/>
      <c r="E37" s="143"/>
      <c r="F37" s="13"/>
      <c r="G37" s="11"/>
      <c r="H37" s="171">
        <f t="shared" ref="H37:H38" si="5">F37*8.79</f>
        <v>0</v>
      </c>
      <c r="I37" s="172"/>
      <c r="J37" s="172"/>
      <c r="K37" s="60"/>
      <c r="L37" s="90"/>
      <c r="M37" s="91"/>
      <c r="N37" s="91"/>
      <c r="O37" s="91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47"/>
      <c r="W37" s="11"/>
      <c r="X37" s="34">
        <f t="shared" si="1"/>
        <v>0</v>
      </c>
    </row>
    <row r="38" spans="1:24" ht="33.75" customHeight="1">
      <c r="A38" s="2"/>
      <c r="B38" s="6">
        <v>44345</v>
      </c>
      <c r="C38" s="7"/>
      <c r="D38" s="143"/>
      <c r="E38" s="143"/>
      <c r="F38" s="13"/>
      <c r="G38" s="11"/>
      <c r="H38" s="171">
        <f t="shared" si="5"/>
        <v>0</v>
      </c>
      <c r="I38" s="172"/>
      <c r="J38" s="172"/>
      <c r="K38" s="60"/>
      <c r="L38" s="90"/>
      <c r="M38" s="91"/>
      <c r="N38" s="91"/>
      <c r="O38" s="91">
        <f t="shared" si="2"/>
        <v>0</v>
      </c>
      <c r="P38" s="11"/>
      <c r="Q38" s="34">
        <f t="shared" si="3"/>
        <v>0</v>
      </c>
      <c r="R38" s="11"/>
      <c r="S38" s="28"/>
      <c r="T38" s="11"/>
      <c r="U38" s="28"/>
      <c r="V38" s="147"/>
      <c r="W38" s="11"/>
      <c r="X38" s="34">
        <f t="shared" si="1"/>
        <v>0</v>
      </c>
    </row>
    <row r="39" spans="1:24" ht="33.75" customHeight="1">
      <c r="A39" s="2"/>
      <c r="B39" s="6">
        <v>44346</v>
      </c>
      <c r="C39" s="7"/>
      <c r="D39" s="143"/>
      <c r="E39" s="143"/>
      <c r="F39" s="13"/>
      <c r="G39" s="11"/>
      <c r="H39" s="171">
        <f t="shared" ref="H39" si="6">F39*8.79</f>
        <v>0</v>
      </c>
      <c r="I39" s="172"/>
      <c r="J39" s="172"/>
      <c r="K39" s="60"/>
      <c r="L39" s="90"/>
      <c r="M39" s="91"/>
      <c r="N39" s="91"/>
      <c r="O39" s="91"/>
      <c r="P39" s="11"/>
      <c r="Q39" s="34">
        <f t="shared" si="3"/>
        <v>0</v>
      </c>
      <c r="R39" s="11"/>
      <c r="S39" s="28"/>
      <c r="T39" s="11"/>
      <c r="U39" s="28"/>
      <c r="V39" s="147"/>
      <c r="W39" s="11"/>
      <c r="X39" s="34"/>
    </row>
    <row r="40" spans="1:24" ht="33.75" customHeight="1">
      <c r="A40" s="2"/>
      <c r="B40" s="6">
        <v>44347</v>
      </c>
      <c r="C40" s="7"/>
      <c r="D40" s="143"/>
      <c r="E40" s="143"/>
      <c r="F40" s="13"/>
      <c r="G40" s="11"/>
      <c r="H40" s="171">
        <f>F40*8.79</f>
        <v>0</v>
      </c>
      <c r="I40" s="172"/>
      <c r="J40" s="172"/>
      <c r="K40" s="60">
        <v>42305</v>
      </c>
      <c r="L40" s="90"/>
      <c r="M40" s="91"/>
      <c r="N40" s="91"/>
      <c r="O40" s="91">
        <f t="shared" si="2"/>
        <v>0</v>
      </c>
      <c r="P40" s="11"/>
      <c r="Q40" s="34">
        <f t="shared" si="3"/>
        <v>0</v>
      </c>
      <c r="R40" s="11"/>
      <c r="S40" s="28"/>
      <c r="T40" s="11"/>
      <c r="U40" s="28"/>
      <c r="V40" s="147"/>
      <c r="W40" s="11"/>
      <c r="X40" s="34">
        <f t="shared" si="1"/>
        <v>0</v>
      </c>
    </row>
    <row r="41" spans="1:24" ht="42.75" customHeight="1">
      <c r="A41" s="2"/>
      <c r="B41" s="10"/>
      <c r="C41" s="10"/>
      <c r="D41" s="8">
        <f>SUM(D10:D40)</f>
        <v>755</v>
      </c>
      <c r="E41" s="8">
        <f>SUM(E10:E40)</f>
        <v>1104</v>
      </c>
      <c r="F41" s="153">
        <f>SUM(F10:F40)</f>
        <v>2212.9000000000087</v>
      </c>
      <c r="G41" s="1"/>
      <c r="H41" s="168">
        <f>SUM(H10:H40)</f>
        <v>19451.39100000008</v>
      </c>
      <c r="I41" s="169"/>
      <c r="J41" s="170"/>
      <c r="K41" s="1"/>
      <c r="L41" s="53">
        <f>SUM(L10:L40)</f>
        <v>63882</v>
      </c>
      <c r="M41" s="53">
        <f>SUM(M10:M40)</f>
        <v>130027</v>
      </c>
      <c r="N41" s="54">
        <f>SUM(N10:N40)</f>
        <v>51562</v>
      </c>
      <c r="O41" s="55">
        <f>SUM(O10:O40)</f>
        <v>245471</v>
      </c>
      <c r="P41" s="31"/>
      <c r="Q41" s="32">
        <f>SUM(Q10:Q40)</f>
        <v>236790.31840000005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7765.5512100000014</v>
      </c>
      <c r="W41" s="31"/>
      <c r="X41" s="32">
        <f>SUM(X10:X40)</f>
        <v>76264.701878288994</v>
      </c>
    </row>
    <row r="42" spans="1:24" s="5" customFormat="1" ht="12.75" customHeight="1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>
      <c r="A43" s="207" t="s">
        <v>33</v>
      </c>
      <c r="B43" s="208"/>
      <c r="C43" s="208"/>
      <c r="D43" s="208"/>
      <c r="E43" s="208"/>
      <c r="F43" s="209"/>
      <c r="G43" s="26"/>
      <c r="H43" s="27" t="s">
        <v>34</v>
      </c>
      <c r="I43" s="246" t="s">
        <v>35</v>
      </c>
      <c r="J43" s="247"/>
      <c r="K43" s="248"/>
      <c r="L43" s="221" t="s">
        <v>36</v>
      </c>
      <c r="M43" s="222"/>
      <c r="N43" s="207" t="s">
        <v>37</v>
      </c>
      <c r="O43" s="208"/>
      <c r="P43" s="208"/>
      <c r="Q43" s="208"/>
      <c r="R43" s="208"/>
      <c r="S43" s="208"/>
      <c r="T43" s="208"/>
      <c r="U43" s="208"/>
      <c r="V43" s="208"/>
      <c r="W43" s="208"/>
      <c r="X43" s="209"/>
    </row>
    <row r="44" spans="1:24" s="18" customFormat="1" ht="29.25" customHeight="1" thickBot="1">
      <c r="A44" s="215" t="s">
        <v>38</v>
      </c>
      <c r="B44" s="216"/>
      <c r="C44" s="217"/>
      <c r="D44" s="160" t="s">
        <v>30</v>
      </c>
      <c r="E44" s="160" t="s">
        <v>30</v>
      </c>
      <c r="F44" s="160" t="s">
        <v>30</v>
      </c>
      <c r="G44" s="16"/>
      <c r="H44" s="17">
        <v>0.69850000000000001</v>
      </c>
      <c r="I44" s="212">
        <f>L41</f>
        <v>63882</v>
      </c>
      <c r="J44" s="213"/>
      <c r="K44" s="214"/>
      <c r="L44" s="173">
        <f>I44*H44</f>
        <v>44621.576999999997</v>
      </c>
      <c r="M44" s="174"/>
      <c r="N44" s="230">
        <f>L44+L45+L46</f>
        <v>236927.34960000002</v>
      </c>
      <c r="O44" s="231"/>
      <c r="P44" s="231"/>
      <c r="Q44" s="231"/>
      <c r="R44" s="231"/>
      <c r="S44" s="231"/>
      <c r="T44" s="231"/>
      <c r="U44" s="231"/>
      <c r="V44" s="231"/>
      <c r="W44" s="231"/>
      <c r="X44" s="232"/>
    </row>
    <row r="45" spans="1:24" s="18" customFormat="1" ht="29.25" customHeight="1" thickBot="1">
      <c r="A45" s="218"/>
      <c r="B45" s="219"/>
      <c r="C45" s="220"/>
      <c r="D45" s="159" t="s">
        <v>31</v>
      </c>
      <c r="E45" s="159" t="s">
        <v>31</v>
      </c>
      <c r="F45" s="159" t="s">
        <v>31</v>
      </c>
      <c r="G45" s="16"/>
      <c r="H45" s="19">
        <v>0.95140000000000002</v>
      </c>
      <c r="I45" s="212">
        <f>M41</f>
        <v>130027</v>
      </c>
      <c r="J45" s="213"/>
      <c r="K45" s="214"/>
      <c r="L45" s="173">
        <f>I45*H45</f>
        <v>123707.6878</v>
      </c>
      <c r="M45" s="174"/>
      <c r="N45" s="233"/>
      <c r="O45" s="234"/>
      <c r="P45" s="234"/>
      <c r="Q45" s="234"/>
      <c r="R45" s="234"/>
      <c r="S45" s="234"/>
      <c r="T45" s="234"/>
      <c r="U45" s="234"/>
      <c r="V45" s="234"/>
      <c r="W45" s="234"/>
      <c r="X45" s="235"/>
    </row>
    <row r="46" spans="1:24" s="18" customFormat="1" ht="24.75" customHeight="1" thickBot="1">
      <c r="A46" s="218"/>
      <c r="B46" s="219"/>
      <c r="C46" s="220"/>
      <c r="D46" s="156" t="s">
        <v>32</v>
      </c>
      <c r="E46" s="156" t="s">
        <v>32</v>
      </c>
      <c r="F46" s="156" t="s">
        <v>32</v>
      </c>
      <c r="G46" s="20"/>
      <c r="H46" s="20">
        <v>1.3304</v>
      </c>
      <c r="I46" s="243">
        <f>N41</f>
        <v>51562</v>
      </c>
      <c r="J46" s="244"/>
      <c r="K46" s="245"/>
      <c r="L46" s="173">
        <f>I46*H46</f>
        <v>68598.084799999997</v>
      </c>
      <c r="M46" s="174"/>
      <c r="N46" s="236"/>
      <c r="O46" s="237"/>
      <c r="P46" s="237"/>
      <c r="Q46" s="237"/>
      <c r="R46" s="237"/>
      <c r="S46" s="237"/>
      <c r="T46" s="237"/>
      <c r="U46" s="237"/>
      <c r="V46" s="237"/>
      <c r="W46" s="237"/>
      <c r="X46" s="238"/>
    </row>
    <row r="47" spans="1:24" s="18" customFormat="1" ht="43.5" customHeight="1" thickBot="1">
      <c r="A47" s="161"/>
      <c r="B47" s="162"/>
      <c r="C47" s="162"/>
      <c r="D47" s="156"/>
      <c r="E47" s="156"/>
      <c r="F47" s="156"/>
      <c r="G47" s="16"/>
      <c r="H47" s="16"/>
      <c r="I47" s="154"/>
      <c r="J47" s="155"/>
      <c r="K47" s="156"/>
      <c r="L47" s="157"/>
      <c r="M47" s="158"/>
      <c r="N47" s="249">
        <f>N44*1.3</f>
        <v>308005.55448000005</v>
      </c>
      <c r="O47" s="250"/>
      <c r="P47" s="250"/>
      <c r="Q47" s="250"/>
      <c r="R47" s="250"/>
      <c r="S47" s="250"/>
      <c r="T47" s="250"/>
      <c r="U47" s="250"/>
      <c r="V47" s="250"/>
      <c r="W47" s="250"/>
      <c r="X47" s="251"/>
    </row>
    <row r="48" spans="1:24" s="23" customFormat="1" ht="32.25" customHeight="1" thickBot="1">
      <c r="A48" s="204" t="s">
        <v>39</v>
      </c>
      <c r="B48" s="205"/>
      <c r="C48" s="205"/>
      <c r="D48" s="205"/>
      <c r="E48" s="205"/>
      <c r="F48" s="206"/>
      <c r="G48" s="21"/>
      <c r="H48" s="22">
        <v>8.7899999999999991</v>
      </c>
      <c r="I48" s="204">
        <f>F41</f>
        <v>2212.9000000000087</v>
      </c>
      <c r="J48" s="205"/>
      <c r="K48" s="206"/>
      <c r="L48" s="210">
        <f>I48*H48</f>
        <v>19451.391000000076</v>
      </c>
      <c r="M48" s="211"/>
      <c r="N48" s="227">
        <f>L48</f>
        <v>19451.391000000076</v>
      </c>
      <c r="O48" s="228"/>
      <c r="P48" s="228"/>
      <c r="Q48" s="228"/>
      <c r="R48" s="228"/>
      <c r="S48" s="228"/>
      <c r="T48" s="228"/>
      <c r="U48" s="228"/>
      <c r="V48" s="228"/>
      <c r="W48" s="228"/>
      <c r="X48" s="229"/>
    </row>
    <row r="49" spans="1:24" s="23" customFormat="1" ht="36.75" customHeight="1">
      <c r="A49" s="239" t="s">
        <v>40</v>
      </c>
      <c r="B49" s="240"/>
      <c r="C49" s="240"/>
      <c r="D49" s="240"/>
      <c r="E49" s="240"/>
      <c r="F49" s="241"/>
      <c r="G49" s="24"/>
      <c r="H49" s="25">
        <v>9.8209</v>
      </c>
      <c r="I49" s="202">
        <f>V41</f>
        <v>7765.5512100000014</v>
      </c>
      <c r="J49" s="242"/>
      <c r="K49" s="203"/>
      <c r="L49" s="202">
        <f>I49*H49</f>
        <v>76264.701878289008</v>
      </c>
      <c r="M49" s="203"/>
      <c r="N49" s="224">
        <f>L49</f>
        <v>76264.701878289008</v>
      </c>
      <c r="O49" s="225"/>
      <c r="P49" s="225"/>
      <c r="Q49" s="225"/>
      <c r="R49" s="225"/>
      <c r="S49" s="225"/>
      <c r="T49" s="225"/>
      <c r="U49" s="225"/>
      <c r="V49" s="225"/>
      <c r="W49" s="225"/>
      <c r="X49" s="226"/>
    </row>
    <row r="50" spans="1:24" ht="27" customHeight="1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/>
    <row r="55" spans="1:24" ht="39" customHeight="1">
      <c r="B55" s="223"/>
      <c r="C55" s="223"/>
      <c r="D55" s="223"/>
      <c r="E55" s="223"/>
      <c r="F55" s="223"/>
      <c r="G55" s="223"/>
      <c r="H55" s="223"/>
      <c r="I55" s="223"/>
      <c r="J55" s="223"/>
      <c r="K55" s="223"/>
      <c r="L55" s="223"/>
      <c r="M55" s="223"/>
      <c r="N55" s="223"/>
      <c r="O55" s="223"/>
      <c r="P55" s="223"/>
      <c r="Q55" s="223"/>
      <c r="R55" s="223"/>
      <c r="S55" s="223"/>
      <c r="T55" s="223"/>
      <c r="U55" s="223"/>
      <c r="V55" s="223"/>
      <c r="W55" s="223"/>
      <c r="X55" s="223"/>
    </row>
  </sheetData>
  <mergeCells count="73"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H28:J28"/>
    <mergeCell ref="H32:J32"/>
    <mergeCell ref="H29:J29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13:J13"/>
    <mergeCell ref="S8:S9"/>
    <mergeCell ref="L8:N8"/>
    <mergeCell ref="F8:F9"/>
    <mergeCell ref="H40:J40"/>
    <mergeCell ref="H15:J15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25:J25"/>
    <mergeCell ref="H20:J20"/>
    <mergeCell ref="H24:J24"/>
    <mergeCell ref="H21:J21"/>
    <mergeCell ref="H19:J19"/>
    <mergeCell ref="H16:J16"/>
    <mergeCell ref="H41:J41"/>
    <mergeCell ref="H30:J30"/>
    <mergeCell ref="H36:J36"/>
    <mergeCell ref="L44:M44"/>
    <mergeCell ref="H33:J33"/>
    <mergeCell ref="H31:J31"/>
    <mergeCell ref="H35:J35"/>
    <mergeCell ref="H37:J37"/>
    <mergeCell ref="H38:J38"/>
    <mergeCell ref="H39:J39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25" activePane="bottomRight" state="frozen"/>
      <selection pane="bottomRight" activeCell="B35" sqref="B35:K35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1"/>
      <c r="B1" s="272"/>
      <c r="C1" s="272"/>
      <c r="D1" s="273"/>
      <c r="E1" s="254" t="s">
        <v>41</v>
      </c>
      <c r="F1" s="255"/>
      <c r="G1" s="255"/>
      <c r="H1" s="255"/>
      <c r="I1" s="256"/>
      <c r="J1" s="263" t="s">
        <v>42</v>
      </c>
      <c r="K1" s="264"/>
      <c r="L1" s="49"/>
    </row>
    <row r="2" spans="1:12" ht="16.5" customHeight="1">
      <c r="A2" s="274"/>
      <c r="B2" s="275"/>
      <c r="C2" s="275"/>
      <c r="D2" s="276"/>
      <c r="E2" s="257"/>
      <c r="F2" s="258"/>
      <c r="G2" s="258"/>
      <c r="H2" s="258"/>
      <c r="I2" s="259"/>
      <c r="J2" s="265"/>
      <c r="K2" s="266"/>
      <c r="L2" s="49"/>
    </row>
    <row r="3" spans="1:12" ht="48" customHeight="1">
      <c r="A3" s="277"/>
      <c r="B3" s="278"/>
      <c r="C3" s="278"/>
      <c r="D3" s="279"/>
      <c r="E3" s="260"/>
      <c r="F3" s="261"/>
      <c r="G3" s="261"/>
      <c r="H3" s="261"/>
      <c r="I3" s="262"/>
      <c r="J3" s="267"/>
      <c r="K3" s="268"/>
      <c r="L3" s="49"/>
    </row>
    <row r="6" spans="1:12" ht="10.5" customHeight="1"/>
    <row r="7" spans="1:12" ht="16.5" customHeight="1">
      <c r="A7" s="252" t="s">
        <v>43</v>
      </c>
      <c r="B7" s="280" t="s">
        <v>44</v>
      </c>
      <c r="C7" s="281"/>
      <c r="D7" s="269" t="s">
        <v>45</v>
      </c>
      <c r="E7" s="269"/>
      <c r="F7" s="270" t="s">
        <v>46</v>
      </c>
      <c r="G7" s="270"/>
      <c r="H7" s="270"/>
      <c r="I7" s="270"/>
      <c r="J7" s="270"/>
      <c r="K7" s="270"/>
    </row>
    <row r="8" spans="1:12" s="29" customFormat="1" ht="28.5" customHeight="1">
      <c r="A8" s="253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44317</v>
      </c>
      <c r="B9" s="116">
        <v>2559</v>
      </c>
      <c r="C9" s="115">
        <v>0</v>
      </c>
      <c r="D9" s="57">
        <v>108477.2</v>
      </c>
      <c r="E9" s="50">
        <v>39.80000000000291</v>
      </c>
      <c r="F9" s="51">
        <v>10530051</v>
      </c>
      <c r="G9" s="50">
        <v>2179</v>
      </c>
      <c r="H9" s="51">
        <v>17698664</v>
      </c>
      <c r="I9" s="50">
        <v>4209</v>
      </c>
      <c r="J9" s="51">
        <v>7837632</v>
      </c>
      <c r="K9" s="50">
        <v>1751</v>
      </c>
    </row>
    <row r="10" spans="1:12" ht="19.5">
      <c r="A10" s="59">
        <v>44318</v>
      </c>
      <c r="B10" s="116">
        <v>2559</v>
      </c>
      <c r="C10" s="115">
        <f>B10-B9</f>
        <v>0</v>
      </c>
      <c r="D10" s="57">
        <v>108532.6</v>
      </c>
      <c r="E10" s="50">
        <f>D10-D9</f>
        <v>55.400000000008731</v>
      </c>
      <c r="F10" s="51">
        <v>10532161</v>
      </c>
      <c r="G10" s="50">
        <f>F10-F9</f>
        <v>2110</v>
      </c>
      <c r="H10" s="51">
        <v>17702827</v>
      </c>
      <c r="I10" s="50">
        <f>H10-H9</f>
        <v>4163</v>
      </c>
      <c r="J10" s="51">
        <v>7839457</v>
      </c>
      <c r="K10" s="50">
        <f>J10-J9</f>
        <v>1825</v>
      </c>
    </row>
    <row r="11" spans="1:12" ht="19.5">
      <c r="A11" s="59">
        <v>44319</v>
      </c>
      <c r="B11" s="116">
        <v>2559</v>
      </c>
      <c r="C11" s="115">
        <f>B11-B10</f>
        <v>0</v>
      </c>
      <c r="D11" s="57">
        <v>108577.7</v>
      </c>
      <c r="E11" s="50">
        <f>D11-D10</f>
        <v>45.099999999991269</v>
      </c>
      <c r="F11" s="51">
        <v>10534301</v>
      </c>
      <c r="G11" s="50">
        <f>F11-F10</f>
        <v>2140</v>
      </c>
      <c r="H11" s="51">
        <v>17707190</v>
      </c>
      <c r="I11" s="50">
        <f>H11-H10</f>
        <v>4363</v>
      </c>
      <c r="J11" s="51">
        <v>7841159</v>
      </c>
      <c r="K11" s="50">
        <f>J11-J10</f>
        <v>1702</v>
      </c>
    </row>
    <row r="12" spans="1:12" ht="19.5">
      <c r="A12" s="59">
        <v>44320</v>
      </c>
      <c r="B12" s="116">
        <v>2559</v>
      </c>
      <c r="C12" s="115">
        <f>B12-B11</f>
        <v>0</v>
      </c>
      <c r="D12" s="57">
        <v>108665.4</v>
      </c>
      <c r="E12" s="50">
        <f>D12-D11</f>
        <v>87.69999999999709</v>
      </c>
      <c r="F12" s="51">
        <v>10536606</v>
      </c>
      <c r="G12" s="50">
        <f>F12-F11</f>
        <v>2305</v>
      </c>
      <c r="H12" s="51">
        <v>17711750</v>
      </c>
      <c r="I12" s="50">
        <f>H12-H11</f>
        <v>4560</v>
      </c>
      <c r="J12" s="51">
        <v>7842752</v>
      </c>
      <c r="K12" s="50">
        <f>J12-J11</f>
        <v>1593</v>
      </c>
    </row>
    <row r="13" spans="1:12" ht="19.5">
      <c r="A13" s="59">
        <v>44321</v>
      </c>
      <c r="B13" s="116">
        <v>2559</v>
      </c>
      <c r="C13" s="115">
        <f>B13-B12</f>
        <v>0</v>
      </c>
      <c r="D13" s="57">
        <v>108733.7</v>
      </c>
      <c r="E13" s="50">
        <f>D13-D12</f>
        <v>68.30000000000291</v>
      </c>
      <c r="F13" s="51">
        <v>10538878</v>
      </c>
      <c r="G13" s="50">
        <f>F13-F12</f>
        <v>2272</v>
      </c>
      <c r="H13" s="51">
        <v>17716402</v>
      </c>
      <c r="I13" s="50">
        <f>H13-H12</f>
        <v>4652</v>
      </c>
      <c r="J13" s="51">
        <v>7844474</v>
      </c>
      <c r="K13" s="50">
        <f>J13-J12</f>
        <v>1722</v>
      </c>
    </row>
    <row r="14" spans="1:12" ht="19.5">
      <c r="A14" s="59">
        <v>44322</v>
      </c>
      <c r="B14" s="116">
        <v>2559</v>
      </c>
      <c r="C14" s="115">
        <f>B14-B13</f>
        <v>0</v>
      </c>
      <c r="D14" s="57">
        <v>108788.5</v>
      </c>
      <c r="E14" s="50">
        <f>D14-D13</f>
        <v>54.80000000000291</v>
      </c>
      <c r="F14" s="51">
        <v>10541418</v>
      </c>
      <c r="G14" s="50">
        <f>F14-F13</f>
        <v>2540</v>
      </c>
      <c r="H14" s="51">
        <v>17720927</v>
      </c>
      <c r="I14" s="50">
        <f>H14-H13</f>
        <v>4525</v>
      </c>
      <c r="J14" s="51">
        <v>7846226</v>
      </c>
      <c r="K14" s="50">
        <f>J14-J13</f>
        <v>1752</v>
      </c>
    </row>
    <row r="15" spans="1:12" ht="19.5">
      <c r="A15" s="59">
        <v>44323</v>
      </c>
      <c r="B15" s="116">
        <v>2559</v>
      </c>
      <c r="C15" s="115">
        <f>B15-B14</f>
        <v>0</v>
      </c>
      <c r="D15" s="57">
        <v>108836.8</v>
      </c>
      <c r="E15" s="50">
        <f>D15-D14</f>
        <v>48.30000000000291</v>
      </c>
      <c r="F15" s="51">
        <v>10543607</v>
      </c>
      <c r="G15" s="50">
        <f>F15-F14</f>
        <v>2189</v>
      </c>
      <c r="H15" s="51">
        <v>17726008</v>
      </c>
      <c r="I15" s="50">
        <f>H15-H14</f>
        <v>5081</v>
      </c>
      <c r="J15" s="51">
        <v>7848088</v>
      </c>
      <c r="K15" s="50">
        <f>J15-J14</f>
        <v>1862</v>
      </c>
    </row>
    <row r="16" spans="1:12" ht="19.5">
      <c r="A16" s="59">
        <v>44324</v>
      </c>
      <c r="B16" s="116">
        <v>2559</v>
      </c>
      <c r="C16" s="115">
        <f t="shared" ref="C16:C35" si="0">B16-B15</f>
        <v>0</v>
      </c>
      <c r="D16" s="57">
        <v>108925.2</v>
      </c>
      <c r="E16" s="50">
        <f t="shared" ref="E16:F31" si="1">D16-D15</f>
        <v>88.399999999994179</v>
      </c>
      <c r="F16" s="51">
        <v>10546012</v>
      </c>
      <c r="G16" s="50">
        <f t="shared" ref="G16:G35" si="2">F16-F15</f>
        <v>2405</v>
      </c>
      <c r="H16" s="51">
        <v>17731131</v>
      </c>
      <c r="I16" s="50">
        <f t="shared" ref="I16:I35" si="3">H16-H15</f>
        <v>5123</v>
      </c>
      <c r="J16" s="51">
        <v>7849987</v>
      </c>
      <c r="K16" s="50">
        <f t="shared" ref="K16:K35" si="4">J16-J15</f>
        <v>1899</v>
      </c>
    </row>
    <row r="17" spans="1:29" ht="19.5">
      <c r="A17" s="59">
        <v>44325</v>
      </c>
      <c r="B17" s="116">
        <v>2559</v>
      </c>
      <c r="C17" s="115">
        <f t="shared" si="0"/>
        <v>0</v>
      </c>
      <c r="D17" s="57">
        <v>108984.1</v>
      </c>
      <c r="E17" s="50">
        <f t="shared" si="1"/>
        <v>58.900000000008731</v>
      </c>
      <c r="F17" s="51">
        <v>10548373</v>
      </c>
      <c r="G17" s="50">
        <f t="shared" si="2"/>
        <v>2361</v>
      </c>
      <c r="H17" s="51">
        <v>17735821</v>
      </c>
      <c r="I17" s="50">
        <f t="shared" si="3"/>
        <v>4690</v>
      </c>
      <c r="J17" s="51">
        <v>7852019</v>
      </c>
      <c r="K17" s="50">
        <f t="shared" si="4"/>
        <v>2032</v>
      </c>
    </row>
    <row r="18" spans="1:29" ht="19.5">
      <c r="A18" s="59">
        <v>44326</v>
      </c>
      <c r="B18" s="116">
        <v>2559</v>
      </c>
      <c r="C18" s="115">
        <f t="shared" si="0"/>
        <v>0</v>
      </c>
      <c r="D18" s="57">
        <v>109025</v>
      </c>
      <c r="E18" s="50">
        <f t="shared" si="1"/>
        <v>40.899999999994179</v>
      </c>
      <c r="F18" s="51">
        <v>10550391</v>
      </c>
      <c r="G18" s="50">
        <f t="shared" si="2"/>
        <v>2018</v>
      </c>
      <c r="H18" s="51">
        <v>17739705</v>
      </c>
      <c r="I18" s="50">
        <f t="shared" si="3"/>
        <v>3884</v>
      </c>
      <c r="J18" s="51">
        <v>7853716</v>
      </c>
      <c r="K18" s="50">
        <f t="shared" si="4"/>
        <v>1697</v>
      </c>
    </row>
    <row r="19" spans="1:29" ht="19.5">
      <c r="A19" s="59">
        <v>44327</v>
      </c>
      <c r="B19" s="116">
        <v>2559</v>
      </c>
      <c r="C19" s="115">
        <f t="shared" si="0"/>
        <v>0</v>
      </c>
      <c r="D19" s="57">
        <v>109118</v>
      </c>
      <c r="E19" s="50">
        <f t="shared" si="1"/>
        <v>93</v>
      </c>
      <c r="F19" s="51">
        <v>10552900</v>
      </c>
      <c r="G19" s="50">
        <f t="shared" si="2"/>
        <v>2509</v>
      </c>
      <c r="H19" s="51">
        <v>17743113</v>
      </c>
      <c r="I19" s="50">
        <f t="shared" si="3"/>
        <v>3408</v>
      </c>
      <c r="J19" s="51">
        <v>7855697</v>
      </c>
      <c r="K19" s="50">
        <f t="shared" si="4"/>
        <v>1981</v>
      </c>
    </row>
    <row r="20" spans="1:29" ht="25.5">
      <c r="A20" s="59">
        <v>44328</v>
      </c>
      <c r="B20" s="116">
        <v>2559</v>
      </c>
      <c r="C20" s="115">
        <f t="shared" si="0"/>
        <v>0</v>
      </c>
      <c r="D20" s="57">
        <v>109212.5</v>
      </c>
      <c r="E20" s="50">
        <f t="shared" si="1"/>
        <v>94.5</v>
      </c>
      <c r="F20" s="51">
        <v>10555252</v>
      </c>
      <c r="G20" s="50">
        <f t="shared" si="2"/>
        <v>2352</v>
      </c>
      <c r="H20" s="51">
        <v>17747662</v>
      </c>
      <c r="I20" s="50">
        <f t="shared" si="3"/>
        <v>4549</v>
      </c>
      <c r="J20" s="51">
        <v>7857429</v>
      </c>
      <c r="K20" s="50">
        <f t="shared" si="4"/>
        <v>1732</v>
      </c>
      <c r="L20" s="117" t="s">
        <v>18</v>
      </c>
      <c r="AC20" t="s">
        <v>56</v>
      </c>
    </row>
    <row r="21" spans="1:29" ht="19.5">
      <c r="A21" s="59">
        <v>44329</v>
      </c>
      <c r="B21" s="116">
        <v>2559</v>
      </c>
      <c r="C21" s="115">
        <f t="shared" si="0"/>
        <v>0</v>
      </c>
      <c r="D21" s="57">
        <v>109292.4</v>
      </c>
      <c r="E21" s="50">
        <f t="shared" si="1"/>
        <v>79.899999999994179</v>
      </c>
      <c r="F21" s="51">
        <v>10557065</v>
      </c>
      <c r="G21" s="50">
        <f t="shared" si="2"/>
        <v>1813</v>
      </c>
      <c r="H21" s="51">
        <v>17752094</v>
      </c>
      <c r="I21" s="50">
        <f t="shared" si="3"/>
        <v>4432</v>
      </c>
      <c r="J21" s="51">
        <v>7859102</v>
      </c>
      <c r="K21" s="50">
        <f t="shared" si="4"/>
        <v>1673</v>
      </c>
    </row>
    <row r="22" spans="1:29" ht="19.5">
      <c r="A22" s="59">
        <v>44330</v>
      </c>
      <c r="B22" s="116">
        <v>2559</v>
      </c>
      <c r="C22" s="115">
        <f t="shared" si="0"/>
        <v>0</v>
      </c>
      <c r="D22" s="57">
        <v>109406.7</v>
      </c>
      <c r="E22" s="50">
        <f t="shared" si="1"/>
        <v>114.30000000000291</v>
      </c>
      <c r="F22" s="51">
        <v>10559474</v>
      </c>
      <c r="G22" s="50">
        <f t="shared" si="2"/>
        <v>2409</v>
      </c>
      <c r="H22" s="51">
        <v>17756751</v>
      </c>
      <c r="I22" s="50">
        <f t="shared" si="3"/>
        <v>4657</v>
      </c>
      <c r="J22" s="51">
        <v>7861029</v>
      </c>
      <c r="K22" s="50">
        <f t="shared" si="4"/>
        <v>1927</v>
      </c>
    </row>
    <row r="23" spans="1:29" ht="19.5">
      <c r="A23" s="59">
        <v>44331</v>
      </c>
      <c r="B23" s="116">
        <v>2559</v>
      </c>
      <c r="C23" s="115">
        <f t="shared" si="0"/>
        <v>0</v>
      </c>
      <c r="D23" s="57">
        <v>109496</v>
      </c>
      <c r="E23" s="50">
        <f t="shared" si="1"/>
        <v>89.30000000000291</v>
      </c>
      <c r="F23" s="51">
        <v>10561520</v>
      </c>
      <c r="G23" s="50">
        <f t="shared" si="2"/>
        <v>2046</v>
      </c>
      <c r="H23" s="51">
        <v>17761291</v>
      </c>
      <c r="I23" s="50">
        <f t="shared" si="3"/>
        <v>4540</v>
      </c>
      <c r="J23" s="51">
        <v>7862965</v>
      </c>
      <c r="K23" s="50">
        <f t="shared" si="4"/>
        <v>1936</v>
      </c>
    </row>
    <row r="24" spans="1:29" ht="19.5">
      <c r="A24" s="59">
        <v>44332</v>
      </c>
      <c r="B24" s="116">
        <v>2559</v>
      </c>
      <c r="C24" s="115">
        <f t="shared" si="0"/>
        <v>0</v>
      </c>
      <c r="D24" s="57">
        <v>109624.9</v>
      </c>
      <c r="E24" s="167">
        <f t="shared" si="1"/>
        <v>128.89999999999418</v>
      </c>
      <c r="F24" s="51">
        <v>10563522</v>
      </c>
      <c r="G24" s="50">
        <f t="shared" si="2"/>
        <v>2002</v>
      </c>
      <c r="H24" s="51">
        <v>17765786</v>
      </c>
      <c r="I24" s="50">
        <f t="shared" si="3"/>
        <v>4495</v>
      </c>
      <c r="J24" s="51">
        <v>7864777</v>
      </c>
      <c r="K24" s="50">
        <f t="shared" si="4"/>
        <v>1812</v>
      </c>
    </row>
    <row r="25" spans="1:29" ht="19.5">
      <c r="A25" s="59">
        <v>44333</v>
      </c>
      <c r="B25" s="116">
        <v>2559</v>
      </c>
      <c r="C25" s="115">
        <f t="shared" si="0"/>
        <v>0</v>
      </c>
      <c r="D25" s="57">
        <v>109852.8</v>
      </c>
      <c r="E25" s="167">
        <f t="shared" si="1"/>
        <v>227.90000000000873</v>
      </c>
      <c r="F25" s="51">
        <v>10565750</v>
      </c>
      <c r="G25" s="50">
        <f t="shared" si="2"/>
        <v>2228</v>
      </c>
      <c r="H25" s="51">
        <v>17770995</v>
      </c>
      <c r="I25" s="50">
        <f t="shared" si="3"/>
        <v>5209</v>
      </c>
      <c r="J25" s="51">
        <v>7866561</v>
      </c>
      <c r="K25" s="50">
        <f t="shared" si="4"/>
        <v>1784</v>
      </c>
    </row>
    <row r="26" spans="1:29" ht="19.5">
      <c r="A26" s="59">
        <v>44334</v>
      </c>
      <c r="B26" s="116">
        <v>2559</v>
      </c>
      <c r="C26" s="115">
        <f t="shared" si="0"/>
        <v>0</v>
      </c>
      <c r="D26" s="57">
        <v>109942.5</v>
      </c>
      <c r="E26" s="50">
        <f t="shared" si="1"/>
        <v>89.69999999999709</v>
      </c>
      <c r="F26" s="51">
        <v>10568071</v>
      </c>
      <c r="G26" s="50">
        <f t="shared" si="2"/>
        <v>2321</v>
      </c>
      <c r="H26" s="51">
        <v>17775279</v>
      </c>
      <c r="I26" s="50">
        <f t="shared" si="3"/>
        <v>4284</v>
      </c>
      <c r="J26" s="51">
        <v>7868506</v>
      </c>
      <c r="K26" s="50">
        <f t="shared" si="4"/>
        <v>1945</v>
      </c>
    </row>
    <row r="27" spans="1:29" ht="19.5">
      <c r="A27" s="59">
        <v>44335</v>
      </c>
      <c r="B27" s="116">
        <v>2559</v>
      </c>
      <c r="C27" s="115">
        <f t="shared" si="0"/>
        <v>0</v>
      </c>
      <c r="D27" s="57">
        <v>110023.6</v>
      </c>
      <c r="E27" s="50">
        <f t="shared" si="1"/>
        <v>81.100000000005821</v>
      </c>
      <c r="F27" s="51">
        <v>10570650</v>
      </c>
      <c r="G27" s="50">
        <f t="shared" si="2"/>
        <v>2579</v>
      </c>
      <c r="H27" s="51">
        <v>17780285</v>
      </c>
      <c r="I27" s="50">
        <f t="shared" si="3"/>
        <v>5006</v>
      </c>
      <c r="J27" s="51">
        <v>7870325</v>
      </c>
      <c r="K27" s="50">
        <f t="shared" si="4"/>
        <v>1819</v>
      </c>
    </row>
    <row r="28" spans="1:29" ht="19.5">
      <c r="A28" s="59">
        <v>44336</v>
      </c>
      <c r="B28" s="116">
        <v>2559</v>
      </c>
      <c r="C28" s="115">
        <f t="shared" si="0"/>
        <v>0</v>
      </c>
      <c r="D28" s="57">
        <v>110084.1</v>
      </c>
      <c r="E28" s="50">
        <f t="shared" si="1"/>
        <v>60.5</v>
      </c>
      <c r="F28" s="51">
        <v>10572922</v>
      </c>
      <c r="G28" s="50">
        <f t="shared" si="2"/>
        <v>2272</v>
      </c>
      <c r="H28" s="51">
        <v>17785695</v>
      </c>
      <c r="I28" s="50">
        <f t="shared" si="3"/>
        <v>5410</v>
      </c>
      <c r="J28" s="51">
        <v>7872270</v>
      </c>
      <c r="K28" s="50">
        <f t="shared" si="4"/>
        <v>1945</v>
      </c>
    </row>
    <row r="29" spans="1:29" ht="19.5">
      <c r="A29" s="59">
        <v>44337</v>
      </c>
      <c r="B29" s="116">
        <v>2559</v>
      </c>
      <c r="C29" s="115">
        <f t="shared" si="0"/>
        <v>0</v>
      </c>
      <c r="D29" s="57">
        <v>110154.7</v>
      </c>
      <c r="E29" s="50">
        <f t="shared" si="1"/>
        <v>70.599999999991269</v>
      </c>
      <c r="F29" s="51">
        <v>10575706</v>
      </c>
      <c r="G29" s="50">
        <f t="shared" si="2"/>
        <v>2784</v>
      </c>
      <c r="H29" s="51">
        <v>17791222</v>
      </c>
      <c r="I29" s="50">
        <f t="shared" si="3"/>
        <v>5527</v>
      </c>
      <c r="J29" s="51">
        <v>7874240</v>
      </c>
      <c r="K29" s="50">
        <f t="shared" si="4"/>
        <v>1970</v>
      </c>
    </row>
    <row r="30" spans="1:29" ht="19.5">
      <c r="A30" s="59">
        <v>44338</v>
      </c>
      <c r="B30" s="116">
        <v>2559</v>
      </c>
      <c r="C30" s="115">
        <f t="shared" si="0"/>
        <v>0</v>
      </c>
      <c r="D30" s="57">
        <v>110236.1</v>
      </c>
      <c r="E30" s="50">
        <f t="shared" si="1"/>
        <v>81.400000000008731</v>
      </c>
      <c r="F30" s="51">
        <v>10578319</v>
      </c>
      <c r="G30" s="50">
        <f t="shared" si="2"/>
        <v>2613</v>
      </c>
      <c r="H30" s="51">
        <v>17797124</v>
      </c>
      <c r="I30" s="50">
        <f t="shared" si="3"/>
        <v>5902</v>
      </c>
      <c r="J30" s="51">
        <v>7876609</v>
      </c>
      <c r="K30" s="50">
        <f t="shared" si="4"/>
        <v>2369</v>
      </c>
    </row>
    <row r="31" spans="1:29" ht="19.5">
      <c r="A31" s="59">
        <v>44339</v>
      </c>
      <c r="B31" s="116">
        <v>2559</v>
      </c>
      <c r="C31" s="115">
        <f t="shared" si="0"/>
        <v>0</v>
      </c>
      <c r="D31" s="57">
        <v>110320</v>
      </c>
      <c r="E31" s="50">
        <f t="shared" si="1"/>
        <v>83.899999999994179</v>
      </c>
      <c r="F31" s="51">
        <v>10581548</v>
      </c>
      <c r="G31" s="50">
        <f t="shared" si="2"/>
        <v>3229</v>
      </c>
      <c r="H31" s="51">
        <v>17802841</v>
      </c>
      <c r="I31" s="50">
        <f t="shared" si="3"/>
        <v>5717</v>
      </c>
      <c r="J31" s="51">
        <v>7879705</v>
      </c>
      <c r="K31" s="50">
        <f t="shared" si="4"/>
        <v>3096</v>
      </c>
    </row>
    <row r="32" spans="1:29" ht="19.5">
      <c r="A32" s="59">
        <v>44340</v>
      </c>
      <c r="B32" s="116">
        <v>2559</v>
      </c>
      <c r="C32" s="115">
        <f t="shared" si="0"/>
        <v>0</v>
      </c>
      <c r="D32" s="57">
        <v>110391</v>
      </c>
      <c r="E32" s="50">
        <f t="shared" ref="E32:E35" si="5">D32-D31</f>
        <v>71</v>
      </c>
      <c r="F32" s="51">
        <v>10584245</v>
      </c>
      <c r="G32" s="50">
        <f t="shared" si="2"/>
        <v>2697</v>
      </c>
      <c r="H32" s="51">
        <v>17808278</v>
      </c>
      <c r="I32" s="50">
        <f t="shared" si="3"/>
        <v>5437</v>
      </c>
      <c r="J32" s="51">
        <v>7881290</v>
      </c>
      <c r="K32" s="50">
        <f t="shared" si="4"/>
        <v>1585</v>
      </c>
    </row>
    <row r="33" spans="1:11" ht="19.5">
      <c r="A33" s="59">
        <v>44341</v>
      </c>
      <c r="B33" s="116">
        <v>2559</v>
      </c>
      <c r="C33" s="115">
        <f t="shared" si="0"/>
        <v>0</v>
      </c>
      <c r="D33" s="57">
        <v>110471.9</v>
      </c>
      <c r="E33" s="50">
        <f t="shared" si="5"/>
        <v>80.899999999994179</v>
      </c>
      <c r="F33" s="51">
        <v>10586582</v>
      </c>
      <c r="G33" s="50">
        <f t="shared" si="2"/>
        <v>2337</v>
      </c>
      <c r="H33" s="51">
        <v>17813718</v>
      </c>
      <c r="I33" s="50">
        <f t="shared" si="3"/>
        <v>5440</v>
      </c>
      <c r="J33" s="51">
        <v>7885327</v>
      </c>
      <c r="K33" s="50">
        <f t="shared" si="4"/>
        <v>4037</v>
      </c>
    </row>
    <row r="34" spans="1:11" ht="19.5">
      <c r="A34" s="59">
        <v>44342</v>
      </c>
      <c r="B34" s="116">
        <v>2559</v>
      </c>
      <c r="C34" s="115">
        <f t="shared" si="0"/>
        <v>0</v>
      </c>
      <c r="D34" s="57">
        <v>110571.6</v>
      </c>
      <c r="E34" s="50">
        <f t="shared" si="5"/>
        <v>99.700000000011642</v>
      </c>
      <c r="F34" s="51">
        <v>10588922</v>
      </c>
      <c r="G34" s="50">
        <f t="shared" si="2"/>
        <v>2340</v>
      </c>
      <c r="H34" s="51">
        <v>17819235</v>
      </c>
      <c r="I34" s="50">
        <f t="shared" si="3"/>
        <v>5517</v>
      </c>
      <c r="J34" s="51">
        <v>7885442</v>
      </c>
      <c r="K34" s="50">
        <f t="shared" si="4"/>
        <v>115</v>
      </c>
    </row>
    <row r="35" spans="1:11" ht="19.5">
      <c r="A35" s="59">
        <v>44343</v>
      </c>
      <c r="B35" s="116">
        <v>2559</v>
      </c>
      <c r="C35" s="115">
        <f t="shared" si="0"/>
        <v>0</v>
      </c>
      <c r="D35" s="57">
        <v>110650.3</v>
      </c>
      <c r="E35" s="50">
        <f t="shared" si="5"/>
        <v>78.69999999999709</v>
      </c>
      <c r="F35" s="51">
        <v>10591754</v>
      </c>
      <c r="G35" s="50">
        <f t="shared" si="2"/>
        <v>2832</v>
      </c>
      <c r="H35" s="51">
        <v>17824482</v>
      </c>
      <c r="I35" s="50">
        <f t="shared" si="3"/>
        <v>5247</v>
      </c>
      <c r="J35" s="51">
        <v>7887443</v>
      </c>
      <c r="K35" s="50">
        <f t="shared" si="4"/>
        <v>2001</v>
      </c>
    </row>
    <row r="36" spans="1:11" ht="19.5">
      <c r="A36" s="59">
        <v>44344</v>
      </c>
      <c r="B36" s="116"/>
      <c r="C36" s="115"/>
      <c r="D36" s="57"/>
      <c r="E36" s="50"/>
      <c r="F36" s="51"/>
      <c r="G36" s="50"/>
      <c r="H36" s="51"/>
      <c r="I36" s="50"/>
      <c r="J36" s="51"/>
      <c r="K36" s="50"/>
    </row>
    <row r="37" spans="1:11" ht="19.5">
      <c r="A37" s="59">
        <v>44345</v>
      </c>
      <c r="B37" s="116"/>
      <c r="C37" s="115"/>
      <c r="D37" s="57"/>
      <c r="E37" s="50"/>
      <c r="F37" s="51"/>
      <c r="G37" s="50"/>
      <c r="H37" s="51"/>
      <c r="I37" s="50"/>
      <c r="J37" s="51"/>
      <c r="K37" s="50"/>
    </row>
    <row r="38" spans="1:11" ht="19.5">
      <c r="A38" s="59">
        <v>44346</v>
      </c>
      <c r="B38" s="116"/>
      <c r="C38" s="115"/>
      <c r="D38" s="57"/>
      <c r="E38" s="50"/>
      <c r="F38" s="51"/>
      <c r="G38" s="50"/>
      <c r="H38" s="51"/>
      <c r="I38" s="50"/>
      <c r="J38" s="51"/>
      <c r="K38" s="50"/>
    </row>
    <row r="39" spans="1:11" ht="19.5">
      <c r="A39" s="59">
        <v>44347</v>
      </c>
      <c r="B39" s="116"/>
      <c r="C39" s="115"/>
      <c r="D39" s="57"/>
      <c r="E39" s="50"/>
      <c r="F39" s="51"/>
      <c r="G39" s="50"/>
      <c r="H39" s="51"/>
      <c r="I39" s="50"/>
      <c r="J39" s="51"/>
      <c r="K39" s="50"/>
    </row>
    <row r="40" spans="1:11" ht="21.75" customHeight="1">
      <c r="A40" s="52"/>
      <c r="B40" s="52"/>
      <c r="C40" s="52"/>
      <c r="E40" s="145"/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0:E65533">
    <cfRule type="cellIs" dxfId="4" priority="55" stopIfTrue="1" operator="lessThanOrEqual">
      <formula>0</formula>
    </cfRule>
  </conditionalFormatting>
  <conditionalFormatting sqref="E15:E39">
    <cfRule type="cellIs" dxfId="3" priority="22" stopIfTrue="1" operator="lessThanOrEqual">
      <formula>0</formula>
    </cfRule>
  </conditionalFormatting>
  <conditionalFormatting sqref="E10:E39">
    <cfRule type="cellIs" dxfId="2" priority="17" stopIfTrue="1" operator="lessThanOrEqual">
      <formula>0</formula>
    </cfRule>
  </conditionalFormatting>
  <conditionalFormatting sqref="E9">
    <cfRule type="cellIs" dxfId="1" priority="2" stopIfTrue="1" operator="lessThanOrEqual">
      <formula>0</formula>
    </cfRule>
  </conditionalFormatting>
  <conditionalFormatting sqref="E9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29" activePane="bottomRight" state="frozen"/>
      <selection pane="bottomRight" activeCell="I30" sqref="I30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5" t="s">
        <v>57</v>
      </c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</row>
    <row r="2" spans="1:31" ht="41.25" customHeight="1" thickBot="1">
      <c r="Q2" s="290">
        <v>803</v>
      </c>
      <c r="R2" s="291"/>
      <c r="S2" s="292"/>
      <c r="T2" s="293">
        <v>519</v>
      </c>
      <c r="U2" s="291"/>
      <c r="V2" s="292"/>
      <c r="W2" s="293">
        <v>800</v>
      </c>
      <c r="X2" s="291"/>
      <c r="Y2" s="292"/>
      <c r="Z2" s="293">
        <v>802</v>
      </c>
      <c r="AA2" s="291"/>
      <c r="AB2" s="294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44317</v>
      </c>
      <c r="B4" s="41">
        <v>60</v>
      </c>
      <c r="C4" s="39">
        <f t="shared" ref="C4:C28" si="0">IF(AC4&gt;0,((B4-R4)+(S4-B5)),IF(B5=0, ,(B4-B5)))</f>
        <v>1</v>
      </c>
      <c r="D4" s="41">
        <v>61</v>
      </c>
      <c r="E4" s="39">
        <f t="shared" ref="E4:E27" si="1">IF(AC4&gt;0,((D4-U4)+(V4-D5)),IF(D5=0, ,(D4-D5)))</f>
        <v>2</v>
      </c>
      <c r="F4" s="41">
        <v>62</v>
      </c>
      <c r="G4" s="39">
        <f t="shared" ref="G4:G27" si="2">IF(AC4&gt;0,((F4-X4)+(Y4-F5)),IF(F5=0, ,(F4-F5)))</f>
        <v>2</v>
      </c>
      <c r="H4" s="41">
        <v>62</v>
      </c>
      <c r="I4" s="39">
        <f>IF(AC4&gt;0,((H4-AA4)+(AB4-H5)),IF(H5=0, ,(H4-H5)))</f>
        <v>2</v>
      </c>
      <c r="J4" s="39">
        <f>B4+D4+F4+H4</f>
        <v>245</v>
      </c>
      <c r="K4" s="39">
        <f>J4/4</f>
        <v>61.25</v>
      </c>
      <c r="L4" s="39">
        <f>IF(AC4&gt;0,((K4-AD4)+(AE4-K5)),IF(K5=0, ,(K4-K5)))</f>
        <v>1.75</v>
      </c>
      <c r="M4" s="150">
        <f>7000*4</f>
        <v>28000</v>
      </c>
      <c r="N4" s="39">
        <f>L4*M4/100</f>
        <v>490</v>
      </c>
      <c r="O4" s="39">
        <f>N4*0.529</f>
        <v>259.21000000000004</v>
      </c>
      <c r="P4" s="42">
        <f>O4*8.7</f>
        <v>2255.127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3">Q4+T4+W4+Z4</f>
        <v>0</v>
      </c>
      <c r="AD4" s="38">
        <f t="shared" ref="AD4:AD24" si="4">(R4+U4+X4+AA4)/4</f>
        <v>0</v>
      </c>
      <c r="AE4" s="38">
        <f t="shared" ref="AE4:AE24" si="5">(S4+V4+Y4+AB4)/4</f>
        <v>0</v>
      </c>
    </row>
    <row r="5" spans="1:31" ht="32.25" customHeight="1">
      <c r="A5" s="40">
        <v>44318</v>
      </c>
      <c r="B5" s="41">
        <v>59</v>
      </c>
      <c r="C5" s="39">
        <f t="shared" si="0"/>
        <v>4</v>
      </c>
      <c r="D5" s="41">
        <v>59</v>
      </c>
      <c r="E5" s="39">
        <f t="shared" si="1"/>
        <v>3</v>
      </c>
      <c r="F5" s="41">
        <v>60</v>
      </c>
      <c r="G5" s="39">
        <f t="shared" si="2"/>
        <v>2</v>
      </c>
      <c r="H5" s="41">
        <v>60</v>
      </c>
      <c r="I5" s="39">
        <f>IF(AC5&gt;0,((H5-AA5)+(AB5-H6)),IF(H6=0, ,(H5-H6)))</f>
        <v>2</v>
      </c>
      <c r="J5" s="39">
        <f>B5+D5+F5+H5</f>
        <v>238</v>
      </c>
      <c r="K5" s="39">
        <f>J5/4</f>
        <v>59.5</v>
      </c>
      <c r="L5" s="39">
        <f>IF(AC5&gt;0,((K5-AD5)+(AE5-K6)),IF(K6=0, ,(K5-K6)))</f>
        <v>2.75</v>
      </c>
      <c r="M5" s="150">
        <f t="shared" ref="M5:M42" si="6">7000*4</f>
        <v>28000</v>
      </c>
      <c r="N5" s="39">
        <f>L5*M5/100</f>
        <v>770</v>
      </c>
      <c r="O5" s="39">
        <f>N5*0.529</f>
        <v>407.33000000000004</v>
      </c>
      <c r="P5" s="42">
        <f t="shared" ref="P5:P38" si="7">O5*8.7</f>
        <v>3543.7710000000002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3"/>
        <v>0</v>
      </c>
      <c r="AD5" s="38">
        <f t="shared" si="4"/>
        <v>0</v>
      </c>
      <c r="AE5" s="38">
        <f t="shared" si="5"/>
        <v>0</v>
      </c>
    </row>
    <row r="6" spans="1:31" ht="32.25" customHeight="1">
      <c r="A6" s="40">
        <v>44319</v>
      </c>
      <c r="B6" s="41">
        <v>55</v>
      </c>
      <c r="C6" s="39">
        <f t="shared" si="0"/>
        <v>1</v>
      </c>
      <c r="D6" s="41">
        <v>56</v>
      </c>
      <c r="E6" s="39">
        <f t="shared" si="1"/>
        <v>2</v>
      </c>
      <c r="F6" s="41">
        <v>58</v>
      </c>
      <c r="G6" s="39">
        <f t="shared" si="2"/>
        <v>3</v>
      </c>
      <c r="H6" s="41">
        <v>58</v>
      </c>
      <c r="I6" s="39">
        <f t="shared" ref="I6:I36" si="8">IF(AC6&gt;0,((H6-AA6)+(AB6-H7)),IF(H7=0, ,(H6-H7)))</f>
        <v>3</v>
      </c>
      <c r="J6" s="39">
        <f t="shared" ref="J6:J42" si="9">B6+D6+F6+H6</f>
        <v>227</v>
      </c>
      <c r="K6" s="39">
        <f t="shared" ref="K6:K42" si="10">J6/4</f>
        <v>56.75</v>
      </c>
      <c r="L6" s="39">
        <f t="shared" ref="L6:L19" si="11">IF(AC6&gt;0,((K6-AD6)+(AE6-K7)),IF(K7=0, ,(K6-K7)))</f>
        <v>2.25</v>
      </c>
      <c r="M6" s="150">
        <f t="shared" si="6"/>
        <v>28000</v>
      </c>
      <c r="N6" s="39">
        <f t="shared" ref="N6:N42" si="12">L6*M6/100</f>
        <v>630</v>
      </c>
      <c r="O6" s="39">
        <f>N6*0.529</f>
        <v>333.27000000000004</v>
      </c>
      <c r="P6" s="42">
        <f t="shared" si="7"/>
        <v>2899.4490000000001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3"/>
        <v>0</v>
      </c>
      <c r="AD6" s="38">
        <f t="shared" si="4"/>
        <v>0</v>
      </c>
      <c r="AE6" s="38">
        <f t="shared" si="5"/>
        <v>0</v>
      </c>
    </row>
    <row r="7" spans="1:31" ht="32.25" customHeight="1">
      <c r="A7" s="40">
        <v>44320</v>
      </c>
      <c r="B7" s="41">
        <v>54</v>
      </c>
      <c r="C7" s="39">
        <f t="shared" si="0"/>
        <v>3</v>
      </c>
      <c r="D7" s="41">
        <v>54</v>
      </c>
      <c r="E7" s="39">
        <f t="shared" si="1"/>
        <v>4</v>
      </c>
      <c r="F7" s="41">
        <v>55</v>
      </c>
      <c r="G7" s="39">
        <f t="shared" si="2"/>
        <v>1</v>
      </c>
      <c r="H7" s="41">
        <v>55</v>
      </c>
      <c r="I7" s="39">
        <f t="shared" si="8"/>
        <v>1</v>
      </c>
      <c r="J7" s="39">
        <f t="shared" si="9"/>
        <v>218</v>
      </c>
      <c r="K7" s="39">
        <f t="shared" si="10"/>
        <v>54.5</v>
      </c>
      <c r="L7" s="39">
        <f t="shared" si="11"/>
        <v>2.25</v>
      </c>
      <c r="M7" s="150">
        <f t="shared" si="6"/>
        <v>28000</v>
      </c>
      <c r="N7" s="39">
        <f t="shared" si="12"/>
        <v>630</v>
      </c>
      <c r="O7" s="39">
        <f>N7*0.53</f>
        <v>333.90000000000003</v>
      </c>
      <c r="P7" s="42">
        <f t="shared" si="7"/>
        <v>2904.93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3"/>
        <v>0</v>
      </c>
      <c r="AD7" s="38">
        <f t="shared" si="4"/>
        <v>0</v>
      </c>
      <c r="AE7" s="38">
        <f t="shared" si="5"/>
        <v>0</v>
      </c>
    </row>
    <row r="8" spans="1:31" ht="32.25" customHeight="1">
      <c r="A8" s="40">
        <v>44321</v>
      </c>
      <c r="B8" s="41">
        <v>51</v>
      </c>
      <c r="C8" s="39">
        <f t="shared" si="0"/>
        <v>1</v>
      </c>
      <c r="D8" s="41">
        <v>50</v>
      </c>
      <c r="E8" s="39">
        <f t="shared" si="1"/>
        <v>-1</v>
      </c>
      <c r="F8" s="41">
        <v>54</v>
      </c>
      <c r="G8" s="39">
        <f t="shared" si="2"/>
        <v>2</v>
      </c>
      <c r="H8" s="41">
        <v>54</v>
      </c>
      <c r="I8" s="39">
        <f t="shared" si="8"/>
        <v>2</v>
      </c>
      <c r="J8" s="39">
        <f t="shared" si="9"/>
        <v>209</v>
      </c>
      <c r="K8" s="39">
        <f t="shared" si="10"/>
        <v>52.25</v>
      </c>
      <c r="L8" s="39">
        <f t="shared" si="11"/>
        <v>1</v>
      </c>
      <c r="M8" s="150">
        <f>6049*4</f>
        <v>24196</v>
      </c>
      <c r="N8" s="39">
        <f t="shared" si="12"/>
        <v>241.96</v>
      </c>
      <c r="O8" s="149">
        <f t="shared" ref="O8:O37" si="13">N8*0.529</f>
        <v>127.99684000000001</v>
      </c>
      <c r="P8" s="42">
        <f t="shared" si="7"/>
        <v>1113.572508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3"/>
        <v>0</v>
      </c>
      <c r="AD8" s="38">
        <f t="shared" si="4"/>
        <v>0</v>
      </c>
      <c r="AE8" s="38">
        <f t="shared" si="5"/>
        <v>0</v>
      </c>
    </row>
    <row r="9" spans="1:31" ht="32.25" customHeight="1">
      <c r="A9" s="40">
        <v>44322</v>
      </c>
      <c r="B9" s="41">
        <v>50</v>
      </c>
      <c r="C9" s="39">
        <f t="shared" si="0"/>
        <v>2</v>
      </c>
      <c r="D9" s="41">
        <v>51</v>
      </c>
      <c r="E9" s="39">
        <f t="shared" si="1"/>
        <v>1</v>
      </c>
      <c r="F9" s="41">
        <v>52</v>
      </c>
      <c r="G9" s="39">
        <f t="shared" si="2"/>
        <v>2</v>
      </c>
      <c r="H9" s="41">
        <v>52</v>
      </c>
      <c r="I9" s="39">
        <f t="shared" si="8"/>
        <v>2</v>
      </c>
      <c r="J9" s="39">
        <f t="shared" si="9"/>
        <v>205</v>
      </c>
      <c r="K9" s="39">
        <f t="shared" si="10"/>
        <v>51.25</v>
      </c>
      <c r="L9" s="39">
        <f t="shared" si="11"/>
        <v>1.75</v>
      </c>
      <c r="M9" s="150">
        <f t="shared" ref="M9:M42" si="14">6049*4</f>
        <v>24196</v>
      </c>
      <c r="N9" s="39">
        <f t="shared" si="12"/>
        <v>423.43</v>
      </c>
      <c r="O9" s="39">
        <f t="shared" si="13"/>
        <v>223.99447000000001</v>
      </c>
      <c r="P9" s="42">
        <f t="shared" si="7"/>
        <v>1948.7518889999999</v>
      </c>
      <c r="Q9" s="39">
        <v>2690</v>
      </c>
      <c r="R9" s="39">
        <v>48</v>
      </c>
      <c r="S9" s="39">
        <v>85</v>
      </c>
      <c r="T9" s="39">
        <v>2736</v>
      </c>
      <c r="U9" s="39">
        <v>50</v>
      </c>
      <c r="V9" s="39">
        <v>85</v>
      </c>
      <c r="W9" s="39">
        <v>2659</v>
      </c>
      <c r="X9" s="39">
        <v>50</v>
      </c>
      <c r="Y9" s="39">
        <v>85</v>
      </c>
      <c r="Z9" s="39">
        <v>2534</v>
      </c>
      <c r="AA9" s="39">
        <v>50</v>
      </c>
      <c r="AB9" s="39">
        <v>85</v>
      </c>
      <c r="AC9" s="39">
        <f t="shared" si="3"/>
        <v>10619</v>
      </c>
      <c r="AD9" s="38">
        <f t="shared" si="4"/>
        <v>49.5</v>
      </c>
      <c r="AE9" s="38">
        <f t="shared" si="5"/>
        <v>85</v>
      </c>
    </row>
    <row r="10" spans="1:31" ht="32.25" customHeight="1">
      <c r="A10" s="40">
        <v>44323</v>
      </c>
      <c r="B10" s="41">
        <v>85</v>
      </c>
      <c r="C10" s="39">
        <f t="shared" si="0"/>
        <v>0</v>
      </c>
      <c r="D10" s="41">
        <v>85</v>
      </c>
      <c r="E10" s="39">
        <f t="shared" si="1"/>
        <v>0</v>
      </c>
      <c r="F10" s="41">
        <v>85</v>
      </c>
      <c r="G10" s="39">
        <f t="shared" si="2"/>
        <v>1</v>
      </c>
      <c r="H10" s="41">
        <v>85</v>
      </c>
      <c r="I10" s="39">
        <f t="shared" si="8"/>
        <v>1</v>
      </c>
      <c r="J10" s="39">
        <f t="shared" si="9"/>
        <v>340</v>
      </c>
      <c r="K10" s="39">
        <f t="shared" si="10"/>
        <v>85</v>
      </c>
      <c r="L10" s="39">
        <f t="shared" si="11"/>
        <v>0.5</v>
      </c>
      <c r="M10" s="150">
        <f t="shared" si="14"/>
        <v>24196</v>
      </c>
      <c r="N10" s="39">
        <f t="shared" si="12"/>
        <v>120.98</v>
      </c>
      <c r="O10" s="149">
        <f t="shared" si="13"/>
        <v>63.998420000000003</v>
      </c>
      <c r="P10" s="42">
        <f t="shared" si="7"/>
        <v>556.78625399999999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3"/>
        <v>0</v>
      </c>
      <c r="AD10" s="38">
        <f t="shared" si="4"/>
        <v>0</v>
      </c>
      <c r="AE10" s="38">
        <f t="shared" si="5"/>
        <v>0</v>
      </c>
    </row>
    <row r="11" spans="1:31" ht="32.25" customHeight="1">
      <c r="A11" s="40">
        <v>44324</v>
      </c>
      <c r="B11" s="41">
        <v>85</v>
      </c>
      <c r="C11" s="39">
        <f t="shared" si="0"/>
        <v>2</v>
      </c>
      <c r="D11" s="41">
        <v>85</v>
      </c>
      <c r="E11" s="39">
        <f t="shared" si="1"/>
        <v>2</v>
      </c>
      <c r="F11" s="41">
        <v>84</v>
      </c>
      <c r="G11" s="39">
        <f t="shared" si="2"/>
        <v>2</v>
      </c>
      <c r="H11" s="41">
        <v>84</v>
      </c>
      <c r="I11" s="39">
        <f t="shared" si="8"/>
        <v>2</v>
      </c>
      <c r="J11" s="39">
        <f t="shared" si="9"/>
        <v>338</v>
      </c>
      <c r="K11" s="39">
        <f t="shared" si="10"/>
        <v>84.5</v>
      </c>
      <c r="L11" s="39">
        <f t="shared" si="11"/>
        <v>2</v>
      </c>
      <c r="M11" s="150">
        <f t="shared" si="14"/>
        <v>24196</v>
      </c>
      <c r="N11" s="39">
        <f t="shared" si="12"/>
        <v>483.92</v>
      </c>
      <c r="O11" s="39">
        <f t="shared" si="13"/>
        <v>255.99368000000001</v>
      </c>
      <c r="P11" s="42">
        <f t="shared" si="7"/>
        <v>2227.1450159999999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3"/>
        <v>0</v>
      </c>
      <c r="AD11" s="38">
        <f t="shared" si="4"/>
        <v>0</v>
      </c>
      <c r="AE11" s="38">
        <f t="shared" si="5"/>
        <v>0</v>
      </c>
    </row>
    <row r="12" spans="1:31" ht="32.25" customHeight="1">
      <c r="A12" s="40">
        <v>44325</v>
      </c>
      <c r="B12" s="41">
        <v>83</v>
      </c>
      <c r="C12" s="39">
        <f t="shared" si="0"/>
        <v>3</v>
      </c>
      <c r="D12" s="41">
        <v>83</v>
      </c>
      <c r="E12" s="39">
        <f t="shared" si="1"/>
        <v>2</v>
      </c>
      <c r="F12" s="41">
        <v>82</v>
      </c>
      <c r="G12" s="39">
        <f t="shared" si="2"/>
        <v>2</v>
      </c>
      <c r="H12" s="41">
        <v>82</v>
      </c>
      <c r="I12" s="39">
        <f t="shared" si="8"/>
        <v>3</v>
      </c>
      <c r="J12" s="39">
        <f t="shared" si="9"/>
        <v>330</v>
      </c>
      <c r="K12" s="39">
        <f t="shared" si="10"/>
        <v>82.5</v>
      </c>
      <c r="L12" s="39">
        <f t="shared" si="11"/>
        <v>2.5</v>
      </c>
      <c r="M12" s="150">
        <f t="shared" si="14"/>
        <v>24196</v>
      </c>
      <c r="N12" s="39">
        <f t="shared" si="12"/>
        <v>604.9</v>
      </c>
      <c r="O12" s="39">
        <f t="shared" si="13"/>
        <v>319.99209999999999</v>
      </c>
      <c r="P12" s="42">
        <f t="shared" si="7"/>
        <v>2783.9312699999996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3"/>
        <v>0</v>
      </c>
      <c r="AD12" s="38">
        <f t="shared" si="4"/>
        <v>0</v>
      </c>
      <c r="AE12" s="38">
        <f t="shared" si="5"/>
        <v>0</v>
      </c>
    </row>
    <row r="13" spans="1:31" ht="32.25" customHeight="1">
      <c r="A13" s="40">
        <v>44326</v>
      </c>
      <c r="B13" s="41">
        <v>80</v>
      </c>
      <c r="C13" s="39">
        <f t="shared" si="0"/>
        <v>2</v>
      </c>
      <c r="D13" s="41">
        <v>81</v>
      </c>
      <c r="E13" s="39">
        <f t="shared" si="1"/>
        <v>5</v>
      </c>
      <c r="F13" s="41">
        <v>80</v>
      </c>
      <c r="G13" s="39">
        <f t="shared" si="2"/>
        <v>1</v>
      </c>
      <c r="H13" s="41">
        <v>79</v>
      </c>
      <c r="I13" s="39">
        <f t="shared" si="8"/>
        <v>3</v>
      </c>
      <c r="J13" s="39">
        <f t="shared" si="9"/>
        <v>320</v>
      </c>
      <c r="K13" s="39">
        <f t="shared" si="10"/>
        <v>80</v>
      </c>
      <c r="L13" s="39">
        <f t="shared" si="11"/>
        <v>2.75</v>
      </c>
      <c r="M13" s="150">
        <f t="shared" si="14"/>
        <v>24196</v>
      </c>
      <c r="N13" s="39">
        <f t="shared" si="12"/>
        <v>665.39</v>
      </c>
      <c r="O13" s="39">
        <f t="shared" si="13"/>
        <v>351.99131</v>
      </c>
      <c r="P13" s="42">
        <f t="shared" si="7"/>
        <v>3062.3243969999999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3"/>
        <v>0</v>
      </c>
      <c r="AD13" s="38">
        <f t="shared" si="4"/>
        <v>0</v>
      </c>
      <c r="AE13" s="38">
        <f t="shared" si="5"/>
        <v>0</v>
      </c>
    </row>
    <row r="14" spans="1:31" ht="32.25" customHeight="1">
      <c r="A14" s="40">
        <v>44327</v>
      </c>
      <c r="B14" s="41">
        <v>78</v>
      </c>
      <c r="C14" s="39">
        <f t="shared" si="0"/>
        <v>1</v>
      </c>
      <c r="D14" s="41">
        <v>76</v>
      </c>
      <c r="E14" s="39">
        <f t="shared" si="1"/>
        <v>2</v>
      </c>
      <c r="F14" s="41">
        <v>79</v>
      </c>
      <c r="G14" s="39">
        <f t="shared" si="2"/>
        <v>3</v>
      </c>
      <c r="H14" s="41">
        <v>76</v>
      </c>
      <c r="I14" s="39">
        <f>IF(AC14&gt;0,((H14-AA14)+(AB14-H15)),IF(H15=0, ,(H14-H15)))</f>
        <v>2</v>
      </c>
      <c r="J14" s="39">
        <f t="shared" si="9"/>
        <v>309</v>
      </c>
      <c r="K14" s="39">
        <f t="shared" si="10"/>
        <v>77.25</v>
      </c>
      <c r="L14" s="39">
        <f t="shared" si="11"/>
        <v>2</v>
      </c>
      <c r="M14" s="150">
        <f t="shared" si="14"/>
        <v>24196</v>
      </c>
      <c r="N14" s="39">
        <f t="shared" si="12"/>
        <v>483.92</v>
      </c>
      <c r="O14" s="39">
        <f t="shared" si="13"/>
        <v>255.99368000000001</v>
      </c>
      <c r="P14" s="42">
        <f t="shared" si="7"/>
        <v>2227.1450159999999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44328</v>
      </c>
      <c r="B15" s="41">
        <v>77</v>
      </c>
      <c r="C15" s="39">
        <f t="shared" si="0"/>
        <v>3</v>
      </c>
      <c r="D15" s="41">
        <v>74</v>
      </c>
      <c r="E15" s="39">
        <f t="shared" si="1"/>
        <v>3</v>
      </c>
      <c r="F15" s="41">
        <v>76</v>
      </c>
      <c r="G15" s="39">
        <f t="shared" si="2"/>
        <v>2</v>
      </c>
      <c r="H15" s="41">
        <v>74</v>
      </c>
      <c r="I15" s="39">
        <f>IF(AC15&gt;0,((H15-AA15)+(AB15-H16)),IF(H16=0, ,(H15-H16)))</f>
        <v>2</v>
      </c>
      <c r="J15" s="39">
        <f t="shared" si="9"/>
        <v>301</v>
      </c>
      <c r="K15" s="39">
        <f t="shared" si="10"/>
        <v>75.25</v>
      </c>
      <c r="L15" s="39">
        <f t="shared" si="11"/>
        <v>2.5</v>
      </c>
      <c r="M15" s="150">
        <f t="shared" si="14"/>
        <v>24196</v>
      </c>
      <c r="N15" s="39">
        <f t="shared" si="12"/>
        <v>604.9</v>
      </c>
      <c r="O15" s="39">
        <f t="shared" si="13"/>
        <v>319.99209999999999</v>
      </c>
      <c r="P15" s="42">
        <f t="shared" si="7"/>
        <v>2783.9312699999996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44329</v>
      </c>
      <c r="B16" s="41">
        <v>74</v>
      </c>
      <c r="C16" s="39">
        <f t="shared" si="0"/>
        <v>3</v>
      </c>
      <c r="D16" s="41">
        <v>71</v>
      </c>
      <c r="E16" s="39">
        <f t="shared" si="1"/>
        <v>1</v>
      </c>
      <c r="F16" s="41">
        <v>74</v>
      </c>
      <c r="G16" s="39">
        <f t="shared" si="2"/>
        <v>3</v>
      </c>
      <c r="H16" s="41">
        <v>72</v>
      </c>
      <c r="I16" s="39">
        <f t="shared" si="8"/>
        <v>3</v>
      </c>
      <c r="J16" s="39">
        <f t="shared" si="9"/>
        <v>291</v>
      </c>
      <c r="K16" s="39">
        <f t="shared" si="10"/>
        <v>72.75</v>
      </c>
      <c r="L16" s="39">
        <f t="shared" si="11"/>
        <v>2.5</v>
      </c>
      <c r="M16" s="150">
        <f t="shared" si="14"/>
        <v>24196</v>
      </c>
      <c r="N16" s="39">
        <f t="shared" si="12"/>
        <v>604.9</v>
      </c>
      <c r="O16" s="39">
        <f t="shared" si="13"/>
        <v>319.99209999999999</v>
      </c>
      <c r="P16" s="42">
        <f t="shared" si="7"/>
        <v>2783.9312699999996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3"/>
        <v>0</v>
      </c>
      <c r="AD16" s="38">
        <f t="shared" si="4"/>
        <v>0</v>
      </c>
      <c r="AE16" s="38">
        <f t="shared" si="5"/>
        <v>0</v>
      </c>
    </row>
    <row r="17" spans="1:31" ht="32.25" customHeight="1">
      <c r="A17" s="40">
        <v>44330</v>
      </c>
      <c r="B17" s="41">
        <v>71</v>
      </c>
      <c r="C17" s="39">
        <f t="shared" si="0"/>
        <v>6</v>
      </c>
      <c r="D17" s="41">
        <v>70</v>
      </c>
      <c r="E17" s="39">
        <f t="shared" si="1"/>
        <v>3</v>
      </c>
      <c r="F17" s="41">
        <v>71</v>
      </c>
      <c r="G17" s="39">
        <f t="shared" si="2"/>
        <v>5</v>
      </c>
      <c r="H17" s="41">
        <v>69</v>
      </c>
      <c r="I17" s="39">
        <f t="shared" si="8"/>
        <v>0</v>
      </c>
      <c r="J17" s="39">
        <f t="shared" si="9"/>
        <v>281</v>
      </c>
      <c r="K17" s="39">
        <f t="shared" si="10"/>
        <v>70.25</v>
      </c>
      <c r="L17" s="39">
        <f t="shared" si="11"/>
        <v>3.5</v>
      </c>
      <c r="M17" s="150">
        <f t="shared" si="14"/>
        <v>24196</v>
      </c>
      <c r="N17" s="39">
        <f t="shared" si="12"/>
        <v>846.86</v>
      </c>
      <c r="O17" s="39">
        <f t="shared" si="13"/>
        <v>447.98894000000001</v>
      </c>
      <c r="P17" s="42">
        <f t="shared" si="7"/>
        <v>3897.5037779999998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3"/>
        <v>0</v>
      </c>
      <c r="AD17" s="38">
        <f t="shared" si="4"/>
        <v>0</v>
      </c>
      <c r="AE17" s="38">
        <f t="shared" si="5"/>
        <v>0</v>
      </c>
    </row>
    <row r="18" spans="1:31" ht="32.25" customHeight="1">
      <c r="A18" s="40">
        <v>44331</v>
      </c>
      <c r="B18" s="41">
        <v>65</v>
      </c>
      <c r="C18" s="39">
        <f t="shared" si="0"/>
        <v>3</v>
      </c>
      <c r="D18" s="41">
        <v>67</v>
      </c>
      <c r="E18" s="39">
        <f t="shared" si="1"/>
        <v>3</v>
      </c>
      <c r="F18" s="41">
        <v>66</v>
      </c>
      <c r="G18" s="39">
        <f t="shared" si="2"/>
        <v>1</v>
      </c>
      <c r="H18" s="41">
        <v>69</v>
      </c>
      <c r="I18" s="39">
        <f t="shared" si="8"/>
        <v>3</v>
      </c>
      <c r="J18" s="39">
        <f t="shared" si="9"/>
        <v>267</v>
      </c>
      <c r="K18" s="39">
        <f t="shared" si="10"/>
        <v>66.75</v>
      </c>
      <c r="L18" s="39">
        <f t="shared" si="11"/>
        <v>2.5</v>
      </c>
      <c r="M18" s="150">
        <f t="shared" si="14"/>
        <v>24196</v>
      </c>
      <c r="N18" s="39">
        <f t="shared" si="12"/>
        <v>604.9</v>
      </c>
      <c r="O18" s="39">
        <f t="shared" si="13"/>
        <v>319.99209999999999</v>
      </c>
      <c r="P18" s="42">
        <f t="shared" si="7"/>
        <v>2783.9312699999996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3"/>
        <v>0</v>
      </c>
      <c r="AD18" s="38">
        <f t="shared" si="4"/>
        <v>0</v>
      </c>
      <c r="AE18" s="38">
        <f t="shared" si="5"/>
        <v>0</v>
      </c>
    </row>
    <row r="19" spans="1:31" ht="32.25" customHeight="1">
      <c r="A19" s="40">
        <v>44332</v>
      </c>
      <c r="B19" s="41">
        <v>62</v>
      </c>
      <c r="C19" s="39">
        <f t="shared" si="0"/>
        <v>2</v>
      </c>
      <c r="D19" s="41">
        <v>64</v>
      </c>
      <c r="E19" s="39">
        <f t="shared" si="1"/>
        <v>1</v>
      </c>
      <c r="F19" s="41">
        <v>65</v>
      </c>
      <c r="G19" s="39">
        <f t="shared" si="2"/>
        <v>4</v>
      </c>
      <c r="H19" s="41">
        <v>66</v>
      </c>
      <c r="I19" s="39">
        <f t="shared" si="8"/>
        <v>2</v>
      </c>
      <c r="J19" s="39">
        <f t="shared" si="9"/>
        <v>257</v>
      </c>
      <c r="K19" s="39">
        <f t="shared" si="10"/>
        <v>64.25</v>
      </c>
      <c r="L19" s="39">
        <f t="shared" si="11"/>
        <v>2.25</v>
      </c>
      <c r="M19" s="150">
        <f t="shared" si="14"/>
        <v>24196</v>
      </c>
      <c r="N19" s="39">
        <f t="shared" si="12"/>
        <v>544.41</v>
      </c>
      <c r="O19" s="39">
        <f t="shared" si="13"/>
        <v>287.99288999999999</v>
      </c>
      <c r="P19" s="42">
        <f t="shared" si="7"/>
        <v>2505.5381429999998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3"/>
        <v>0</v>
      </c>
      <c r="AD19" s="38">
        <f t="shared" si="4"/>
        <v>0</v>
      </c>
      <c r="AE19" s="38">
        <f t="shared" si="5"/>
        <v>0</v>
      </c>
    </row>
    <row r="20" spans="1:31" ht="32.25" customHeight="1">
      <c r="A20" s="40">
        <v>44333</v>
      </c>
      <c r="B20" s="41">
        <v>60</v>
      </c>
      <c r="C20" s="39">
        <f t="shared" si="0"/>
        <v>0</v>
      </c>
      <c r="D20" s="41">
        <v>63</v>
      </c>
      <c r="E20" s="39">
        <f t="shared" si="1"/>
        <v>1</v>
      </c>
      <c r="F20" s="41">
        <v>61</v>
      </c>
      <c r="G20" s="39">
        <f t="shared" si="2"/>
        <v>0</v>
      </c>
      <c r="H20" s="41">
        <v>64</v>
      </c>
      <c r="I20" s="39">
        <f t="shared" si="8"/>
        <v>0</v>
      </c>
      <c r="J20" s="39">
        <f t="shared" si="9"/>
        <v>248</v>
      </c>
      <c r="K20" s="39">
        <f t="shared" si="10"/>
        <v>62</v>
      </c>
      <c r="L20" s="39">
        <f t="shared" ref="L20:L42" si="15">IF(AC20&gt;0,((K20-AD20)+(AE20-K21)),IF(K21=0, ,(K20-K21)))</f>
        <v>0.25</v>
      </c>
      <c r="M20" s="150">
        <f t="shared" si="14"/>
        <v>24196</v>
      </c>
      <c r="N20" s="39">
        <f t="shared" si="12"/>
        <v>60.49</v>
      </c>
      <c r="O20" s="39">
        <f t="shared" si="13"/>
        <v>31.999210000000001</v>
      </c>
      <c r="P20" s="42">
        <f t="shared" si="7"/>
        <v>278.39312699999999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3"/>
        <v>0</v>
      </c>
      <c r="AD20" s="38">
        <f t="shared" si="4"/>
        <v>0</v>
      </c>
      <c r="AE20" s="38">
        <f t="shared" si="5"/>
        <v>0</v>
      </c>
    </row>
    <row r="21" spans="1:31" ht="32.25" customHeight="1">
      <c r="A21" s="40">
        <v>44334</v>
      </c>
      <c r="B21" s="41">
        <v>60</v>
      </c>
      <c r="C21" s="39">
        <f t="shared" si="0"/>
        <v>4</v>
      </c>
      <c r="D21" s="41">
        <v>62</v>
      </c>
      <c r="E21" s="39">
        <f t="shared" si="1"/>
        <v>3</v>
      </c>
      <c r="F21" s="41">
        <v>61</v>
      </c>
      <c r="G21" s="39">
        <f t="shared" si="2"/>
        <v>4</v>
      </c>
      <c r="H21" s="41">
        <v>64</v>
      </c>
      <c r="I21" s="39">
        <f t="shared" si="8"/>
        <v>4</v>
      </c>
      <c r="J21" s="39">
        <f t="shared" si="9"/>
        <v>247</v>
      </c>
      <c r="K21" s="39">
        <f t="shared" si="10"/>
        <v>61.75</v>
      </c>
      <c r="L21" s="39">
        <f>IF(AC21&gt;0,((K21-AD21)+(AE21-K22)),IF(K22=0, ,(K21-K22)))</f>
        <v>3.75</v>
      </c>
      <c r="M21" s="150">
        <f t="shared" si="14"/>
        <v>24196</v>
      </c>
      <c r="N21" s="39">
        <f t="shared" si="12"/>
        <v>907.35</v>
      </c>
      <c r="O21" s="39">
        <f t="shared" si="13"/>
        <v>479.98815000000002</v>
      </c>
      <c r="P21" s="42">
        <f t="shared" si="7"/>
        <v>4175.8969049999996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3"/>
        <v>0</v>
      </c>
      <c r="AD21" s="38">
        <f t="shared" si="4"/>
        <v>0</v>
      </c>
      <c r="AE21" s="38">
        <f t="shared" si="5"/>
        <v>0</v>
      </c>
    </row>
    <row r="22" spans="1:31" ht="32.25" customHeight="1">
      <c r="A22" s="40">
        <v>44335</v>
      </c>
      <c r="B22" s="41">
        <v>56</v>
      </c>
      <c r="C22" s="39">
        <f t="shared" si="0"/>
        <v>1</v>
      </c>
      <c r="D22" s="41">
        <v>59</v>
      </c>
      <c r="E22" s="39">
        <f t="shared" si="1"/>
        <v>4</v>
      </c>
      <c r="F22" s="41">
        <v>57</v>
      </c>
      <c r="G22" s="39">
        <f t="shared" si="2"/>
        <v>2</v>
      </c>
      <c r="H22" s="41">
        <v>60</v>
      </c>
      <c r="I22" s="39">
        <f t="shared" si="8"/>
        <v>3</v>
      </c>
      <c r="J22" s="39">
        <f t="shared" si="9"/>
        <v>232</v>
      </c>
      <c r="K22" s="39">
        <f t="shared" si="10"/>
        <v>58</v>
      </c>
      <c r="L22" s="39">
        <f>IF(AC22&gt;0,((K22-AD22)+(AE22-K23)),IF(K23=0, ,(K22-K23)))</f>
        <v>2.5</v>
      </c>
      <c r="M22" s="150">
        <f t="shared" si="14"/>
        <v>24196</v>
      </c>
      <c r="N22" s="39">
        <f t="shared" si="12"/>
        <v>604.9</v>
      </c>
      <c r="O22" s="39">
        <f t="shared" si="13"/>
        <v>319.99209999999999</v>
      </c>
      <c r="P22" s="42">
        <f t="shared" si="7"/>
        <v>2783.9312699999996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4"/>
        <v>0</v>
      </c>
      <c r="AE22" s="38">
        <f t="shared" si="5"/>
        <v>0</v>
      </c>
    </row>
    <row r="23" spans="1:31" ht="32.25" customHeight="1">
      <c r="A23" s="40">
        <v>44336</v>
      </c>
      <c r="B23" s="41">
        <v>55</v>
      </c>
      <c r="C23" s="39">
        <f t="shared" si="0"/>
        <v>3</v>
      </c>
      <c r="D23" s="41">
        <v>55</v>
      </c>
      <c r="E23" s="39">
        <f t="shared" si="1"/>
        <v>3</v>
      </c>
      <c r="F23" s="41">
        <v>55</v>
      </c>
      <c r="G23" s="39">
        <f t="shared" si="2"/>
        <v>3</v>
      </c>
      <c r="H23" s="41">
        <v>57</v>
      </c>
      <c r="I23" s="39">
        <f t="shared" si="8"/>
        <v>4</v>
      </c>
      <c r="J23" s="39">
        <f t="shared" si="9"/>
        <v>222</v>
      </c>
      <c r="K23" s="39">
        <f t="shared" si="10"/>
        <v>55.5</v>
      </c>
      <c r="L23" s="39">
        <f t="shared" si="15"/>
        <v>3.25</v>
      </c>
      <c r="M23" s="150">
        <f t="shared" si="14"/>
        <v>24196</v>
      </c>
      <c r="N23" s="39">
        <f t="shared" si="12"/>
        <v>786.37</v>
      </c>
      <c r="O23" s="39">
        <f t="shared" si="13"/>
        <v>415.98973000000001</v>
      </c>
      <c r="P23" s="42">
        <f t="shared" si="7"/>
        <v>3619.110651</v>
      </c>
      <c r="Q23" s="39">
        <v>2533</v>
      </c>
      <c r="R23" s="39">
        <v>52</v>
      </c>
      <c r="S23" s="39">
        <v>85</v>
      </c>
      <c r="T23" s="39">
        <v>2533</v>
      </c>
      <c r="U23" s="39">
        <v>52</v>
      </c>
      <c r="V23" s="39">
        <v>85</v>
      </c>
      <c r="W23" s="39">
        <v>2414</v>
      </c>
      <c r="X23" s="39">
        <v>53</v>
      </c>
      <c r="Y23" s="39">
        <v>85</v>
      </c>
      <c r="Z23" s="39">
        <v>2320</v>
      </c>
      <c r="AA23" s="39">
        <v>54</v>
      </c>
      <c r="AB23" s="39">
        <v>85</v>
      </c>
      <c r="AC23" s="39">
        <f t="shared" si="3"/>
        <v>9800</v>
      </c>
      <c r="AD23" s="38">
        <f t="shared" si="4"/>
        <v>52.75</v>
      </c>
      <c r="AE23" s="38">
        <f t="shared" si="5"/>
        <v>85</v>
      </c>
    </row>
    <row r="24" spans="1:31" ht="32.25" customHeight="1">
      <c r="A24" s="40">
        <v>44337</v>
      </c>
      <c r="B24" s="41">
        <v>85</v>
      </c>
      <c r="C24" s="39">
        <f t="shared" si="0"/>
        <v>2</v>
      </c>
      <c r="D24" s="41">
        <v>85</v>
      </c>
      <c r="E24" s="39">
        <f t="shared" si="1"/>
        <v>0</v>
      </c>
      <c r="F24" s="41">
        <v>84</v>
      </c>
      <c r="G24" s="39">
        <f t="shared" si="2"/>
        <v>1</v>
      </c>
      <c r="H24" s="41">
        <v>84</v>
      </c>
      <c r="I24" s="39">
        <f t="shared" si="8"/>
        <v>1</v>
      </c>
      <c r="J24" s="39">
        <f t="shared" si="9"/>
        <v>338</v>
      </c>
      <c r="K24" s="39">
        <f t="shared" si="10"/>
        <v>84.5</v>
      </c>
      <c r="L24" s="39">
        <f t="shared" si="15"/>
        <v>1</v>
      </c>
      <c r="M24" s="150">
        <f t="shared" si="14"/>
        <v>24196</v>
      </c>
      <c r="N24" s="39">
        <f t="shared" si="12"/>
        <v>241.96</v>
      </c>
      <c r="O24" s="39">
        <f t="shared" si="13"/>
        <v>127.99684000000001</v>
      </c>
      <c r="P24" s="42">
        <f t="shared" si="7"/>
        <v>1113.572508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3"/>
        <v>0</v>
      </c>
      <c r="AD24" s="38">
        <f t="shared" si="4"/>
        <v>0</v>
      </c>
      <c r="AE24" s="38">
        <f t="shared" si="5"/>
        <v>0</v>
      </c>
    </row>
    <row r="25" spans="1:31" ht="32.25" customHeight="1">
      <c r="A25" s="40">
        <v>44338</v>
      </c>
      <c r="B25" s="41">
        <v>83</v>
      </c>
      <c r="C25" s="39">
        <f t="shared" si="0"/>
        <v>3</v>
      </c>
      <c r="D25" s="41">
        <v>85</v>
      </c>
      <c r="E25" s="39">
        <f t="shared" si="1"/>
        <v>3</v>
      </c>
      <c r="F25" s="41">
        <v>83</v>
      </c>
      <c r="G25" s="39">
        <f t="shared" si="2"/>
        <v>3</v>
      </c>
      <c r="H25" s="41">
        <v>83</v>
      </c>
      <c r="I25" s="39">
        <f t="shared" si="8"/>
        <v>3</v>
      </c>
      <c r="J25" s="39">
        <f t="shared" si="9"/>
        <v>334</v>
      </c>
      <c r="K25" s="39">
        <f t="shared" si="10"/>
        <v>83.5</v>
      </c>
      <c r="L25" s="39">
        <f t="shared" si="15"/>
        <v>3</v>
      </c>
      <c r="M25" s="150">
        <f t="shared" si="14"/>
        <v>24196</v>
      </c>
      <c r="N25" s="39">
        <f t="shared" si="12"/>
        <v>725.88</v>
      </c>
      <c r="O25" s="39">
        <f t="shared" si="13"/>
        <v>383.99052</v>
      </c>
      <c r="P25" s="42">
        <f t="shared" si="7"/>
        <v>3340.7175239999997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3"/>
        <v>0</v>
      </c>
      <c r="AD25" s="38">
        <f t="shared" ref="AD25:AD42" si="16">(R25+U25+X25+AA25)/4</f>
        <v>0</v>
      </c>
      <c r="AE25" s="38">
        <f>(S25+V25+Y25+AB25)/4</f>
        <v>0</v>
      </c>
    </row>
    <row r="26" spans="1:31" ht="32.25" customHeight="1">
      <c r="A26" s="40">
        <v>44339</v>
      </c>
      <c r="B26" s="41">
        <v>80</v>
      </c>
      <c r="C26" s="39">
        <f t="shared" si="0"/>
        <v>2</v>
      </c>
      <c r="D26" s="41">
        <v>82</v>
      </c>
      <c r="E26" s="39">
        <f t="shared" si="1"/>
        <v>2</v>
      </c>
      <c r="F26" s="41">
        <v>80</v>
      </c>
      <c r="G26" s="39">
        <f t="shared" si="2"/>
        <v>2</v>
      </c>
      <c r="H26" s="41">
        <v>80</v>
      </c>
      <c r="I26" s="39">
        <f t="shared" si="8"/>
        <v>2</v>
      </c>
      <c r="J26" s="39">
        <f t="shared" si="9"/>
        <v>322</v>
      </c>
      <c r="K26" s="39">
        <f t="shared" si="10"/>
        <v>80.5</v>
      </c>
      <c r="L26" s="39">
        <f t="shared" si="15"/>
        <v>2</v>
      </c>
      <c r="M26" s="150">
        <f t="shared" si="14"/>
        <v>24196</v>
      </c>
      <c r="N26" s="39">
        <f t="shared" si="12"/>
        <v>483.92</v>
      </c>
      <c r="O26" s="39">
        <f t="shared" si="13"/>
        <v>255.99368000000001</v>
      </c>
      <c r="P26" s="42">
        <f t="shared" si="7"/>
        <v>2227.1450159999999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17">Q26+T26+W26+Z26</f>
        <v>0</v>
      </c>
      <c r="AD26" s="38">
        <f t="shared" si="16"/>
        <v>0</v>
      </c>
      <c r="AE26" s="38">
        <f>(S26+V26+Y26+AB26)/4</f>
        <v>0</v>
      </c>
    </row>
    <row r="27" spans="1:31" ht="32.25" customHeight="1">
      <c r="A27" s="40">
        <v>44340</v>
      </c>
      <c r="B27" s="41">
        <v>78</v>
      </c>
      <c r="C27" s="39">
        <f t="shared" si="0"/>
        <v>5</v>
      </c>
      <c r="D27" s="41">
        <v>80</v>
      </c>
      <c r="E27" s="39">
        <f t="shared" si="1"/>
        <v>5</v>
      </c>
      <c r="F27" s="41">
        <v>78</v>
      </c>
      <c r="G27" s="39">
        <f t="shared" si="2"/>
        <v>5</v>
      </c>
      <c r="H27" s="41">
        <v>78</v>
      </c>
      <c r="I27" s="39">
        <f t="shared" si="8"/>
        <v>3</v>
      </c>
      <c r="J27" s="39">
        <f t="shared" si="9"/>
        <v>314</v>
      </c>
      <c r="K27" s="39">
        <f t="shared" si="10"/>
        <v>78.5</v>
      </c>
      <c r="L27" s="39">
        <f t="shared" si="15"/>
        <v>4.5</v>
      </c>
      <c r="M27" s="150">
        <f t="shared" si="14"/>
        <v>24196</v>
      </c>
      <c r="N27" s="39">
        <f t="shared" si="12"/>
        <v>1088.82</v>
      </c>
      <c r="O27" s="39">
        <f t="shared" si="13"/>
        <v>575.98577999999998</v>
      </c>
      <c r="P27" s="42">
        <f t="shared" si="7"/>
        <v>5011.0762859999995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17"/>
        <v>0</v>
      </c>
      <c r="AD27" s="38">
        <f t="shared" si="16"/>
        <v>0</v>
      </c>
      <c r="AE27" s="38">
        <f>(S27+V27+Y27+AB27)/4</f>
        <v>0</v>
      </c>
    </row>
    <row r="28" spans="1:31" ht="32.25" customHeight="1">
      <c r="A28" s="40">
        <v>44341</v>
      </c>
      <c r="B28" s="41">
        <v>73</v>
      </c>
      <c r="C28" s="39"/>
      <c r="D28" s="41">
        <v>75</v>
      </c>
      <c r="E28" s="39"/>
      <c r="F28" s="41">
        <v>73</v>
      </c>
      <c r="G28" s="39"/>
      <c r="H28" s="41">
        <v>75</v>
      </c>
      <c r="I28" s="39">
        <f>IF(AC28&gt;0,((H28-AA28)+(AB28-H29)),IF(H29=0, ,(H28-H29)))</f>
        <v>2</v>
      </c>
      <c r="J28" s="39">
        <f t="shared" si="9"/>
        <v>296</v>
      </c>
      <c r="K28" s="39">
        <f t="shared" si="10"/>
        <v>74</v>
      </c>
      <c r="L28" s="39">
        <f t="shared" si="15"/>
        <v>2.5</v>
      </c>
      <c r="M28" s="150">
        <f t="shared" si="14"/>
        <v>24196</v>
      </c>
      <c r="N28" s="39">
        <f t="shared" si="12"/>
        <v>604.9</v>
      </c>
      <c r="O28" s="39">
        <f t="shared" si="13"/>
        <v>319.99209999999999</v>
      </c>
      <c r="P28" s="42">
        <f t="shared" si="7"/>
        <v>2783.9312699999996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17"/>
        <v>0</v>
      </c>
      <c r="AD28" s="38">
        <f t="shared" si="16"/>
        <v>0</v>
      </c>
      <c r="AE28" s="38">
        <f>(S28+V28+Y28+AB28)/4</f>
        <v>0</v>
      </c>
    </row>
    <row r="29" spans="1:31" ht="32.25" customHeight="1">
      <c r="A29" s="40">
        <v>44342</v>
      </c>
      <c r="B29" s="41">
        <v>70</v>
      </c>
      <c r="C29" s="39"/>
      <c r="D29" s="41">
        <v>73</v>
      </c>
      <c r="E29" s="39"/>
      <c r="F29" s="41">
        <v>70</v>
      </c>
      <c r="G29" s="39"/>
      <c r="H29" s="41">
        <v>73</v>
      </c>
      <c r="I29" s="39">
        <f t="shared" si="8"/>
        <v>2</v>
      </c>
      <c r="J29" s="39">
        <f t="shared" si="9"/>
        <v>286</v>
      </c>
      <c r="K29" s="39">
        <f t="shared" si="10"/>
        <v>71.5</v>
      </c>
      <c r="L29" s="39">
        <f t="shared" si="15"/>
        <v>1.75</v>
      </c>
      <c r="M29" s="150">
        <f t="shared" si="14"/>
        <v>24196</v>
      </c>
      <c r="N29" s="39">
        <f t="shared" si="12"/>
        <v>423.43</v>
      </c>
      <c r="O29" s="39">
        <f t="shared" si="13"/>
        <v>223.99447000000001</v>
      </c>
      <c r="P29" s="42">
        <f t="shared" si="7"/>
        <v>1948.7518889999999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6"/>
        <v>0</v>
      </c>
      <c r="AE29" s="38">
        <f>(S29+V29+Y29+AB29)/4</f>
        <v>0</v>
      </c>
    </row>
    <row r="30" spans="1:31" ht="32.25" customHeight="1">
      <c r="A30" s="40">
        <v>44343</v>
      </c>
      <c r="B30" s="41">
        <v>68</v>
      </c>
      <c r="C30" s="39"/>
      <c r="D30" s="41">
        <v>71</v>
      </c>
      <c r="E30" s="39"/>
      <c r="F30" s="41">
        <v>69</v>
      </c>
      <c r="G30" s="39"/>
      <c r="H30" s="41">
        <v>71</v>
      </c>
      <c r="I30" s="39">
        <f t="shared" si="8"/>
        <v>0</v>
      </c>
      <c r="J30" s="39">
        <f t="shared" si="9"/>
        <v>279</v>
      </c>
      <c r="K30" s="39">
        <f t="shared" si="10"/>
        <v>69.75</v>
      </c>
      <c r="L30" s="39">
        <f t="shared" si="15"/>
        <v>0</v>
      </c>
      <c r="M30" s="150">
        <f t="shared" si="14"/>
        <v>24196</v>
      </c>
      <c r="N30" s="39">
        <f t="shared" si="12"/>
        <v>0</v>
      </c>
      <c r="O30" s="39">
        <f t="shared" si="13"/>
        <v>0</v>
      </c>
      <c r="P30" s="42">
        <f t="shared" si="7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17"/>
        <v>0</v>
      </c>
      <c r="AD30" s="38">
        <f t="shared" si="16"/>
        <v>0</v>
      </c>
      <c r="AE30" s="38">
        <f t="shared" ref="AE30:AE42" si="18">(S30+V30+Y30+AB30)/4</f>
        <v>0</v>
      </c>
    </row>
    <row r="31" spans="1:31" ht="32.25" customHeight="1">
      <c r="A31" s="40">
        <v>44344</v>
      </c>
      <c r="B31" s="41"/>
      <c r="C31" s="39"/>
      <c r="D31" s="41"/>
      <c r="E31" s="39"/>
      <c r="F31" s="41"/>
      <c r="G31" s="39"/>
      <c r="H31" s="41"/>
      <c r="I31" s="39">
        <f t="shared" si="8"/>
        <v>0</v>
      </c>
      <c r="J31" s="39">
        <f t="shared" si="9"/>
        <v>0</v>
      </c>
      <c r="K31" s="39">
        <f t="shared" si="10"/>
        <v>0</v>
      </c>
      <c r="L31" s="39">
        <f t="shared" si="15"/>
        <v>0</v>
      </c>
      <c r="M31" s="150">
        <f t="shared" si="14"/>
        <v>24196</v>
      </c>
      <c r="N31" s="39">
        <f t="shared" si="12"/>
        <v>0</v>
      </c>
      <c r="O31" s="39">
        <f t="shared" si="13"/>
        <v>0</v>
      </c>
      <c r="P31" s="42">
        <f t="shared" si="7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17"/>
        <v>0</v>
      </c>
      <c r="AD31" s="38">
        <f t="shared" si="16"/>
        <v>0</v>
      </c>
      <c r="AE31" s="38">
        <f t="shared" si="18"/>
        <v>0</v>
      </c>
    </row>
    <row r="32" spans="1:31" ht="32.25" customHeight="1">
      <c r="A32" s="40">
        <v>44345</v>
      </c>
      <c r="B32" s="41"/>
      <c r="C32" s="39"/>
      <c r="D32" s="41"/>
      <c r="E32" s="39"/>
      <c r="F32" s="41"/>
      <c r="G32" s="39"/>
      <c r="H32" s="41"/>
      <c r="I32" s="39">
        <f t="shared" si="8"/>
        <v>0</v>
      </c>
      <c r="J32" s="39">
        <f t="shared" si="9"/>
        <v>0</v>
      </c>
      <c r="K32" s="39">
        <f t="shared" si="10"/>
        <v>0</v>
      </c>
      <c r="L32" s="39">
        <f t="shared" si="15"/>
        <v>0</v>
      </c>
      <c r="M32" s="150">
        <f t="shared" si="14"/>
        <v>24196</v>
      </c>
      <c r="N32" s="39">
        <f t="shared" si="12"/>
        <v>0</v>
      </c>
      <c r="O32" s="150">
        <f t="shared" si="13"/>
        <v>0</v>
      </c>
      <c r="P32" s="42">
        <f t="shared" si="7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6"/>
        <v>0</v>
      </c>
      <c r="AE32" s="38">
        <f t="shared" si="18"/>
        <v>0</v>
      </c>
    </row>
    <row r="33" spans="1:31" ht="32.25" customHeight="1">
      <c r="A33" s="40">
        <v>44346</v>
      </c>
      <c r="B33" s="41"/>
      <c r="C33" s="39"/>
      <c r="D33" s="41"/>
      <c r="E33" s="39"/>
      <c r="F33" s="41"/>
      <c r="G33" s="39"/>
      <c r="H33" s="41"/>
      <c r="I33" s="39">
        <f t="shared" si="8"/>
        <v>0</v>
      </c>
      <c r="J33" s="39">
        <f t="shared" si="9"/>
        <v>0</v>
      </c>
      <c r="K33" s="39">
        <f t="shared" si="10"/>
        <v>0</v>
      </c>
      <c r="L33" s="39">
        <f t="shared" si="15"/>
        <v>0</v>
      </c>
      <c r="M33" s="150">
        <f t="shared" si="14"/>
        <v>24196</v>
      </c>
      <c r="N33" s="39">
        <f t="shared" si="12"/>
        <v>0</v>
      </c>
      <c r="O33" s="39">
        <f t="shared" si="13"/>
        <v>0</v>
      </c>
      <c r="P33" s="42">
        <f t="shared" si="7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6"/>
        <v>0</v>
      </c>
      <c r="AE33" s="38">
        <f t="shared" si="18"/>
        <v>0</v>
      </c>
    </row>
    <row r="34" spans="1:31" ht="32.25" customHeight="1">
      <c r="A34" s="40">
        <v>44347</v>
      </c>
      <c r="B34" s="41"/>
      <c r="C34" s="39"/>
      <c r="D34" s="41"/>
      <c r="E34" s="39"/>
      <c r="F34" s="41"/>
      <c r="G34" s="39"/>
      <c r="H34" s="41"/>
      <c r="I34" s="39">
        <f t="shared" si="8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50">
        <f t="shared" si="14"/>
        <v>24196</v>
      </c>
      <c r="N34" s="39">
        <f>L34*M34/100</f>
        <v>0</v>
      </c>
      <c r="O34" s="39">
        <f>N34*0.529</f>
        <v>0</v>
      </c>
      <c r="P34" s="42">
        <f t="shared" si="7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17"/>
        <v>0</v>
      </c>
      <c r="AD34" s="38">
        <f t="shared" si="16"/>
        <v>0</v>
      </c>
      <c r="AE34" s="38">
        <f t="shared" si="18"/>
        <v>0</v>
      </c>
    </row>
    <row r="35" spans="1:31" ht="32.25" customHeight="1">
      <c r="A35" s="40">
        <v>44348</v>
      </c>
      <c r="B35" s="41"/>
      <c r="C35" s="39">
        <f t="shared" ref="C21:C35" si="19">IF(AC35&gt;0,((B35-R35)+(S35-B36)),IF(B36=0, ,(B35-B36)))</f>
        <v>0</v>
      </c>
      <c r="D35" s="41"/>
      <c r="E35" s="39">
        <f t="shared" ref="E27:E36" si="20">IF(AC35&gt;0,((D35-U35)+(V35-D36)),IF(D36=0, ,(D35-D36)))</f>
        <v>0</v>
      </c>
      <c r="F35" s="41"/>
      <c r="G35" s="39">
        <f t="shared" ref="G27:G36" si="21">IF(AC35&gt;0,((F35-X35)+(Y35-F36)),IF(F36=0, ,(F35-F36)))</f>
        <v>0</v>
      </c>
      <c r="H35" s="41"/>
      <c r="I35" s="39">
        <f t="shared" si="8"/>
        <v>0</v>
      </c>
      <c r="J35" s="39">
        <f>B35+D35+F35+H35</f>
        <v>0</v>
      </c>
      <c r="K35" s="39">
        <f>J35/4</f>
        <v>0</v>
      </c>
      <c r="L35" s="39">
        <f t="shared" si="15"/>
        <v>0</v>
      </c>
      <c r="M35" s="150">
        <f t="shared" si="14"/>
        <v>24196</v>
      </c>
      <c r="N35" s="39">
        <f t="shared" si="12"/>
        <v>0</v>
      </c>
      <c r="O35" s="39">
        <f t="shared" si="13"/>
        <v>0</v>
      </c>
      <c r="P35" s="42">
        <f t="shared" si="7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17"/>
        <v>0</v>
      </c>
      <c r="AD35" s="38">
        <f t="shared" si="16"/>
        <v>0</v>
      </c>
      <c r="AE35" s="38">
        <f t="shared" si="18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si="20"/>
        <v>0</v>
      </c>
      <c r="F36" s="41"/>
      <c r="G36" s="39">
        <f t="shared" si="21"/>
        <v>0</v>
      </c>
      <c r="H36" s="41"/>
      <c r="I36" s="39">
        <f t="shared" si="8"/>
        <v>0</v>
      </c>
      <c r="J36" s="39">
        <f t="shared" si="9"/>
        <v>0</v>
      </c>
      <c r="K36" s="39">
        <f t="shared" si="10"/>
        <v>0</v>
      </c>
      <c r="L36" s="39">
        <f t="shared" si="15"/>
        <v>0</v>
      </c>
      <c r="M36" s="150">
        <f t="shared" si="14"/>
        <v>24196</v>
      </c>
      <c r="N36" s="39">
        <f t="shared" si="12"/>
        <v>0</v>
      </c>
      <c r="O36" s="39">
        <f t="shared" si="13"/>
        <v>0</v>
      </c>
      <c r="P36" s="42">
        <f t="shared" si="7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17"/>
        <v>0</v>
      </c>
      <c r="AD36" s="38">
        <f t="shared" si="16"/>
        <v>0</v>
      </c>
      <c r="AE36" s="38">
        <f t="shared" si="18"/>
        <v>0</v>
      </c>
    </row>
    <row r="37" spans="1:31" ht="32.25" customHeight="1">
      <c r="A37" s="40"/>
      <c r="B37" s="41"/>
      <c r="C37" s="39">
        <f t="shared" ref="C37:C42" si="22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3">IF(AC37&gt;0,((F37-X37)+(Y37-F38)),IF(F38=0, ,(F37-F38)))</f>
        <v>0</v>
      </c>
      <c r="H37" s="41"/>
      <c r="I37" s="39">
        <f t="shared" ref="I37:I42" si="24">IF(AC37&gt;0,((H37-AA37)+(AB37-H38)),IF(H38=0, ,(H37-H38)))</f>
        <v>0</v>
      </c>
      <c r="J37" s="39">
        <f t="shared" si="9"/>
        <v>0</v>
      </c>
      <c r="K37" s="39">
        <f t="shared" si="10"/>
        <v>0</v>
      </c>
      <c r="L37" s="39">
        <f t="shared" si="15"/>
        <v>0</v>
      </c>
      <c r="M37" s="150">
        <f t="shared" si="14"/>
        <v>24196</v>
      </c>
      <c r="N37" s="39">
        <f t="shared" si="12"/>
        <v>0</v>
      </c>
      <c r="O37" s="39">
        <f t="shared" si="13"/>
        <v>0</v>
      </c>
      <c r="P37" s="42">
        <f t="shared" si="7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17"/>
        <v>0</v>
      </c>
      <c r="AD37" s="38">
        <f t="shared" si="16"/>
        <v>0</v>
      </c>
      <c r="AE37" s="38">
        <f t="shared" si="18"/>
        <v>0</v>
      </c>
    </row>
    <row r="38" spans="1:31" ht="32.25" customHeight="1">
      <c r="A38" s="40"/>
      <c r="B38" s="41"/>
      <c r="C38" s="39">
        <f t="shared" si="22"/>
        <v>0</v>
      </c>
      <c r="D38" s="41"/>
      <c r="E38" s="39">
        <f>IF(AC38:AC61&gt;0,((D38-U38)+(V38-D39)),IF(D39=0, ,(D38-D39)))</f>
        <v>0</v>
      </c>
      <c r="F38" s="41"/>
      <c r="G38" s="39">
        <f t="shared" si="23"/>
        <v>0</v>
      </c>
      <c r="H38" s="41"/>
      <c r="I38" s="39">
        <f t="shared" si="24"/>
        <v>0</v>
      </c>
      <c r="J38" s="39">
        <f t="shared" si="9"/>
        <v>0</v>
      </c>
      <c r="K38" s="39">
        <f t="shared" si="10"/>
        <v>0</v>
      </c>
      <c r="L38" s="39">
        <f t="shared" si="15"/>
        <v>0</v>
      </c>
      <c r="M38" s="150">
        <f t="shared" si="14"/>
        <v>24196</v>
      </c>
      <c r="N38" s="39">
        <f t="shared" si="12"/>
        <v>0</v>
      </c>
      <c r="O38" s="39">
        <f>N38*0.53</f>
        <v>0</v>
      </c>
      <c r="P38" s="42">
        <f t="shared" si="7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17"/>
        <v>0</v>
      </c>
      <c r="AD38" s="38">
        <f t="shared" si="16"/>
        <v>0</v>
      </c>
      <c r="AE38" s="38">
        <f t="shared" si="18"/>
        <v>0</v>
      </c>
    </row>
    <row r="39" spans="1:31" ht="32.25" customHeight="1">
      <c r="A39" s="40"/>
      <c r="B39" s="41"/>
      <c r="C39" s="39">
        <f t="shared" si="22"/>
        <v>0</v>
      </c>
      <c r="D39" s="41"/>
      <c r="E39" s="39">
        <f>IF(AC39&gt;0,((D39-U39)+(V39-D40)),IF(D40=0, ,(D39-D40)))</f>
        <v>0</v>
      </c>
      <c r="F39" s="41"/>
      <c r="G39" s="39">
        <f t="shared" si="23"/>
        <v>0</v>
      </c>
      <c r="H39" s="41"/>
      <c r="I39" s="39">
        <f t="shared" si="24"/>
        <v>0</v>
      </c>
      <c r="J39" s="39">
        <f t="shared" si="9"/>
        <v>0</v>
      </c>
      <c r="K39" s="39">
        <f t="shared" si="10"/>
        <v>0</v>
      </c>
      <c r="L39" s="39">
        <f t="shared" si="15"/>
        <v>0</v>
      </c>
      <c r="M39" s="150">
        <f t="shared" si="14"/>
        <v>24196</v>
      </c>
      <c r="N39" s="39">
        <f t="shared" si="12"/>
        <v>0</v>
      </c>
      <c r="O39" s="39">
        <f>N39*0.53</f>
        <v>0</v>
      </c>
      <c r="P39" s="42">
        <f t="shared" ref="P5:P39" si="25">O39*9.8209</f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17"/>
        <v>0</v>
      </c>
      <c r="AD39" s="38">
        <f t="shared" si="16"/>
        <v>0</v>
      </c>
      <c r="AE39" s="38">
        <f t="shared" si="18"/>
        <v>0</v>
      </c>
    </row>
    <row r="40" spans="1:31" ht="32.25" customHeight="1">
      <c r="A40" s="40"/>
      <c r="B40" s="41"/>
      <c r="C40" s="39">
        <f t="shared" si="22"/>
        <v>0</v>
      </c>
      <c r="D40" s="41"/>
      <c r="E40" s="39">
        <f>IF(AC40&gt;0,((D40-U40)+(V40-D41)),IF(D41=0, ,(D40-D41)))</f>
        <v>0</v>
      </c>
      <c r="F40" s="41"/>
      <c r="G40" s="39">
        <f t="shared" si="23"/>
        <v>0</v>
      </c>
      <c r="H40" s="41"/>
      <c r="I40" s="39">
        <f t="shared" si="24"/>
        <v>0</v>
      </c>
      <c r="J40" s="39">
        <f t="shared" si="9"/>
        <v>0</v>
      </c>
      <c r="K40" s="39">
        <f t="shared" si="10"/>
        <v>0</v>
      </c>
      <c r="L40" s="39">
        <f t="shared" si="15"/>
        <v>0</v>
      </c>
      <c r="M40" s="150">
        <f t="shared" si="14"/>
        <v>24196</v>
      </c>
      <c r="N40" s="39">
        <f t="shared" si="12"/>
        <v>0</v>
      </c>
      <c r="O40" s="39">
        <f>N40*0.53</f>
        <v>0</v>
      </c>
      <c r="P40" s="42">
        <f t="shared" ref="P5:P40" si="26">O40*9.1009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17"/>
        <v>0</v>
      </c>
      <c r="AD40" s="38">
        <f t="shared" si="16"/>
        <v>0</v>
      </c>
      <c r="AE40" s="38">
        <f t="shared" si="18"/>
        <v>0</v>
      </c>
    </row>
    <row r="41" spans="1:31" ht="32.25" customHeight="1">
      <c r="A41" s="40"/>
      <c r="B41" s="41"/>
      <c r="C41" s="39">
        <f t="shared" si="22"/>
        <v>0</v>
      </c>
      <c r="D41" s="41"/>
      <c r="E41" s="39">
        <f>IF(AC41&gt;0,((D41-U41)+(V41-D42)),IF(D42=0, ,(D41-D42)))</f>
        <v>0</v>
      </c>
      <c r="F41" s="41"/>
      <c r="G41" s="39">
        <f t="shared" si="23"/>
        <v>0</v>
      </c>
      <c r="H41" s="41"/>
      <c r="I41" s="39">
        <f t="shared" si="24"/>
        <v>0</v>
      </c>
      <c r="J41" s="39">
        <f t="shared" si="9"/>
        <v>0</v>
      </c>
      <c r="K41" s="39">
        <f t="shared" si="10"/>
        <v>0</v>
      </c>
      <c r="L41" s="39">
        <f t="shared" si="15"/>
        <v>0</v>
      </c>
      <c r="M41" s="150">
        <f t="shared" si="14"/>
        <v>24196</v>
      </c>
      <c r="N41" s="39">
        <f t="shared" si="12"/>
        <v>0</v>
      </c>
      <c r="O41" s="39">
        <f>N41*0.53</f>
        <v>0</v>
      </c>
      <c r="P41" s="42">
        <f>O41*8.751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17"/>
        <v>0</v>
      </c>
      <c r="AD41" s="38">
        <f t="shared" si="16"/>
        <v>0</v>
      </c>
      <c r="AE41" s="38">
        <f t="shared" si="18"/>
        <v>0</v>
      </c>
    </row>
    <row r="42" spans="1:31" ht="32.25" customHeight="1">
      <c r="A42" s="40"/>
      <c r="B42" s="41"/>
      <c r="C42" s="39">
        <f t="shared" si="22"/>
        <v>0</v>
      </c>
      <c r="D42" s="41"/>
      <c r="E42" s="39">
        <f>IF(AC42&gt;0,((D42-U42)+(V42-D43)),IF(D43=0, ,(D42-D43)))</f>
        <v>0</v>
      </c>
      <c r="F42" s="41"/>
      <c r="G42" s="39">
        <f t="shared" si="23"/>
        <v>0</v>
      </c>
      <c r="H42" s="41"/>
      <c r="I42" s="39">
        <f t="shared" si="24"/>
        <v>0</v>
      </c>
      <c r="J42" s="39">
        <f t="shared" si="9"/>
        <v>0</v>
      </c>
      <c r="K42" s="39">
        <f t="shared" si="10"/>
        <v>0</v>
      </c>
      <c r="L42" s="39">
        <f t="shared" si="15"/>
        <v>0</v>
      </c>
      <c r="M42" s="150">
        <f t="shared" si="14"/>
        <v>24196</v>
      </c>
      <c r="N42" s="39">
        <f t="shared" si="12"/>
        <v>0</v>
      </c>
      <c r="O42" s="39">
        <f>N42*0.53</f>
        <v>0</v>
      </c>
      <c r="P42" s="42">
        <f>O42*8.751</f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17"/>
        <v>0</v>
      </c>
      <c r="AD42" s="38">
        <f t="shared" si="16"/>
        <v>0</v>
      </c>
      <c r="AE42" s="38">
        <f t="shared" si="18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14678.489999999998</v>
      </c>
      <c r="O43" s="39">
        <f>N43*0.529</f>
        <v>7764.9212099999995</v>
      </c>
      <c r="P43" s="42">
        <f>O43*8.7</f>
        <v>67554.814526999995</v>
      </c>
      <c r="Q43" s="286">
        <f>SUM(Q4:Q42)</f>
        <v>5223</v>
      </c>
      <c r="R43" s="287"/>
      <c r="S43" s="288"/>
      <c r="T43" s="289">
        <f>SUM(T4:T42)</f>
        <v>5269</v>
      </c>
      <c r="U43" s="287"/>
      <c r="V43" s="288"/>
      <c r="W43" s="289">
        <f>SUM(W4:W42)</f>
        <v>5073</v>
      </c>
      <c r="X43" s="287"/>
      <c r="Y43" s="288"/>
      <c r="Z43" s="289">
        <f>SUM(Z4:Z42)</f>
        <v>4854</v>
      </c>
      <c r="AA43" s="287"/>
      <c r="AB43" s="288"/>
      <c r="AC43" s="39">
        <f t="shared" si="17"/>
        <v>20419</v>
      </c>
    </row>
    <row r="44" spans="1:31" ht="35.25" customHeight="1" thickBot="1">
      <c r="B44" s="295"/>
      <c r="C44" s="296"/>
      <c r="D44" s="296"/>
      <c r="E44" s="296"/>
      <c r="F44" s="296"/>
      <c r="G44" s="296"/>
      <c r="H44" s="296"/>
      <c r="I44" s="297"/>
      <c r="J44" s="37"/>
      <c r="K44" s="37"/>
      <c r="L44" s="37"/>
      <c r="M44" s="37"/>
      <c r="N44" s="37"/>
      <c r="O44" s="37"/>
      <c r="P44" s="37"/>
      <c r="Q44" s="298">
        <f>Q43+T43+W43+Z43</f>
        <v>20419</v>
      </c>
      <c r="R44" s="299"/>
      <c r="S44" s="299"/>
      <c r="T44" s="299"/>
      <c r="U44" s="299"/>
      <c r="V44" s="299"/>
      <c r="W44" s="299"/>
      <c r="X44" s="299"/>
      <c r="Y44" s="299"/>
      <c r="Z44" s="299"/>
      <c r="AA44" s="299"/>
      <c r="AB44" s="300"/>
      <c r="AC44" s="39">
        <f>Q44+T44+W44+Z44</f>
        <v>20419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2" t="s">
        <v>85</v>
      </c>
      <c r="I47" s="283"/>
      <c r="J47" s="284"/>
      <c r="K47" s="45">
        <f>N43</f>
        <v>14678.489999999998</v>
      </c>
      <c r="L47" s="46">
        <f>O43</f>
        <v>7764.9212099999995</v>
      </c>
      <c r="M47" s="46">
        <f>P43</f>
        <v>67554.814526999995</v>
      </c>
    </row>
    <row r="48" spans="1:31" ht="54.75" customHeight="1" thickBot="1">
      <c r="H48" s="282" t="s">
        <v>86</v>
      </c>
      <c r="I48" s="283"/>
      <c r="J48" s="284"/>
      <c r="K48" s="43">
        <f>AC44</f>
        <v>20419</v>
      </c>
      <c r="L48" s="44">
        <f>K48*0.529</f>
        <v>10801.651</v>
      </c>
      <c r="M48" s="44">
        <f>L48*8.7</f>
        <v>93974.363699999987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1"/>
      <c r="B1" s="273"/>
      <c r="C1" s="301" t="s">
        <v>87</v>
      </c>
      <c r="D1" s="302"/>
      <c r="E1" s="302"/>
      <c r="F1" s="302"/>
      <c r="G1" s="302"/>
      <c r="H1" s="307" t="s">
        <v>88</v>
      </c>
      <c r="I1" s="308"/>
      <c r="J1" s="309"/>
    </row>
    <row r="2" spans="1:10" ht="16.5" customHeight="1" thickBot="1">
      <c r="A2" s="274"/>
      <c r="B2" s="276"/>
      <c r="C2" s="303"/>
      <c r="D2" s="304"/>
      <c r="E2" s="304"/>
      <c r="F2" s="304"/>
      <c r="G2" s="304"/>
      <c r="H2" s="310"/>
      <c r="I2" s="311"/>
      <c r="J2" s="312"/>
    </row>
    <row r="3" spans="1:10" ht="15" customHeight="1">
      <c r="A3" s="274"/>
      <c r="B3" s="276"/>
      <c r="C3" s="303"/>
      <c r="D3" s="304"/>
      <c r="E3" s="304"/>
      <c r="F3" s="304"/>
      <c r="G3" s="304"/>
      <c r="H3" s="313" t="s">
        <v>89</v>
      </c>
      <c r="I3" s="314"/>
      <c r="J3" s="315"/>
    </row>
    <row r="4" spans="1:10" ht="15.75" customHeight="1" thickBot="1">
      <c r="A4" s="277"/>
      <c r="B4" s="279"/>
      <c r="C4" s="305"/>
      <c r="D4" s="306"/>
      <c r="E4" s="306"/>
      <c r="F4" s="306"/>
      <c r="G4" s="306"/>
      <c r="H4" s="316"/>
      <c r="I4" s="317"/>
      <c r="J4" s="318"/>
    </row>
    <row r="6" spans="1:10" ht="33" customHeight="1" thickBot="1"/>
    <row r="7" spans="1:10" ht="36.75" thickTop="1">
      <c r="A7" s="319" t="s">
        <v>90</v>
      </c>
      <c r="B7" s="319"/>
      <c r="C7" s="320" t="s">
        <v>91</v>
      </c>
      <c r="D7" s="321"/>
      <c r="E7" s="61" t="s">
        <v>92</v>
      </c>
      <c r="F7" s="61" t="s">
        <v>93</v>
      </c>
      <c r="G7" s="61" t="s">
        <v>94</v>
      </c>
      <c r="H7" s="61" t="s">
        <v>95</v>
      </c>
      <c r="I7" s="322" t="s">
        <v>96</v>
      </c>
      <c r="J7" s="323"/>
    </row>
    <row r="8" spans="1:10">
      <c r="A8" s="324">
        <v>95670781</v>
      </c>
      <c r="B8" s="324"/>
      <c r="C8" s="325">
        <v>44283</v>
      </c>
      <c r="D8" s="326"/>
      <c r="E8" s="113">
        <v>44314</v>
      </c>
      <c r="F8" s="165" t="s">
        <v>97</v>
      </c>
      <c r="G8" s="62"/>
      <c r="H8" s="62"/>
      <c r="I8" s="327"/>
      <c r="J8" s="328"/>
    </row>
    <row r="10" spans="1:10" ht="23.25" customHeight="1" thickBot="1"/>
    <row r="11" spans="1:10" ht="24.75" customHeight="1" thickTop="1">
      <c r="A11" s="329" t="s">
        <v>98</v>
      </c>
      <c r="B11" s="329"/>
      <c r="C11" s="330" t="s">
        <v>99</v>
      </c>
      <c r="D11" s="331"/>
      <c r="E11" s="329" t="s">
        <v>100</v>
      </c>
      <c r="F11" s="329"/>
      <c r="G11" s="330" t="s">
        <v>101</v>
      </c>
      <c r="H11" s="331"/>
      <c r="I11" s="332" t="s">
        <v>102</v>
      </c>
      <c r="J11" s="332"/>
    </row>
    <row r="12" spans="1:10">
      <c r="A12" s="324" t="s">
        <v>103</v>
      </c>
      <c r="B12" s="324"/>
      <c r="C12" s="324">
        <v>3750</v>
      </c>
      <c r="D12" s="324"/>
      <c r="E12" s="324">
        <v>1000</v>
      </c>
      <c r="F12" s="324"/>
      <c r="G12" s="336">
        <v>712</v>
      </c>
      <c r="H12" s="336"/>
      <c r="I12" s="337"/>
      <c r="J12" s="337"/>
    </row>
    <row r="13" spans="1:10">
      <c r="A13" s="338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29" t="s">
        <v>104</v>
      </c>
      <c r="B16" s="329"/>
      <c r="C16" s="63" t="s">
        <v>105</v>
      </c>
      <c r="D16" s="64" t="s">
        <v>106</v>
      </c>
      <c r="E16" s="64" t="s">
        <v>48</v>
      </c>
      <c r="F16" s="64" t="s">
        <v>107</v>
      </c>
      <c r="G16" s="333" t="s">
        <v>108</v>
      </c>
      <c r="H16" s="333"/>
      <c r="I16" s="334" t="s">
        <v>109</v>
      </c>
      <c r="J16" s="335"/>
    </row>
    <row r="17" spans="1:10">
      <c r="A17" s="339" t="s">
        <v>110</v>
      </c>
      <c r="B17" s="340"/>
      <c r="C17" s="66">
        <v>17686099</v>
      </c>
      <c r="D17" s="66">
        <v>17537869</v>
      </c>
      <c r="E17" s="67">
        <f>MIN(C17-D17)</f>
        <v>148230</v>
      </c>
      <c r="F17" s="67">
        <f>+E17</f>
        <v>148230</v>
      </c>
      <c r="G17" s="341"/>
      <c r="H17" s="342"/>
      <c r="I17" s="341">
        <f>+E17</f>
        <v>148230</v>
      </c>
      <c r="J17" s="342"/>
    </row>
    <row r="18" spans="1:10">
      <c r="A18" s="339" t="s">
        <v>111</v>
      </c>
      <c r="B18" s="340"/>
      <c r="C18" s="66">
        <v>10521778</v>
      </c>
      <c r="D18" s="66">
        <v>10446238</v>
      </c>
      <c r="E18" s="67">
        <f>MIN(C18-D18)</f>
        <v>75540</v>
      </c>
      <c r="F18" s="67">
        <f>+E18</f>
        <v>75540</v>
      </c>
      <c r="G18" s="341"/>
      <c r="H18" s="342"/>
      <c r="I18" s="341">
        <f>+E18</f>
        <v>75540</v>
      </c>
      <c r="J18" s="342"/>
    </row>
    <row r="19" spans="1:10">
      <c r="A19" s="339" t="s">
        <v>112</v>
      </c>
      <c r="B19" s="340"/>
      <c r="C19" s="66">
        <v>7832353</v>
      </c>
      <c r="D19" s="66">
        <v>7773559</v>
      </c>
      <c r="E19" s="67">
        <f>AVERAGE(C19-D19)</f>
        <v>58794</v>
      </c>
      <c r="F19" s="67">
        <f>+E19</f>
        <v>58794</v>
      </c>
      <c r="G19" s="341"/>
      <c r="H19" s="342"/>
      <c r="I19" s="341">
        <f>+E19</f>
        <v>58794</v>
      </c>
      <c r="J19" s="342"/>
    </row>
    <row r="20" spans="1:10" ht="15">
      <c r="A20" s="343" t="s">
        <v>113</v>
      </c>
      <c r="B20" s="344"/>
      <c r="C20" s="68"/>
      <c r="D20" s="69"/>
      <c r="E20" s="68">
        <f>SUM(E17:E19)</f>
        <v>282564</v>
      </c>
      <c r="F20" s="70"/>
      <c r="G20" s="345"/>
      <c r="H20" s="346"/>
      <c r="I20" s="345"/>
      <c r="J20" s="346"/>
    </row>
    <row r="21" spans="1:10">
      <c r="C21" s="110" t="s">
        <v>18</v>
      </c>
      <c r="D21" t="s">
        <v>114</v>
      </c>
      <c r="G21" s="347"/>
      <c r="H21" s="347"/>
    </row>
    <row r="22" spans="1:10" ht="13.5" thickBot="1">
      <c r="G22" s="348"/>
      <c r="H22" s="348"/>
    </row>
    <row r="23" spans="1:10" ht="13.5" thickTop="1">
      <c r="A23" s="349" t="s">
        <v>115</v>
      </c>
      <c r="B23" s="350"/>
      <c r="C23" s="351"/>
      <c r="D23" s="329" t="s">
        <v>116</v>
      </c>
      <c r="E23" s="329" t="s">
        <v>117</v>
      </c>
      <c r="F23" s="356" t="s">
        <v>118</v>
      </c>
      <c r="G23" s="358" t="s">
        <v>119</v>
      </c>
      <c r="H23" s="358"/>
      <c r="I23" s="359" t="s">
        <v>120</v>
      </c>
      <c r="J23" s="359"/>
    </row>
    <row r="24" spans="1:10">
      <c r="A24" s="352"/>
      <c r="B24" s="353"/>
      <c r="C24" s="354"/>
      <c r="D24" s="355"/>
      <c r="E24" s="355"/>
      <c r="F24" s="357"/>
      <c r="G24" s="164" t="s">
        <v>121</v>
      </c>
      <c r="H24" s="71" t="s">
        <v>122</v>
      </c>
      <c r="I24" s="359"/>
      <c r="J24" s="359"/>
    </row>
    <row r="25" spans="1:10" ht="15">
      <c r="A25" s="360" t="s">
        <v>123</v>
      </c>
      <c r="B25" s="361"/>
      <c r="C25" s="362"/>
      <c r="D25" s="67">
        <f>+E17</f>
        <v>148230</v>
      </c>
      <c r="E25" s="72">
        <v>0.95140000000000002</v>
      </c>
      <c r="F25" s="73">
        <f>PRODUCT(D25*E25)</f>
        <v>141026.022</v>
      </c>
      <c r="G25" s="152">
        <v>14</v>
      </c>
      <c r="H25" s="65">
        <f>PRODUCT(0.14,F25)</f>
        <v>19743.643080000002</v>
      </c>
      <c r="I25" s="363">
        <f>SUM(H25,F25)</f>
        <v>160769.66508000001</v>
      </c>
      <c r="J25" s="364"/>
    </row>
    <row r="26" spans="1:10" ht="15">
      <c r="A26" s="365" t="s">
        <v>124</v>
      </c>
      <c r="B26" s="366"/>
      <c r="C26" s="367"/>
      <c r="D26" s="67">
        <f>+E18</f>
        <v>75540</v>
      </c>
      <c r="E26" s="74">
        <v>0.69850000000000001</v>
      </c>
      <c r="F26" s="73">
        <f>PRODUCT(D26*E26)</f>
        <v>52764.69</v>
      </c>
      <c r="G26">
        <v>14</v>
      </c>
      <c r="H26" s="67">
        <f>PRODUCT(0.14,F26)</f>
        <v>7387.0566000000008</v>
      </c>
      <c r="I26" s="363">
        <f t="shared" ref="I26:I31" si="0">SUM(H26,F26)</f>
        <v>60151.746600000006</v>
      </c>
      <c r="J26" s="364"/>
    </row>
    <row r="27" spans="1:10" ht="15">
      <c r="A27" s="365" t="s">
        <v>125</v>
      </c>
      <c r="B27" s="366"/>
      <c r="C27" s="367"/>
      <c r="D27" s="67">
        <f>+E19</f>
        <v>58794</v>
      </c>
      <c r="E27" s="74">
        <v>1.3304</v>
      </c>
      <c r="F27" s="73">
        <f>PRODUCT(D27*E27)</f>
        <v>78219.537599999996</v>
      </c>
      <c r="G27">
        <v>14</v>
      </c>
      <c r="H27" s="67">
        <f>PRODUCT(0.14,F27)</f>
        <v>10950.735264000001</v>
      </c>
      <c r="I27" s="363">
        <f>SUM(H27,F27)</f>
        <v>89170.272863999999</v>
      </c>
      <c r="J27" s="364"/>
    </row>
    <row r="28" spans="1:10" ht="15">
      <c r="A28" s="365" t="s">
        <v>126</v>
      </c>
      <c r="B28" s="366"/>
      <c r="C28" s="367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3">
        <f t="shared" si="0"/>
        <v>50025.103799999997</v>
      </c>
      <c r="J28" s="364"/>
    </row>
    <row r="29" spans="1:10" ht="15">
      <c r="A29" s="376" t="s">
        <v>127</v>
      </c>
      <c r="B29" s="377"/>
      <c r="C29" s="378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79">
        <f t="shared" si="0"/>
        <v>0</v>
      </c>
      <c r="J29" s="380"/>
    </row>
    <row r="30" spans="1:10" ht="15">
      <c r="A30" s="365" t="s">
        <v>128</v>
      </c>
      <c r="B30" s="366"/>
      <c r="C30" s="367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3">
        <f>SUM(H30,F30)</f>
        <v>1009.2</v>
      </c>
      <c r="J30" s="364"/>
    </row>
    <row r="31" spans="1:10" ht="15.75" thickBot="1">
      <c r="A31" s="368" t="s">
        <v>129</v>
      </c>
      <c r="B31" s="369"/>
      <c r="C31" s="370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3">
        <f t="shared" si="0"/>
        <v>1596.44</v>
      </c>
      <c r="J31" s="364"/>
    </row>
    <row r="32" spans="1:10" ht="21">
      <c r="A32" s="371" t="s">
        <v>130</v>
      </c>
      <c r="B32" s="372"/>
      <c r="C32" s="372"/>
      <c r="D32" s="372"/>
      <c r="E32" s="372"/>
      <c r="F32" s="84">
        <f>SUM(F25:F31)</f>
        <v>318224.91959999996</v>
      </c>
      <c r="G32" s="85"/>
      <c r="H32" s="86"/>
      <c r="I32" s="375">
        <f>SUM(I25:J31)</f>
        <v>362722.42834400001</v>
      </c>
      <c r="J32" s="375"/>
    </row>
    <row r="33" spans="1:10" ht="21.75" thickBot="1">
      <c r="A33" s="373"/>
      <c r="B33" s="374"/>
      <c r="C33" s="374"/>
      <c r="D33" s="374"/>
      <c r="E33" s="374"/>
      <c r="F33" s="87"/>
      <c r="G33" s="88"/>
      <c r="H33" s="89"/>
      <c r="I33" s="375"/>
      <c r="J33" s="375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20" sqref="C20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1"/>
      <c r="B1" s="273"/>
      <c r="C1" s="301" t="s">
        <v>87</v>
      </c>
      <c r="D1" s="302"/>
      <c r="E1" s="302"/>
      <c r="F1" s="302"/>
      <c r="G1" s="302"/>
      <c r="H1" s="307" t="s">
        <v>88</v>
      </c>
      <c r="I1" s="308"/>
      <c r="J1" s="309"/>
    </row>
    <row r="2" spans="1:10" ht="16.5" customHeight="1" thickBot="1">
      <c r="A2" s="274"/>
      <c r="B2" s="276"/>
      <c r="C2" s="303"/>
      <c r="D2" s="304"/>
      <c r="E2" s="304"/>
      <c r="F2" s="304"/>
      <c r="G2" s="304"/>
      <c r="H2" s="310"/>
      <c r="I2" s="311"/>
      <c r="J2" s="312"/>
    </row>
    <row r="3" spans="1:10" ht="15" customHeight="1">
      <c r="A3" s="274"/>
      <c r="B3" s="276"/>
      <c r="C3" s="303"/>
      <c r="D3" s="304"/>
      <c r="E3" s="304"/>
      <c r="F3" s="304"/>
      <c r="G3" s="304"/>
      <c r="H3" s="313" t="s">
        <v>89</v>
      </c>
      <c r="I3" s="314"/>
      <c r="J3" s="315"/>
    </row>
    <row r="4" spans="1:10" ht="15.75" customHeight="1" thickBot="1">
      <c r="A4" s="277"/>
      <c r="B4" s="279"/>
      <c r="C4" s="305"/>
      <c r="D4" s="306"/>
      <c r="E4" s="306"/>
      <c r="F4" s="306"/>
      <c r="G4" s="306"/>
      <c r="H4" s="316"/>
      <c r="I4" s="317"/>
      <c r="J4" s="318"/>
    </row>
    <row r="6" spans="1:10" ht="33" customHeight="1" thickBot="1"/>
    <row r="7" spans="1:10" ht="36.75" thickTop="1">
      <c r="A7" s="319" t="s">
        <v>90</v>
      </c>
      <c r="B7" s="319"/>
      <c r="C7" s="320" t="s">
        <v>91</v>
      </c>
      <c r="D7" s="321"/>
      <c r="E7" s="61" t="s">
        <v>92</v>
      </c>
      <c r="F7" s="61" t="s">
        <v>93</v>
      </c>
      <c r="G7" s="61" t="s">
        <v>94</v>
      </c>
      <c r="H7" s="61" t="s">
        <v>95</v>
      </c>
      <c r="I7" s="322" t="s">
        <v>96</v>
      </c>
      <c r="J7" s="323"/>
    </row>
    <row r="8" spans="1:10">
      <c r="A8" s="324">
        <v>95670781</v>
      </c>
      <c r="B8" s="324"/>
      <c r="C8" s="325" t="s">
        <v>131</v>
      </c>
      <c r="D8" s="326"/>
      <c r="E8" s="113" t="s">
        <v>132</v>
      </c>
      <c r="F8" s="165" t="s">
        <v>133</v>
      </c>
      <c r="G8" s="62"/>
      <c r="H8" s="62"/>
      <c r="I8" s="327"/>
      <c r="J8" s="328"/>
    </row>
    <row r="10" spans="1:10" ht="23.25" customHeight="1" thickBot="1"/>
    <row r="11" spans="1:10" ht="24.75" customHeight="1" thickTop="1">
      <c r="A11" s="329" t="s">
        <v>98</v>
      </c>
      <c r="B11" s="329"/>
      <c r="C11" s="330" t="s">
        <v>99</v>
      </c>
      <c r="D11" s="331"/>
      <c r="E11" s="329" t="s">
        <v>100</v>
      </c>
      <c r="F11" s="329"/>
      <c r="G11" s="330" t="s">
        <v>101</v>
      </c>
      <c r="H11" s="331"/>
      <c r="I11" s="332" t="s">
        <v>102</v>
      </c>
      <c r="J11" s="332"/>
    </row>
    <row r="12" spans="1:10">
      <c r="A12" s="324" t="s">
        <v>103</v>
      </c>
      <c r="B12" s="324"/>
      <c r="C12" s="324">
        <v>3750</v>
      </c>
      <c r="D12" s="324"/>
      <c r="E12" s="324">
        <v>1000</v>
      </c>
      <c r="F12" s="324"/>
      <c r="G12" s="336">
        <v>712</v>
      </c>
      <c r="H12" s="336"/>
      <c r="I12" s="337"/>
      <c r="J12" s="337"/>
    </row>
    <row r="13" spans="1:10">
      <c r="A13" s="338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29" t="s">
        <v>104</v>
      </c>
      <c r="B16" s="329"/>
      <c r="C16" s="63" t="s">
        <v>105</v>
      </c>
      <c r="D16" s="64" t="s">
        <v>106</v>
      </c>
      <c r="E16" s="64" t="s">
        <v>48</v>
      </c>
      <c r="F16" s="64" t="s">
        <v>107</v>
      </c>
      <c r="G16" s="333" t="s">
        <v>108</v>
      </c>
      <c r="H16" s="333"/>
      <c r="I16" s="334" t="s">
        <v>109</v>
      </c>
      <c r="J16" s="335"/>
    </row>
    <row r="17" spans="1:10">
      <c r="A17" s="339" t="s">
        <v>110</v>
      </c>
      <c r="B17" s="340"/>
      <c r="C17" s="66">
        <v>17775279</v>
      </c>
      <c r="D17" s="66">
        <v>17770995</v>
      </c>
      <c r="E17" s="67">
        <f>MIN(C17-D17)</f>
        <v>4284</v>
      </c>
      <c r="F17" s="67">
        <f>+E17</f>
        <v>4284</v>
      </c>
      <c r="G17" s="341"/>
      <c r="H17" s="342"/>
      <c r="I17" s="341">
        <f>+E17</f>
        <v>4284</v>
      </c>
      <c r="J17" s="342"/>
    </row>
    <row r="18" spans="1:10">
      <c r="A18" s="339" t="s">
        <v>111</v>
      </c>
      <c r="B18" s="340"/>
      <c r="C18" s="66">
        <v>10568071</v>
      </c>
      <c r="D18" s="66">
        <v>10565750</v>
      </c>
      <c r="E18" s="67">
        <f>MIN(C18-D18)</f>
        <v>2321</v>
      </c>
      <c r="F18" s="67">
        <f>+E18</f>
        <v>2321</v>
      </c>
      <c r="G18" s="341"/>
      <c r="H18" s="342"/>
      <c r="I18" s="341">
        <f>+E18</f>
        <v>2321</v>
      </c>
      <c r="J18" s="342"/>
    </row>
    <row r="19" spans="1:10">
      <c r="A19" s="339" t="s">
        <v>112</v>
      </c>
      <c r="B19" s="340"/>
      <c r="C19" s="66">
        <v>7868506</v>
      </c>
      <c r="D19" s="66">
        <v>7866561</v>
      </c>
      <c r="E19" s="67">
        <f>AVERAGE(C19-D19)</f>
        <v>1945</v>
      </c>
      <c r="F19" s="67">
        <f>+E19</f>
        <v>1945</v>
      </c>
      <c r="G19" s="341"/>
      <c r="H19" s="342"/>
      <c r="I19" s="341">
        <f>+E19</f>
        <v>1945</v>
      </c>
      <c r="J19" s="342"/>
    </row>
    <row r="20" spans="1:10" ht="15">
      <c r="A20" s="343" t="s">
        <v>113</v>
      </c>
      <c r="B20" s="344"/>
      <c r="C20" s="68"/>
      <c r="D20" s="69"/>
      <c r="E20" s="68">
        <f>SUM(E17:E19)</f>
        <v>8550</v>
      </c>
      <c r="F20" s="70"/>
      <c r="G20" s="345"/>
      <c r="H20" s="346"/>
      <c r="I20" s="345"/>
      <c r="J20" s="346"/>
    </row>
    <row r="21" spans="1:10">
      <c r="C21" s="110" t="s">
        <v>18</v>
      </c>
      <c r="D21" t="s">
        <v>114</v>
      </c>
      <c r="G21" s="347"/>
      <c r="H21" s="347"/>
    </row>
    <row r="22" spans="1:10" ht="13.5" thickBot="1">
      <c r="G22" s="348"/>
      <c r="H22" s="348"/>
    </row>
    <row r="23" spans="1:10" ht="13.5" thickTop="1">
      <c r="A23" s="349" t="s">
        <v>115</v>
      </c>
      <c r="B23" s="350"/>
      <c r="C23" s="351"/>
      <c r="D23" s="329" t="s">
        <v>116</v>
      </c>
      <c r="E23" s="329" t="s">
        <v>117</v>
      </c>
      <c r="F23" s="356" t="s">
        <v>118</v>
      </c>
      <c r="G23" s="358" t="s">
        <v>119</v>
      </c>
      <c r="H23" s="358"/>
      <c r="I23" s="359" t="s">
        <v>120</v>
      </c>
      <c r="J23" s="359"/>
    </row>
    <row r="24" spans="1:10">
      <c r="A24" s="352"/>
      <c r="B24" s="353"/>
      <c r="C24" s="354"/>
      <c r="D24" s="355"/>
      <c r="E24" s="355"/>
      <c r="F24" s="357"/>
      <c r="G24" s="164" t="s">
        <v>121</v>
      </c>
      <c r="H24" s="71" t="s">
        <v>122</v>
      </c>
      <c r="I24" s="359"/>
      <c r="J24" s="359"/>
    </row>
    <row r="25" spans="1:10" ht="15">
      <c r="A25" s="360" t="s">
        <v>123</v>
      </c>
      <c r="B25" s="361"/>
      <c r="C25" s="362"/>
      <c r="D25" s="67">
        <f>+E17</f>
        <v>4284</v>
      </c>
      <c r="E25" s="72">
        <v>0.95140000000000002</v>
      </c>
      <c r="F25" s="73">
        <f>PRODUCT(D25*E25)</f>
        <v>4075.7975999999999</v>
      </c>
      <c r="G25" s="152">
        <v>14</v>
      </c>
      <c r="H25" s="65">
        <f>PRODUCT(0.14,F25)</f>
        <v>570.61166400000002</v>
      </c>
      <c r="I25" s="363">
        <f>SUM(H25,F25)</f>
        <v>4646.4092639999999</v>
      </c>
      <c r="J25" s="364"/>
    </row>
    <row r="26" spans="1:10" ht="15">
      <c r="A26" s="365" t="s">
        <v>124</v>
      </c>
      <c r="B26" s="366"/>
      <c r="C26" s="367"/>
      <c r="D26" s="67">
        <f>+E18</f>
        <v>2321</v>
      </c>
      <c r="E26" s="74">
        <v>0.69850000000000001</v>
      </c>
      <c r="F26" s="73">
        <f>PRODUCT(D26*E26)</f>
        <v>1621.2184999999999</v>
      </c>
      <c r="G26">
        <v>14</v>
      </c>
      <c r="H26" s="67">
        <f>PRODUCT(0.14,F26)</f>
        <v>226.97059000000002</v>
      </c>
      <c r="I26" s="363">
        <f t="shared" ref="I26:I31" si="0">SUM(H26,F26)</f>
        <v>1848.1890899999999</v>
      </c>
      <c r="J26" s="364"/>
    </row>
    <row r="27" spans="1:10" ht="15">
      <c r="A27" s="365" t="s">
        <v>125</v>
      </c>
      <c r="B27" s="366"/>
      <c r="C27" s="367"/>
      <c r="D27" s="67">
        <f>+E19</f>
        <v>1945</v>
      </c>
      <c r="E27" s="74">
        <v>1.3304</v>
      </c>
      <c r="F27" s="73">
        <f>PRODUCT(D27*E27)</f>
        <v>2587.6280000000002</v>
      </c>
      <c r="G27">
        <v>14</v>
      </c>
      <c r="H27" s="67">
        <f>PRODUCT(0.14,F27)</f>
        <v>362.26792000000006</v>
      </c>
      <c r="I27" s="363">
        <f>SUM(H27,F27)</f>
        <v>2949.8959200000004</v>
      </c>
      <c r="J27" s="364"/>
    </row>
    <row r="28" spans="1:10" ht="15">
      <c r="A28" s="365" t="s">
        <v>126</v>
      </c>
      <c r="B28" s="366"/>
      <c r="C28" s="367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3">
        <f t="shared" si="0"/>
        <v>50025.103799999997</v>
      </c>
      <c r="J28" s="364"/>
    </row>
    <row r="29" spans="1:10" ht="15">
      <c r="A29" s="376" t="s">
        <v>127</v>
      </c>
      <c r="B29" s="377"/>
      <c r="C29" s="378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79">
        <f t="shared" si="0"/>
        <v>0</v>
      </c>
      <c r="J29" s="380"/>
    </row>
    <row r="30" spans="1:10" ht="15">
      <c r="A30" s="365" t="s">
        <v>128</v>
      </c>
      <c r="B30" s="366"/>
      <c r="C30" s="367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3">
        <f>SUM(H30,F30)</f>
        <v>1009.2</v>
      </c>
      <c r="J30" s="364"/>
    </row>
    <row r="31" spans="1:10" ht="15.75" thickBot="1">
      <c r="A31" s="368" t="s">
        <v>129</v>
      </c>
      <c r="B31" s="369"/>
      <c r="C31" s="370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3">
        <f t="shared" si="0"/>
        <v>1596.44</v>
      </c>
      <c r="J31" s="364"/>
    </row>
    <row r="32" spans="1:10" ht="21">
      <c r="A32" s="371" t="s">
        <v>130</v>
      </c>
      <c r="B32" s="372"/>
      <c r="C32" s="372"/>
      <c r="D32" s="372"/>
      <c r="E32" s="372"/>
      <c r="F32" s="84">
        <f>SUM(F25:F31)</f>
        <v>54499.314099999996</v>
      </c>
      <c r="G32" s="85"/>
      <c r="H32" s="86"/>
      <c r="I32" s="375">
        <f>SUM(I25:J31)</f>
        <v>62075.238073999994</v>
      </c>
      <c r="J32" s="375"/>
    </row>
    <row r="33" spans="1:10" ht="21.75" thickBot="1">
      <c r="A33" s="373"/>
      <c r="B33" s="374"/>
      <c r="C33" s="374"/>
      <c r="D33" s="374"/>
      <c r="E33" s="374"/>
      <c r="F33" s="87"/>
      <c r="G33" s="88"/>
      <c r="H33" s="89"/>
      <c r="I33" s="375"/>
      <c r="J33" s="375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01" t="s">
        <v>134</v>
      </c>
      <c r="C1" s="302"/>
      <c r="D1" s="302"/>
      <c r="E1" s="302"/>
      <c r="F1" s="384" t="s">
        <v>88</v>
      </c>
      <c r="G1" s="385"/>
      <c r="H1" s="386"/>
    </row>
    <row r="2" spans="1:8" ht="15.75" customHeight="1" thickBot="1">
      <c r="A2" s="382"/>
      <c r="B2" s="303"/>
      <c r="C2" s="304"/>
      <c r="D2" s="304"/>
      <c r="E2" s="304"/>
      <c r="F2" s="387"/>
      <c r="G2" s="388"/>
      <c r="H2" s="389"/>
    </row>
    <row r="3" spans="1:8" ht="15" customHeight="1">
      <c r="A3" s="382"/>
      <c r="B3" s="303"/>
      <c r="C3" s="304"/>
      <c r="D3" s="304"/>
      <c r="E3" s="304"/>
      <c r="F3" s="384" t="s">
        <v>89</v>
      </c>
      <c r="G3" s="385"/>
      <c r="H3" s="386"/>
    </row>
    <row r="4" spans="1:8" ht="15.75" customHeight="1" thickBot="1">
      <c r="A4" s="383"/>
      <c r="B4" s="305"/>
      <c r="C4" s="306"/>
      <c r="D4" s="306"/>
      <c r="E4" s="306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135</v>
      </c>
      <c r="C7" s="92" t="s">
        <v>136</v>
      </c>
      <c r="D7" s="94" t="s">
        <v>91</v>
      </c>
      <c r="E7" s="92" t="s">
        <v>137</v>
      </c>
      <c r="F7" s="94" t="s">
        <v>92</v>
      </c>
      <c r="G7" s="94" t="s">
        <v>138</v>
      </c>
      <c r="H7" s="93" t="s">
        <v>93</v>
      </c>
    </row>
    <row r="8" spans="1:8" ht="15">
      <c r="A8" s="166"/>
      <c r="B8" s="95" t="s">
        <v>139</v>
      </c>
      <c r="C8" s="96">
        <v>106311</v>
      </c>
      <c r="D8" s="97">
        <v>43922</v>
      </c>
      <c r="E8" s="96">
        <v>108477.2</v>
      </c>
      <c r="F8" s="97">
        <v>44317</v>
      </c>
      <c r="G8" s="98">
        <f>E8-C8</f>
        <v>2166.1999999999971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140</v>
      </c>
      <c r="E10" s="395"/>
      <c r="F10" s="393" t="s">
        <v>141</v>
      </c>
      <c r="G10" s="396"/>
      <c r="H10" s="394"/>
    </row>
    <row r="11" spans="1:8" ht="15">
      <c r="A11" s="102" t="s">
        <v>142</v>
      </c>
      <c r="B11" s="397"/>
      <c r="C11" s="397"/>
      <c r="D11" s="397"/>
      <c r="E11" s="397"/>
      <c r="F11" s="397">
        <v>23</v>
      </c>
      <c r="G11" s="397"/>
      <c r="H11" s="397"/>
    </row>
    <row r="12" spans="1:8" ht="21">
      <c r="A12" s="398" t="s">
        <v>143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144</v>
      </c>
      <c r="B13" s="397">
        <f>G8</f>
        <v>2166.1999999999971</v>
      </c>
      <c r="C13" s="397"/>
      <c r="D13" s="397">
        <v>8.7899999999999991</v>
      </c>
      <c r="E13" s="397"/>
      <c r="F13" s="399">
        <f>PRODUCT(D13,B13)</f>
        <v>19040.897999999972</v>
      </c>
      <c r="G13" s="399"/>
      <c r="H13" s="399"/>
    </row>
    <row r="14" spans="1:8" ht="45" customHeight="1">
      <c r="A14" s="400" t="s">
        <v>145</v>
      </c>
      <c r="B14" s="400"/>
      <c r="C14" s="400"/>
      <c r="D14" s="400"/>
      <c r="E14" s="400"/>
      <c r="F14" s="400"/>
      <c r="G14" s="400"/>
      <c r="H14" s="400"/>
    </row>
    <row r="15" spans="1:8">
      <c r="A15" s="401"/>
      <c r="B15" s="401"/>
      <c r="C15" s="401"/>
      <c r="D15" s="401"/>
      <c r="E15" s="401"/>
      <c r="F15" s="401"/>
      <c r="G15" s="401"/>
      <c r="H15" s="401"/>
    </row>
    <row r="16" spans="1:8" ht="15">
      <c r="A16" s="103" t="s">
        <v>146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>
      <c r="A17" s="103" t="s">
        <v>147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>
      <c r="A18" s="103" t="s">
        <v>148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>
      <c r="A19" s="103" t="s">
        <v>149</v>
      </c>
      <c r="B19" s="397">
        <f>G8</f>
        <v>2166.1999999999971</v>
      </c>
      <c r="C19" s="397"/>
      <c r="D19" s="397">
        <v>2.61</v>
      </c>
      <c r="E19" s="397"/>
      <c r="F19" s="397">
        <f>PRODUCT(D19,B19)</f>
        <v>5653.781999999992</v>
      </c>
      <c r="G19" s="397"/>
      <c r="H19" s="397"/>
    </row>
    <row r="20" spans="1:8" ht="18.75">
      <c r="A20" s="413" t="s">
        <v>150</v>
      </c>
      <c r="B20" s="414"/>
      <c r="C20" s="414"/>
      <c r="D20" s="414"/>
      <c r="E20" s="415"/>
      <c r="F20" s="416">
        <f>SUM(F11+F13+F16+F17+F18+F19)</f>
        <v>24717.679999999964</v>
      </c>
      <c r="G20" s="416"/>
      <c r="H20" s="416"/>
    </row>
    <row r="21" spans="1:8" ht="15">
      <c r="A21" s="402" t="s">
        <v>151</v>
      </c>
      <c r="B21" s="403"/>
      <c r="C21" s="403"/>
      <c r="D21" s="403"/>
      <c r="E21" s="404"/>
      <c r="F21" s="397">
        <f>PRODUCT(F20,0.07)</f>
        <v>1730.2375999999977</v>
      </c>
      <c r="G21" s="397"/>
      <c r="H21" s="397"/>
    </row>
    <row r="22" spans="1:8" ht="15">
      <c r="A22" s="434" t="s">
        <v>152</v>
      </c>
      <c r="B22" s="435"/>
      <c r="C22" s="435"/>
      <c r="D22" s="435"/>
      <c r="E22" s="436"/>
      <c r="F22" s="397">
        <v>208.26</v>
      </c>
      <c r="G22" s="397"/>
      <c r="H22" s="397"/>
    </row>
    <row r="23" spans="1:8" ht="15.75">
      <c r="A23" s="402" t="s">
        <v>153</v>
      </c>
      <c r="B23" s="403"/>
      <c r="C23" s="403"/>
      <c r="D23" s="403"/>
      <c r="E23" s="404"/>
      <c r="F23" s="405">
        <f>SUM(F21:H22)</f>
        <v>1938.4975999999976</v>
      </c>
      <c r="G23" s="405"/>
      <c r="H23" s="405"/>
    </row>
    <row r="24" spans="1:8">
      <c r="A24" s="406" t="s">
        <v>154</v>
      </c>
      <c r="B24" s="407"/>
      <c r="C24" s="407"/>
      <c r="D24" s="407"/>
      <c r="E24" s="408"/>
      <c r="F24" s="412">
        <f>SUM(F20,F23)</f>
        <v>26656.177599999963</v>
      </c>
      <c r="G24" s="412"/>
      <c r="H24" s="412"/>
    </row>
    <row r="25" spans="1:8">
      <c r="A25" s="409"/>
      <c r="B25" s="410"/>
      <c r="C25" s="410"/>
      <c r="D25" s="410"/>
      <c r="E25" s="411"/>
      <c r="F25" s="412"/>
      <c r="G25" s="412"/>
      <c r="H25" s="412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E8" sqref="E8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01" t="s">
        <v>134</v>
      </c>
      <c r="C1" s="302"/>
      <c r="D1" s="302"/>
      <c r="E1" s="302"/>
      <c r="F1" s="384" t="s">
        <v>88</v>
      </c>
      <c r="G1" s="385"/>
      <c r="H1" s="386"/>
    </row>
    <row r="2" spans="1:8" ht="15.75" customHeight="1" thickBot="1">
      <c r="A2" s="382"/>
      <c r="B2" s="303"/>
      <c r="C2" s="304"/>
      <c r="D2" s="304"/>
      <c r="E2" s="304"/>
      <c r="F2" s="387"/>
      <c r="G2" s="388"/>
      <c r="H2" s="389"/>
    </row>
    <row r="3" spans="1:8" ht="15" customHeight="1">
      <c r="A3" s="382"/>
      <c r="B3" s="303"/>
      <c r="C3" s="304"/>
      <c r="D3" s="304"/>
      <c r="E3" s="304"/>
      <c r="F3" s="384" t="s">
        <v>89</v>
      </c>
      <c r="G3" s="385"/>
      <c r="H3" s="386"/>
    </row>
    <row r="4" spans="1:8" ht="15.75" customHeight="1" thickBot="1">
      <c r="A4" s="383"/>
      <c r="B4" s="305"/>
      <c r="C4" s="306"/>
      <c r="D4" s="306"/>
      <c r="E4" s="306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135</v>
      </c>
      <c r="C7" s="92" t="s">
        <v>136</v>
      </c>
      <c r="D7" s="94" t="s">
        <v>91</v>
      </c>
      <c r="E7" s="92" t="s">
        <v>137</v>
      </c>
      <c r="F7" s="94" t="s">
        <v>92</v>
      </c>
      <c r="G7" s="94" t="s">
        <v>138</v>
      </c>
      <c r="H7" s="93" t="s">
        <v>93</v>
      </c>
    </row>
    <row r="8" spans="1:8" ht="15">
      <c r="A8" s="166"/>
      <c r="B8" s="95" t="s">
        <v>139</v>
      </c>
      <c r="C8" s="96">
        <v>109852.8</v>
      </c>
      <c r="D8" s="97">
        <v>44333</v>
      </c>
      <c r="E8" s="96">
        <v>109942.5</v>
      </c>
      <c r="F8" s="97">
        <v>44334</v>
      </c>
      <c r="G8" s="98">
        <f>E8-C8</f>
        <v>89.69999999999709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140</v>
      </c>
      <c r="E10" s="395"/>
      <c r="F10" s="393" t="s">
        <v>141</v>
      </c>
      <c r="G10" s="396"/>
      <c r="H10" s="394"/>
    </row>
    <row r="11" spans="1:8" ht="15">
      <c r="A11" s="102" t="s">
        <v>142</v>
      </c>
      <c r="B11" s="397"/>
      <c r="C11" s="397"/>
      <c r="D11" s="397"/>
      <c r="E11" s="397"/>
      <c r="F11" s="397">
        <v>23</v>
      </c>
      <c r="G11" s="397"/>
      <c r="H11" s="397"/>
    </row>
    <row r="12" spans="1:8" ht="21">
      <c r="A12" s="398" t="s">
        <v>143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144</v>
      </c>
      <c r="B13" s="397">
        <f>G8</f>
        <v>89.69999999999709</v>
      </c>
      <c r="C13" s="397"/>
      <c r="D13" s="397">
        <v>8.5</v>
      </c>
      <c r="E13" s="397"/>
      <c r="F13" s="399">
        <f>PRODUCT(D13,B13)</f>
        <v>762.44999999997526</v>
      </c>
      <c r="G13" s="399"/>
      <c r="H13" s="399"/>
    </row>
    <row r="14" spans="1:8" ht="45" customHeight="1">
      <c r="A14" s="400" t="s">
        <v>145</v>
      </c>
      <c r="B14" s="400"/>
      <c r="C14" s="400"/>
      <c r="D14" s="400"/>
      <c r="E14" s="400"/>
      <c r="F14" s="400"/>
      <c r="G14" s="400"/>
      <c r="H14" s="400"/>
    </row>
    <row r="15" spans="1:8">
      <c r="A15" s="401"/>
      <c r="B15" s="401"/>
      <c r="C15" s="401"/>
      <c r="D15" s="401"/>
      <c r="E15" s="401"/>
      <c r="F15" s="401"/>
      <c r="G15" s="401"/>
      <c r="H15" s="401"/>
    </row>
    <row r="16" spans="1:8" ht="15">
      <c r="A16" s="103" t="s">
        <v>146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>
      <c r="A17" s="103" t="s">
        <v>147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>
      <c r="A18" s="103" t="s">
        <v>148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>
      <c r="A19" s="103" t="s">
        <v>149</v>
      </c>
      <c r="B19" s="397">
        <v>0</v>
      </c>
      <c r="C19" s="397"/>
      <c r="D19" s="417">
        <v>0</v>
      </c>
      <c r="E19" s="418"/>
      <c r="F19" s="417">
        <v>0</v>
      </c>
      <c r="G19" s="418"/>
      <c r="H19" s="166"/>
    </row>
    <row r="20" spans="1:8" ht="15">
      <c r="A20" s="103" t="s">
        <v>155</v>
      </c>
      <c r="B20" s="397">
        <f>G8</f>
        <v>89.69999999999709</v>
      </c>
      <c r="C20" s="397"/>
      <c r="D20" s="397">
        <v>2.54</v>
      </c>
      <c r="E20" s="397"/>
      <c r="F20" s="397">
        <f>PRODUCT(D20,B20)</f>
        <v>227.8379999999926</v>
      </c>
      <c r="G20" s="397"/>
      <c r="H20" s="397"/>
    </row>
    <row r="21" spans="1:8" ht="18.75">
      <c r="A21" s="413" t="s">
        <v>150</v>
      </c>
      <c r="B21" s="414"/>
      <c r="C21" s="414"/>
      <c r="D21" s="414"/>
      <c r="E21" s="415"/>
      <c r="F21" s="416">
        <f>SUM(F11+F13+F16+F17+F18+F20)</f>
        <v>1013.2879999999678</v>
      </c>
      <c r="G21" s="416"/>
      <c r="H21" s="416"/>
    </row>
    <row r="22" spans="1:8" ht="15">
      <c r="A22" s="402" t="s">
        <v>151</v>
      </c>
      <c r="B22" s="403"/>
      <c r="C22" s="403"/>
      <c r="D22" s="403"/>
      <c r="E22" s="404"/>
      <c r="F22" s="397">
        <f>PRODUCT(F21,0.07)</f>
        <v>70.930159999997755</v>
      </c>
      <c r="G22" s="397"/>
      <c r="H22" s="397"/>
    </row>
    <row r="23" spans="1:8" ht="15">
      <c r="A23" s="434" t="s">
        <v>152</v>
      </c>
      <c r="B23" s="435"/>
      <c r="C23" s="435"/>
      <c r="D23" s="435"/>
      <c r="E23" s="436"/>
      <c r="F23" s="397">
        <v>208.26</v>
      </c>
      <c r="G23" s="397"/>
      <c r="H23" s="397"/>
    </row>
    <row r="24" spans="1:8" ht="15.75">
      <c r="A24" s="402" t="s">
        <v>153</v>
      </c>
      <c r="B24" s="403"/>
      <c r="C24" s="403"/>
      <c r="D24" s="403"/>
      <c r="E24" s="404"/>
      <c r="F24" s="405">
        <f>SUM(F22:H23)</f>
        <v>279.19015999999772</v>
      </c>
      <c r="G24" s="405"/>
      <c r="H24" s="405"/>
    </row>
    <row r="25" spans="1:8">
      <c r="A25" s="406" t="s">
        <v>154</v>
      </c>
      <c r="B25" s="407"/>
      <c r="C25" s="407"/>
      <c r="D25" s="407"/>
      <c r="E25" s="408"/>
      <c r="F25" s="412">
        <f>SUM(F21,F24)</f>
        <v>1292.4781599999656</v>
      </c>
      <c r="G25" s="412"/>
      <c r="H25" s="412"/>
    </row>
    <row r="26" spans="1:8">
      <c r="A26" s="409"/>
      <c r="B26" s="410"/>
      <c r="C26" s="410"/>
      <c r="D26" s="410"/>
      <c r="E26" s="411"/>
      <c r="F26" s="412"/>
      <c r="G26" s="412"/>
      <c r="H26" s="412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01" t="s">
        <v>156</v>
      </c>
      <c r="C1" s="302"/>
      <c r="D1" s="302"/>
      <c r="E1" s="302"/>
      <c r="F1" s="384" t="s">
        <v>88</v>
      </c>
      <c r="G1" s="385"/>
      <c r="H1" s="386"/>
    </row>
    <row r="2" spans="1:8" ht="15.75" customHeight="1" thickBot="1">
      <c r="A2" s="382"/>
      <c r="B2" s="303"/>
      <c r="C2" s="304"/>
      <c r="D2" s="304"/>
      <c r="E2" s="304"/>
      <c r="F2" s="387"/>
      <c r="G2" s="388"/>
      <c r="H2" s="389"/>
    </row>
    <row r="3" spans="1:8" ht="15" customHeight="1">
      <c r="A3" s="382"/>
      <c r="B3" s="303"/>
      <c r="C3" s="304"/>
      <c r="D3" s="304"/>
      <c r="E3" s="304"/>
      <c r="F3" s="384" t="s">
        <v>89</v>
      </c>
      <c r="G3" s="385"/>
      <c r="H3" s="386"/>
    </row>
    <row r="4" spans="1:8" ht="15.75" customHeight="1" thickBot="1">
      <c r="A4" s="383"/>
      <c r="B4" s="305"/>
      <c r="C4" s="306"/>
      <c r="D4" s="306"/>
      <c r="E4" s="306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135</v>
      </c>
      <c r="C7" s="92" t="s">
        <v>136</v>
      </c>
      <c r="D7" s="94" t="s">
        <v>91</v>
      </c>
      <c r="E7" s="92" t="s">
        <v>137</v>
      </c>
      <c r="F7" s="94" t="s">
        <v>92</v>
      </c>
      <c r="G7" s="94" t="s">
        <v>138</v>
      </c>
      <c r="H7" s="93" t="s">
        <v>93</v>
      </c>
    </row>
    <row r="8" spans="1:8" ht="15">
      <c r="A8" s="166"/>
      <c r="B8" s="95" t="s">
        <v>139</v>
      </c>
      <c r="C8" s="96">
        <v>2559</v>
      </c>
      <c r="D8" s="97">
        <v>44287</v>
      </c>
      <c r="E8" s="96">
        <v>2559</v>
      </c>
      <c r="F8" s="97">
        <v>44317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140</v>
      </c>
      <c r="E10" s="395"/>
      <c r="F10" s="393" t="s">
        <v>141</v>
      </c>
      <c r="G10" s="396"/>
      <c r="H10" s="394"/>
    </row>
    <row r="11" spans="1:8" ht="15">
      <c r="A11" s="102" t="s">
        <v>142</v>
      </c>
      <c r="B11" s="397"/>
      <c r="C11" s="397"/>
      <c r="D11" s="397"/>
      <c r="E11" s="397"/>
      <c r="F11" s="397">
        <v>15</v>
      </c>
      <c r="G11" s="397"/>
      <c r="H11" s="397"/>
    </row>
    <row r="12" spans="1:8" ht="21">
      <c r="A12" s="398" t="s">
        <v>143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157</v>
      </c>
      <c r="B13" s="397">
        <f>G8</f>
        <v>0</v>
      </c>
      <c r="C13" s="397"/>
      <c r="D13" s="397">
        <v>16.48</v>
      </c>
      <c r="E13" s="397"/>
      <c r="F13" s="399">
        <f>PRODUCT(D13,B13)</f>
        <v>0</v>
      </c>
      <c r="G13" s="399"/>
      <c r="H13" s="399"/>
    </row>
    <row r="14" spans="1:8" ht="15">
      <c r="A14" s="102" t="s">
        <v>158</v>
      </c>
      <c r="B14" s="417"/>
      <c r="C14" s="418"/>
      <c r="D14" s="417"/>
      <c r="E14" s="418"/>
      <c r="F14" s="417"/>
      <c r="G14" s="418"/>
      <c r="H14" s="111"/>
    </row>
    <row r="15" spans="1:8" ht="15">
      <c r="A15" s="102" t="s">
        <v>159</v>
      </c>
      <c r="B15" s="417"/>
      <c r="C15" s="418"/>
      <c r="D15" s="417"/>
      <c r="E15" s="418"/>
      <c r="F15" s="417"/>
      <c r="G15" s="418"/>
      <c r="H15" s="111"/>
    </row>
    <row r="16" spans="1:8" ht="15">
      <c r="A16" s="102" t="s">
        <v>160</v>
      </c>
      <c r="B16" s="417"/>
      <c r="C16" s="418"/>
      <c r="D16" s="417"/>
      <c r="E16" s="418"/>
      <c r="F16" s="417"/>
      <c r="G16" s="418"/>
      <c r="H16" s="111"/>
    </row>
    <row r="17" spans="1:8" ht="15">
      <c r="A17" s="102" t="s">
        <v>161</v>
      </c>
      <c r="B17" s="417"/>
      <c r="C17" s="418"/>
      <c r="D17" s="417"/>
      <c r="E17" s="418"/>
      <c r="F17" s="417"/>
      <c r="G17" s="418"/>
      <c r="H17" s="111"/>
    </row>
    <row r="18" spans="1:8" ht="45" customHeight="1">
      <c r="A18" s="400" t="s">
        <v>145</v>
      </c>
      <c r="B18" s="400"/>
      <c r="C18" s="400"/>
      <c r="D18" s="400"/>
      <c r="E18" s="400"/>
      <c r="F18" s="400"/>
      <c r="G18" s="400"/>
      <c r="H18" s="400"/>
    </row>
    <row r="19" spans="1:8">
      <c r="A19" s="401"/>
      <c r="B19" s="401"/>
      <c r="C19" s="401"/>
      <c r="D19" s="401"/>
      <c r="E19" s="401"/>
      <c r="F19" s="401"/>
      <c r="G19" s="401"/>
      <c r="H19" s="401"/>
    </row>
    <row r="20" spans="1:8" ht="15">
      <c r="A20" s="103" t="s">
        <v>146</v>
      </c>
      <c r="B20" s="397">
        <v>0</v>
      </c>
      <c r="C20" s="397"/>
      <c r="D20" s="397">
        <v>0</v>
      </c>
      <c r="E20" s="397"/>
      <c r="F20" s="397">
        <f>PRODUCT(D20,B20)</f>
        <v>0</v>
      </c>
      <c r="G20" s="397"/>
      <c r="H20" s="397"/>
    </row>
    <row r="21" spans="1:8" ht="15">
      <c r="A21" s="103" t="s">
        <v>147</v>
      </c>
      <c r="B21" s="397">
        <v>0</v>
      </c>
      <c r="C21" s="397"/>
      <c r="D21" s="397">
        <v>0</v>
      </c>
      <c r="E21" s="397"/>
      <c r="F21" s="397">
        <f>PRODUCT(D21,B21)</f>
        <v>0</v>
      </c>
      <c r="G21" s="397"/>
      <c r="H21" s="397"/>
    </row>
    <row r="22" spans="1:8" ht="15">
      <c r="A22" s="103" t="s">
        <v>148</v>
      </c>
      <c r="B22" s="397">
        <v>0</v>
      </c>
      <c r="C22" s="397"/>
      <c r="D22" s="397">
        <v>0</v>
      </c>
      <c r="E22" s="397"/>
      <c r="F22" s="397">
        <f>PRODUCT(D22,B22)</f>
        <v>0</v>
      </c>
      <c r="G22" s="397"/>
      <c r="H22" s="397"/>
    </row>
    <row r="23" spans="1:8" ht="15">
      <c r="A23" s="103" t="s">
        <v>149</v>
      </c>
      <c r="B23" s="397">
        <f>G8</f>
        <v>0</v>
      </c>
      <c r="C23" s="397"/>
      <c r="D23" s="397">
        <v>0</v>
      </c>
      <c r="E23" s="397"/>
      <c r="F23" s="397">
        <f>PRODUCT(D23,B23)</f>
        <v>0</v>
      </c>
      <c r="G23" s="397"/>
      <c r="H23" s="397"/>
    </row>
    <row r="24" spans="1:8" ht="15">
      <c r="A24" s="103" t="s">
        <v>155</v>
      </c>
      <c r="B24" s="417">
        <v>0</v>
      </c>
      <c r="C24" s="418"/>
      <c r="D24" s="417">
        <v>2.54</v>
      </c>
      <c r="E24" s="418"/>
      <c r="F24" s="417">
        <f>B24*D24</f>
        <v>0</v>
      </c>
      <c r="G24" s="418"/>
      <c r="H24" s="166"/>
    </row>
    <row r="25" spans="1:8" ht="18.75">
      <c r="A25" s="413" t="s">
        <v>150</v>
      </c>
      <c r="B25" s="414"/>
      <c r="C25" s="414"/>
      <c r="D25" s="414"/>
      <c r="E25" s="415"/>
      <c r="F25" s="419">
        <f>SUM(F11+F13+F20+F21+F22+F23)</f>
        <v>15</v>
      </c>
      <c r="G25" s="416"/>
      <c r="H25" s="416"/>
    </row>
    <row r="26" spans="1:8" ht="15">
      <c r="A26" s="402" t="s">
        <v>151</v>
      </c>
      <c r="B26" s="403"/>
      <c r="C26" s="403"/>
      <c r="D26" s="403"/>
      <c r="E26" s="404"/>
      <c r="F26" s="397">
        <v>63.63</v>
      </c>
      <c r="G26" s="397"/>
      <c r="H26" s="397"/>
    </row>
    <row r="27" spans="1:8" ht="15">
      <c r="A27" s="434" t="s">
        <v>152</v>
      </c>
      <c r="B27" s="435"/>
      <c r="C27" s="435"/>
      <c r="D27" s="435"/>
      <c r="E27" s="436"/>
      <c r="F27" s="397">
        <v>2.4300000000000002</v>
      </c>
      <c r="G27" s="397"/>
      <c r="H27" s="397"/>
    </row>
    <row r="28" spans="1:8" ht="15.75">
      <c r="A28" s="402" t="s">
        <v>153</v>
      </c>
      <c r="B28" s="403"/>
      <c r="C28" s="403"/>
      <c r="D28" s="403"/>
      <c r="E28" s="404"/>
      <c r="F28" s="405">
        <f>SUM(F26:H27)</f>
        <v>66.06</v>
      </c>
      <c r="G28" s="405"/>
      <c r="H28" s="405"/>
    </row>
    <row r="29" spans="1:8">
      <c r="A29" s="406" t="s">
        <v>154</v>
      </c>
      <c r="B29" s="407"/>
      <c r="C29" s="407"/>
      <c r="D29" s="407"/>
      <c r="E29" s="408"/>
      <c r="F29" s="412">
        <f>SUM(F25,F28)</f>
        <v>81.06</v>
      </c>
      <c r="G29" s="412"/>
      <c r="H29" s="412"/>
    </row>
    <row r="30" spans="1:8">
      <c r="A30" s="409"/>
      <c r="B30" s="410"/>
      <c r="C30" s="410"/>
      <c r="D30" s="410"/>
      <c r="E30" s="411"/>
      <c r="F30" s="412"/>
      <c r="G30" s="412"/>
      <c r="H30" s="412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zoomScaleNormal="100" workbookViewId="0">
      <selection activeCell="F24" sqref="F24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0" t="s">
        <v>162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7" spans="2:14">
      <c r="C7" s="105" t="s">
        <v>163</v>
      </c>
      <c r="D7" s="105" t="s">
        <v>164</v>
      </c>
      <c r="E7" s="105" t="s">
        <v>165</v>
      </c>
      <c r="F7" s="105" t="s">
        <v>166</v>
      </c>
      <c r="G7" s="105" t="s">
        <v>167</v>
      </c>
      <c r="H7" s="105" t="s">
        <v>168</v>
      </c>
      <c r="I7" s="105" t="s">
        <v>169</v>
      </c>
      <c r="J7" s="105" t="s">
        <v>170</v>
      </c>
      <c r="K7" s="105" t="s">
        <v>171</v>
      </c>
      <c r="L7" s="105" t="s">
        <v>172</v>
      </c>
      <c r="M7" s="105" t="s">
        <v>173</v>
      </c>
      <c r="N7" s="105" t="s">
        <v>174</v>
      </c>
    </row>
    <row r="8" spans="2:14" ht="32.25" customHeight="1">
      <c r="B8" s="106" t="s">
        <v>175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176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177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178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179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8" t="s">
        <v>180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1" t="s">
        <v>181</v>
      </c>
      <c r="C14" s="104">
        <v>239911</v>
      </c>
      <c r="D14" s="104">
        <v>247692</v>
      </c>
      <c r="E14" s="104">
        <v>242350</v>
      </c>
      <c r="F14" s="104">
        <v>282564</v>
      </c>
      <c r="G14" s="104"/>
      <c r="H14" s="104"/>
      <c r="I14" s="104"/>
      <c r="J14" s="104"/>
      <c r="K14" s="104"/>
      <c r="L14" s="104"/>
      <c r="M14" s="104"/>
      <c r="N14" s="104"/>
    </row>
    <row r="15" spans="2:14" ht="21" thickBot="1">
      <c r="C15" s="423" t="s">
        <v>182</v>
      </c>
      <c r="D15" s="424"/>
      <c r="E15" s="424"/>
      <c r="F15" s="424"/>
      <c r="G15" s="424"/>
      <c r="H15" s="424"/>
      <c r="I15" s="424"/>
      <c r="J15" s="424"/>
      <c r="K15" s="424"/>
      <c r="L15" s="424"/>
      <c r="M15" s="424"/>
      <c r="N15" s="425"/>
    </row>
    <row r="17" spans="2:14">
      <c r="C17" s="105" t="s">
        <v>163</v>
      </c>
      <c r="D17" s="105" t="s">
        <v>164</v>
      </c>
      <c r="E17" s="105" t="s">
        <v>165</v>
      </c>
      <c r="F17" s="105" t="s">
        <v>166</v>
      </c>
      <c r="G17" s="105" t="s">
        <v>167</v>
      </c>
      <c r="H17" s="105" t="s">
        <v>168</v>
      </c>
      <c r="I17" s="105" t="s">
        <v>169</v>
      </c>
      <c r="J17" s="105" t="s">
        <v>170</v>
      </c>
      <c r="K17" s="105" t="s">
        <v>171</v>
      </c>
      <c r="L17" s="105" t="s">
        <v>172</v>
      </c>
      <c r="M17" s="105" t="s">
        <v>173</v>
      </c>
      <c r="N17" s="105" t="s">
        <v>174</v>
      </c>
    </row>
    <row r="18" spans="2:14" ht="28.5" customHeight="1">
      <c r="B18" s="106" t="s">
        <v>175</v>
      </c>
      <c r="C18" s="426"/>
      <c r="D18" s="427"/>
      <c r="E18" s="427"/>
      <c r="F18" s="427"/>
      <c r="G18" s="427"/>
      <c r="H18" s="427"/>
      <c r="I18" s="427"/>
      <c r="J18" s="427"/>
      <c r="K18" s="428"/>
      <c r="L18" s="104">
        <v>527344.76260000002</v>
      </c>
      <c r="M18" s="104">
        <v>542887.95270000002</v>
      </c>
      <c r="N18" s="104">
        <v>530789.10450000002</v>
      </c>
    </row>
    <row r="19" spans="2:14" ht="26.25" customHeight="1">
      <c r="B19" s="107" t="s">
        <v>176</v>
      </c>
      <c r="C19" s="104">
        <v>577599.26069999998</v>
      </c>
      <c r="D19" s="104">
        <v>549500.304</v>
      </c>
      <c r="E19" s="104">
        <v>437038.73300000001</v>
      </c>
      <c r="F19" s="104">
        <v>498381.28909999994</v>
      </c>
      <c r="G19" s="104">
        <v>567710.58700000006</v>
      </c>
      <c r="H19" s="104">
        <v>626665.41229999997</v>
      </c>
      <c r="I19" s="104">
        <v>732996.54229999997</v>
      </c>
      <c r="J19" s="104">
        <v>807380.11509999994</v>
      </c>
      <c r="K19" s="104">
        <v>765103.69790000003</v>
      </c>
      <c r="L19" s="104">
        <v>674808.60869999998</v>
      </c>
      <c r="M19" s="104">
        <v>636029.23249999993</v>
      </c>
      <c r="N19" s="104">
        <v>575999.90890000004</v>
      </c>
    </row>
    <row r="20" spans="2:14" ht="28.5" customHeight="1">
      <c r="B20" s="112" t="s">
        <v>177</v>
      </c>
      <c r="C20" s="104">
        <v>565777.06310000003</v>
      </c>
      <c r="D20" s="104">
        <v>589465.87030000007</v>
      </c>
      <c r="E20" s="104">
        <v>559348.96649999998</v>
      </c>
      <c r="F20" s="104">
        <v>706566.82740000007</v>
      </c>
      <c r="G20" s="104">
        <v>750048.77370000002</v>
      </c>
      <c r="H20" s="104">
        <v>823657.03619999997</v>
      </c>
      <c r="I20" s="104">
        <v>863911.20730000001</v>
      </c>
      <c r="J20" s="104">
        <v>948371.73810000008</v>
      </c>
      <c r="K20" s="104">
        <v>870086.49040000001</v>
      </c>
      <c r="L20" s="104">
        <v>828237.32940000005</v>
      </c>
      <c r="M20" s="104">
        <v>728226.36450000003</v>
      </c>
      <c r="N20" s="104">
        <v>620794.43210000009</v>
      </c>
    </row>
    <row r="21" spans="2:14" ht="30" customHeight="1">
      <c r="B21" s="108" t="s">
        <v>178</v>
      </c>
      <c r="C21" s="104">
        <v>629018.45440000005</v>
      </c>
      <c r="D21" s="104">
        <v>609232.05440000002</v>
      </c>
      <c r="E21" s="104">
        <v>564099.54039999994</v>
      </c>
      <c r="F21" s="104">
        <v>625412.74040000001</v>
      </c>
      <c r="G21" s="104">
        <v>591310.6496</v>
      </c>
      <c r="H21" s="104">
        <v>627578.14100000006</v>
      </c>
      <c r="I21" s="104">
        <v>723790.51</v>
      </c>
      <c r="J21" s="104">
        <v>756208.25020000001</v>
      </c>
      <c r="K21" s="104">
        <v>734211.55240000004</v>
      </c>
      <c r="L21" s="104">
        <v>634725.01650000003</v>
      </c>
      <c r="M21" s="104">
        <v>492313.53600000002</v>
      </c>
      <c r="N21" s="104">
        <v>430486.08379999996</v>
      </c>
    </row>
    <row r="22" spans="2:14" ht="32.25" customHeight="1">
      <c r="B22" s="118" t="s">
        <v>179</v>
      </c>
      <c r="C22" s="104">
        <v>417767.50199999998</v>
      </c>
      <c r="D22" s="104">
        <v>437511.45040000003</v>
      </c>
      <c r="E22" s="104">
        <v>422948.91399999999</v>
      </c>
      <c r="F22" s="104">
        <v>483026.4265</v>
      </c>
      <c r="G22" s="104">
        <v>494466.65997999994</v>
      </c>
      <c r="H22" s="104">
        <v>589026.66199500009</v>
      </c>
      <c r="I22" s="104">
        <v>597445.77220000012</v>
      </c>
      <c r="J22" s="104">
        <v>624719.21129500004</v>
      </c>
      <c r="K22" s="104">
        <v>662255.2733900001</v>
      </c>
      <c r="L22" s="104">
        <v>572138.68634500005</v>
      </c>
      <c r="M22" s="104">
        <v>536725.71495000005</v>
      </c>
      <c r="N22" s="104">
        <v>473017.45039999997</v>
      </c>
    </row>
    <row r="23" spans="2:14" ht="32.25" customHeight="1">
      <c r="B23" s="148" t="s">
        <v>180</v>
      </c>
      <c r="C23" s="104">
        <v>445089.4596</v>
      </c>
      <c r="D23" s="104">
        <v>464838.33001999994</v>
      </c>
      <c r="E23" s="104">
        <v>310234.47700000001</v>
      </c>
      <c r="F23" s="104">
        <v>132086.1189</v>
      </c>
      <c r="G23" s="104">
        <v>81934.237999999998</v>
      </c>
      <c r="H23" s="104">
        <v>88016.122900000017</v>
      </c>
      <c r="I23" s="104">
        <v>290744.43883500004</v>
      </c>
      <c r="J23" s="104">
        <v>372885.53719999996</v>
      </c>
      <c r="K23" s="104">
        <v>328998.32740000001</v>
      </c>
      <c r="L23" s="104">
        <v>350713.83590000001</v>
      </c>
      <c r="M23" s="104">
        <v>329624.08839999995</v>
      </c>
      <c r="N23" s="104">
        <v>294931.19809999998</v>
      </c>
    </row>
    <row r="24" spans="2:14" ht="32.25" customHeight="1">
      <c r="B24" s="151" t="s">
        <v>181</v>
      </c>
      <c r="C24" s="104">
        <v>274561.56439999997</v>
      </c>
      <c r="D24" s="104">
        <v>283692.47039999999</v>
      </c>
      <c r="E24" s="104">
        <v>278888.13439999998</v>
      </c>
      <c r="F24" s="104">
        <v>318224.91959999996</v>
      </c>
      <c r="G24" s="104"/>
      <c r="H24" s="104"/>
      <c r="I24" s="104"/>
      <c r="J24" s="104"/>
      <c r="K24" s="104"/>
      <c r="L24" s="104"/>
      <c r="M24" s="104"/>
      <c r="N24" s="104"/>
    </row>
    <row r="30" spans="2:14" ht="16.5" customHeight="1"/>
    <row r="31" spans="2:14" ht="15.75" customHeight="1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11" zoomScaleNormal="100" workbookViewId="0">
      <selection activeCell="F24" sqref="F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183</v>
      </c>
      <c r="D5" s="429"/>
      <c r="E5" s="429"/>
      <c r="F5" s="429"/>
      <c r="G5" s="429"/>
      <c r="H5" s="429"/>
      <c r="I5" s="429"/>
      <c r="J5" s="429"/>
      <c r="K5" s="429"/>
      <c r="L5" s="429"/>
      <c r="M5" s="429"/>
      <c r="N5" s="430"/>
    </row>
    <row r="6" spans="2:14" ht="21" customHeight="1"/>
    <row r="7" spans="2:14">
      <c r="C7" s="105" t="s">
        <v>163</v>
      </c>
      <c r="D7" s="105" t="s">
        <v>164</v>
      </c>
      <c r="E7" s="105" t="s">
        <v>165</v>
      </c>
      <c r="F7" s="105" t="s">
        <v>166</v>
      </c>
      <c r="G7" s="105" t="s">
        <v>167</v>
      </c>
      <c r="H7" s="105" t="s">
        <v>168</v>
      </c>
      <c r="I7" s="105" t="s">
        <v>169</v>
      </c>
      <c r="J7" s="105" t="s">
        <v>170</v>
      </c>
      <c r="K7" s="105" t="s">
        <v>171</v>
      </c>
      <c r="L7" s="105" t="s">
        <v>172</v>
      </c>
      <c r="M7" s="105" t="s">
        <v>173</v>
      </c>
      <c r="N7" s="105" t="s">
        <v>174</v>
      </c>
    </row>
    <row r="8" spans="2:14" ht="33" customHeight="1">
      <c r="B8" s="106" t="s">
        <v>175</v>
      </c>
      <c r="C8" s="426"/>
      <c r="D8" s="427"/>
      <c r="E8" s="427"/>
      <c r="F8" s="427"/>
      <c r="G8" s="427"/>
      <c r="H8" s="427"/>
      <c r="I8" s="427"/>
      <c r="J8" s="427"/>
      <c r="K8" s="428"/>
      <c r="L8" s="104"/>
      <c r="M8" s="104">
        <v>3298</v>
      </c>
      <c r="N8" s="104">
        <v>3866</v>
      </c>
    </row>
    <row r="9" spans="2:14" ht="39" customHeight="1">
      <c r="B9" s="107" t="s">
        <v>176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177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178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179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8" t="s">
        <v>180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1" t="s">
        <v>181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/>
      <c r="H14" s="104"/>
      <c r="I14" s="104"/>
      <c r="J14" s="104"/>
      <c r="K14" s="104"/>
      <c r="L14" s="104"/>
      <c r="M14" s="104"/>
      <c r="N14" s="104"/>
    </row>
    <row r="15" spans="2:14" ht="21" thickBot="1">
      <c r="C15" s="423" t="s">
        <v>184</v>
      </c>
      <c r="D15" s="431"/>
      <c r="E15" s="431"/>
      <c r="F15" s="431"/>
      <c r="G15" s="431"/>
      <c r="H15" s="431"/>
      <c r="I15" s="431"/>
      <c r="J15" s="431"/>
      <c r="K15" s="431"/>
      <c r="L15" s="431"/>
      <c r="M15" s="431"/>
      <c r="N15" s="432"/>
    </row>
    <row r="17" spans="2:15" ht="18" customHeight="1">
      <c r="C17" s="105" t="s">
        <v>163</v>
      </c>
      <c r="D17" s="105" t="s">
        <v>164</v>
      </c>
      <c r="E17" s="105" t="s">
        <v>165</v>
      </c>
      <c r="F17" s="105" t="s">
        <v>166</v>
      </c>
      <c r="G17" s="105" t="s">
        <v>167</v>
      </c>
      <c r="H17" s="105" t="s">
        <v>168</v>
      </c>
      <c r="I17" s="105" t="s">
        <v>169</v>
      </c>
      <c r="J17" s="105" t="s">
        <v>170</v>
      </c>
      <c r="K17" s="105" t="s">
        <v>171</v>
      </c>
      <c r="L17" s="105" t="s">
        <v>172</v>
      </c>
      <c r="M17" s="105" t="s">
        <v>173</v>
      </c>
      <c r="N17" s="105" t="s">
        <v>174</v>
      </c>
    </row>
    <row r="18" spans="2:15" ht="30" customHeight="1">
      <c r="B18" s="106" t="s">
        <v>175</v>
      </c>
      <c r="C18" s="426"/>
      <c r="D18" s="427"/>
      <c r="E18" s="427"/>
      <c r="F18" s="427"/>
      <c r="G18" s="427"/>
      <c r="H18" s="427"/>
      <c r="I18" s="427"/>
      <c r="J18" s="427"/>
      <c r="K18" s="428"/>
      <c r="L18" s="104"/>
      <c r="M18" s="104">
        <v>43165.84</v>
      </c>
      <c r="N18" s="104">
        <v>50595.28</v>
      </c>
    </row>
    <row r="19" spans="2:15" ht="31.5" customHeight="1">
      <c r="B19" s="107" t="s">
        <v>176</v>
      </c>
      <c r="C19" s="104">
        <v>53565.520000000004</v>
      </c>
      <c r="D19" s="104">
        <v>48294.28</v>
      </c>
      <c r="E19" s="104">
        <v>51250.36</v>
      </c>
      <c r="F19" s="104">
        <v>62603.8</v>
      </c>
      <c r="G19" s="104">
        <v>68202.040000000008</v>
      </c>
      <c r="H19" s="104">
        <v>53683.240000000005</v>
      </c>
      <c r="I19" s="104">
        <v>73551.760000000009</v>
      </c>
      <c r="J19" s="104">
        <v>85925.440000000002</v>
      </c>
      <c r="K19" s="104">
        <v>57158.52</v>
      </c>
      <c r="L19" s="104">
        <v>67234.52</v>
      </c>
      <c r="M19" s="104">
        <v>53224.76</v>
      </c>
      <c r="N19" s="104">
        <v>58005.08</v>
      </c>
    </row>
    <row r="20" spans="2:15" ht="34.5" customHeight="1">
      <c r="B20" s="112" t="s">
        <v>177</v>
      </c>
      <c r="C20" s="104">
        <v>56680.28</v>
      </c>
      <c r="D20" s="104">
        <v>50685.56</v>
      </c>
      <c r="E20" s="104">
        <v>68360.600000000006</v>
      </c>
      <c r="F20" s="104">
        <v>68139.8</v>
      </c>
      <c r="G20" s="104">
        <v>66042.2</v>
      </c>
      <c r="H20" s="104">
        <v>67342.712</v>
      </c>
      <c r="I20" s="104">
        <v>77855</v>
      </c>
      <c r="J20" s="104">
        <v>88895</v>
      </c>
      <c r="K20" s="104">
        <v>73748.12</v>
      </c>
      <c r="L20" s="104">
        <v>75746.36</v>
      </c>
      <c r="M20" s="104">
        <v>65821.399999999994</v>
      </c>
      <c r="N20" s="104">
        <v>57542.503999999986</v>
      </c>
    </row>
    <row r="21" spans="2:15" ht="36" customHeight="1">
      <c r="B21" s="108" t="s">
        <v>178</v>
      </c>
      <c r="C21" s="104">
        <v>61834.856000000014</v>
      </c>
      <c r="D21" s="104">
        <v>58501.880000000005</v>
      </c>
      <c r="E21" s="104">
        <v>64684.28</v>
      </c>
      <c r="F21" s="104">
        <v>69398.36</v>
      </c>
      <c r="G21" s="104">
        <v>60743</v>
      </c>
      <c r="H21" s="104">
        <v>61668.152000000031</v>
      </c>
      <c r="I21" s="104">
        <v>69209.575999999943</v>
      </c>
      <c r="J21" s="104">
        <v>68231.43200000003</v>
      </c>
      <c r="K21" s="104">
        <v>67858.28</v>
      </c>
      <c r="L21" s="104">
        <v>67560.2</v>
      </c>
      <c r="M21" s="104">
        <v>55476.92</v>
      </c>
      <c r="N21" s="104">
        <v>52659.512000000002</v>
      </c>
    </row>
    <row r="22" spans="2:15" ht="32.25" customHeight="1">
      <c r="B22" s="118" t="s">
        <v>179</v>
      </c>
      <c r="C22" s="104">
        <v>55717.592000000004</v>
      </c>
      <c r="D22" s="104">
        <v>57718.399999999994</v>
      </c>
      <c r="E22" s="104">
        <v>62768.599999999991</v>
      </c>
      <c r="F22" s="104">
        <v>61267.219999999987</v>
      </c>
      <c r="G22" s="104">
        <v>51406.219999999987</v>
      </c>
      <c r="H22" s="104">
        <v>60091.880000000041</v>
      </c>
      <c r="I22" s="104">
        <v>62827.879999999961</v>
      </c>
      <c r="J22" s="104">
        <v>63874.400000000001</v>
      </c>
      <c r="K22" s="104">
        <v>61434.799999999996</v>
      </c>
      <c r="L22" s="104">
        <v>69004.399999999994</v>
      </c>
      <c r="M22" s="104">
        <v>63087.799999999996</v>
      </c>
      <c r="N22" s="104">
        <v>63466.279999999962</v>
      </c>
    </row>
    <row r="23" spans="2:15" ht="32.25" customHeight="1">
      <c r="B23" s="148" t="s">
        <v>180</v>
      </c>
      <c r="C23" s="104">
        <v>65725.760000000097</v>
      </c>
      <c r="D23" s="104">
        <v>64232.359999999928</v>
      </c>
      <c r="E23" s="104">
        <v>34892.179999999964</v>
      </c>
      <c r="F23" s="104">
        <v>8168.2999999999993</v>
      </c>
      <c r="G23" s="104">
        <v>5036.7200000000321</v>
      </c>
      <c r="H23" s="104">
        <v>15793.759999999933</v>
      </c>
      <c r="I23" s="104">
        <v>39829.519999999997</v>
      </c>
      <c r="J23" s="104">
        <v>29876.179999999964</v>
      </c>
      <c r="K23" s="104">
        <v>20881.580000000129</v>
      </c>
      <c r="L23" s="104">
        <v>34223</v>
      </c>
      <c r="M23" s="104">
        <v>21637.4</v>
      </c>
      <c r="N23" s="104">
        <v>20321.839999999898</v>
      </c>
    </row>
    <row r="24" spans="2:15" ht="32.25" customHeight="1">
      <c r="B24" s="151" t="s">
        <v>181</v>
      </c>
      <c r="C24" s="104">
        <v>23771.479999999963</v>
      </c>
      <c r="D24" s="104">
        <v>24137.420000000031</v>
      </c>
      <c r="E24" s="104">
        <v>27454.820000000029</v>
      </c>
      <c r="F24" s="104">
        <v>24717.679999999964</v>
      </c>
      <c r="G24" s="104"/>
      <c r="H24" s="104"/>
      <c r="I24" s="104"/>
      <c r="J24" s="104"/>
      <c r="K24" s="104"/>
      <c r="L24" s="104"/>
      <c r="M24" s="104"/>
      <c r="N24" s="104"/>
    </row>
    <row r="29" spans="2:15" ht="16.5" customHeight="1">
      <c r="O29" t="s">
        <v>18</v>
      </c>
    </row>
    <row r="30" spans="2:15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2" zoomScaleNormal="100" workbookViewId="0">
      <selection activeCell="F24" sqref="F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185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6" spans="2:14" ht="23.25" customHeight="1"/>
    <row r="7" spans="2:14">
      <c r="C7" s="105" t="s">
        <v>163</v>
      </c>
      <c r="D7" s="105" t="s">
        <v>164</v>
      </c>
      <c r="E7" s="105" t="s">
        <v>165</v>
      </c>
      <c r="F7" s="105" t="s">
        <v>166</v>
      </c>
      <c r="G7" s="105" t="s">
        <v>167</v>
      </c>
      <c r="H7" s="105" t="s">
        <v>168</v>
      </c>
      <c r="I7" s="105" t="s">
        <v>169</v>
      </c>
      <c r="J7" s="105" t="s">
        <v>170</v>
      </c>
      <c r="K7" s="105" t="s">
        <v>171</v>
      </c>
      <c r="L7" s="105" t="s">
        <v>172</v>
      </c>
      <c r="M7" s="105" t="s">
        <v>173</v>
      </c>
      <c r="N7" s="105" t="s">
        <v>174</v>
      </c>
    </row>
    <row r="8" spans="2:14" ht="33.75" customHeight="1">
      <c r="B8" s="106" t="s">
        <v>175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176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177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178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179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8" t="s">
        <v>180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1" t="s">
        <v>181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/>
      <c r="H14" s="104"/>
      <c r="I14" s="104"/>
      <c r="J14" s="104"/>
      <c r="K14" s="104"/>
      <c r="L14" s="104"/>
      <c r="M14" s="104"/>
      <c r="N14" s="104"/>
    </row>
    <row r="15" spans="2:14" ht="21" thickBot="1">
      <c r="C15" s="423" t="s">
        <v>186</v>
      </c>
      <c r="D15" s="424"/>
      <c r="E15" s="424"/>
      <c r="F15" s="424"/>
      <c r="G15" s="424"/>
      <c r="H15" s="424"/>
      <c r="I15" s="424"/>
      <c r="J15" s="424"/>
      <c r="K15" s="424"/>
      <c r="L15" s="424"/>
      <c r="M15" s="424"/>
      <c r="N15" s="425"/>
    </row>
    <row r="17" spans="2:14" ht="17.25" customHeight="1">
      <c r="C17" s="105" t="s">
        <v>163</v>
      </c>
      <c r="D17" s="105" t="s">
        <v>164</v>
      </c>
      <c r="E17" s="105" t="s">
        <v>165</v>
      </c>
      <c r="F17" s="105" t="s">
        <v>166</v>
      </c>
      <c r="G17" s="105" t="s">
        <v>167</v>
      </c>
      <c r="H17" s="105" t="s">
        <v>168</v>
      </c>
      <c r="I17" s="105" t="s">
        <v>169</v>
      </c>
      <c r="J17" s="105" t="s">
        <v>170</v>
      </c>
      <c r="K17" s="105" t="s">
        <v>171</v>
      </c>
      <c r="L17" s="105" t="s">
        <v>172</v>
      </c>
      <c r="M17" s="105" t="s">
        <v>173</v>
      </c>
      <c r="N17" s="105" t="s">
        <v>174</v>
      </c>
    </row>
    <row r="18" spans="2:14" ht="30" customHeight="1">
      <c r="B18" s="106" t="s">
        <v>175</v>
      </c>
      <c r="C18" s="426"/>
      <c r="D18" s="427"/>
      <c r="E18" s="427"/>
      <c r="F18" s="427"/>
      <c r="G18" s="427"/>
      <c r="H18" s="427"/>
      <c r="I18" s="427"/>
      <c r="J18" s="427"/>
      <c r="K18" s="428"/>
      <c r="L18" s="104">
        <v>222503.85</v>
      </c>
      <c r="M18" s="104">
        <v>248385.8</v>
      </c>
      <c r="N18" s="104">
        <v>412790.47</v>
      </c>
    </row>
    <row r="19" spans="2:14" ht="30" customHeight="1">
      <c r="B19" s="107" t="s">
        <v>176</v>
      </c>
      <c r="C19" s="104">
        <v>281335.36</v>
      </c>
      <c r="D19" s="104">
        <v>329491.88</v>
      </c>
      <c r="E19" s="109">
        <v>263166</v>
      </c>
      <c r="F19" s="104">
        <v>334402.89</v>
      </c>
      <c r="G19" s="104">
        <v>287763.5</v>
      </c>
      <c r="H19" s="104">
        <v>200206.44</v>
      </c>
      <c r="I19" s="104">
        <v>128985.95</v>
      </c>
      <c r="J19" s="104">
        <v>174687.16</v>
      </c>
      <c r="K19" s="104">
        <v>221708.41</v>
      </c>
      <c r="L19" s="104">
        <v>257125.33</v>
      </c>
      <c r="M19" s="104">
        <v>290283.33</v>
      </c>
      <c r="N19" s="104">
        <v>491751.17</v>
      </c>
    </row>
    <row r="20" spans="2:14" ht="38.25" customHeight="1">
      <c r="B20" s="112" t="s">
        <v>177</v>
      </c>
      <c r="C20" s="104">
        <v>534222.91</v>
      </c>
      <c r="D20" s="104">
        <v>397841.39</v>
      </c>
      <c r="E20" s="109">
        <v>463317.85</v>
      </c>
      <c r="F20" s="104">
        <v>473982.96</v>
      </c>
      <c r="G20" s="104">
        <v>288617.67497200001</v>
      </c>
      <c r="H20" s="104">
        <v>262138.08</v>
      </c>
      <c r="I20" s="104">
        <v>290959.32</v>
      </c>
      <c r="J20" s="104">
        <v>277268.19</v>
      </c>
      <c r="K20" s="104">
        <v>269109.64</v>
      </c>
      <c r="L20" s="104">
        <v>279753.59999999998</v>
      </c>
      <c r="M20" s="104">
        <v>411233.26</v>
      </c>
      <c r="N20" s="104">
        <v>393575.4632766</v>
      </c>
    </row>
    <row r="21" spans="2:14" ht="36" customHeight="1">
      <c r="B21" s="108" t="s">
        <v>178</v>
      </c>
      <c r="C21" s="104">
        <v>433913.35561000003</v>
      </c>
      <c r="D21" s="104">
        <v>365261.32551950007</v>
      </c>
      <c r="E21" s="104">
        <v>291312.20312600001</v>
      </c>
      <c r="F21" s="104">
        <v>213834.17997540004</v>
      </c>
      <c r="G21" s="104">
        <v>197886.11041990001</v>
      </c>
      <c r="H21" s="104">
        <v>143537.16720000003</v>
      </c>
      <c r="I21" s="104">
        <v>111050.00760000001</v>
      </c>
      <c r="J21" s="104">
        <v>129846.43560000001</v>
      </c>
      <c r="K21" s="104">
        <v>97997.8848</v>
      </c>
      <c r="L21" s="104">
        <v>117195.50640000001</v>
      </c>
      <c r="M21" s="104">
        <v>207280.60920000004</v>
      </c>
      <c r="N21" s="104">
        <v>182965.23</v>
      </c>
    </row>
    <row r="22" spans="2:14" ht="36.75" customHeight="1">
      <c r="B22" s="118" t="s">
        <v>179</v>
      </c>
      <c r="C22" s="104">
        <v>224024.09400000001</v>
      </c>
      <c r="D22" s="104">
        <v>223450.86960000003</v>
      </c>
      <c r="E22" s="104">
        <v>209182.84030000001</v>
      </c>
      <c r="F22" s="104">
        <v>188907.98955000003</v>
      </c>
      <c r="G22" s="104">
        <v>129176.0868</v>
      </c>
      <c r="H22" s="104">
        <v>94335.247499999998</v>
      </c>
      <c r="I22" s="104">
        <v>144957.53220000002</v>
      </c>
      <c r="J22" s="104">
        <v>77405.108330000003</v>
      </c>
      <c r="K22" s="104">
        <v>62646.875572400008</v>
      </c>
      <c r="L22" s="104">
        <v>128403.6047106</v>
      </c>
      <c r="M22" s="104">
        <v>149916.6565598</v>
      </c>
      <c r="N22" s="104">
        <v>217831.38909150002</v>
      </c>
    </row>
    <row r="23" spans="2:14" ht="36.75" customHeight="1">
      <c r="B23" s="148" t="s">
        <v>180</v>
      </c>
      <c r="C23" s="104">
        <v>244876.45098180004</v>
      </c>
      <c r="D23" s="104">
        <v>193260.64492800002</v>
      </c>
      <c r="E23" s="104">
        <v>87871.212408000007</v>
      </c>
      <c r="F23" s="104">
        <v>35579.549712</v>
      </c>
      <c r="G23" s="104">
        <v>0</v>
      </c>
      <c r="H23" s="104">
        <v>23675.145312000001</v>
      </c>
      <c r="I23" s="104">
        <v>72782.559159000011</v>
      </c>
      <c r="J23" s="104">
        <v>40462.519659999998</v>
      </c>
      <c r="K23" s="104">
        <v>41321.980665000003</v>
      </c>
      <c r="L23" s="104">
        <v>111951.58177100001</v>
      </c>
      <c r="M23" s="104">
        <v>151252.43276699999</v>
      </c>
      <c r="N23" s="104">
        <v>147090.494056</v>
      </c>
    </row>
    <row r="24" spans="2:14" ht="36.75" customHeight="1">
      <c r="B24" s="151" t="s">
        <v>181</v>
      </c>
      <c r="C24" s="104">
        <v>175249.65814200003</v>
      </c>
      <c r="D24" s="104">
        <v>133357.0288309</v>
      </c>
      <c r="E24" s="104">
        <v>160956.23789999998</v>
      </c>
      <c r="F24" s="104">
        <v>100532.6412</v>
      </c>
      <c r="G24" s="104"/>
      <c r="H24" s="104"/>
      <c r="I24" s="104"/>
      <c r="J24" s="104"/>
      <c r="K24" s="104"/>
      <c r="L24" s="104"/>
      <c r="M24" s="104"/>
      <c r="N24" s="104"/>
    </row>
    <row r="29" spans="2:14" ht="16.5" customHeight="1"/>
    <row r="30" spans="2:14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2021-05-27T08:14:58Z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