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364" documentId="8_{B5C46BEE-2163-4AAC-A0A7-4875FCE1155D}" xr6:coauthVersionLast="47" xr6:coauthVersionMax="47" xr10:uidLastSave="{2A53E3D1-36D5-4C2D-B0D5-3818930D09CF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" i="2" l="1"/>
  <c r="D1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Z14" i="2"/>
  <c r="AP12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<sst xmlns="http://schemas.openxmlformats.org/spreadsheetml/2006/main" count="236" uniqueCount="61">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</sst>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3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workbookViewId="0">
      <selection activeCell="E8" sqref="E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1249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31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0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0</v>
      </c>
      <c r="L5" s="19">
        <f>Submetering!AF5</f>
        <v>0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0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0</v>
      </c>
      <c r="L6" s="19">
        <f>Submetering!AF6</f>
        <v>0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0</v>
      </c>
      <c r="L7" s="19">
        <f>Submetering!AF7</f>
        <v>0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0</v>
      </c>
      <c r="F8" s="15" t="e">
        <f>((Submetering!E8+Submetering!F8)*0.11+Submetering!G8*0.0302)/TOTAL!E8</f>
        <v>#DIV/0!</v>
      </c>
      <c r="G8" s="19">
        <f>Submetering!AC8</f>
        <v>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0</v>
      </c>
      <c r="L8" s="19">
        <f>Submetering!AF8</f>
        <v>0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0</v>
      </c>
      <c r="F9" s="15" t="e">
        <f>((Submetering!E9+Submetering!F9)*0.11+Submetering!G9*0.0302)/TOTAL!E9</f>
        <v>#DIV/0!</v>
      </c>
      <c r="G9" s="19">
        <f>Submetering!AC9</f>
        <v>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0</v>
      </c>
      <c r="L9" s="19">
        <f>Submetering!AF9</f>
        <v>0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0</v>
      </c>
      <c r="F10" s="15" t="e">
        <f>((Submetering!E10+Submetering!F10)*0.11+Submetering!G10*0.0302)/TOTAL!E10</f>
        <v>#DIV/0!</v>
      </c>
      <c r="G10" s="19">
        <f>Submetering!AC10</f>
        <v>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0</v>
      </c>
      <c r="L10" s="19">
        <f>Submetering!AF10</f>
        <v>0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0</v>
      </c>
      <c r="F11" s="15" t="e">
        <f>((Submetering!E11+Submetering!F11)*0.11+Submetering!G11*0.0302)/TOTAL!E11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2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2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31"/>
  <sheetViews>
    <sheetView tabSelected="1" workbookViewId="0">
      <pane xSplit="2" ySplit="1" topLeftCell="M2" activePane="bottomRight" state="frozen"/>
      <selection pane="bottomRight" activeCell="R7" sqref="R5:R7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2" t="s">
        <v>13</v>
      </c>
      <c r="F1" s="32" t="s">
        <v>14</v>
      </c>
      <c r="G1" s="32" t="s">
        <v>15</v>
      </c>
      <c r="H1" s="32" t="s">
        <v>16</v>
      </c>
      <c r="I1" s="32" t="s">
        <v>17</v>
      </c>
      <c r="J1" s="32" t="s">
        <v>18</v>
      </c>
      <c r="K1" s="32" t="s">
        <v>19</v>
      </c>
      <c r="L1" s="32" t="s">
        <v>20</v>
      </c>
      <c r="M1" s="32" t="s">
        <v>21</v>
      </c>
      <c r="N1" s="32" t="s">
        <v>22</v>
      </c>
      <c r="O1" s="32" t="s">
        <v>23</v>
      </c>
      <c r="P1" s="32" t="s">
        <v>24</v>
      </c>
      <c r="Q1" s="32" t="s">
        <v>25</v>
      </c>
      <c r="R1" s="32" t="s">
        <v>26</v>
      </c>
      <c r="S1" s="32" t="s">
        <v>27</v>
      </c>
      <c r="T1" s="32" t="s">
        <v>28</v>
      </c>
      <c r="U1" s="32" t="s">
        <v>29</v>
      </c>
      <c r="V1" s="32" t="s">
        <v>30</v>
      </c>
      <c r="W1" s="32" t="s">
        <v>31</v>
      </c>
      <c r="X1" s="32" t="s">
        <v>32</v>
      </c>
      <c r="Y1" s="32" t="s">
        <v>33</v>
      </c>
      <c r="Z1" s="32" t="s">
        <v>34</v>
      </c>
      <c r="AA1" s="32" t="s">
        <v>35</v>
      </c>
      <c r="AB1" s="32" t="s">
        <v>36</v>
      </c>
      <c r="AC1" s="32" t="s">
        <v>37</v>
      </c>
      <c r="AD1" s="32" t="s">
        <v>38</v>
      </c>
      <c r="AE1" s="33" t="s">
        <v>10</v>
      </c>
      <c r="AF1" s="32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4">
        <v>7285</v>
      </c>
      <c r="F2" s="34">
        <v>8812</v>
      </c>
      <c r="G2" s="34">
        <v>3773</v>
      </c>
      <c r="H2" s="34">
        <v>589</v>
      </c>
      <c r="I2" s="34">
        <v>445</v>
      </c>
      <c r="J2" s="34">
        <v>1481</v>
      </c>
      <c r="K2" s="35">
        <v>0</v>
      </c>
      <c r="L2" s="34">
        <v>353</v>
      </c>
      <c r="M2" s="34">
        <v>16</v>
      </c>
      <c r="N2" s="34">
        <v>818</v>
      </c>
      <c r="O2" s="34">
        <v>274</v>
      </c>
      <c r="P2" s="34">
        <v>1423</v>
      </c>
      <c r="Q2" s="34">
        <v>3</v>
      </c>
      <c r="R2" s="34">
        <v>1186</v>
      </c>
      <c r="S2" s="34">
        <v>1823</v>
      </c>
      <c r="T2" s="34">
        <v>290</v>
      </c>
      <c r="U2" s="34">
        <v>0</v>
      </c>
      <c r="V2" s="34">
        <v>224</v>
      </c>
      <c r="W2" s="34">
        <v>585</v>
      </c>
      <c r="X2" s="34">
        <v>642</v>
      </c>
      <c r="Y2" s="34">
        <v>1206</v>
      </c>
      <c r="Z2" s="34">
        <v>43</v>
      </c>
      <c r="AA2" s="34">
        <v>15</v>
      </c>
      <c r="AB2" s="34">
        <v>2</v>
      </c>
      <c r="AC2" s="34">
        <v>2340</v>
      </c>
      <c r="AD2" s="34">
        <v>1177</v>
      </c>
      <c r="AE2" s="34">
        <v>126</v>
      </c>
      <c r="AF2" s="34">
        <v>174</v>
      </c>
      <c r="AG2" s="36"/>
      <c r="AH2" s="36"/>
      <c r="AI2" s="36"/>
      <c r="AJ2" s="36"/>
      <c r="AK2" s="36"/>
      <c r="AL2" s="36"/>
      <c r="AM2" s="36"/>
      <c r="AN2" s="36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4">
        <v>8022</v>
      </c>
      <c r="F3" s="34">
        <v>5131</v>
      </c>
      <c r="G3" s="34">
        <v>4264</v>
      </c>
      <c r="H3" s="34">
        <v>529</v>
      </c>
      <c r="I3" s="34">
        <v>509</v>
      </c>
      <c r="J3" s="34">
        <v>1745</v>
      </c>
      <c r="K3" s="34">
        <v>0</v>
      </c>
      <c r="L3" s="34">
        <v>371</v>
      </c>
      <c r="M3" s="34">
        <v>17</v>
      </c>
      <c r="N3" s="34">
        <v>1005</v>
      </c>
      <c r="O3" s="34">
        <v>332</v>
      </c>
      <c r="P3" s="34">
        <v>1513</v>
      </c>
      <c r="Q3" s="34">
        <v>2</v>
      </c>
      <c r="R3" s="34">
        <v>1336</v>
      </c>
      <c r="S3" s="34">
        <v>2055</v>
      </c>
      <c r="T3" s="34">
        <v>325</v>
      </c>
      <c r="U3" s="34">
        <v>25</v>
      </c>
      <c r="V3" s="34">
        <v>252</v>
      </c>
      <c r="W3" s="34">
        <v>619</v>
      </c>
      <c r="X3" s="34">
        <v>691</v>
      </c>
      <c r="Y3" s="35">
        <v>0</v>
      </c>
      <c r="Z3" s="35">
        <v>0</v>
      </c>
      <c r="AA3" s="34">
        <v>19</v>
      </c>
      <c r="AB3" s="34">
        <v>2</v>
      </c>
      <c r="AC3" s="34">
        <v>2572</v>
      </c>
      <c r="AD3" s="34">
        <v>1323</v>
      </c>
      <c r="AE3" s="34">
        <v>139</v>
      </c>
      <c r="AF3" s="34">
        <v>144</v>
      </c>
    </row>
    <row r="4" spans="1:40">
      <c r="A4" s="16" t="s">
        <v>12</v>
      </c>
      <c r="B4" s="7">
        <f t="shared" ref="B4:B30" si="0">B3+1</f>
        <v>3</v>
      </c>
      <c r="C4" s="7">
        <v>2</v>
      </c>
      <c r="D4" s="7">
        <v>2023</v>
      </c>
      <c r="E4" s="34">
        <v>7242</v>
      </c>
      <c r="F4" s="34">
        <v>4609</v>
      </c>
      <c r="G4" s="34">
        <v>3834</v>
      </c>
      <c r="H4" s="34">
        <v>560</v>
      </c>
      <c r="I4" s="34">
        <v>468</v>
      </c>
      <c r="J4" s="34">
        <v>1462</v>
      </c>
      <c r="K4" s="34">
        <v>0</v>
      </c>
      <c r="L4" s="34">
        <v>330</v>
      </c>
      <c r="M4" s="34">
        <v>16</v>
      </c>
      <c r="N4" s="34">
        <v>833</v>
      </c>
      <c r="O4" s="34">
        <v>226</v>
      </c>
      <c r="P4" s="34">
        <v>1530</v>
      </c>
      <c r="Q4" s="34">
        <v>3</v>
      </c>
      <c r="R4" s="34">
        <v>1204</v>
      </c>
      <c r="S4" s="34">
        <v>1852</v>
      </c>
      <c r="T4" s="34">
        <v>292</v>
      </c>
      <c r="U4" s="34">
        <v>44</v>
      </c>
      <c r="V4" s="34">
        <v>243</v>
      </c>
      <c r="W4" s="34">
        <v>549</v>
      </c>
      <c r="X4" s="34">
        <v>568</v>
      </c>
      <c r="Y4" s="34">
        <v>0</v>
      </c>
      <c r="Z4" s="34">
        <v>0</v>
      </c>
      <c r="AA4" s="34">
        <v>16</v>
      </c>
      <c r="AB4" s="34">
        <v>1</v>
      </c>
      <c r="AC4" s="34">
        <v>2258</v>
      </c>
      <c r="AD4" s="34">
        <v>1191</v>
      </c>
      <c r="AE4" s="34">
        <v>100</v>
      </c>
      <c r="AF4" s="34">
        <v>145</v>
      </c>
    </row>
    <row r="5" spans="1:40" ht="16.5">
      <c r="A5" s="16" t="s">
        <v>12</v>
      </c>
      <c r="B5" s="7">
        <f t="shared" si="0"/>
        <v>4</v>
      </c>
      <c r="C5" s="7">
        <v>2</v>
      </c>
      <c r="D5" s="7">
        <v>2023</v>
      </c>
      <c r="E5" s="51">
        <v>7019</v>
      </c>
      <c r="F5" s="51">
        <v>4614</v>
      </c>
      <c r="G5" s="51">
        <v>3796</v>
      </c>
      <c r="H5" s="51">
        <v>554</v>
      </c>
      <c r="I5" s="51">
        <v>481</v>
      </c>
      <c r="J5" s="51">
        <v>1271</v>
      </c>
      <c r="K5" s="51">
        <v>0</v>
      </c>
      <c r="L5" s="51">
        <v>329</v>
      </c>
      <c r="M5" s="51">
        <v>18</v>
      </c>
      <c r="N5" s="51">
        <v>774</v>
      </c>
      <c r="O5" s="51">
        <v>187</v>
      </c>
      <c r="P5" s="51">
        <v>1587</v>
      </c>
      <c r="Q5" s="51">
        <v>2</v>
      </c>
      <c r="R5" s="51">
        <v>1199</v>
      </c>
      <c r="S5" s="51">
        <v>1839</v>
      </c>
      <c r="T5" s="51">
        <v>291</v>
      </c>
      <c r="U5" s="51">
        <v>44</v>
      </c>
      <c r="V5" s="51">
        <v>229</v>
      </c>
      <c r="W5" s="51">
        <v>517</v>
      </c>
      <c r="X5" s="51">
        <v>524</v>
      </c>
      <c r="Y5" s="51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</row>
    <row r="6" spans="1:40" ht="16.5">
      <c r="A6" s="16" t="s">
        <v>12</v>
      </c>
      <c r="B6" s="7">
        <f t="shared" si="0"/>
        <v>5</v>
      </c>
      <c r="C6" s="7">
        <v>2</v>
      </c>
      <c r="D6" s="7">
        <v>2023</v>
      </c>
      <c r="E6" s="51">
        <v>6836</v>
      </c>
      <c r="F6" s="51">
        <v>4708</v>
      </c>
      <c r="G6" s="51">
        <v>3850</v>
      </c>
      <c r="H6" s="51">
        <v>588</v>
      </c>
      <c r="I6" s="51">
        <v>431</v>
      </c>
      <c r="J6" s="51">
        <v>1246</v>
      </c>
      <c r="K6" s="51">
        <v>0</v>
      </c>
      <c r="L6" s="51">
        <v>339</v>
      </c>
      <c r="M6" s="51">
        <v>16</v>
      </c>
      <c r="N6" s="51">
        <v>736</v>
      </c>
      <c r="O6" s="51">
        <v>188</v>
      </c>
      <c r="P6" s="51">
        <v>1490</v>
      </c>
      <c r="Q6" s="51">
        <v>3</v>
      </c>
      <c r="R6" s="51">
        <v>1225</v>
      </c>
      <c r="S6" s="51">
        <v>1871</v>
      </c>
      <c r="T6" s="51">
        <v>298</v>
      </c>
      <c r="U6" s="51">
        <v>44</v>
      </c>
      <c r="V6" s="51">
        <v>247</v>
      </c>
      <c r="W6" s="51">
        <v>540</v>
      </c>
      <c r="X6" s="51">
        <v>617</v>
      </c>
      <c r="Y6" s="51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</row>
    <row r="7" spans="1:40" ht="16.5">
      <c r="A7" s="16" t="s">
        <v>12</v>
      </c>
      <c r="B7" s="7">
        <f t="shared" si="0"/>
        <v>6</v>
      </c>
      <c r="C7" s="7">
        <v>2</v>
      </c>
      <c r="D7" s="7">
        <v>2023</v>
      </c>
      <c r="E7" s="51">
        <v>7833</v>
      </c>
      <c r="F7" s="51">
        <v>4972</v>
      </c>
      <c r="G7" s="51">
        <v>4183</v>
      </c>
      <c r="H7" s="51">
        <v>575</v>
      </c>
      <c r="I7" s="51">
        <v>448</v>
      </c>
      <c r="J7" s="51">
        <v>1349</v>
      </c>
      <c r="K7" s="51">
        <v>0</v>
      </c>
      <c r="L7" s="51">
        <v>368</v>
      </c>
      <c r="M7" s="51">
        <v>17</v>
      </c>
      <c r="N7" s="51">
        <v>870</v>
      </c>
      <c r="O7" s="51">
        <v>208</v>
      </c>
      <c r="P7" s="51">
        <v>1482</v>
      </c>
      <c r="Q7" s="51">
        <v>2</v>
      </c>
      <c r="R7" s="51">
        <v>1333</v>
      </c>
      <c r="S7" s="51">
        <v>2033</v>
      </c>
      <c r="T7" s="51">
        <v>327</v>
      </c>
      <c r="U7" s="51">
        <v>48</v>
      </c>
      <c r="V7" s="51">
        <v>244</v>
      </c>
      <c r="W7" s="51">
        <v>600</v>
      </c>
      <c r="X7" s="51">
        <v>663</v>
      </c>
      <c r="Y7" s="51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2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opLeftCell="AE1" zoomScale="70" zoomScaleNormal="70" workbookViewId="0">
      <pane ySplit="1" topLeftCell="A3" activePane="bottomLeft" state="frozen"/>
      <selection pane="bottomLeft" activeCell="A8" sqref="A8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38"/>
      <c r="C1" s="49" t="s">
        <v>13</v>
      </c>
      <c r="D1" s="50"/>
      <c r="E1" s="42" t="s">
        <v>14</v>
      </c>
      <c r="F1" s="42"/>
      <c r="G1" s="42" t="s">
        <v>15</v>
      </c>
      <c r="H1" s="42"/>
      <c r="I1" s="42" t="s">
        <v>16</v>
      </c>
      <c r="J1" s="42"/>
      <c r="K1" s="42" t="s">
        <v>17</v>
      </c>
      <c r="L1" s="42"/>
      <c r="M1" s="42" t="s">
        <v>40</v>
      </c>
      <c r="N1" s="42"/>
      <c r="O1" s="42" t="s">
        <v>41</v>
      </c>
      <c r="P1" s="42"/>
      <c r="Q1" s="42" t="s">
        <v>20</v>
      </c>
      <c r="R1" s="42"/>
      <c r="S1" s="42" t="s">
        <v>21</v>
      </c>
      <c r="T1" s="42"/>
      <c r="U1" s="42" t="s">
        <v>42</v>
      </c>
      <c r="V1" s="42"/>
      <c r="W1" s="42" t="s">
        <v>43</v>
      </c>
      <c r="X1" s="42"/>
      <c r="Y1" s="42" t="s">
        <v>24</v>
      </c>
      <c r="Z1" s="42"/>
      <c r="AA1" s="42" t="s">
        <v>25</v>
      </c>
      <c r="AB1" s="42"/>
      <c r="AC1" s="42" t="s">
        <v>26</v>
      </c>
      <c r="AD1" s="42"/>
      <c r="AE1" s="42" t="s">
        <v>27</v>
      </c>
      <c r="AF1" s="42"/>
      <c r="AG1" s="42" t="s">
        <v>28</v>
      </c>
      <c r="AH1" s="42"/>
      <c r="AI1" s="42" t="s">
        <v>29</v>
      </c>
      <c r="AJ1" s="42"/>
      <c r="AK1" s="42" t="s">
        <v>30</v>
      </c>
      <c r="AL1" s="42"/>
      <c r="AM1" s="42" t="s">
        <v>31</v>
      </c>
      <c r="AN1" s="42"/>
      <c r="AO1" s="42" t="s">
        <v>32</v>
      </c>
      <c r="AP1" s="42"/>
      <c r="AQ1" s="40"/>
      <c r="AR1" s="47" t="s">
        <v>44</v>
      </c>
      <c r="AS1" s="48"/>
      <c r="AT1" s="46" t="s">
        <v>45</v>
      </c>
      <c r="AU1" s="46"/>
      <c r="AV1" s="45" t="s">
        <v>46</v>
      </c>
      <c r="AW1" s="46"/>
      <c r="AX1" s="45" t="s">
        <v>47</v>
      </c>
      <c r="AY1" s="46"/>
      <c r="AZ1" s="43" t="s">
        <v>48</v>
      </c>
      <c r="BA1" s="44"/>
      <c r="BB1" s="43" t="s">
        <v>38</v>
      </c>
      <c r="BC1" s="44"/>
      <c r="BD1" s="11"/>
      <c r="BE1" s="11"/>
    </row>
    <row r="2" spans="1:60" ht="44.25" customHeight="1">
      <c r="A2" s="1" t="s">
        <v>49</v>
      </c>
      <c r="B2" s="39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0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39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1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40"/>
      <c r="AR3" s="17">
        <v>296394</v>
      </c>
      <c r="AS3" s="9">
        <v>1206</v>
      </c>
      <c r="AT3" s="17">
        <v>275454</v>
      </c>
      <c r="AU3" s="9">
        <v>43</v>
      </c>
      <c r="AV3" s="25">
        <v>98257</v>
      </c>
      <c r="AW3" s="9">
        <v>15</v>
      </c>
      <c r="AX3" s="25">
        <v>1588</v>
      </c>
      <c r="AY3" s="26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39">
        <v>2023</v>
      </c>
      <c r="C4" s="25">
        <v>32291711</v>
      </c>
      <c r="D4" s="9">
        <f>IF((C4-C3&lt;0), "0",C4-C3)</f>
        <v>8022</v>
      </c>
      <c r="E4" s="25">
        <v>32636623</v>
      </c>
      <c r="F4" s="37">
        <f>IF((E4-E3&lt;0), "0",E4-E3)</f>
        <v>5131</v>
      </c>
      <c r="G4" s="25">
        <v>13869554</v>
      </c>
      <c r="H4" s="27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1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40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39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1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41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39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1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40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39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1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40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39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1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40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39"/>
      <c r="C9" s="25">
        <v>0</v>
      </c>
      <c r="D9" s="9" t="str">
        <f t="shared" si="6"/>
        <v>0</v>
      </c>
      <c r="E9" s="25">
        <v>0</v>
      </c>
      <c r="F9" s="9" t="str">
        <f t="shared" si="7"/>
        <v>0</v>
      </c>
      <c r="G9" s="25">
        <v>0</v>
      </c>
      <c r="H9" s="9" t="str">
        <f t="shared" si="1"/>
        <v>0</v>
      </c>
      <c r="I9" s="25">
        <v>0</v>
      </c>
      <c r="J9" s="9" t="str">
        <f t="shared" si="8"/>
        <v>0</v>
      </c>
      <c r="K9" s="25">
        <v>0</v>
      </c>
      <c r="L9" s="9" t="str">
        <f t="shared" si="8"/>
        <v>0</v>
      </c>
      <c r="M9" s="25">
        <v>0</v>
      </c>
      <c r="N9" s="9" t="str">
        <f t="shared" ref="N9" si="22">IF((M9-M8&lt;0), "0",M9-M8)</f>
        <v>0</v>
      </c>
      <c r="O9" s="25">
        <v>0</v>
      </c>
      <c r="P9" s="9" t="str">
        <f t="shared" ref="P9" si="23">IF((O9-O8&lt;0), "0",O9-O8)</f>
        <v>0</v>
      </c>
      <c r="Q9" s="25">
        <v>0</v>
      </c>
      <c r="R9" s="9" t="str">
        <f t="shared" ref="R9" si="24">IF((Q9-Q8&lt;0), "0",Q9-Q8)</f>
        <v>0</v>
      </c>
      <c r="S9" s="25">
        <v>0</v>
      </c>
      <c r="T9" s="9" t="str">
        <f t="shared" ref="T9" si="25">IF((S9-S8&lt;0), "0",S9-S8)</f>
        <v>0</v>
      </c>
      <c r="U9" s="25">
        <v>0</v>
      </c>
      <c r="V9" s="9" t="str">
        <f t="shared" si="2"/>
        <v/>
      </c>
      <c r="W9" s="25">
        <v>0</v>
      </c>
      <c r="X9" s="9" t="str">
        <f t="shared" si="2"/>
        <v/>
      </c>
      <c r="Y9" s="25">
        <v>0</v>
      </c>
      <c r="Z9" s="9" t="str">
        <f t="shared" si="2"/>
        <v/>
      </c>
      <c r="AA9" s="25">
        <v>0</v>
      </c>
      <c r="AB9" s="9" t="str">
        <f t="shared" si="2"/>
        <v/>
      </c>
      <c r="AC9" s="25">
        <v>0</v>
      </c>
      <c r="AD9" s="9" t="str">
        <f t="shared" si="2"/>
        <v/>
      </c>
      <c r="AE9" s="25">
        <v>0</v>
      </c>
      <c r="AF9" s="9" t="str">
        <f t="shared" si="2"/>
        <v/>
      </c>
      <c r="AG9" s="25">
        <v>0</v>
      </c>
      <c r="AH9" s="9" t="str">
        <f t="shared" si="2"/>
        <v/>
      </c>
      <c r="AI9" s="25">
        <v>0</v>
      </c>
      <c r="AJ9" s="9" t="str">
        <f t="shared" si="2"/>
        <v/>
      </c>
      <c r="AK9" s="25">
        <v>0</v>
      </c>
      <c r="AL9" s="9" t="str">
        <f t="shared" si="2"/>
        <v/>
      </c>
      <c r="AM9" s="25">
        <v>0</v>
      </c>
      <c r="AN9" s="9" t="str">
        <f t="shared" si="2"/>
        <v/>
      </c>
      <c r="AO9" s="25">
        <v>0</v>
      </c>
      <c r="AP9" s="9" t="str">
        <f t="shared" si="2"/>
        <v/>
      </c>
      <c r="AQ9" s="40"/>
      <c r="AR9" s="17" t="s">
        <v>60</v>
      </c>
      <c r="AS9" s="9">
        <v>0</v>
      </c>
      <c r="AT9" s="17" t="s">
        <v>60</v>
      </c>
      <c r="AU9" s="9">
        <v>0</v>
      </c>
      <c r="AV9" s="25">
        <v>0</v>
      </c>
      <c r="AW9" s="9" t="str">
        <f t="shared" si="3"/>
        <v/>
      </c>
      <c r="AX9" s="25">
        <v>0</v>
      </c>
      <c r="AY9" s="9" t="str">
        <f t="shared" si="4"/>
        <v/>
      </c>
      <c r="AZ9" s="25">
        <v>0</v>
      </c>
      <c r="BA9" s="9" t="str">
        <f t="shared" si="5"/>
        <v/>
      </c>
      <c r="BB9" s="25">
        <v>0</v>
      </c>
      <c r="BC9" s="9" t="str">
        <f t="shared" si="13"/>
        <v/>
      </c>
      <c r="BD9" s="25">
        <v>0</v>
      </c>
      <c r="BE9" s="25">
        <v>0</v>
      </c>
      <c r="BH9">
        <f t="shared" si="0"/>
        <v>0</v>
      </c>
    </row>
    <row r="10" spans="1:60" ht="45" customHeight="1">
      <c r="A10" s="8">
        <v>44965</v>
      </c>
      <c r="B10" s="39"/>
      <c r="C10" s="25">
        <v>0</v>
      </c>
      <c r="D10" s="9">
        <f t="shared" si="6"/>
        <v>0</v>
      </c>
      <c r="E10" s="25">
        <v>0</v>
      </c>
      <c r="F10" s="9">
        <f t="shared" si="7"/>
        <v>0</v>
      </c>
      <c r="G10" s="25">
        <v>0</v>
      </c>
      <c r="H10" s="9">
        <f t="shared" si="1"/>
        <v>0</v>
      </c>
      <c r="I10" s="25">
        <v>0</v>
      </c>
      <c r="J10" s="9">
        <f t="shared" si="8"/>
        <v>0</v>
      </c>
      <c r="K10" s="25">
        <v>0</v>
      </c>
      <c r="L10" s="9">
        <f t="shared" si="8"/>
        <v>0</v>
      </c>
      <c r="M10" s="25">
        <v>0</v>
      </c>
      <c r="N10" s="9">
        <f t="shared" ref="N10" si="26">IF((M10-M9&lt;0), "0",M10-M9)</f>
        <v>0</v>
      </c>
      <c r="O10" s="25">
        <v>0</v>
      </c>
      <c r="P10" s="9">
        <f t="shared" ref="P10" si="27">IF((O10-O9&lt;0), "0",O10-O9)</f>
        <v>0</v>
      </c>
      <c r="Q10" s="25">
        <v>0</v>
      </c>
      <c r="R10" s="9">
        <f t="shared" ref="R10" si="28">IF((Q10-Q9&lt;0), "0",Q10-Q9)</f>
        <v>0</v>
      </c>
      <c r="S10" s="25">
        <v>0</v>
      </c>
      <c r="T10" s="9">
        <f t="shared" ref="T10" si="29">IF((S10-S9&lt;0), "0",S10-S9)</f>
        <v>0</v>
      </c>
      <c r="U10" s="25">
        <v>0</v>
      </c>
      <c r="V10" s="9">
        <f t="shared" si="2"/>
        <v>0</v>
      </c>
      <c r="W10" s="25">
        <v>0</v>
      </c>
      <c r="X10" s="9">
        <f t="shared" si="2"/>
        <v>0</v>
      </c>
      <c r="Y10" s="25">
        <v>0</v>
      </c>
      <c r="Z10" s="9">
        <f t="shared" si="2"/>
        <v>0</v>
      </c>
      <c r="AA10" s="25">
        <v>0</v>
      </c>
      <c r="AB10" s="9">
        <f t="shared" si="2"/>
        <v>0</v>
      </c>
      <c r="AC10" s="25">
        <v>0</v>
      </c>
      <c r="AD10" s="9">
        <f t="shared" si="2"/>
        <v>0</v>
      </c>
      <c r="AE10" s="25">
        <v>0</v>
      </c>
      <c r="AF10" s="9">
        <f t="shared" si="2"/>
        <v>0</v>
      </c>
      <c r="AG10" s="25">
        <v>0</v>
      </c>
      <c r="AH10" s="9">
        <f t="shared" si="2"/>
        <v>0</v>
      </c>
      <c r="AI10" s="25">
        <v>0</v>
      </c>
      <c r="AJ10" s="9">
        <f t="shared" si="2"/>
        <v>0</v>
      </c>
      <c r="AK10" s="25">
        <v>0</v>
      </c>
      <c r="AL10" s="9">
        <f t="shared" si="2"/>
        <v>0</v>
      </c>
      <c r="AM10" s="25">
        <v>0</v>
      </c>
      <c r="AN10" s="9">
        <f t="shared" si="2"/>
        <v>0</v>
      </c>
      <c r="AO10" s="25">
        <v>0</v>
      </c>
      <c r="AP10" s="9">
        <f t="shared" si="2"/>
        <v>0</v>
      </c>
      <c r="AQ10" s="40"/>
      <c r="AR10" s="17" t="s">
        <v>60</v>
      </c>
      <c r="AS10" s="9">
        <v>0</v>
      </c>
      <c r="AT10" s="17" t="s">
        <v>60</v>
      </c>
      <c r="AU10" s="9">
        <v>0</v>
      </c>
      <c r="AV10" s="25">
        <v>0</v>
      </c>
      <c r="AW10" s="9">
        <f t="shared" si="3"/>
        <v>0</v>
      </c>
      <c r="AX10" s="25">
        <v>0</v>
      </c>
      <c r="AY10" s="9">
        <f t="shared" si="4"/>
        <v>0</v>
      </c>
      <c r="AZ10" s="25">
        <v>0</v>
      </c>
      <c r="BA10" s="9">
        <f t="shared" si="5"/>
        <v>0</v>
      </c>
      <c r="BB10" s="25">
        <v>0</v>
      </c>
      <c r="BC10" s="9">
        <f t="shared" si="13"/>
        <v>0</v>
      </c>
      <c r="BD10" s="25">
        <v>0</v>
      </c>
      <c r="BE10" s="25">
        <v>0</v>
      </c>
      <c r="BH10">
        <f t="shared" si="0"/>
        <v>0</v>
      </c>
    </row>
    <row r="11" spans="1:60" ht="45" customHeight="1">
      <c r="A11" s="8">
        <v>44966</v>
      </c>
      <c r="B11" s="39"/>
      <c r="C11" s="25">
        <v>0</v>
      </c>
      <c r="D11" s="9">
        <f>IF((C11-C10&lt;0), "0",C11-C10)</f>
        <v>0</v>
      </c>
      <c r="E11" s="25">
        <v>0</v>
      </c>
      <c r="F11" s="9">
        <f t="shared" si="7"/>
        <v>0</v>
      </c>
      <c r="G11" s="25">
        <v>0</v>
      </c>
      <c r="H11" s="9">
        <f t="shared" si="1"/>
        <v>0</v>
      </c>
      <c r="I11" s="25">
        <v>0</v>
      </c>
      <c r="J11" s="9">
        <f t="shared" si="8"/>
        <v>0</v>
      </c>
      <c r="K11" s="25">
        <v>0</v>
      </c>
      <c r="L11" s="9">
        <f t="shared" si="8"/>
        <v>0</v>
      </c>
      <c r="M11" s="25">
        <v>0</v>
      </c>
      <c r="N11" s="9">
        <f t="shared" ref="N11" si="30">IF((M11-M10&lt;0), "0",M11-M10)</f>
        <v>0</v>
      </c>
      <c r="O11" s="25">
        <v>0</v>
      </c>
      <c r="P11" s="9">
        <f t="shared" ref="P11" si="31">IF((O11-O10&lt;0), "0",O11-O10)</f>
        <v>0</v>
      </c>
      <c r="Q11" s="25">
        <v>0</v>
      </c>
      <c r="R11" s="9">
        <f t="shared" ref="R11" si="32">IF((Q11-Q10&lt;0), "0",Q11-Q10)</f>
        <v>0</v>
      </c>
      <c r="S11" s="25">
        <v>0</v>
      </c>
      <c r="T11" s="9">
        <f t="shared" ref="T11" si="33">IF((S11-S10&lt;0), "0",S11-S10)</f>
        <v>0</v>
      </c>
      <c r="U11" s="25">
        <v>0</v>
      </c>
      <c r="V11" s="9">
        <f t="shared" si="2"/>
        <v>0</v>
      </c>
      <c r="W11" s="25">
        <v>0</v>
      </c>
      <c r="X11" s="9">
        <f t="shared" si="2"/>
        <v>0</v>
      </c>
      <c r="Y11" s="25">
        <v>0</v>
      </c>
      <c r="Z11" s="9">
        <f t="shared" si="2"/>
        <v>0</v>
      </c>
      <c r="AA11" s="25">
        <v>0</v>
      </c>
      <c r="AB11" s="9">
        <f t="shared" si="2"/>
        <v>0</v>
      </c>
      <c r="AC11" s="25">
        <v>0</v>
      </c>
      <c r="AD11" s="9">
        <f t="shared" si="2"/>
        <v>0</v>
      </c>
      <c r="AE11" s="25">
        <v>0</v>
      </c>
      <c r="AF11" s="9">
        <f t="shared" si="2"/>
        <v>0</v>
      </c>
      <c r="AG11" s="25">
        <v>0</v>
      </c>
      <c r="AH11" s="9">
        <f t="shared" si="2"/>
        <v>0</v>
      </c>
      <c r="AI11" s="25">
        <v>0</v>
      </c>
      <c r="AJ11" s="9">
        <f t="shared" si="2"/>
        <v>0</v>
      </c>
      <c r="AK11" s="25">
        <v>0</v>
      </c>
      <c r="AL11" s="9">
        <f t="shared" si="2"/>
        <v>0</v>
      </c>
      <c r="AM11" s="25">
        <v>0</v>
      </c>
      <c r="AN11" s="9">
        <f t="shared" si="2"/>
        <v>0</v>
      </c>
      <c r="AO11" s="25">
        <v>0</v>
      </c>
      <c r="AP11" s="9">
        <f t="shared" si="2"/>
        <v>0</v>
      </c>
      <c r="AQ11" s="40"/>
      <c r="AR11" s="17" t="s">
        <v>60</v>
      </c>
      <c r="AS11" s="9">
        <v>0</v>
      </c>
      <c r="AT11" s="17" t="s">
        <v>60</v>
      </c>
      <c r="AU11" s="9">
        <v>0</v>
      </c>
      <c r="AV11" s="25">
        <v>0</v>
      </c>
      <c r="AW11" s="9">
        <f t="shared" si="3"/>
        <v>0</v>
      </c>
      <c r="AX11" s="25">
        <v>0</v>
      </c>
      <c r="AY11" s="9">
        <f t="shared" si="4"/>
        <v>0</v>
      </c>
      <c r="AZ11" s="25">
        <v>0</v>
      </c>
      <c r="BA11" s="9">
        <f t="shared" si="5"/>
        <v>0</v>
      </c>
      <c r="BB11" s="25">
        <v>0</v>
      </c>
      <c r="BC11" s="9">
        <f t="shared" si="13"/>
        <v>0</v>
      </c>
      <c r="BD11" s="25">
        <v>0</v>
      </c>
      <c r="BE11" s="25">
        <v>0</v>
      </c>
      <c r="BH11">
        <f t="shared" si="0"/>
        <v>0</v>
      </c>
    </row>
    <row r="12" spans="1:60" ht="45" customHeight="1">
      <c r="A12" s="8">
        <v>44967</v>
      </c>
      <c r="B12" s="39"/>
      <c r="C12" s="25">
        <v>0</v>
      </c>
      <c r="D12" s="9">
        <f t="shared" si="6"/>
        <v>0</v>
      </c>
      <c r="E12" s="25">
        <v>0</v>
      </c>
      <c r="F12" s="9">
        <f t="shared" si="7"/>
        <v>0</v>
      </c>
      <c r="G12" s="25">
        <v>0</v>
      </c>
      <c r="H12" s="9">
        <f t="shared" si="1"/>
        <v>0</v>
      </c>
      <c r="I12" s="25">
        <v>0</v>
      </c>
      <c r="J12" s="9">
        <f t="shared" si="8"/>
        <v>0</v>
      </c>
      <c r="K12" s="25">
        <v>0</v>
      </c>
      <c r="L12" s="9">
        <f t="shared" si="8"/>
        <v>0</v>
      </c>
      <c r="M12" s="25">
        <v>0</v>
      </c>
      <c r="N12" s="9">
        <f t="shared" ref="N12" si="34">IF((M12-M11&lt;0), "0",M12-M11)</f>
        <v>0</v>
      </c>
      <c r="O12" s="25">
        <v>0</v>
      </c>
      <c r="P12" s="9">
        <f t="shared" ref="P12" si="35">IF((O12-O11&lt;0), "0",O12-O11)</f>
        <v>0</v>
      </c>
      <c r="Q12" s="25">
        <v>0</v>
      </c>
      <c r="R12" s="9">
        <f t="shared" ref="R12" si="36">IF((Q12-Q11&lt;0), "0",Q12-Q11)</f>
        <v>0</v>
      </c>
      <c r="S12" s="25">
        <v>0</v>
      </c>
      <c r="T12" s="9">
        <f t="shared" ref="T12" si="37">IF((S12-S11&lt;0), "0",S12-S11)</f>
        <v>0</v>
      </c>
      <c r="U12" s="25">
        <v>0</v>
      </c>
      <c r="V12" s="9">
        <f t="shared" si="2"/>
        <v>0</v>
      </c>
      <c r="W12" s="25">
        <v>0</v>
      </c>
      <c r="X12" s="9">
        <f t="shared" si="2"/>
        <v>0</v>
      </c>
      <c r="Y12" s="25">
        <v>0</v>
      </c>
      <c r="Z12" s="9">
        <f t="shared" si="2"/>
        <v>0</v>
      </c>
      <c r="AA12" s="25">
        <v>0</v>
      </c>
      <c r="AB12" s="9">
        <f t="shared" si="2"/>
        <v>0</v>
      </c>
      <c r="AC12" s="25">
        <v>0</v>
      </c>
      <c r="AD12" s="9">
        <f t="shared" si="2"/>
        <v>0</v>
      </c>
      <c r="AE12" s="25">
        <v>0</v>
      </c>
      <c r="AF12" s="9">
        <f t="shared" si="2"/>
        <v>0</v>
      </c>
      <c r="AG12" s="25">
        <v>0</v>
      </c>
      <c r="AH12" s="9">
        <f t="shared" si="2"/>
        <v>0</v>
      </c>
      <c r="AI12" s="25">
        <v>0</v>
      </c>
      <c r="AJ12" s="9">
        <f t="shared" si="2"/>
        <v>0</v>
      </c>
      <c r="AK12" s="25">
        <v>0</v>
      </c>
      <c r="AL12" s="9">
        <f t="shared" si="2"/>
        <v>0</v>
      </c>
      <c r="AM12" s="25">
        <v>0</v>
      </c>
      <c r="AN12" s="9">
        <f t="shared" si="2"/>
        <v>0</v>
      </c>
      <c r="AO12" s="25">
        <v>0</v>
      </c>
      <c r="AP12" s="9">
        <f>IF((AO11-AO12&lt;0), "",AO11-AO12)</f>
        <v>0</v>
      </c>
      <c r="AQ12" s="40"/>
      <c r="AR12" s="17">
        <v>0</v>
      </c>
      <c r="AS12" s="9">
        <v>1313</v>
      </c>
      <c r="AT12" s="17">
        <v>0</v>
      </c>
      <c r="AU12" s="9">
        <v>15</v>
      </c>
      <c r="AV12" s="25">
        <v>0</v>
      </c>
      <c r="AW12" s="9">
        <f t="shared" si="3"/>
        <v>0</v>
      </c>
      <c r="AX12" s="25">
        <v>0</v>
      </c>
      <c r="AY12" s="9">
        <f t="shared" si="4"/>
        <v>0</v>
      </c>
      <c r="AZ12" s="25">
        <v>0</v>
      </c>
      <c r="BA12" s="9">
        <f t="shared" si="5"/>
        <v>0</v>
      </c>
      <c r="BB12" s="25">
        <v>0</v>
      </c>
      <c r="BC12" s="9">
        <f t="shared" si="13"/>
        <v>0</v>
      </c>
      <c r="BD12" s="25">
        <v>0</v>
      </c>
      <c r="BE12" s="25">
        <v>0</v>
      </c>
      <c r="BH12">
        <f t="shared" si="0"/>
        <v>0</v>
      </c>
    </row>
    <row r="13" spans="1:60" ht="45" customHeight="1">
      <c r="A13" s="8">
        <v>44968</v>
      </c>
      <c r="B13" s="39"/>
      <c r="C13" s="25">
        <v>0</v>
      </c>
      <c r="D13" s="9">
        <f t="shared" si="6"/>
        <v>0</v>
      </c>
      <c r="E13" s="25">
        <v>0</v>
      </c>
      <c r="F13" s="9">
        <f t="shared" si="7"/>
        <v>0</v>
      </c>
      <c r="G13" s="25">
        <v>0</v>
      </c>
      <c r="H13" s="9">
        <f t="shared" si="1"/>
        <v>0</v>
      </c>
      <c r="I13" s="25">
        <v>0</v>
      </c>
      <c r="J13" s="9">
        <f t="shared" si="8"/>
        <v>0</v>
      </c>
      <c r="K13" s="25">
        <v>0</v>
      </c>
      <c r="L13" s="9">
        <f t="shared" si="8"/>
        <v>0</v>
      </c>
      <c r="M13" s="25">
        <v>0</v>
      </c>
      <c r="N13" s="9">
        <f t="shared" ref="N13" si="38">IF((M13-M12&lt;0), "0",M13-M12)</f>
        <v>0</v>
      </c>
      <c r="O13" s="25">
        <v>0</v>
      </c>
      <c r="P13" s="9">
        <f t="shared" ref="P13" si="39">IF((O13-O12&lt;0), "0",O13-O12)</f>
        <v>0</v>
      </c>
      <c r="Q13" s="25">
        <v>0</v>
      </c>
      <c r="R13" s="9">
        <f t="shared" ref="R13" si="40">IF((Q13-Q12&lt;0), "0",Q13-Q12)</f>
        <v>0</v>
      </c>
      <c r="S13" s="25">
        <v>0</v>
      </c>
      <c r="T13" s="9">
        <f t="shared" ref="T13" si="41">IF((S13-S12&lt;0), "0",S13-S12)</f>
        <v>0</v>
      </c>
      <c r="U13" s="25">
        <v>0</v>
      </c>
      <c r="V13" s="9">
        <f t="shared" si="2"/>
        <v>0</v>
      </c>
      <c r="W13" s="25">
        <v>0</v>
      </c>
      <c r="X13" s="9">
        <f t="shared" si="2"/>
        <v>0</v>
      </c>
      <c r="Y13" s="25">
        <v>0</v>
      </c>
      <c r="Z13" s="9">
        <f t="shared" si="2"/>
        <v>0</v>
      </c>
      <c r="AA13" s="25">
        <v>0</v>
      </c>
      <c r="AB13" s="9">
        <f t="shared" si="2"/>
        <v>0</v>
      </c>
      <c r="AC13" s="25">
        <v>0</v>
      </c>
      <c r="AD13" s="9">
        <f t="shared" si="2"/>
        <v>0</v>
      </c>
      <c r="AE13" s="25">
        <v>0</v>
      </c>
      <c r="AF13" s="9">
        <f t="shared" si="2"/>
        <v>0</v>
      </c>
      <c r="AG13" s="25">
        <v>0</v>
      </c>
      <c r="AH13" s="9">
        <f t="shared" si="2"/>
        <v>0</v>
      </c>
      <c r="AI13" s="25">
        <v>0</v>
      </c>
      <c r="AJ13" s="9">
        <f t="shared" si="2"/>
        <v>0</v>
      </c>
      <c r="AK13" s="25">
        <v>0</v>
      </c>
      <c r="AL13" s="9">
        <f t="shared" si="2"/>
        <v>0</v>
      </c>
      <c r="AM13" s="25">
        <v>0</v>
      </c>
      <c r="AN13" s="9">
        <f t="shared" si="2"/>
        <v>0</v>
      </c>
      <c r="AO13" s="25">
        <v>0</v>
      </c>
      <c r="AP13" s="9">
        <f t="shared" si="2"/>
        <v>0</v>
      </c>
      <c r="AQ13" s="40"/>
      <c r="AR13" s="17" t="s">
        <v>60</v>
      </c>
      <c r="AS13" s="9">
        <v>0</v>
      </c>
      <c r="AT13" s="17" t="s">
        <v>60</v>
      </c>
      <c r="AU13" s="9">
        <v>0</v>
      </c>
      <c r="AV13" s="25">
        <v>0</v>
      </c>
      <c r="AW13" s="9">
        <f t="shared" si="3"/>
        <v>0</v>
      </c>
      <c r="AX13" s="25">
        <v>0</v>
      </c>
      <c r="AY13" s="9">
        <f t="shared" si="4"/>
        <v>0</v>
      </c>
      <c r="AZ13" s="25">
        <v>0</v>
      </c>
      <c r="BA13" s="9">
        <f t="shared" si="5"/>
        <v>0</v>
      </c>
      <c r="BB13" s="25">
        <v>0</v>
      </c>
      <c r="BC13" s="9">
        <f t="shared" si="13"/>
        <v>0</v>
      </c>
      <c r="BD13" s="25">
        <v>0</v>
      </c>
      <c r="BE13" s="25">
        <v>0</v>
      </c>
      <c r="BH13">
        <f t="shared" si="0"/>
        <v>0</v>
      </c>
    </row>
    <row r="14" spans="1:60" ht="45" customHeight="1">
      <c r="A14" s="8">
        <v>44969</v>
      </c>
      <c r="B14" s="39"/>
      <c r="C14" s="25">
        <v>0</v>
      </c>
      <c r="D14" s="9">
        <f t="shared" si="6"/>
        <v>0</v>
      </c>
      <c r="E14" s="25">
        <v>0</v>
      </c>
      <c r="F14" s="9">
        <f>IF((E13-E14&lt;0), "0",E13-E14)</f>
        <v>0</v>
      </c>
      <c r="G14" s="25">
        <v>0</v>
      </c>
      <c r="H14" s="9">
        <f t="shared" si="1"/>
        <v>0</v>
      </c>
      <c r="I14" s="25">
        <v>0</v>
      </c>
      <c r="J14" s="9">
        <f t="shared" si="8"/>
        <v>0</v>
      </c>
      <c r="K14" s="25">
        <v>0</v>
      </c>
      <c r="L14" s="9">
        <f t="shared" si="8"/>
        <v>0</v>
      </c>
      <c r="M14" s="25">
        <v>0</v>
      </c>
      <c r="N14" s="9">
        <f>IF((M14-M13&lt;0), "0",M14-M13)</f>
        <v>0</v>
      </c>
      <c r="O14" s="25">
        <v>0</v>
      </c>
      <c r="P14" s="9">
        <f t="shared" ref="P14" si="42">IF((O14-O13&lt;0), "0",O14-O13)</f>
        <v>0</v>
      </c>
      <c r="Q14" s="25">
        <v>0</v>
      </c>
      <c r="R14" s="9">
        <f t="shared" ref="R14" si="43">IF((Q14-Q13&lt;0), "0",Q14-Q13)</f>
        <v>0</v>
      </c>
      <c r="S14" s="25">
        <v>0</v>
      </c>
      <c r="T14" s="9">
        <f t="shared" ref="T14" si="44">IF((S14-S13&lt;0), "0",S14-S13)</f>
        <v>0</v>
      </c>
      <c r="U14" s="25">
        <v>0</v>
      </c>
      <c r="V14" s="9">
        <f t="shared" si="2"/>
        <v>0</v>
      </c>
      <c r="W14" s="25">
        <v>0</v>
      </c>
      <c r="X14" s="9">
        <f t="shared" si="2"/>
        <v>0</v>
      </c>
      <c r="Y14" s="25">
        <v>0</v>
      </c>
      <c r="Z14" s="9">
        <f>IF((Y13-Y14&lt;0), "",Y13-Y14)</f>
        <v>0</v>
      </c>
      <c r="AA14" s="25">
        <v>0</v>
      </c>
      <c r="AB14" s="9">
        <f t="shared" si="2"/>
        <v>0</v>
      </c>
      <c r="AC14" s="25">
        <v>0</v>
      </c>
      <c r="AD14" s="9">
        <f t="shared" si="2"/>
        <v>0</v>
      </c>
      <c r="AE14" s="25">
        <v>0</v>
      </c>
      <c r="AF14" s="9">
        <f t="shared" si="2"/>
        <v>0</v>
      </c>
      <c r="AG14" s="25">
        <v>0</v>
      </c>
      <c r="AH14" s="9">
        <f t="shared" si="2"/>
        <v>0</v>
      </c>
      <c r="AI14" s="25">
        <v>0</v>
      </c>
      <c r="AJ14" s="9">
        <f t="shared" si="2"/>
        <v>0</v>
      </c>
      <c r="AK14" s="25">
        <v>0</v>
      </c>
      <c r="AL14" s="9">
        <f t="shared" si="2"/>
        <v>0</v>
      </c>
      <c r="AM14" s="25">
        <v>0</v>
      </c>
      <c r="AN14" s="9">
        <f t="shared" si="2"/>
        <v>0</v>
      </c>
      <c r="AO14" s="25">
        <v>0</v>
      </c>
      <c r="AP14" s="9">
        <f t="shared" si="2"/>
        <v>0</v>
      </c>
      <c r="AQ14" s="40"/>
      <c r="AR14" s="17" t="s">
        <v>60</v>
      </c>
      <c r="AS14" s="9">
        <v>0</v>
      </c>
      <c r="AT14" s="17" t="s">
        <v>60</v>
      </c>
      <c r="AU14" s="9">
        <v>0</v>
      </c>
      <c r="AV14" s="25">
        <v>0</v>
      </c>
      <c r="AW14" s="9">
        <f t="shared" si="3"/>
        <v>0</v>
      </c>
      <c r="AX14" s="25">
        <v>0</v>
      </c>
      <c r="AY14" s="9">
        <f t="shared" si="4"/>
        <v>0</v>
      </c>
      <c r="AZ14" s="25">
        <v>0</v>
      </c>
      <c r="BA14" s="9">
        <f t="shared" si="5"/>
        <v>0</v>
      </c>
      <c r="BB14" s="25">
        <v>0</v>
      </c>
      <c r="BC14" s="9">
        <f t="shared" si="13"/>
        <v>0</v>
      </c>
      <c r="BD14" s="25">
        <v>0</v>
      </c>
      <c r="BE14" s="25">
        <v>0</v>
      </c>
      <c r="BH14">
        <f t="shared" si="0"/>
        <v>0</v>
      </c>
    </row>
    <row r="15" spans="1:60" ht="45" customHeight="1">
      <c r="A15" s="8">
        <v>44970</v>
      </c>
      <c r="B15" s="39"/>
      <c r="C15" s="25">
        <v>0</v>
      </c>
      <c r="D15" s="9">
        <f t="shared" si="6"/>
        <v>0</v>
      </c>
      <c r="E15" s="25">
        <v>0</v>
      </c>
      <c r="F15" s="9">
        <f t="shared" si="7"/>
        <v>0</v>
      </c>
      <c r="G15" s="25">
        <v>0</v>
      </c>
      <c r="H15" s="9">
        <f t="shared" si="1"/>
        <v>0</v>
      </c>
      <c r="I15" s="25">
        <v>0</v>
      </c>
      <c r="J15" s="9">
        <f t="shared" si="8"/>
        <v>0</v>
      </c>
      <c r="K15" s="25">
        <v>0</v>
      </c>
      <c r="L15" s="9">
        <f t="shared" si="8"/>
        <v>0</v>
      </c>
      <c r="M15" s="25">
        <v>0</v>
      </c>
      <c r="N15" s="9">
        <f t="shared" ref="N15" si="45">IF((M15-M14&lt;0), "0",M15-M14)</f>
        <v>0</v>
      </c>
      <c r="O15" s="25">
        <v>0</v>
      </c>
      <c r="P15" s="9">
        <f t="shared" ref="P15" si="46">IF((O15-O14&lt;0), "0",O15-O14)</f>
        <v>0</v>
      </c>
      <c r="Q15" s="25">
        <v>0</v>
      </c>
      <c r="R15" s="9">
        <f t="shared" ref="R15" si="47">IF((Q15-Q14&lt;0), "0",Q15-Q14)</f>
        <v>0</v>
      </c>
      <c r="S15" s="25">
        <v>0</v>
      </c>
      <c r="T15" s="9">
        <f t="shared" ref="T15" si="48">IF((S15-S14&lt;0), "0",S15-S14)</f>
        <v>0</v>
      </c>
      <c r="U15" s="25">
        <v>0</v>
      </c>
      <c r="V15" s="9">
        <f t="shared" si="2"/>
        <v>0</v>
      </c>
      <c r="W15" s="25">
        <v>0</v>
      </c>
      <c r="X15" s="9">
        <f t="shared" si="2"/>
        <v>0</v>
      </c>
      <c r="Y15" s="25">
        <v>0</v>
      </c>
      <c r="Z15" s="9">
        <f t="shared" si="2"/>
        <v>0</v>
      </c>
      <c r="AA15" s="25">
        <v>0</v>
      </c>
      <c r="AB15" s="9">
        <f t="shared" si="2"/>
        <v>0</v>
      </c>
      <c r="AC15" s="25">
        <v>0</v>
      </c>
      <c r="AD15" s="9">
        <f t="shared" si="2"/>
        <v>0</v>
      </c>
      <c r="AE15" s="25">
        <v>0</v>
      </c>
      <c r="AF15" s="9">
        <f t="shared" si="2"/>
        <v>0</v>
      </c>
      <c r="AG15" s="25">
        <v>0</v>
      </c>
      <c r="AH15" s="9">
        <f t="shared" si="2"/>
        <v>0</v>
      </c>
      <c r="AI15" s="25">
        <v>0</v>
      </c>
      <c r="AJ15" s="9">
        <f t="shared" si="2"/>
        <v>0</v>
      </c>
      <c r="AK15" s="25">
        <v>0</v>
      </c>
      <c r="AL15" s="9">
        <f t="shared" si="2"/>
        <v>0</v>
      </c>
      <c r="AM15" s="25">
        <v>0</v>
      </c>
      <c r="AN15" s="9">
        <f t="shared" si="2"/>
        <v>0</v>
      </c>
      <c r="AO15" s="25">
        <v>0</v>
      </c>
      <c r="AP15" s="9">
        <f t="shared" si="2"/>
        <v>0</v>
      </c>
      <c r="AQ15" s="40"/>
      <c r="AR15" s="17" t="s">
        <v>60</v>
      </c>
      <c r="AS15" s="9">
        <v>0</v>
      </c>
      <c r="AT15" s="17" t="s">
        <v>60</v>
      </c>
      <c r="AU15" s="9">
        <v>0</v>
      </c>
      <c r="AV15" s="25">
        <v>0</v>
      </c>
      <c r="AW15" s="9">
        <f t="shared" si="3"/>
        <v>0</v>
      </c>
      <c r="AX15" s="25">
        <v>0</v>
      </c>
      <c r="AY15" s="9">
        <f t="shared" si="4"/>
        <v>0</v>
      </c>
      <c r="AZ15" s="25">
        <v>0</v>
      </c>
      <c r="BA15" s="9">
        <f t="shared" si="5"/>
        <v>0</v>
      </c>
      <c r="BB15" s="25">
        <v>0</v>
      </c>
      <c r="BC15" s="9">
        <f t="shared" si="13"/>
        <v>0</v>
      </c>
      <c r="BD15" s="25">
        <v>0</v>
      </c>
      <c r="BE15" s="25">
        <v>0</v>
      </c>
      <c r="BH15">
        <f t="shared" si="0"/>
        <v>0</v>
      </c>
    </row>
    <row r="16" spans="1:60" ht="45" customHeight="1">
      <c r="A16" s="8">
        <v>44971</v>
      </c>
      <c r="B16" s="39"/>
      <c r="C16" s="25">
        <v>0</v>
      </c>
      <c r="D16" s="9">
        <f t="shared" si="6"/>
        <v>0</v>
      </c>
      <c r="E16" s="25">
        <v>0</v>
      </c>
      <c r="F16" s="9">
        <f t="shared" si="7"/>
        <v>0</v>
      </c>
      <c r="G16" s="25">
        <v>0</v>
      </c>
      <c r="H16" s="9">
        <f t="shared" si="1"/>
        <v>0</v>
      </c>
      <c r="I16" s="25">
        <v>0</v>
      </c>
      <c r="J16" s="9">
        <f t="shared" si="8"/>
        <v>0</v>
      </c>
      <c r="K16" s="25">
        <v>0</v>
      </c>
      <c r="L16" s="9">
        <f t="shared" si="8"/>
        <v>0</v>
      </c>
      <c r="M16" s="25">
        <v>0</v>
      </c>
      <c r="N16" s="9">
        <f t="shared" ref="N16" si="49">IF((M16-M15&lt;0), "0",M16-M15)</f>
        <v>0</v>
      </c>
      <c r="O16" s="25">
        <v>0</v>
      </c>
      <c r="P16" s="9">
        <f t="shared" ref="P16" si="50">IF((O16-O15&lt;0), "0",O16-O15)</f>
        <v>0</v>
      </c>
      <c r="Q16" s="25">
        <v>0</v>
      </c>
      <c r="R16" s="9">
        <f t="shared" ref="R16" si="51">IF((Q16-Q15&lt;0), "0",Q16-Q15)</f>
        <v>0</v>
      </c>
      <c r="S16" s="25">
        <v>0</v>
      </c>
      <c r="T16" s="9">
        <f t="shared" ref="T16" si="52">IF((S16-S15&lt;0), "0",S16-S15)</f>
        <v>0</v>
      </c>
      <c r="U16" s="25">
        <v>0</v>
      </c>
      <c r="V16" s="9">
        <f t="shared" ref="V16:AP30" si="53">IF((U16-U15&lt;0), "",U16-U15)</f>
        <v>0</v>
      </c>
      <c r="W16" s="25">
        <v>0</v>
      </c>
      <c r="X16" s="9">
        <f t="shared" si="53"/>
        <v>0</v>
      </c>
      <c r="Y16" s="25">
        <v>0</v>
      </c>
      <c r="Z16" s="9">
        <f t="shared" si="53"/>
        <v>0</v>
      </c>
      <c r="AA16" s="25">
        <v>0</v>
      </c>
      <c r="AB16" s="9">
        <f t="shared" si="53"/>
        <v>0</v>
      </c>
      <c r="AC16" s="25">
        <v>0</v>
      </c>
      <c r="AD16" s="9">
        <f t="shared" si="53"/>
        <v>0</v>
      </c>
      <c r="AE16" s="25">
        <v>0</v>
      </c>
      <c r="AF16" s="9">
        <f t="shared" si="53"/>
        <v>0</v>
      </c>
      <c r="AG16" s="25">
        <v>0</v>
      </c>
      <c r="AH16" s="9">
        <f t="shared" si="53"/>
        <v>0</v>
      </c>
      <c r="AI16" s="25">
        <v>0</v>
      </c>
      <c r="AJ16" s="9">
        <f t="shared" si="53"/>
        <v>0</v>
      </c>
      <c r="AK16" s="25">
        <v>0</v>
      </c>
      <c r="AL16" s="9">
        <f t="shared" si="53"/>
        <v>0</v>
      </c>
      <c r="AM16" s="25">
        <v>0</v>
      </c>
      <c r="AN16" s="9">
        <f t="shared" si="53"/>
        <v>0</v>
      </c>
      <c r="AO16" s="25">
        <v>0</v>
      </c>
      <c r="AP16" s="9">
        <f t="shared" si="53"/>
        <v>0</v>
      </c>
      <c r="AQ16" s="40"/>
      <c r="AR16" s="17" t="s">
        <v>60</v>
      </c>
      <c r="AS16" s="9">
        <v>0</v>
      </c>
      <c r="AT16" s="17" t="s">
        <v>60</v>
      </c>
      <c r="AU16" s="9">
        <v>0</v>
      </c>
      <c r="AV16" s="25">
        <v>0</v>
      </c>
      <c r="AW16" s="9">
        <f t="shared" si="3"/>
        <v>0</v>
      </c>
      <c r="AX16" s="25">
        <v>0</v>
      </c>
      <c r="AY16" s="9">
        <f>IF((AX16-AX15&lt;0), "",AX16-AX15)</f>
        <v>0</v>
      </c>
      <c r="AZ16" s="25">
        <v>0</v>
      </c>
      <c r="BA16" s="9">
        <f t="shared" si="5"/>
        <v>0</v>
      </c>
      <c r="BB16" s="25">
        <v>0</v>
      </c>
      <c r="BC16" s="9">
        <f t="shared" si="13"/>
        <v>0</v>
      </c>
      <c r="BD16" s="25">
        <v>0</v>
      </c>
      <c r="BE16" s="25">
        <v>0</v>
      </c>
      <c r="BH16">
        <f t="shared" si="0"/>
        <v>0</v>
      </c>
    </row>
    <row r="17" spans="1:60" ht="45" customHeight="1">
      <c r="A17" s="8">
        <v>44972</v>
      </c>
      <c r="B17" s="39"/>
      <c r="C17" s="25">
        <v>0</v>
      </c>
      <c r="D17" s="9">
        <f>IF((C17-C16&lt;0), "0",C17-C16)</f>
        <v>0</v>
      </c>
      <c r="E17" s="25">
        <v>0</v>
      </c>
      <c r="F17" s="9">
        <f t="shared" si="7"/>
        <v>0</v>
      </c>
      <c r="G17" s="25">
        <v>0</v>
      </c>
      <c r="H17" s="9">
        <f t="shared" si="1"/>
        <v>0</v>
      </c>
      <c r="I17" s="25">
        <v>0</v>
      </c>
      <c r="J17" s="9">
        <f t="shared" si="8"/>
        <v>0</v>
      </c>
      <c r="K17" s="25">
        <v>0</v>
      </c>
      <c r="L17" s="9">
        <f t="shared" si="8"/>
        <v>0</v>
      </c>
      <c r="M17" s="25">
        <v>0</v>
      </c>
      <c r="N17" s="9">
        <f t="shared" ref="N17" si="54">IF((M17-M16&lt;0), "0",M17-M16)</f>
        <v>0</v>
      </c>
      <c r="O17" s="25">
        <v>0</v>
      </c>
      <c r="P17" s="9">
        <f t="shared" ref="P17" si="55">IF((O17-O16&lt;0), "0",O17-O16)</f>
        <v>0</v>
      </c>
      <c r="Q17" s="25">
        <v>0</v>
      </c>
      <c r="R17" s="9">
        <f t="shared" ref="R17" si="56">IF((Q17-Q16&lt;0), "0",Q17-Q16)</f>
        <v>0</v>
      </c>
      <c r="S17" s="25">
        <v>0</v>
      </c>
      <c r="T17" s="9">
        <f t="shared" ref="T17" si="57">IF((S17-S16&lt;0), "0",S17-S16)</f>
        <v>0</v>
      </c>
      <c r="U17" s="25">
        <v>0</v>
      </c>
      <c r="V17" s="9">
        <f t="shared" si="53"/>
        <v>0</v>
      </c>
      <c r="W17" s="25">
        <v>0</v>
      </c>
      <c r="X17" s="9">
        <f t="shared" si="53"/>
        <v>0</v>
      </c>
      <c r="Y17" s="25">
        <v>0</v>
      </c>
      <c r="Z17" s="9">
        <f t="shared" si="53"/>
        <v>0</v>
      </c>
      <c r="AA17" s="25">
        <v>0</v>
      </c>
      <c r="AB17" s="9">
        <f t="shared" si="53"/>
        <v>0</v>
      </c>
      <c r="AC17" s="25">
        <v>0</v>
      </c>
      <c r="AD17" s="9">
        <f t="shared" si="53"/>
        <v>0</v>
      </c>
      <c r="AE17" s="25">
        <v>0</v>
      </c>
      <c r="AF17" s="9">
        <f t="shared" si="53"/>
        <v>0</v>
      </c>
      <c r="AG17" s="25">
        <v>0</v>
      </c>
      <c r="AH17" s="9">
        <f t="shared" si="53"/>
        <v>0</v>
      </c>
      <c r="AI17" s="25">
        <v>0</v>
      </c>
      <c r="AJ17" s="9">
        <f t="shared" si="53"/>
        <v>0</v>
      </c>
      <c r="AK17" s="25">
        <v>0</v>
      </c>
      <c r="AL17" s="9">
        <f t="shared" si="53"/>
        <v>0</v>
      </c>
      <c r="AM17" s="25">
        <v>0</v>
      </c>
      <c r="AN17" s="9">
        <f t="shared" si="53"/>
        <v>0</v>
      </c>
      <c r="AO17" s="25">
        <v>0</v>
      </c>
      <c r="AP17" s="9">
        <f t="shared" si="53"/>
        <v>0</v>
      </c>
      <c r="AQ17" s="40"/>
      <c r="AR17" s="17" t="s">
        <v>60</v>
      </c>
      <c r="AS17" s="9">
        <v>0</v>
      </c>
      <c r="AT17" s="17" t="s">
        <v>60</v>
      </c>
      <c r="AU17" s="9">
        <v>0</v>
      </c>
      <c r="AV17" s="25">
        <v>0</v>
      </c>
      <c r="AW17" s="9">
        <f t="shared" si="3"/>
        <v>0</v>
      </c>
      <c r="AX17" s="25">
        <v>0</v>
      </c>
      <c r="AY17" s="9">
        <f>IF((AX17-AX16&lt;0), "",AX17-AX16)</f>
        <v>0</v>
      </c>
      <c r="AZ17" s="25">
        <v>0</v>
      </c>
      <c r="BA17" s="9">
        <f t="shared" si="5"/>
        <v>0</v>
      </c>
      <c r="BB17" s="25">
        <v>0</v>
      </c>
      <c r="BC17" s="9">
        <f t="shared" si="13"/>
        <v>0</v>
      </c>
      <c r="BD17" s="25">
        <v>0</v>
      </c>
      <c r="BE17" s="25">
        <v>0</v>
      </c>
      <c r="BH17">
        <f t="shared" si="0"/>
        <v>0</v>
      </c>
    </row>
    <row r="18" spans="1:60" ht="45" customHeight="1">
      <c r="A18" s="8">
        <v>44973</v>
      </c>
      <c r="B18" s="39"/>
      <c r="C18" s="25">
        <v>0</v>
      </c>
      <c r="D18" s="9">
        <f>IF((C18-C17&lt;0), "0",C18-C17)</f>
        <v>0</v>
      </c>
      <c r="E18" s="25">
        <v>0</v>
      </c>
      <c r="F18" s="9">
        <f t="shared" si="7"/>
        <v>0</v>
      </c>
      <c r="G18" s="25">
        <v>0</v>
      </c>
      <c r="H18" s="9">
        <f t="shared" si="1"/>
        <v>0</v>
      </c>
      <c r="I18" s="25">
        <v>0</v>
      </c>
      <c r="J18" s="9">
        <f t="shared" si="8"/>
        <v>0</v>
      </c>
      <c r="K18" s="25">
        <v>0</v>
      </c>
      <c r="L18" s="9">
        <f t="shared" si="8"/>
        <v>0</v>
      </c>
      <c r="M18" s="25">
        <v>0</v>
      </c>
      <c r="N18" s="9">
        <f t="shared" ref="N18" si="58">IF((M18-M17&lt;0), "0",M18-M17)</f>
        <v>0</v>
      </c>
      <c r="O18" s="25">
        <v>0</v>
      </c>
      <c r="P18" s="9">
        <f t="shared" ref="P18" si="59">IF((O18-O17&lt;0), "0",O18-O17)</f>
        <v>0</v>
      </c>
      <c r="Q18" s="25">
        <v>0</v>
      </c>
      <c r="R18" s="9">
        <f>IF((Q17-Q18&lt;0), "0",Q17-Q18)</f>
        <v>0</v>
      </c>
      <c r="S18" s="25">
        <v>0</v>
      </c>
      <c r="T18" s="9">
        <f t="shared" ref="T18" si="60">IF((S18-S17&lt;0), "0",S18-S17)</f>
        <v>0</v>
      </c>
      <c r="U18" s="25">
        <v>0</v>
      </c>
      <c r="V18" s="9">
        <f t="shared" si="53"/>
        <v>0</v>
      </c>
      <c r="W18" s="25">
        <v>0</v>
      </c>
      <c r="X18" s="9">
        <f t="shared" si="53"/>
        <v>0</v>
      </c>
      <c r="Y18" s="25">
        <v>0</v>
      </c>
      <c r="Z18" s="9">
        <f t="shared" si="53"/>
        <v>0</v>
      </c>
      <c r="AA18" s="25">
        <v>0</v>
      </c>
      <c r="AB18" s="9">
        <f t="shared" si="53"/>
        <v>0</v>
      </c>
      <c r="AC18" s="25">
        <v>0</v>
      </c>
      <c r="AD18" s="9">
        <f t="shared" si="53"/>
        <v>0</v>
      </c>
      <c r="AE18" s="25">
        <v>0</v>
      </c>
      <c r="AF18" s="9">
        <f t="shared" si="53"/>
        <v>0</v>
      </c>
      <c r="AG18" s="25">
        <v>0</v>
      </c>
      <c r="AH18" s="9">
        <f t="shared" si="53"/>
        <v>0</v>
      </c>
      <c r="AI18" s="25">
        <v>0</v>
      </c>
      <c r="AJ18" s="9">
        <f t="shared" si="53"/>
        <v>0</v>
      </c>
      <c r="AK18" s="25">
        <v>0</v>
      </c>
      <c r="AL18" s="9">
        <f t="shared" si="53"/>
        <v>0</v>
      </c>
      <c r="AM18" s="25">
        <v>0</v>
      </c>
      <c r="AN18" s="9">
        <f>IF((AM17-AM18&lt;0), "",AM17-AM18)</f>
        <v>0</v>
      </c>
      <c r="AO18" s="25">
        <v>0</v>
      </c>
      <c r="AP18" s="9">
        <f t="shared" si="53"/>
        <v>0</v>
      </c>
      <c r="AQ18" s="40"/>
      <c r="AR18" s="17" t="s">
        <v>60</v>
      </c>
      <c r="AS18" s="9">
        <v>0</v>
      </c>
      <c r="AT18" s="17" t="s">
        <v>60</v>
      </c>
      <c r="AU18" s="9">
        <v>0</v>
      </c>
      <c r="AV18" s="25">
        <v>0</v>
      </c>
      <c r="AW18" s="9">
        <f t="shared" si="3"/>
        <v>0</v>
      </c>
      <c r="AX18" s="25">
        <v>0</v>
      </c>
      <c r="AY18" s="9">
        <f t="shared" si="4"/>
        <v>0</v>
      </c>
      <c r="AZ18" s="25">
        <v>0</v>
      </c>
      <c r="BA18" s="9">
        <f t="shared" si="5"/>
        <v>0</v>
      </c>
      <c r="BB18" s="25">
        <v>0</v>
      </c>
      <c r="BC18" s="9">
        <f t="shared" si="13"/>
        <v>0</v>
      </c>
      <c r="BD18" s="25">
        <v>0</v>
      </c>
      <c r="BE18" s="25">
        <v>0</v>
      </c>
      <c r="BH18">
        <f t="shared" si="0"/>
        <v>0</v>
      </c>
    </row>
    <row r="19" spans="1:60" ht="45" customHeight="1">
      <c r="A19" s="8">
        <v>44974</v>
      </c>
      <c r="B19" s="39"/>
      <c r="C19" s="25">
        <v>0</v>
      </c>
      <c r="D19" s="9">
        <f t="shared" si="6"/>
        <v>0</v>
      </c>
      <c r="E19" s="25">
        <v>0</v>
      </c>
      <c r="F19" s="9">
        <f t="shared" si="7"/>
        <v>0</v>
      </c>
      <c r="G19" s="25">
        <v>0</v>
      </c>
      <c r="H19" s="9">
        <f t="shared" si="1"/>
        <v>0</v>
      </c>
      <c r="I19" s="25">
        <v>0</v>
      </c>
      <c r="J19" s="9">
        <f t="shared" si="8"/>
        <v>0</v>
      </c>
      <c r="K19" s="25">
        <v>0</v>
      </c>
      <c r="L19" s="9">
        <f t="shared" si="8"/>
        <v>0</v>
      </c>
      <c r="M19" s="25">
        <v>0</v>
      </c>
      <c r="N19" s="9">
        <f t="shared" ref="N19" si="61">IF((M19-M18&lt;0), "0",M19-M18)</f>
        <v>0</v>
      </c>
      <c r="O19" s="25">
        <v>0</v>
      </c>
      <c r="P19" s="9">
        <f t="shared" ref="P19" si="62">IF((O19-O18&lt;0), "0",O19-O18)</f>
        <v>0</v>
      </c>
      <c r="Q19" s="25">
        <v>0</v>
      </c>
      <c r="R19" s="9">
        <f t="shared" ref="R19" si="63">IF((Q19-Q18&lt;0), "0",Q19-Q18)</f>
        <v>0</v>
      </c>
      <c r="S19" s="25">
        <v>0</v>
      </c>
      <c r="T19" s="9">
        <f t="shared" ref="T19" si="64">IF((S19-S18&lt;0), "0",S19-S18)</f>
        <v>0</v>
      </c>
      <c r="U19" s="25">
        <v>0</v>
      </c>
      <c r="V19" s="9">
        <f t="shared" si="53"/>
        <v>0</v>
      </c>
      <c r="W19" s="25">
        <v>0</v>
      </c>
      <c r="X19" s="9">
        <f t="shared" si="53"/>
        <v>0</v>
      </c>
      <c r="Y19" s="25">
        <v>0</v>
      </c>
      <c r="Z19" s="9">
        <f t="shared" si="53"/>
        <v>0</v>
      </c>
      <c r="AA19" s="25">
        <v>0</v>
      </c>
      <c r="AB19" s="9">
        <f t="shared" si="53"/>
        <v>0</v>
      </c>
      <c r="AC19" s="25">
        <v>0</v>
      </c>
      <c r="AD19" s="9">
        <f t="shared" si="53"/>
        <v>0</v>
      </c>
      <c r="AE19" s="25">
        <v>0</v>
      </c>
      <c r="AF19" s="9">
        <f t="shared" si="53"/>
        <v>0</v>
      </c>
      <c r="AG19" s="25">
        <v>0</v>
      </c>
      <c r="AH19" s="9">
        <f t="shared" si="53"/>
        <v>0</v>
      </c>
      <c r="AI19" s="25">
        <v>0</v>
      </c>
      <c r="AJ19" s="9">
        <f t="shared" si="53"/>
        <v>0</v>
      </c>
      <c r="AK19" s="25">
        <v>0</v>
      </c>
      <c r="AL19" s="9">
        <f t="shared" si="53"/>
        <v>0</v>
      </c>
      <c r="AM19" s="25">
        <v>0</v>
      </c>
      <c r="AN19" s="9">
        <f t="shared" si="53"/>
        <v>0</v>
      </c>
      <c r="AO19" s="25">
        <v>0</v>
      </c>
      <c r="AP19" s="9">
        <f t="shared" si="53"/>
        <v>0</v>
      </c>
      <c r="AQ19" s="40"/>
      <c r="AR19" s="17" t="s">
        <v>60</v>
      </c>
      <c r="AS19" s="9">
        <v>0</v>
      </c>
      <c r="AT19" s="17" t="s">
        <v>60</v>
      </c>
      <c r="AU19" s="9">
        <v>0</v>
      </c>
      <c r="AV19" s="25">
        <v>0</v>
      </c>
      <c r="AW19" s="9">
        <f t="shared" si="3"/>
        <v>0</v>
      </c>
      <c r="AX19" s="25">
        <v>0</v>
      </c>
      <c r="AY19" s="9">
        <f t="shared" si="4"/>
        <v>0</v>
      </c>
      <c r="AZ19" s="25">
        <v>0</v>
      </c>
      <c r="BA19" s="9">
        <f t="shared" si="5"/>
        <v>0</v>
      </c>
      <c r="BB19" s="25">
        <v>0</v>
      </c>
      <c r="BC19" s="9">
        <f t="shared" si="13"/>
        <v>0</v>
      </c>
      <c r="BD19" s="25">
        <v>0</v>
      </c>
      <c r="BE19" s="25">
        <v>0</v>
      </c>
      <c r="BH19">
        <f t="shared" si="0"/>
        <v>0</v>
      </c>
    </row>
    <row r="20" spans="1:60" ht="45" customHeight="1">
      <c r="A20" s="8">
        <v>44975</v>
      </c>
      <c r="B20" s="39"/>
      <c r="C20" s="25">
        <v>0</v>
      </c>
      <c r="D20" s="9">
        <f t="shared" si="6"/>
        <v>0</v>
      </c>
      <c r="E20" s="25">
        <v>0</v>
      </c>
      <c r="F20" s="9">
        <f t="shared" si="7"/>
        <v>0</v>
      </c>
      <c r="G20" s="25">
        <v>0</v>
      </c>
      <c r="H20" s="9">
        <f t="shared" si="1"/>
        <v>0</v>
      </c>
      <c r="I20" s="25">
        <v>0</v>
      </c>
      <c r="J20" s="9">
        <f t="shared" si="8"/>
        <v>0</v>
      </c>
      <c r="K20" s="25">
        <v>0</v>
      </c>
      <c r="L20" s="9">
        <f t="shared" si="8"/>
        <v>0</v>
      </c>
      <c r="M20" s="25">
        <v>0</v>
      </c>
      <c r="N20" s="9">
        <f t="shared" ref="N20" si="65">IF((M20-M19&lt;0), "0",M20-M19)</f>
        <v>0</v>
      </c>
      <c r="O20" s="25">
        <v>0</v>
      </c>
      <c r="P20" s="9">
        <f t="shared" ref="P20" si="66">IF((O20-O19&lt;0), "0",O20-O19)</f>
        <v>0</v>
      </c>
      <c r="Q20" s="25">
        <v>0</v>
      </c>
      <c r="R20" s="9">
        <f t="shared" ref="R20" si="67">IF((Q20-Q19&lt;0), "0",Q20-Q19)</f>
        <v>0</v>
      </c>
      <c r="S20" s="25">
        <v>0</v>
      </c>
      <c r="T20" s="9">
        <f t="shared" ref="T20" si="68">IF((S20-S19&lt;0), "0",S20-S19)</f>
        <v>0</v>
      </c>
      <c r="U20" s="25">
        <v>0</v>
      </c>
      <c r="V20" s="9">
        <f t="shared" si="53"/>
        <v>0</v>
      </c>
      <c r="W20" s="25">
        <v>0</v>
      </c>
      <c r="X20" s="9">
        <f t="shared" si="53"/>
        <v>0</v>
      </c>
      <c r="Y20" s="25">
        <v>0</v>
      </c>
      <c r="Z20" s="9">
        <f t="shared" si="53"/>
        <v>0</v>
      </c>
      <c r="AA20" s="25">
        <v>0</v>
      </c>
      <c r="AB20" s="9">
        <f t="shared" si="53"/>
        <v>0</v>
      </c>
      <c r="AC20" s="25">
        <v>0</v>
      </c>
      <c r="AD20" s="9">
        <f t="shared" si="53"/>
        <v>0</v>
      </c>
      <c r="AE20" s="25">
        <v>0</v>
      </c>
      <c r="AF20" s="9">
        <f t="shared" si="53"/>
        <v>0</v>
      </c>
      <c r="AG20" s="25">
        <v>0</v>
      </c>
      <c r="AH20" s="9">
        <f t="shared" si="53"/>
        <v>0</v>
      </c>
      <c r="AI20" s="25">
        <v>0</v>
      </c>
      <c r="AJ20" s="9">
        <f t="shared" si="53"/>
        <v>0</v>
      </c>
      <c r="AK20" s="25">
        <v>0</v>
      </c>
      <c r="AL20" s="9">
        <f t="shared" si="53"/>
        <v>0</v>
      </c>
      <c r="AM20" s="25">
        <v>0</v>
      </c>
      <c r="AN20" s="9">
        <f t="shared" si="53"/>
        <v>0</v>
      </c>
      <c r="AO20" s="25">
        <v>0</v>
      </c>
      <c r="AP20" s="9">
        <f t="shared" si="53"/>
        <v>0</v>
      </c>
      <c r="AQ20" s="40"/>
      <c r="AR20" s="17" t="s">
        <v>60</v>
      </c>
      <c r="AS20" s="9">
        <v>0</v>
      </c>
      <c r="AT20" s="17" t="s">
        <v>60</v>
      </c>
      <c r="AU20" s="9">
        <v>0</v>
      </c>
      <c r="AV20" s="25">
        <v>0</v>
      </c>
      <c r="AW20" s="9">
        <f t="shared" si="3"/>
        <v>0</v>
      </c>
      <c r="AX20" s="25">
        <v>0</v>
      </c>
      <c r="AY20" s="9">
        <f t="shared" si="4"/>
        <v>0</v>
      </c>
      <c r="AZ20" s="25">
        <v>0</v>
      </c>
      <c r="BA20" s="9">
        <f t="shared" si="5"/>
        <v>0</v>
      </c>
      <c r="BB20" s="25">
        <v>0</v>
      </c>
      <c r="BC20" s="9">
        <f t="shared" si="13"/>
        <v>0</v>
      </c>
      <c r="BD20" s="25">
        <v>0</v>
      </c>
      <c r="BE20" s="25">
        <v>0</v>
      </c>
      <c r="BH20">
        <f t="shared" si="0"/>
        <v>0</v>
      </c>
    </row>
    <row r="21" spans="1:60" ht="45" customHeight="1">
      <c r="A21" s="8">
        <v>44976</v>
      </c>
      <c r="B21" s="39"/>
      <c r="C21" s="25">
        <v>0</v>
      </c>
      <c r="D21" s="9">
        <f t="shared" si="6"/>
        <v>0</v>
      </c>
      <c r="E21" s="25">
        <v>0</v>
      </c>
      <c r="F21" s="9">
        <f t="shared" si="7"/>
        <v>0</v>
      </c>
      <c r="G21" s="25">
        <v>0</v>
      </c>
      <c r="H21" s="9">
        <f t="shared" si="1"/>
        <v>0</v>
      </c>
      <c r="I21" s="25">
        <v>0</v>
      </c>
      <c r="J21" s="9">
        <f t="shared" si="8"/>
        <v>0</v>
      </c>
      <c r="K21" s="25">
        <v>0</v>
      </c>
      <c r="L21" s="9">
        <f t="shared" si="8"/>
        <v>0</v>
      </c>
      <c r="M21" s="25">
        <v>0</v>
      </c>
      <c r="N21" s="9">
        <f t="shared" ref="N21" si="69">IF((M21-M20&lt;0), "0",M21-M20)</f>
        <v>0</v>
      </c>
      <c r="O21" s="25">
        <v>0</v>
      </c>
      <c r="P21" s="9">
        <f t="shared" ref="P21" si="70">IF((O21-O20&lt;0), "0",O21-O20)</f>
        <v>0</v>
      </c>
      <c r="Q21" s="25">
        <v>0</v>
      </c>
      <c r="R21" s="9">
        <f t="shared" ref="R21" si="71">IF((Q21-Q20&lt;0), "0",Q21-Q20)</f>
        <v>0</v>
      </c>
      <c r="S21" s="25">
        <v>0</v>
      </c>
      <c r="T21" s="9">
        <f t="shared" ref="T21" si="72">IF((S21-S20&lt;0), "0",S21-S20)</f>
        <v>0</v>
      </c>
      <c r="U21" s="25">
        <v>0</v>
      </c>
      <c r="V21" s="9">
        <f t="shared" si="53"/>
        <v>0</v>
      </c>
      <c r="W21" s="25">
        <v>0</v>
      </c>
      <c r="X21" s="9">
        <f t="shared" si="53"/>
        <v>0</v>
      </c>
      <c r="Y21" s="25">
        <v>0</v>
      </c>
      <c r="Z21" s="9">
        <f t="shared" si="53"/>
        <v>0</v>
      </c>
      <c r="AA21" s="25">
        <v>0</v>
      </c>
      <c r="AB21" s="9">
        <f t="shared" si="53"/>
        <v>0</v>
      </c>
      <c r="AC21" s="25">
        <v>0</v>
      </c>
      <c r="AD21" s="9">
        <f t="shared" si="53"/>
        <v>0</v>
      </c>
      <c r="AE21" s="25">
        <v>0</v>
      </c>
      <c r="AF21" s="9">
        <f t="shared" si="53"/>
        <v>0</v>
      </c>
      <c r="AG21" s="25">
        <v>0</v>
      </c>
      <c r="AH21" s="9">
        <f t="shared" si="53"/>
        <v>0</v>
      </c>
      <c r="AI21" s="25">
        <v>0</v>
      </c>
      <c r="AJ21" s="9">
        <f t="shared" si="53"/>
        <v>0</v>
      </c>
      <c r="AK21" s="25">
        <v>0</v>
      </c>
      <c r="AL21" s="9">
        <f t="shared" si="53"/>
        <v>0</v>
      </c>
      <c r="AM21" s="25">
        <v>0</v>
      </c>
      <c r="AN21" s="9">
        <f t="shared" si="53"/>
        <v>0</v>
      </c>
      <c r="AO21" s="25">
        <v>0</v>
      </c>
      <c r="AP21" s="9">
        <f t="shared" si="53"/>
        <v>0</v>
      </c>
      <c r="AQ21" s="40"/>
      <c r="AR21" s="17" t="s">
        <v>60</v>
      </c>
      <c r="AS21" s="9">
        <v>0</v>
      </c>
      <c r="AT21" s="17" t="s">
        <v>60</v>
      </c>
      <c r="AU21" s="9">
        <v>0</v>
      </c>
      <c r="AV21" s="25">
        <v>0</v>
      </c>
      <c r="AW21" s="9">
        <f t="shared" si="3"/>
        <v>0</v>
      </c>
      <c r="AX21" s="25">
        <v>0</v>
      </c>
      <c r="AY21" s="9">
        <f t="shared" si="4"/>
        <v>0</v>
      </c>
      <c r="AZ21" s="25">
        <v>0</v>
      </c>
      <c r="BA21" s="9">
        <f t="shared" si="5"/>
        <v>0</v>
      </c>
      <c r="BB21" s="25">
        <v>0</v>
      </c>
      <c r="BC21" s="9">
        <f t="shared" si="13"/>
        <v>0</v>
      </c>
      <c r="BD21" s="25">
        <v>0</v>
      </c>
      <c r="BE21" s="25">
        <v>0</v>
      </c>
      <c r="BH21">
        <f t="shared" si="0"/>
        <v>0</v>
      </c>
    </row>
    <row r="22" spans="1:60" ht="45" customHeight="1">
      <c r="A22" s="8">
        <v>44977</v>
      </c>
      <c r="B22" s="39"/>
      <c r="C22" s="25">
        <v>0</v>
      </c>
      <c r="D22" s="9">
        <f t="shared" si="6"/>
        <v>0</v>
      </c>
      <c r="E22" s="25">
        <v>0</v>
      </c>
      <c r="F22" s="9">
        <f t="shared" si="7"/>
        <v>0</v>
      </c>
      <c r="G22" s="25">
        <v>0</v>
      </c>
      <c r="H22" s="9">
        <f t="shared" si="1"/>
        <v>0</v>
      </c>
      <c r="I22" s="25">
        <v>0</v>
      </c>
      <c r="J22" s="9">
        <f t="shared" si="8"/>
        <v>0</v>
      </c>
      <c r="K22" s="25">
        <v>0</v>
      </c>
      <c r="L22" s="9">
        <f t="shared" si="8"/>
        <v>0</v>
      </c>
      <c r="M22" s="25">
        <v>0</v>
      </c>
      <c r="N22" s="9">
        <f t="shared" ref="N22" si="73">IF((M22-M21&lt;0), "0",M22-M21)</f>
        <v>0</v>
      </c>
      <c r="O22" s="25">
        <v>0</v>
      </c>
      <c r="P22" s="9">
        <f t="shared" ref="P22" si="74">IF((O22-O21&lt;0), "0",O22-O21)</f>
        <v>0</v>
      </c>
      <c r="Q22" s="25">
        <v>0</v>
      </c>
      <c r="R22" s="9">
        <f t="shared" ref="R22" si="75">IF((Q22-Q21&lt;0), "0",Q22-Q21)</f>
        <v>0</v>
      </c>
      <c r="S22" s="25">
        <v>0</v>
      </c>
      <c r="T22" s="9">
        <f t="shared" ref="T22" si="76">IF((S22-S21&lt;0), "0",S22-S21)</f>
        <v>0</v>
      </c>
      <c r="U22" s="25">
        <v>0</v>
      </c>
      <c r="V22" s="9">
        <f t="shared" si="53"/>
        <v>0</v>
      </c>
      <c r="W22" s="25">
        <v>0</v>
      </c>
      <c r="X22" s="9">
        <f t="shared" si="53"/>
        <v>0</v>
      </c>
      <c r="Y22" s="25">
        <v>0</v>
      </c>
      <c r="Z22" s="9">
        <f t="shared" si="53"/>
        <v>0</v>
      </c>
      <c r="AA22" s="25">
        <v>0</v>
      </c>
      <c r="AB22" s="9">
        <f t="shared" si="53"/>
        <v>0</v>
      </c>
      <c r="AC22" s="25">
        <v>0</v>
      </c>
      <c r="AD22" s="9">
        <f t="shared" si="53"/>
        <v>0</v>
      </c>
      <c r="AE22" s="25">
        <v>0</v>
      </c>
      <c r="AF22" s="9">
        <f t="shared" si="53"/>
        <v>0</v>
      </c>
      <c r="AG22" s="25">
        <v>0</v>
      </c>
      <c r="AH22" s="9">
        <f t="shared" si="53"/>
        <v>0</v>
      </c>
      <c r="AI22" s="25">
        <v>0</v>
      </c>
      <c r="AJ22" s="9">
        <f t="shared" si="53"/>
        <v>0</v>
      </c>
      <c r="AK22" s="25">
        <v>0</v>
      </c>
      <c r="AL22" s="9">
        <f t="shared" si="53"/>
        <v>0</v>
      </c>
      <c r="AM22" s="25">
        <v>0</v>
      </c>
      <c r="AN22" s="9">
        <f t="shared" si="53"/>
        <v>0</v>
      </c>
      <c r="AO22" s="25">
        <v>0</v>
      </c>
      <c r="AP22" s="9">
        <f t="shared" si="53"/>
        <v>0</v>
      </c>
      <c r="AQ22" s="40"/>
      <c r="AR22" s="17">
        <v>0</v>
      </c>
      <c r="AS22" s="9">
        <f>IF((AR22-AR12&lt;0), "",AR22-AR12)</f>
        <v>0</v>
      </c>
      <c r="AT22" s="17">
        <v>0</v>
      </c>
      <c r="AU22" s="9">
        <f>IF((AT22-AT12&lt;0), "",AT22-AT12)</f>
        <v>0</v>
      </c>
      <c r="AV22" s="25">
        <v>0</v>
      </c>
      <c r="AW22" s="9">
        <f>IF((AV22-AV21&lt;0), "",AV22-AV21)</f>
        <v>0</v>
      </c>
      <c r="AX22" s="25">
        <v>0</v>
      </c>
      <c r="AY22" s="9">
        <f t="shared" si="4"/>
        <v>0</v>
      </c>
      <c r="AZ22" s="25">
        <v>0</v>
      </c>
      <c r="BA22" s="9">
        <f t="shared" si="5"/>
        <v>0</v>
      </c>
      <c r="BB22" s="25">
        <v>0</v>
      </c>
      <c r="BC22" s="9">
        <f t="shared" si="13"/>
        <v>0</v>
      </c>
      <c r="BD22" s="25">
        <v>0</v>
      </c>
      <c r="BE22" s="25">
        <v>0</v>
      </c>
      <c r="BH22">
        <f t="shared" si="0"/>
        <v>0</v>
      </c>
    </row>
    <row r="23" spans="1:60" ht="45" customHeight="1">
      <c r="A23" s="8">
        <v>44978</v>
      </c>
      <c r="B23" s="39"/>
      <c r="C23" s="25">
        <v>0</v>
      </c>
      <c r="D23" s="9">
        <f t="shared" si="6"/>
        <v>0</v>
      </c>
      <c r="E23" s="25">
        <v>0</v>
      </c>
      <c r="F23" s="9">
        <f t="shared" si="7"/>
        <v>0</v>
      </c>
      <c r="G23" s="25">
        <v>0</v>
      </c>
      <c r="H23" s="9">
        <f t="shared" si="1"/>
        <v>0</v>
      </c>
      <c r="I23" s="25">
        <v>0</v>
      </c>
      <c r="J23" s="9">
        <f t="shared" si="8"/>
        <v>0</v>
      </c>
      <c r="K23" s="25">
        <v>0</v>
      </c>
      <c r="L23" s="9">
        <f t="shared" si="8"/>
        <v>0</v>
      </c>
      <c r="M23" s="25">
        <v>0</v>
      </c>
      <c r="N23" s="9">
        <f t="shared" ref="N23" si="77">IF((M23-M22&lt;0), "0",M23-M22)</f>
        <v>0</v>
      </c>
      <c r="O23" s="25">
        <v>0</v>
      </c>
      <c r="P23" s="9">
        <f t="shared" ref="P23" si="78">IF((O23-O22&lt;0), "0",O23-O22)</f>
        <v>0</v>
      </c>
      <c r="Q23" s="25">
        <v>0</v>
      </c>
      <c r="R23" s="9">
        <f t="shared" ref="R23" si="79">IF((Q23-Q22&lt;0), "0",Q23-Q22)</f>
        <v>0</v>
      </c>
      <c r="S23" s="25">
        <v>0</v>
      </c>
      <c r="T23" s="9">
        <f t="shared" ref="T23" si="80">IF((S23-S22&lt;0), "0",S23-S22)</f>
        <v>0</v>
      </c>
      <c r="U23" s="25">
        <v>0</v>
      </c>
      <c r="V23" s="9">
        <f t="shared" si="53"/>
        <v>0</v>
      </c>
      <c r="W23" s="25">
        <v>0</v>
      </c>
      <c r="X23" s="9">
        <f t="shared" si="53"/>
        <v>0</v>
      </c>
      <c r="Y23" s="25">
        <v>0</v>
      </c>
      <c r="Z23" s="9">
        <f t="shared" si="53"/>
        <v>0</v>
      </c>
      <c r="AA23" s="25">
        <v>0</v>
      </c>
      <c r="AB23" s="9">
        <f t="shared" si="53"/>
        <v>0</v>
      </c>
      <c r="AC23" s="25">
        <v>0</v>
      </c>
      <c r="AD23" s="9">
        <f t="shared" si="53"/>
        <v>0</v>
      </c>
      <c r="AE23" s="25">
        <v>0</v>
      </c>
      <c r="AF23" s="9">
        <f t="shared" si="53"/>
        <v>0</v>
      </c>
      <c r="AG23" s="25">
        <v>0</v>
      </c>
      <c r="AH23" s="9">
        <f t="shared" si="53"/>
        <v>0</v>
      </c>
      <c r="AI23" s="25">
        <v>0</v>
      </c>
      <c r="AJ23" s="9">
        <f t="shared" si="53"/>
        <v>0</v>
      </c>
      <c r="AK23" s="25">
        <v>0</v>
      </c>
      <c r="AL23" s="9">
        <f t="shared" si="53"/>
        <v>0</v>
      </c>
      <c r="AM23" s="25">
        <v>0</v>
      </c>
      <c r="AN23" s="9">
        <f t="shared" si="53"/>
        <v>0</v>
      </c>
      <c r="AO23" s="25">
        <v>0</v>
      </c>
      <c r="AP23" s="9">
        <f t="shared" si="53"/>
        <v>0</v>
      </c>
      <c r="AQ23" s="40"/>
      <c r="AR23" s="17" t="s">
        <v>60</v>
      </c>
      <c r="AS23" s="9">
        <v>0</v>
      </c>
      <c r="AT23" s="17" t="s">
        <v>60</v>
      </c>
      <c r="AU23" s="9">
        <v>0</v>
      </c>
      <c r="AV23" s="25">
        <v>0</v>
      </c>
      <c r="AW23" s="9">
        <f t="shared" si="3"/>
        <v>0</v>
      </c>
      <c r="AX23" s="25">
        <v>0</v>
      </c>
      <c r="AY23" s="9">
        <f t="shared" si="4"/>
        <v>0</v>
      </c>
      <c r="AZ23" s="25">
        <v>0</v>
      </c>
      <c r="BA23" s="9">
        <f t="shared" si="5"/>
        <v>0</v>
      </c>
      <c r="BB23" s="25">
        <v>0</v>
      </c>
      <c r="BC23" s="9">
        <f t="shared" si="13"/>
        <v>0</v>
      </c>
      <c r="BD23" s="25">
        <v>0</v>
      </c>
      <c r="BE23" s="25">
        <v>0</v>
      </c>
      <c r="BH23">
        <f t="shared" si="0"/>
        <v>0</v>
      </c>
    </row>
    <row r="24" spans="1:60" ht="45" customHeight="1">
      <c r="A24" s="8">
        <v>44979</v>
      </c>
      <c r="B24" s="39"/>
      <c r="C24" s="25">
        <v>0</v>
      </c>
      <c r="D24" s="9">
        <f t="shared" si="6"/>
        <v>0</v>
      </c>
      <c r="E24" s="25">
        <v>0</v>
      </c>
      <c r="F24" s="9">
        <f t="shared" si="7"/>
        <v>0</v>
      </c>
      <c r="G24" s="25">
        <v>0</v>
      </c>
      <c r="H24" s="9">
        <f t="shared" si="1"/>
        <v>0</v>
      </c>
      <c r="I24" s="25">
        <v>0</v>
      </c>
      <c r="J24" s="9">
        <f t="shared" si="8"/>
        <v>0</v>
      </c>
      <c r="K24" s="25">
        <v>0</v>
      </c>
      <c r="L24" s="9">
        <f t="shared" si="8"/>
        <v>0</v>
      </c>
      <c r="M24" s="25">
        <v>0</v>
      </c>
      <c r="N24" s="9">
        <f t="shared" ref="N24" si="81">IF((M24-M23&lt;0), "0",M24-M23)</f>
        <v>0</v>
      </c>
      <c r="O24" s="25">
        <v>0</v>
      </c>
      <c r="P24" s="9">
        <f t="shared" ref="P24" si="82">IF((O24-O23&lt;0), "0",O24-O23)</f>
        <v>0</v>
      </c>
      <c r="Q24" s="25">
        <v>0</v>
      </c>
      <c r="R24" s="9">
        <f t="shared" ref="R24" si="83">IF((Q24-Q23&lt;0), "0",Q24-Q23)</f>
        <v>0</v>
      </c>
      <c r="S24" s="25">
        <v>0</v>
      </c>
      <c r="T24" s="9">
        <f t="shared" ref="T24" si="84">IF((S24-S23&lt;0), "0",S24-S23)</f>
        <v>0</v>
      </c>
      <c r="U24" s="25">
        <v>0</v>
      </c>
      <c r="V24" s="9">
        <f t="shared" si="53"/>
        <v>0</v>
      </c>
      <c r="W24" s="25">
        <v>0</v>
      </c>
      <c r="X24" s="9">
        <f t="shared" si="53"/>
        <v>0</v>
      </c>
      <c r="Y24" s="25">
        <v>0</v>
      </c>
      <c r="Z24" s="9">
        <f t="shared" si="53"/>
        <v>0</v>
      </c>
      <c r="AA24" s="25">
        <v>0</v>
      </c>
      <c r="AB24" s="9">
        <f t="shared" si="53"/>
        <v>0</v>
      </c>
      <c r="AC24" s="25">
        <v>0</v>
      </c>
      <c r="AD24" s="9">
        <f t="shared" si="53"/>
        <v>0</v>
      </c>
      <c r="AE24" s="25">
        <v>0</v>
      </c>
      <c r="AF24" s="9">
        <f t="shared" si="53"/>
        <v>0</v>
      </c>
      <c r="AG24" s="25">
        <v>0</v>
      </c>
      <c r="AH24" s="9">
        <f t="shared" si="53"/>
        <v>0</v>
      </c>
      <c r="AI24" s="25">
        <v>0</v>
      </c>
      <c r="AJ24" s="9">
        <f t="shared" si="53"/>
        <v>0</v>
      </c>
      <c r="AK24" s="25">
        <v>0</v>
      </c>
      <c r="AL24" s="9">
        <f t="shared" si="53"/>
        <v>0</v>
      </c>
      <c r="AM24" s="25">
        <v>0</v>
      </c>
      <c r="AN24" s="9">
        <f t="shared" si="53"/>
        <v>0</v>
      </c>
      <c r="AO24" s="25">
        <v>0</v>
      </c>
      <c r="AP24" s="9">
        <f t="shared" si="53"/>
        <v>0</v>
      </c>
      <c r="AQ24" s="40"/>
      <c r="AR24" s="17" t="s">
        <v>60</v>
      </c>
      <c r="AS24" s="9">
        <v>0</v>
      </c>
      <c r="AT24" s="17" t="s">
        <v>60</v>
      </c>
      <c r="AU24" s="9">
        <v>0</v>
      </c>
      <c r="AV24" s="25">
        <v>0</v>
      </c>
      <c r="AW24" s="9">
        <f t="shared" si="3"/>
        <v>0</v>
      </c>
      <c r="AX24" s="25">
        <v>0</v>
      </c>
      <c r="AY24" s="9">
        <f t="shared" si="4"/>
        <v>0</v>
      </c>
      <c r="AZ24" s="25">
        <v>0</v>
      </c>
      <c r="BA24" s="9">
        <f t="shared" si="5"/>
        <v>0</v>
      </c>
      <c r="BB24" s="25">
        <v>0</v>
      </c>
      <c r="BC24" s="9">
        <f t="shared" si="13"/>
        <v>0</v>
      </c>
      <c r="BD24" s="25">
        <v>0</v>
      </c>
      <c r="BE24" s="25">
        <v>0</v>
      </c>
      <c r="BH24">
        <f t="shared" si="0"/>
        <v>0</v>
      </c>
    </row>
    <row r="25" spans="1:60" ht="45" customHeight="1">
      <c r="A25" s="8">
        <v>44980</v>
      </c>
      <c r="B25" s="39"/>
      <c r="C25" s="25">
        <v>0</v>
      </c>
      <c r="D25" s="9">
        <f t="shared" si="6"/>
        <v>0</v>
      </c>
      <c r="E25" s="25">
        <v>0</v>
      </c>
      <c r="F25" s="9">
        <f t="shared" si="7"/>
        <v>0</v>
      </c>
      <c r="G25" s="25">
        <v>0</v>
      </c>
      <c r="H25" s="9">
        <f t="shared" si="1"/>
        <v>0</v>
      </c>
      <c r="I25" s="25">
        <v>0</v>
      </c>
      <c r="J25" s="9">
        <f t="shared" si="8"/>
        <v>0</v>
      </c>
      <c r="K25" s="25">
        <v>0</v>
      </c>
      <c r="L25" s="9">
        <f t="shared" si="8"/>
        <v>0</v>
      </c>
      <c r="M25" s="25">
        <v>0</v>
      </c>
      <c r="N25" s="9">
        <f t="shared" ref="N25:N26" si="85">IF((M25-M24&lt;0), "0",M25-M24)</f>
        <v>0</v>
      </c>
      <c r="O25" s="25">
        <v>0</v>
      </c>
      <c r="P25" s="9">
        <f t="shared" ref="P25:P26" si="86">IF((O25-O24&lt;0), "0",O25-O24)</f>
        <v>0</v>
      </c>
      <c r="Q25" s="25">
        <v>0</v>
      </c>
      <c r="R25" s="9">
        <f t="shared" ref="R25:R26" si="87">IF((Q25-Q24&lt;0), "0",Q25-Q24)</f>
        <v>0</v>
      </c>
      <c r="S25" s="25">
        <v>0</v>
      </c>
      <c r="T25" s="9">
        <f t="shared" ref="T25:T26" si="88">IF((S25-S24&lt;0), "0",S25-S24)</f>
        <v>0</v>
      </c>
      <c r="U25" s="25">
        <v>0</v>
      </c>
      <c r="V25" s="9">
        <f t="shared" si="53"/>
        <v>0</v>
      </c>
      <c r="W25" s="25">
        <v>0</v>
      </c>
      <c r="X25" s="9">
        <f t="shared" si="53"/>
        <v>0</v>
      </c>
      <c r="Y25" s="25">
        <v>0</v>
      </c>
      <c r="Z25" s="9">
        <f t="shared" si="53"/>
        <v>0</v>
      </c>
      <c r="AA25" s="25">
        <v>0</v>
      </c>
      <c r="AB25" s="9">
        <f t="shared" si="53"/>
        <v>0</v>
      </c>
      <c r="AC25" s="25">
        <v>0</v>
      </c>
      <c r="AD25" s="9">
        <f t="shared" si="53"/>
        <v>0</v>
      </c>
      <c r="AE25" s="25">
        <v>0</v>
      </c>
      <c r="AF25" s="9">
        <f t="shared" si="53"/>
        <v>0</v>
      </c>
      <c r="AG25" s="25">
        <v>0</v>
      </c>
      <c r="AH25" s="9">
        <f t="shared" si="53"/>
        <v>0</v>
      </c>
      <c r="AI25" s="25">
        <v>0</v>
      </c>
      <c r="AJ25" s="9">
        <f t="shared" si="53"/>
        <v>0</v>
      </c>
      <c r="AK25" s="25">
        <v>0</v>
      </c>
      <c r="AL25" s="9">
        <f t="shared" si="53"/>
        <v>0</v>
      </c>
      <c r="AM25" s="25">
        <v>0</v>
      </c>
      <c r="AN25" s="9">
        <f t="shared" si="53"/>
        <v>0</v>
      </c>
      <c r="AO25" s="25">
        <v>0</v>
      </c>
      <c r="AP25" s="9">
        <f t="shared" si="53"/>
        <v>0</v>
      </c>
      <c r="AQ25" s="40"/>
      <c r="AR25" s="17" t="s">
        <v>60</v>
      </c>
      <c r="AS25" s="9">
        <v>0</v>
      </c>
      <c r="AT25" s="17" t="s">
        <v>60</v>
      </c>
      <c r="AU25" s="9">
        <v>0</v>
      </c>
      <c r="AV25" s="25">
        <v>0</v>
      </c>
      <c r="AW25" s="9">
        <f t="shared" si="3"/>
        <v>0</v>
      </c>
      <c r="AX25" s="25">
        <v>0</v>
      </c>
      <c r="AY25" s="9">
        <f t="shared" si="4"/>
        <v>0</v>
      </c>
      <c r="AZ25" s="25">
        <v>0</v>
      </c>
      <c r="BA25" s="9">
        <f t="shared" si="5"/>
        <v>0</v>
      </c>
      <c r="BB25" s="25">
        <v>0</v>
      </c>
      <c r="BC25" s="9">
        <f t="shared" si="13"/>
        <v>0</v>
      </c>
      <c r="BD25" s="25">
        <v>0</v>
      </c>
      <c r="BE25" s="25">
        <v>0</v>
      </c>
      <c r="BH25">
        <f t="shared" si="0"/>
        <v>0</v>
      </c>
    </row>
    <row r="26" spans="1:60" ht="45" customHeight="1">
      <c r="A26" s="8">
        <v>44981</v>
      </c>
      <c r="B26" s="39"/>
      <c r="C26" s="25">
        <v>0</v>
      </c>
      <c r="D26" s="9">
        <f>IF((C26-C25&lt;0), "0",C26-C25)</f>
        <v>0</v>
      </c>
      <c r="E26" s="25">
        <v>0</v>
      </c>
      <c r="F26" s="9">
        <f>IF((E26-E25&lt;0), "0",E26-E25)</f>
        <v>0</v>
      </c>
      <c r="G26" s="25">
        <v>0</v>
      </c>
      <c r="H26" s="9">
        <f>IF((G26-G25&lt;0), "0",G26-G25)</f>
        <v>0</v>
      </c>
      <c r="I26" s="25">
        <v>0</v>
      </c>
      <c r="J26" s="9">
        <f t="shared" si="8"/>
        <v>0</v>
      </c>
      <c r="K26" s="25">
        <v>0</v>
      </c>
      <c r="L26" s="9">
        <f>IF((K26-K25&lt;0), "0",K26-K25)</f>
        <v>0</v>
      </c>
      <c r="M26" s="25">
        <v>0</v>
      </c>
      <c r="N26" s="9">
        <f t="shared" ref="N26:O27" si="89">IF((M26-M25&lt;0), "0",M26-M25)</f>
        <v>0</v>
      </c>
      <c r="O26" s="25">
        <v>0</v>
      </c>
      <c r="P26" s="9">
        <f t="shared" ref="P26" si="90">IF((O26-O25&lt;0), "0",O26-O25)</f>
        <v>0</v>
      </c>
      <c r="Q26" s="25">
        <v>0</v>
      </c>
      <c r="R26" s="9">
        <f t="shared" ref="R26" si="91">IF((Q26-Q25&lt;0), "0",Q26-Q25)</f>
        <v>0</v>
      </c>
      <c r="S26" s="25">
        <v>0</v>
      </c>
      <c r="T26" s="9">
        <f t="shared" ref="T26" si="92">IF((S26-S25&lt;0), "0",S26-S25)</f>
        <v>0</v>
      </c>
      <c r="U26" s="25">
        <v>0</v>
      </c>
      <c r="V26" s="9">
        <f t="shared" si="53"/>
        <v>0</v>
      </c>
      <c r="W26" s="25">
        <v>0</v>
      </c>
      <c r="X26" s="9">
        <f t="shared" si="53"/>
        <v>0</v>
      </c>
      <c r="Y26" s="25">
        <v>0</v>
      </c>
      <c r="Z26" s="9">
        <f t="shared" si="53"/>
        <v>0</v>
      </c>
      <c r="AA26" s="25">
        <v>0</v>
      </c>
      <c r="AB26" s="9">
        <f t="shared" si="53"/>
        <v>0</v>
      </c>
      <c r="AC26" s="25">
        <v>0</v>
      </c>
      <c r="AD26" s="28">
        <f t="shared" si="53"/>
        <v>0</v>
      </c>
      <c r="AE26" s="25">
        <v>0</v>
      </c>
      <c r="AF26" s="30">
        <f t="shared" si="53"/>
        <v>0</v>
      </c>
      <c r="AG26" s="25">
        <v>0</v>
      </c>
      <c r="AH26" s="29">
        <f t="shared" si="53"/>
        <v>0</v>
      </c>
      <c r="AI26" s="25">
        <v>0</v>
      </c>
      <c r="AJ26" s="9">
        <f t="shared" si="53"/>
        <v>0</v>
      </c>
      <c r="AK26" s="25">
        <v>0</v>
      </c>
      <c r="AL26" s="9">
        <f t="shared" si="53"/>
        <v>0</v>
      </c>
      <c r="AM26" s="25">
        <v>0</v>
      </c>
      <c r="AN26" s="9">
        <f t="shared" si="53"/>
        <v>0</v>
      </c>
      <c r="AO26" s="25">
        <v>0</v>
      </c>
      <c r="AP26" s="9">
        <f t="shared" si="53"/>
        <v>0</v>
      </c>
      <c r="AQ26" s="40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>
        <f t="shared" si="3"/>
        <v>0</v>
      </c>
      <c r="AX26" s="25">
        <v>0</v>
      </c>
      <c r="AY26" s="9">
        <f t="shared" si="4"/>
        <v>0</v>
      </c>
      <c r="AZ26" s="25">
        <v>0</v>
      </c>
      <c r="BA26" s="9">
        <f t="shared" si="5"/>
        <v>0</v>
      </c>
      <c r="BB26" s="25">
        <v>0</v>
      </c>
      <c r="BC26" s="9">
        <f t="shared" si="13"/>
        <v>0</v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44982</v>
      </c>
      <c r="B27" s="39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28">
        <f t="shared" si="53"/>
        <v>0</v>
      </c>
      <c r="AE27" s="25">
        <v>0</v>
      </c>
      <c r="AF27" s="30">
        <f t="shared" si="53"/>
        <v>0</v>
      </c>
      <c r="AG27" s="25">
        <v>0</v>
      </c>
      <c r="AH27" s="29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40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44983</v>
      </c>
      <c r="B28" s="39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28">
        <f t="shared" si="53"/>
        <v>0</v>
      </c>
      <c r="AE28" s="25">
        <v>0</v>
      </c>
      <c r="AF28" s="30">
        <f t="shared" si="53"/>
        <v>0</v>
      </c>
      <c r="AG28" s="25">
        <v>0</v>
      </c>
      <c r="AH28" s="29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40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44984</v>
      </c>
      <c r="B29" s="39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28">
        <f t="shared" si="53"/>
        <v>0</v>
      </c>
      <c r="AE29" s="25">
        <v>0</v>
      </c>
      <c r="AF29" s="30">
        <f t="shared" si="53"/>
        <v>0</v>
      </c>
      <c r="AG29" s="25">
        <v>0</v>
      </c>
      <c r="AH29" s="29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41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44985</v>
      </c>
      <c r="B30" s="39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28">
        <f t="shared" si="53"/>
        <v>0</v>
      </c>
      <c r="AE30" s="25">
        <v>0</v>
      </c>
      <c r="AF30" s="30">
        <f t="shared" si="53"/>
        <v>0</v>
      </c>
      <c r="AG30" s="25">
        <v>0</v>
      </c>
      <c r="AH30" s="29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41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7985FC72-D33E-4772-844D-C85DFD168D82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2023-02-06T09:00:16Z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