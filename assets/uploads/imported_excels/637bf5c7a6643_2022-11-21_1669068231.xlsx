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eu.nguyen\Desktop\HEP Info\HEP Daily 2022\"/>
    </mc:Choice>
  </mc:AlternateContent>
  <xr:revisionPtr revIDLastSave="0" documentId="13_ncr:1_{7068C82A-690F-4419-AD93-2F0687620E89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  <sheet name="OCTOBER" sheetId="2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P6" i="2" l="1"/>
  <c r="N6" i="2"/>
  <c r="L6" i="2"/>
  <c r="J6" i="2"/>
  <c r="H6" i="2"/>
  <c r="F6" i="2"/>
  <c r="D6" i="2"/>
  <c r="B6" i="2"/>
  <c r="R40" i="2" l="1"/>
  <c r="U38" i="2"/>
  <c r="V38" i="2" s="1"/>
  <c r="U37" i="2"/>
  <c r="U36" i="2"/>
  <c r="U35" i="2"/>
  <c r="U34" i="2"/>
  <c r="U33" i="2"/>
  <c r="U32" i="2"/>
  <c r="U31" i="2"/>
  <c r="U30" i="2"/>
  <c r="U29" i="2"/>
  <c r="U28" i="2"/>
  <c r="U27" i="2"/>
  <c r="U26" i="2"/>
  <c r="W26" i="2" s="1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V37" i="2" l="1"/>
  <c r="V36" i="2"/>
  <c r="V35" i="2"/>
  <c r="V34" i="2"/>
  <c r="V33" i="2"/>
  <c r="V32" i="2"/>
  <c r="V31" i="2"/>
  <c r="V30" i="2"/>
  <c r="V29" i="2"/>
  <c r="V28" i="2"/>
  <c r="V27" i="2"/>
  <c r="W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M32" i="1"/>
  <c r="B32" i="1"/>
  <c r="W40" i="2" l="1"/>
  <c r="V40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Q38" i="2"/>
  <c r="O38" i="2"/>
  <c r="M38" i="2"/>
  <c r="K38" i="2"/>
  <c r="I38" i="2"/>
  <c r="G38" i="2"/>
  <c r="E38" i="2"/>
  <c r="G32" i="1" s="1"/>
  <c r="C38" i="2"/>
  <c r="E32" i="1" s="1"/>
  <c r="Q37" i="2"/>
  <c r="O37" i="2"/>
  <c r="M37" i="2"/>
  <c r="K37" i="2"/>
  <c r="I37" i="2"/>
  <c r="G37" i="2"/>
  <c r="E37" i="2"/>
  <c r="G31" i="1" s="1"/>
  <c r="C37" i="2"/>
  <c r="E31" i="1" s="1"/>
  <c r="Q36" i="2"/>
  <c r="O36" i="2"/>
  <c r="M36" i="2"/>
  <c r="K36" i="2"/>
  <c r="I36" i="2"/>
  <c r="G36" i="2"/>
  <c r="E36" i="2"/>
  <c r="G30" i="1" s="1"/>
  <c r="C36" i="2"/>
  <c r="E30" i="1" s="1"/>
  <c r="Q35" i="2"/>
  <c r="O35" i="2"/>
  <c r="M35" i="2"/>
  <c r="K35" i="2"/>
  <c r="I35" i="2"/>
  <c r="G35" i="2"/>
  <c r="E35" i="2"/>
  <c r="G29" i="1" s="1"/>
  <c r="C35" i="2"/>
  <c r="E29" i="1" s="1"/>
  <c r="Q34" i="2"/>
  <c r="O34" i="2"/>
  <c r="M34" i="2"/>
  <c r="K34" i="2"/>
  <c r="I34" i="2"/>
  <c r="G34" i="2"/>
  <c r="E34" i="2"/>
  <c r="G28" i="1" s="1"/>
  <c r="C34" i="2"/>
  <c r="E28" i="1" s="1"/>
  <c r="Q33" i="2"/>
  <c r="O33" i="2"/>
  <c r="M33" i="2"/>
  <c r="K33" i="2"/>
  <c r="I33" i="2"/>
  <c r="G33" i="2"/>
  <c r="E33" i="2"/>
  <c r="G27" i="1" s="1"/>
  <c r="C33" i="2"/>
  <c r="E27" i="1" s="1"/>
  <c r="Q32" i="2"/>
  <c r="O32" i="2"/>
  <c r="M32" i="2"/>
  <c r="K32" i="2"/>
  <c r="I32" i="2"/>
  <c r="G32" i="2"/>
  <c r="E32" i="2"/>
  <c r="G26" i="1" s="1"/>
  <c r="C32" i="2"/>
  <c r="E26" i="1" s="1"/>
  <c r="Q31" i="2"/>
  <c r="O31" i="2"/>
  <c r="M31" i="2"/>
  <c r="K31" i="2"/>
  <c r="I31" i="2"/>
  <c r="G31" i="2"/>
  <c r="E31" i="2"/>
  <c r="G25" i="1" s="1"/>
  <c r="C31" i="2"/>
  <c r="E25" i="1" s="1"/>
  <c r="Q30" i="2"/>
  <c r="O30" i="2"/>
  <c r="M30" i="2"/>
  <c r="K30" i="2"/>
  <c r="I30" i="2"/>
  <c r="G30" i="2"/>
  <c r="E30" i="2"/>
  <c r="G24" i="1" s="1"/>
  <c r="C30" i="2"/>
  <c r="E24" i="1" s="1"/>
  <c r="Q29" i="2"/>
  <c r="O29" i="2"/>
  <c r="M29" i="2"/>
  <c r="K29" i="2"/>
  <c r="I29" i="2"/>
  <c r="G29" i="2"/>
  <c r="E29" i="2"/>
  <c r="G23" i="1" s="1"/>
  <c r="C29" i="2"/>
  <c r="E23" i="1" s="1"/>
  <c r="Q28" i="2"/>
  <c r="O28" i="2"/>
  <c r="M28" i="2"/>
  <c r="K28" i="2"/>
  <c r="I28" i="2"/>
  <c r="G28" i="2"/>
  <c r="E28" i="2"/>
  <c r="G22" i="1" s="1"/>
  <c r="C28" i="2"/>
  <c r="E22" i="1" s="1"/>
  <c r="Q27" i="2"/>
  <c r="O27" i="2"/>
  <c r="M27" i="2"/>
  <c r="K27" i="2"/>
  <c r="I27" i="2"/>
  <c r="G27" i="2"/>
  <c r="E27" i="2"/>
  <c r="G21" i="1" s="1"/>
  <c r="C27" i="2"/>
  <c r="E21" i="1" s="1"/>
  <c r="Q26" i="2"/>
  <c r="O26" i="2"/>
  <c r="M26" i="2"/>
  <c r="K26" i="2"/>
  <c r="I26" i="2"/>
  <c r="G26" i="2"/>
  <c r="E26" i="2"/>
  <c r="G20" i="1" s="1"/>
  <c r="C26" i="2"/>
  <c r="E20" i="1" s="1"/>
  <c r="Q25" i="2"/>
  <c r="O25" i="2"/>
  <c r="M25" i="2"/>
  <c r="K25" i="2"/>
  <c r="I25" i="2"/>
  <c r="G25" i="2"/>
  <c r="E25" i="2"/>
  <c r="G19" i="1" s="1"/>
  <c r="C25" i="2"/>
  <c r="E19" i="1" s="1"/>
  <c r="Q24" i="2"/>
  <c r="O24" i="2"/>
  <c r="M24" i="2"/>
  <c r="K24" i="2"/>
  <c r="I24" i="2"/>
  <c r="G24" i="2"/>
  <c r="E24" i="2"/>
  <c r="G18" i="1" s="1"/>
  <c r="C24" i="2"/>
  <c r="E18" i="1" s="1"/>
  <c r="Q23" i="2"/>
  <c r="O23" i="2"/>
  <c r="M23" i="2"/>
  <c r="K23" i="2"/>
  <c r="I23" i="2"/>
  <c r="G23" i="2"/>
  <c r="E23" i="2"/>
  <c r="G17" i="1" s="1"/>
  <c r="C23" i="2"/>
  <c r="E17" i="1" s="1"/>
  <c r="Q22" i="2"/>
  <c r="O22" i="2"/>
  <c r="M22" i="2"/>
  <c r="K22" i="2"/>
  <c r="I22" i="2"/>
  <c r="G22" i="2"/>
  <c r="E22" i="2"/>
  <c r="G16" i="1" s="1"/>
  <c r="C22" i="2"/>
  <c r="E16" i="1" s="1"/>
  <c r="Q21" i="2"/>
  <c r="O21" i="2"/>
  <c r="M21" i="2"/>
  <c r="K21" i="2"/>
  <c r="I21" i="2"/>
  <c r="G21" i="2"/>
  <c r="E21" i="2"/>
  <c r="G15" i="1" s="1"/>
  <c r="C21" i="2"/>
  <c r="E15" i="1" s="1"/>
  <c r="Q20" i="2"/>
  <c r="O20" i="2"/>
  <c r="M20" i="2"/>
  <c r="K20" i="2"/>
  <c r="I20" i="2"/>
  <c r="G20" i="2"/>
  <c r="E20" i="2"/>
  <c r="G14" i="1" s="1"/>
  <c r="C20" i="2"/>
  <c r="E14" i="1" s="1"/>
  <c r="Q19" i="2"/>
  <c r="O19" i="2"/>
  <c r="M19" i="2"/>
  <c r="K19" i="2"/>
  <c r="I19" i="2"/>
  <c r="G19" i="2"/>
  <c r="E19" i="2"/>
  <c r="G13" i="1" s="1"/>
  <c r="C19" i="2"/>
  <c r="E13" i="1" s="1"/>
  <c r="Q18" i="2"/>
  <c r="O18" i="2"/>
  <c r="M18" i="2"/>
  <c r="K18" i="2"/>
  <c r="I18" i="2"/>
  <c r="G18" i="2"/>
  <c r="E18" i="2"/>
  <c r="G12" i="1" s="1"/>
  <c r="C18" i="2"/>
  <c r="E12" i="1" s="1"/>
  <c r="Q17" i="2"/>
  <c r="O17" i="2"/>
  <c r="I11" i="1" s="1"/>
  <c r="M17" i="2"/>
  <c r="K17" i="2"/>
  <c r="I17" i="2"/>
  <c r="G17" i="2"/>
  <c r="E17" i="2"/>
  <c r="G11" i="1" s="1"/>
  <c r="C17" i="2"/>
  <c r="E11" i="1" s="1"/>
  <c r="Q16" i="2"/>
  <c r="O16" i="2"/>
  <c r="M16" i="2"/>
  <c r="K16" i="2"/>
  <c r="I16" i="2"/>
  <c r="G16" i="2"/>
  <c r="E16" i="2"/>
  <c r="G10" i="1" s="1"/>
  <c r="C16" i="2"/>
  <c r="E10" i="1" s="1"/>
  <c r="Q15" i="2"/>
  <c r="O15" i="2"/>
  <c r="M15" i="2"/>
  <c r="K15" i="2"/>
  <c r="I15" i="2"/>
  <c r="G15" i="2"/>
  <c r="E15" i="2"/>
  <c r="G9" i="1" s="1"/>
  <c r="C15" i="2"/>
  <c r="E9" i="1" s="1"/>
  <c r="Q14" i="2"/>
  <c r="O14" i="2"/>
  <c r="M14" i="2"/>
  <c r="K14" i="2"/>
  <c r="I14" i="2"/>
  <c r="G14" i="2"/>
  <c r="E14" i="2"/>
  <c r="G8" i="1" s="1"/>
  <c r="C14" i="2"/>
  <c r="E8" i="1" s="1"/>
  <c r="Q13" i="2"/>
  <c r="O13" i="2"/>
  <c r="M13" i="2"/>
  <c r="K13" i="2"/>
  <c r="I13" i="2"/>
  <c r="G13" i="2"/>
  <c r="E13" i="2"/>
  <c r="G7" i="1" s="1"/>
  <c r="C13" i="2"/>
  <c r="E7" i="1" s="1"/>
  <c r="Q12" i="2"/>
  <c r="O12" i="2"/>
  <c r="M12" i="2"/>
  <c r="K12" i="2"/>
  <c r="I12" i="2"/>
  <c r="G12" i="2"/>
  <c r="E12" i="2"/>
  <c r="G6" i="1" s="1"/>
  <c r="C12" i="2"/>
  <c r="E6" i="1" s="1"/>
  <c r="Q11" i="2"/>
  <c r="O11" i="2"/>
  <c r="M11" i="2"/>
  <c r="K11" i="2"/>
  <c r="I11" i="2"/>
  <c r="G11" i="2"/>
  <c r="E11" i="2"/>
  <c r="G5" i="1" s="1"/>
  <c r="C11" i="2"/>
  <c r="E5" i="1" s="1"/>
  <c r="Q10" i="2"/>
  <c r="O10" i="2"/>
  <c r="M10" i="2"/>
  <c r="K10" i="2"/>
  <c r="I10" i="2"/>
  <c r="G10" i="2"/>
  <c r="E10" i="2"/>
  <c r="G4" i="1" s="1"/>
  <c r="C10" i="2"/>
  <c r="E4" i="1" s="1"/>
  <c r="Q9" i="2"/>
  <c r="O9" i="2"/>
  <c r="M9" i="2"/>
  <c r="K9" i="2"/>
  <c r="I9" i="2"/>
  <c r="G9" i="2"/>
  <c r="E9" i="2"/>
  <c r="G3" i="1" s="1"/>
  <c r="C9" i="2"/>
  <c r="E3" i="1" s="1"/>
  <c r="Q8" i="2"/>
  <c r="O8" i="2"/>
  <c r="M8" i="2"/>
  <c r="K8" i="2"/>
  <c r="I8" i="2"/>
  <c r="G8" i="2"/>
  <c r="E8" i="2"/>
  <c r="G2" i="1" s="1"/>
  <c r="C8" i="2"/>
  <c r="E2" i="1" s="1"/>
  <c r="I23" i="1" l="1"/>
  <c r="I4" i="1"/>
  <c r="I16" i="1"/>
  <c r="I19" i="1"/>
  <c r="I28" i="1"/>
  <c r="K2" i="1"/>
  <c r="K5" i="1"/>
  <c r="K23" i="1"/>
  <c r="I6" i="1"/>
  <c r="I27" i="1"/>
  <c r="I30" i="1"/>
  <c r="K3" i="1"/>
  <c r="K26" i="1"/>
  <c r="I2" i="1"/>
  <c r="I5" i="1"/>
  <c r="I8" i="1"/>
  <c r="I3" i="1"/>
  <c r="I15" i="1"/>
  <c r="I18" i="1"/>
  <c r="I24" i="1"/>
  <c r="K6" i="1"/>
  <c r="K18" i="1"/>
  <c r="K24" i="1"/>
  <c r="K27" i="1"/>
  <c r="K30" i="1"/>
  <c r="K4" i="1"/>
  <c r="K7" i="1"/>
  <c r="K13" i="1"/>
  <c r="K31" i="1"/>
  <c r="I7" i="1"/>
  <c r="I10" i="1"/>
  <c r="I13" i="1"/>
  <c r="K16" i="1"/>
  <c r="K25" i="1"/>
  <c r="K28" i="1"/>
  <c r="I31" i="1"/>
  <c r="I32" i="1"/>
  <c r="K32" i="1"/>
  <c r="I26" i="1"/>
  <c r="I29" i="1"/>
  <c r="K29" i="1"/>
  <c r="I22" i="1"/>
  <c r="I25" i="1"/>
  <c r="K22" i="1"/>
  <c r="Q40" i="2"/>
  <c r="I21" i="1"/>
  <c r="I20" i="1"/>
  <c r="I17" i="1"/>
  <c r="I14" i="1"/>
  <c r="I12" i="1"/>
  <c r="I9" i="1"/>
  <c r="O40" i="2"/>
  <c r="K21" i="1"/>
  <c r="K20" i="1"/>
  <c r="K19" i="1"/>
  <c r="K17" i="1"/>
  <c r="K15" i="1"/>
  <c r="K14" i="1"/>
  <c r="K11" i="1"/>
  <c r="K12" i="1"/>
  <c r="M40" i="2"/>
  <c r="K10" i="1"/>
  <c r="K9" i="1"/>
  <c r="K8" i="1"/>
  <c r="K40" i="2"/>
  <c r="I40" i="2"/>
  <c r="G40" i="2"/>
  <c r="E40" i="2"/>
  <c r="C40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<sst xmlns="http://schemas.openxmlformats.org/spreadsheetml/2006/main" count="70" uniqueCount="37">
  <si>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</si>
  <si>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</si>
  <si>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</si>
  <si>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</si>
  <si>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</si>
  <si>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</si>
  <si>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</si>
  <si>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San Francisco at Embarcadero</t>
  </si>
  <si>
    <t>PREVIOUS Meter Reading</t>
  </si>
  <si>
    <t>DATE</t>
  </si>
  <si>
    <t>Usage (kWh)</t>
  </si>
  <si>
    <t>Usage   (Therms)</t>
  </si>
  <si>
    <t>Usage (Mlbs)</t>
  </si>
  <si>
    <t>Usage      (Gallons)</t>
  </si>
  <si>
    <t>Usage (Gallons)</t>
  </si>
  <si>
    <t>Total</t>
  </si>
  <si>
    <t>Natual Gas (Therms)</t>
  </si>
  <si>
    <t>Natural Gas $/Therms</t>
  </si>
  <si>
    <t>Water Utility Supply (USG) USG</t>
  </si>
  <si>
    <t>Water Utility Supply (USG) $/USG</t>
  </si>
  <si>
    <t>District Energy Heating Steam Mlbs</t>
  </si>
  <si>
    <t>District Energy Heating $/Steam Mlbs</t>
  </si>
  <si>
    <t>Room Nights</t>
  </si>
  <si>
    <t>MONTHLY METER READINGS:  October 2022</t>
  </si>
  <si>
    <r>
      <rPr>
        <b/>
        <sz val="9.5"/>
        <color theme="1"/>
        <rFont val="Calibri Light"/>
        <family val="2"/>
        <scheme val="major"/>
      </rPr>
      <t>1B ELECTRIC</t>
    </r>
    <r>
      <rPr>
        <sz val="9.5"/>
        <color theme="1"/>
        <rFont val="Calibri Light"/>
        <family val="2"/>
        <scheme val="major"/>
      </rPr>
      <t xml:space="preserve"> (kWh)</t>
    </r>
  </si>
  <si>
    <r>
      <rPr>
        <b/>
        <sz val="9.5"/>
        <color theme="1"/>
        <rFont val="Calibri Light"/>
        <family val="2"/>
        <scheme val="major"/>
      </rPr>
      <t>1B GAS</t>
    </r>
    <r>
      <rPr>
        <sz val="9.5"/>
        <color theme="1"/>
        <rFont val="Calibri Light"/>
        <family val="2"/>
        <scheme val="major"/>
      </rPr>
      <t xml:space="preserve">      (CCF)</t>
    </r>
  </si>
  <si>
    <r>
      <t xml:space="preserve">1B STEAM </t>
    </r>
    <r>
      <rPr>
        <sz val="9.5"/>
        <color theme="1"/>
        <rFont val="Calibri Light"/>
        <family val="2"/>
        <scheme val="major"/>
      </rPr>
      <t>(Mlbs)</t>
    </r>
  </si>
  <si>
    <r>
      <rPr>
        <b/>
        <sz val="9.5"/>
        <color theme="1"/>
        <rFont val="Calibri Light"/>
        <family val="2"/>
        <scheme val="major"/>
      </rPr>
      <t>1B WATER</t>
    </r>
    <r>
      <rPr>
        <sz val="9.5"/>
        <color theme="1"/>
        <rFont val="Calibri Light"/>
        <family val="2"/>
        <scheme val="major"/>
      </rPr>
      <t xml:space="preserve">    (Gallons)</t>
    </r>
  </si>
  <si>
    <r>
      <t xml:space="preserve">4TH CT - 5    </t>
    </r>
    <r>
      <rPr>
        <sz val="9.5"/>
        <color theme="1"/>
        <rFont val="Calibri Light"/>
        <family val="2"/>
        <scheme val="major"/>
      </rPr>
      <t>(Gallons)</t>
    </r>
  </si>
  <si>
    <r>
      <t xml:space="preserve">36TH STEAM </t>
    </r>
    <r>
      <rPr>
        <sz val="9.5"/>
        <color theme="1"/>
        <rFont val="Calibri Light"/>
        <family val="2"/>
        <scheme val="major"/>
      </rPr>
      <t>(Mlbs)</t>
    </r>
  </si>
  <si>
    <r>
      <t xml:space="preserve">36TH WATER </t>
    </r>
    <r>
      <rPr>
        <sz val="9.5"/>
        <color theme="1"/>
        <rFont val="Calibri Light"/>
        <family val="2"/>
        <scheme val="major"/>
      </rPr>
      <t>(Gallons)</t>
    </r>
  </si>
  <si>
    <r>
      <t xml:space="preserve">EAST PENT.CT -3    </t>
    </r>
    <r>
      <rPr>
        <sz val="9.5"/>
        <color theme="1"/>
        <rFont val="Calibri Light"/>
        <family val="2"/>
        <scheme val="major"/>
      </rPr>
      <t>(Gallons)</t>
    </r>
  </si>
  <si>
    <t>High Temp</t>
  </si>
  <si>
    <t>Low Temp</t>
  </si>
  <si>
    <t>Avg Temp</t>
  </si>
  <si>
    <r>
      <t xml:space="preserve">Heating Degree Day </t>
    </r>
    <r>
      <rPr>
        <b/>
        <sz val="10"/>
        <color theme="1"/>
        <rFont val="Calibri Light"/>
        <family val="2"/>
        <scheme val="major"/>
      </rPr>
      <t>(HDD)</t>
    </r>
  </si>
  <si>
    <r>
      <t xml:space="preserve">Cooling Degree Day </t>
    </r>
    <r>
      <rPr>
        <b/>
        <sz val="10"/>
        <color theme="1"/>
        <rFont val="Calibri Light"/>
        <family val="2"/>
        <scheme val="major"/>
      </rPr>
      <t>(CDD)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</si>
</sst>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.5"/>
      <color theme="1"/>
      <name val="Calibri Light"/>
      <family val="2"/>
      <scheme val="major"/>
    </font>
    <font>
      <b/>
      <sz val="9.5"/>
      <color theme="1"/>
      <name val="Calibri Light"/>
      <family val="2"/>
      <scheme val="major"/>
    </font>
    <font>
      <sz val="10.5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 wrapText="1"/>
    </xf>
    <xf numFmtId="1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</xdr:colOff>
      <xdr:row>0</xdr:row>
      <xdr:rowOff>0</xdr:rowOff>
    </xdr:from>
    <xdr:ext cx="1752600" cy="1123951"/>
    <xdr:pic>
      <xdr:nvPicPr>
        <xdr:cNvPr id="2" name="Picture 1">
          <a:extLst>
            <a:ext uri="{FF2B5EF4-FFF2-40B4-BE49-F238E27FC236}">
              <a16:creationId xmlns:a16="http://schemas.microsoft.com/office/drawing/2014/main" id="{D357C45F-DB8B-4BDB-A398-26FF7A919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" y="0"/>
          <a:ext cx="1752600" cy="1123951"/>
        </a:xfrm>
        <a:prstGeom prst="rect">
          <a:avLst/>
        </a:prstGeom>
      </xdr:spPr>
    </xdr:pic>
    <xdr:clientData/>
  </xdr:oneCellAnchor>
  <xdr:oneCellAnchor>
    <xdr:from>
      <xdr:col>15</xdr:col>
      <xdr:colOff>28575</xdr:colOff>
      <xdr:row>0</xdr:row>
      <xdr:rowOff>0</xdr:rowOff>
    </xdr:from>
    <xdr:ext cx="1752600" cy="1123951"/>
    <xdr:pic>
      <xdr:nvPicPr>
        <xdr:cNvPr id="3" name="Picture 2">
          <a:extLst>
            <a:ext uri="{FF2B5EF4-FFF2-40B4-BE49-F238E27FC236}">
              <a16:creationId xmlns:a16="http://schemas.microsoft.com/office/drawing/2014/main" id="{4C414FF1-2941-49E0-AA9C-C538072D3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7100" y="0"/>
          <a:ext cx="1752600" cy="1123951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G\Engineering\Dept\Meter%20Readings\Engineering%20Meter%20Readings\Meter%20Readings%20Data%20Shee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YTD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7">
          <cell r="B37">
            <v>24041</v>
          </cell>
          <cell r="D37">
            <v>57094</v>
          </cell>
          <cell r="F37">
            <v>34241</v>
          </cell>
          <cell r="H37">
            <v>11241970</v>
          </cell>
          <cell r="J37">
            <v>421095</v>
          </cell>
          <cell r="L37">
            <v>35658</v>
          </cell>
          <cell r="N37">
            <v>31059200</v>
          </cell>
          <cell r="P37">
            <v>6373824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2"/>
  <sheetViews>
    <sheetView tabSelected="1" topLeftCell="G1" workbookViewId="0">
      <selection activeCell="L4" sqref="L4:L32"/>
    </sheetView>
  </sheetViews>
  <sheetFormatPr defaultColWidth="11.5703125" defaultRowHeight="15" x14ac:dyDescent="0.25"/>
  <cols>
    <col min="1" max="1" width="27.42578125" style="3" bestFit="1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2" width="11.5703125" style="12"/>
    <col min="13" max="25" width="11.5703125" style="1"/>
  </cols>
  <sheetData>
    <row r="1" spans="1:25" s="3" customFormat="1" ht="75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16</v>
      </c>
      <c r="H1" s="8" t="s">
        <v>17</v>
      </c>
      <c r="I1" s="7" t="s">
        <v>18</v>
      </c>
      <c r="J1" s="11" t="s">
        <v>19</v>
      </c>
      <c r="K1" s="7" t="s">
        <v>20</v>
      </c>
      <c r="L1" s="8" t="s">
        <v>21</v>
      </c>
      <c r="M1" s="7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7</v>
      </c>
      <c r="B2" s="2">
        <v>1</v>
      </c>
      <c r="C2" s="14">
        <v>10</v>
      </c>
      <c r="D2" s="2">
        <v>2022</v>
      </c>
      <c r="E2" s="4">
        <f>IF(OCTOBER!C8&gt;0,OCTOBER!C8,0)</f>
        <v>7800</v>
      </c>
      <c r="F2" s="9">
        <v>0.20799999999999999</v>
      </c>
      <c r="G2" s="4">
        <f>IF(OCTOBER!E8&gt;0,OCTOBER!E8,0)</f>
        <v>50.256</v>
      </c>
      <c r="H2" s="10">
        <v>2.09</v>
      </c>
      <c r="I2" s="4">
        <f>IF((OCTOBER!I8+OCTOBER!O8)&gt;0,(OCTOBER!I8+OCTOBER!O8),0)</f>
        <v>12500</v>
      </c>
      <c r="J2" s="10">
        <v>4.1500000000000002E-2</v>
      </c>
      <c r="K2" s="4">
        <f>IF((OCTOBER!G8+OCTOBER!M8)&gt;0,(OCTOBER!G8+OCTOBER!M8),0)</f>
        <v>16.600000000000001</v>
      </c>
      <c r="L2" s="10">
        <v>51.8</v>
      </c>
      <c r="M2" s="4">
        <f>OCTOBER!R8</f>
        <v>103</v>
      </c>
    </row>
    <row r="3" spans="1:25" x14ac:dyDescent="0.25">
      <c r="A3" s="3" t="s">
        <v>7</v>
      </c>
      <c r="B3" s="2">
        <f>B2+1</f>
        <v>2</v>
      </c>
      <c r="C3" s="14">
        <v>10</v>
      </c>
      <c r="D3" s="14">
        <v>2022</v>
      </c>
      <c r="E3" s="4">
        <f>IF(OCTOBER!C9&gt;0,OCTOBER!C9,0)</f>
        <v>7200</v>
      </c>
      <c r="F3" s="9">
        <v>0.20799999999999999</v>
      </c>
      <c r="G3" s="4">
        <f>IF(OCTOBER!E9&gt;0,OCTOBER!E9,0)</f>
        <v>49.208999999999996</v>
      </c>
      <c r="H3" s="14">
        <v>2.09</v>
      </c>
      <c r="I3" s="4">
        <f>IF((OCTOBER!I9+OCTOBER!O9)&gt;0,(OCTOBER!I9+OCTOBER!O9),0)</f>
        <v>10026</v>
      </c>
      <c r="J3" s="14">
        <v>4.1500000000000002E-2</v>
      </c>
      <c r="K3" s="4">
        <f>IF((OCTOBER!G9+OCTOBER!M9)&gt;0,(OCTOBER!G9+OCTOBER!M9),0)</f>
        <v>14.3</v>
      </c>
      <c r="L3" s="14">
        <v>51.8</v>
      </c>
      <c r="M3" s="4">
        <f>OCTOBER!R9</f>
        <v>102</v>
      </c>
      <c r="O3" s="4"/>
    </row>
    <row r="4" spans="1:25" x14ac:dyDescent="0.25">
      <c r="A4" s="3" t="s">
        <v>7</v>
      </c>
      <c r="B4" s="2">
        <f t="shared" ref="B4:B32" si="0">B3+1</f>
        <v>3</v>
      </c>
      <c r="C4" s="14">
        <v>10</v>
      </c>
      <c r="D4" s="14">
        <v>2022</v>
      </c>
      <c r="E4" s="4">
        <f>IF(OCTOBER!C10&gt;0,OCTOBER!C10,0)</f>
        <v>7200</v>
      </c>
      <c r="F4" s="9">
        <v>0.20799999999999999</v>
      </c>
      <c r="G4" s="4">
        <f>IF(OCTOBER!E10&gt;0,OCTOBER!E10,0)</f>
        <v>45.020999999999994</v>
      </c>
      <c r="H4" s="14">
        <v>2.09</v>
      </c>
      <c r="I4" s="4">
        <f>IF((OCTOBER!I10+OCTOBER!O10)&gt;0,(OCTOBER!I10+OCTOBER!O10),0)</f>
        <v>10430</v>
      </c>
      <c r="J4" s="14">
        <v>4.1500000000000002E-2</v>
      </c>
      <c r="K4" s="4">
        <f>IF((OCTOBER!G10+OCTOBER!M10)&gt;0,(OCTOBER!G10+OCTOBER!M10),0)</f>
        <v>15.2</v>
      </c>
      <c r="L4" s="14">
        <v>51.8</v>
      </c>
      <c r="M4" s="4">
        <f>OCTOBER!R10</f>
        <v>95</v>
      </c>
    </row>
    <row r="5" spans="1:25" x14ac:dyDescent="0.25">
      <c r="A5" s="3" t="s">
        <v>7</v>
      </c>
      <c r="B5" s="2">
        <f t="shared" si="0"/>
        <v>4</v>
      </c>
      <c r="C5" s="14">
        <v>10</v>
      </c>
      <c r="D5" s="14">
        <v>2022</v>
      </c>
      <c r="E5" s="4">
        <f>IF(OCTOBER!C11&gt;0,OCTOBER!C11,0)</f>
        <v>7500</v>
      </c>
      <c r="F5" s="9">
        <v>0.20799999999999999</v>
      </c>
      <c r="G5" s="4">
        <f>IF(OCTOBER!E11&gt;0,OCTOBER!E11,0)</f>
        <v>50.256</v>
      </c>
      <c r="H5" s="14">
        <v>2.09</v>
      </c>
      <c r="I5" s="4">
        <f>IF((OCTOBER!I11+OCTOBER!O11)&gt;0,(OCTOBER!I11+OCTOBER!O11),0)</f>
        <v>10451</v>
      </c>
      <c r="J5" s="14">
        <v>4.1500000000000002E-2</v>
      </c>
      <c r="K5" s="4">
        <f>IF((OCTOBER!G11+OCTOBER!M11)&gt;0,(OCTOBER!G11+OCTOBER!M11),0)</f>
        <v>15.8</v>
      </c>
      <c r="L5" s="14">
        <v>51.8</v>
      </c>
      <c r="M5" s="4">
        <f>OCTOBER!R11</f>
        <v>123</v>
      </c>
    </row>
    <row r="6" spans="1:25" x14ac:dyDescent="0.25">
      <c r="A6" s="3" t="s">
        <v>7</v>
      </c>
      <c r="B6" s="2">
        <f t="shared" si="0"/>
        <v>5</v>
      </c>
      <c r="C6" s="14">
        <v>10</v>
      </c>
      <c r="D6" s="14">
        <v>2022</v>
      </c>
      <c r="E6" s="4">
        <f>IF(OCTOBER!C12&gt;0,OCTOBER!C12,0)</f>
        <v>7200</v>
      </c>
      <c r="F6" s="9">
        <v>0.20799999999999999</v>
      </c>
      <c r="G6" s="4">
        <f>IF(OCTOBER!E12&gt;0,OCTOBER!E12,0)</f>
        <v>49.208999999999996</v>
      </c>
      <c r="H6" s="14">
        <v>2.09</v>
      </c>
      <c r="I6" s="4">
        <f>IF((OCTOBER!I12+OCTOBER!O12)&gt;0,(OCTOBER!I12+OCTOBER!O12),0)</f>
        <v>9143</v>
      </c>
      <c r="J6" s="14">
        <v>4.1500000000000002E-2</v>
      </c>
      <c r="K6" s="4">
        <f>IF((OCTOBER!G12+OCTOBER!M12)&gt;0,(OCTOBER!G12+OCTOBER!M12),0)</f>
        <v>15.3</v>
      </c>
      <c r="L6" s="14">
        <v>51.8</v>
      </c>
      <c r="M6" s="4">
        <f>OCTOBER!R12</f>
        <v>113</v>
      </c>
    </row>
    <row r="7" spans="1:25" x14ac:dyDescent="0.25">
      <c r="A7" s="3" t="s">
        <v>7</v>
      </c>
      <c r="B7" s="2">
        <f t="shared" si="0"/>
        <v>6</v>
      </c>
      <c r="C7" s="14">
        <v>10</v>
      </c>
      <c r="D7" s="14">
        <v>2022</v>
      </c>
      <c r="E7" s="4">
        <f>IF(OCTOBER!C13&gt;0,OCTOBER!C13,0)</f>
        <v>7800</v>
      </c>
      <c r="F7" s="9">
        <v>0.20799999999999999</v>
      </c>
      <c r="G7" s="4">
        <f>IF(OCTOBER!E13&gt;0,OCTOBER!E13,0)</f>
        <v>50.256</v>
      </c>
      <c r="H7" s="14">
        <v>2.09</v>
      </c>
      <c r="I7" s="4">
        <f>IF((OCTOBER!I13+OCTOBER!O13)&gt;0,(OCTOBER!I13+OCTOBER!O13),0)</f>
        <v>10050</v>
      </c>
      <c r="J7" s="14">
        <v>4.1500000000000002E-2</v>
      </c>
      <c r="K7" s="4">
        <f>IF((OCTOBER!G13+OCTOBER!M13)&gt;0,(OCTOBER!G13+OCTOBER!M13),0)</f>
        <v>16.5</v>
      </c>
      <c r="L7" s="14">
        <v>51.8</v>
      </c>
      <c r="M7" s="4">
        <f>OCTOBER!R13</f>
        <v>91</v>
      </c>
    </row>
    <row r="8" spans="1:25" x14ac:dyDescent="0.25">
      <c r="A8" s="3" t="s">
        <v>7</v>
      </c>
      <c r="B8" s="2">
        <f t="shared" si="0"/>
        <v>7</v>
      </c>
      <c r="C8" s="14">
        <v>10</v>
      </c>
      <c r="D8" s="14">
        <v>2022</v>
      </c>
      <c r="E8" s="4">
        <f>IF(OCTOBER!C14&gt;0,OCTOBER!C14,0)</f>
        <v>6900</v>
      </c>
      <c r="F8" s="9">
        <v>0.20799999999999999</v>
      </c>
      <c r="G8" s="4">
        <f>IF(OCTOBER!E14&gt;0,OCTOBER!E14,0)</f>
        <v>45.020999999999994</v>
      </c>
      <c r="H8" s="14">
        <v>2.09</v>
      </c>
      <c r="I8" s="4">
        <f>IF((OCTOBER!I14+OCTOBER!O14)&gt;0,(OCTOBER!I14+OCTOBER!O14),0)</f>
        <v>8020</v>
      </c>
      <c r="J8" s="14">
        <v>4.1500000000000002E-2</v>
      </c>
      <c r="K8" s="4">
        <f>IF((OCTOBER!G14+OCTOBER!M14)&gt;0,(OCTOBER!G14+OCTOBER!M14),0)</f>
        <v>15</v>
      </c>
      <c r="L8" s="14">
        <v>51.8</v>
      </c>
      <c r="M8" s="4">
        <f>OCTOBER!R14</f>
        <v>108</v>
      </c>
    </row>
    <row r="9" spans="1:25" x14ac:dyDescent="0.25">
      <c r="A9" s="3" t="s">
        <v>7</v>
      </c>
      <c r="B9" s="2">
        <f t="shared" si="0"/>
        <v>8</v>
      </c>
      <c r="C9" s="14">
        <v>10</v>
      </c>
      <c r="D9" s="14">
        <v>2022</v>
      </c>
      <c r="E9" s="4">
        <f>IF(OCTOBER!C15&gt;0,OCTOBER!C15,0)</f>
        <v>8100</v>
      </c>
      <c r="F9" s="9">
        <v>0.20799999999999999</v>
      </c>
      <c r="G9" s="4">
        <f>IF(OCTOBER!E15&gt;0,OCTOBER!E15,0)</f>
        <v>52.349999999999994</v>
      </c>
      <c r="H9" s="14">
        <v>2.09</v>
      </c>
      <c r="I9" s="4">
        <f>IF((OCTOBER!I15+OCTOBER!O15)&gt;0,(OCTOBER!I15+OCTOBER!O15),0)</f>
        <v>11705</v>
      </c>
      <c r="J9" s="14">
        <v>4.1500000000000002E-2</v>
      </c>
      <c r="K9" s="4">
        <f>IF((OCTOBER!G15+OCTOBER!M15)&gt;0,(OCTOBER!G15+OCTOBER!M15),0)</f>
        <v>16.399999999999999</v>
      </c>
      <c r="L9" s="14">
        <v>51.8</v>
      </c>
      <c r="M9" s="4">
        <f>OCTOBER!R15</f>
        <v>127</v>
      </c>
    </row>
    <row r="10" spans="1:25" x14ac:dyDescent="0.25">
      <c r="A10" s="3" t="s">
        <v>7</v>
      </c>
      <c r="B10" s="2">
        <f t="shared" si="0"/>
        <v>9</v>
      </c>
      <c r="C10" s="14">
        <v>10</v>
      </c>
      <c r="D10" s="14">
        <v>2022</v>
      </c>
      <c r="E10" s="4">
        <f>IF(OCTOBER!C16&gt;0,OCTOBER!C16,0)</f>
        <v>10200</v>
      </c>
      <c r="F10" s="9">
        <v>0.20799999999999999</v>
      </c>
      <c r="G10" s="4">
        <f>IF(OCTOBER!E16&gt;0,OCTOBER!E16,0)</f>
        <v>70.149000000000001</v>
      </c>
      <c r="H10" s="14">
        <v>2.09</v>
      </c>
      <c r="I10" s="4">
        <f>IF((OCTOBER!I16+OCTOBER!O16)&gt;0,(OCTOBER!I16+OCTOBER!O16),0)</f>
        <v>19969</v>
      </c>
      <c r="J10" s="14">
        <v>4.1500000000000002E-2</v>
      </c>
      <c r="K10" s="4">
        <f>IF((OCTOBER!G16+OCTOBER!M16)&gt;0,(OCTOBER!G16+OCTOBER!M16),0)</f>
        <v>16.8</v>
      </c>
      <c r="L10" s="14">
        <v>51.8</v>
      </c>
      <c r="M10" s="4">
        <f>OCTOBER!R16</f>
        <v>130</v>
      </c>
    </row>
    <row r="11" spans="1:25" x14ac:dyDescent="0.25">
      <c r="A11" s="3" t="s">
        <v>7</v>
      </c>
      <c r="B11" s="2">
        <f t="shared" si="0"/>
        <v>10</v>
      </c>
      <c r="C11" s="14">
        <v>10</v>
      </c>
      <c r="D11" s="14">
        <v>2022</v>
      </c>
      <c r="E11" s="4">
        <f>IF(OCTOBER!C17&gt;0,OCTOBER!C17,0)</f>
        <v>3600</v>
      </c>
      <c r="F11" s="9">
        <v>0.20799999999999999</v>
      </c>
      <c r="G11" s="4">
        <f>IF(OCTOBER!E17&gt;0,OCTOBER!E17,0)</f>
        <v>23.033999999999999</v>
      </c>
      <c r="H11" s="14">
        <v>2.09</v>
      </c>
      <c r="I11" s="4">
        <f>IF((OCTOBER!I17+OCTOBER!O17)&gt;0,(OCTOBER!I17+OCTOBER!O17),0)</f>
        <v>4762</v>
      </c>
      <c r="J11" s="14">
        <v>4.1500000000000002E-2</v>
      </c>
      <c r="K11" s="4">
        <f>IF((OCTOBER!G17+OCTOBER!M17)&gt;0,(OCTOBER!G17+OCTOBER!M17),0)</f>
        <v>15.200000000000001</v>
      </c>
      <c r="L11" s="14">
        <v>51.8</v>
      </c>
      <c r="M11" s="4">
        <f>OCTOBER!R17</f>
        <v>98</v>
      </c>
    </row>
    <row r="12" spans="1:25" x14ac:dyDescent="0.25">
      <c r="A12" s="3" t="s">
        <v>7</v>
      </c>
      <c r="B12" s="2">
        <f t="shared" si="0"/>
        <v>11</v>
      </c>
      <c r="C12" s="14">
        <v>10</v>
      </c>
      <c r="D12" s="14">
        <v>2022</v>
      </c>
      <c r="E12" s="4">
        <f>IF(OCTOBER!C18&gt;0,OCTOBER!C18,0)</f>
        <v>6900</v>
      </c>
      <c r="F12" s="9">
        <v>0.20799999999999999</v>
      </c>
      <c r="G12" s="4">
        <f>IF(OCTOBER!E18&gt;0,OCTOBER!E18,0)</f>
        <v>49.208999999999996</v>
      </c>
      <c r="H12" s="14">
        <v>2.09</v>
      </c>
      <c r="I12" s="4">
        <f>IF((OCTOBER!I18+OCTOBER!O18)&gt;0,(OCTOBER!I18+OCTOBER!O18),0)</f>
        <v>9945</v>
      </c>
      <c r="J12" s="14">
        <v>4.1500000000000002E-2</v>
      </c>
      <c r="K12" s="4">
        <f>IF((OCTOBER!G18+OCTOBER!M18)&gt;0,(OCTOBER!G18+OCTOBER!M18),0)</f>
        <v>15.600000000000001</v>
      </c>
      <c r="L12" s="14">
        <v>51.8</v>
      </c>
      <c r="M12" s="4">
        <f>OCTOBER!R18</f>
        <v>98</v>
      </c>
    </row>
    <row r="13" spans="1:25" x14ac:dyDescent="0.25">
      <c r="A13" s="3" t="s">
        <v>7</v>
      </c>
      <c r="B13" s="2">
        <f t="shared" si="0"/>
        <v>12</v>
      </c>
      <c r="C13" s="14">
        <v>10</v>
      </c>
      <c r="D13" s="14">
        <v>2022</v>
      </c>
      <c r="E13" s="4">
        <f>IF(OCTOBER!C19&gt;0,OCTOBER!C19,0)</f>
        <v>6900</v>
      </c>
      <c r="F13" s="9">
        <v>0.20799999999999999</v>
      </c>
      <c r="G13" s="4">
        <f>IF(OCTOBER!E19&gt;0,OCTOBER!E19,0)</f>
        <v>51.302999999999997</v>
      </c>
      <c r="H13" s="14">
        <v>2.09</v>
      </c>
      <c r="I13" s="4">
        <f>IF((OCTOBER!I19+OCTOBER!O19)&gt;0,(OCTOBER!I19+OCTOBER!O19),0)</f>
        <v>9654</v>
      </c>
      <c r="J13" s="14">
        <v>4.1500000000000002E-2</v>
      </c>
      <c r="K13" s="4">
        <f>IF((OCTOBER!G19+OCTOBER!M19)&gt;0,(OCTOBER!G19+OCTOBER!M19),0)</f>
        <v>15.4</v>
      </c>
      <c r="L13" s="14">
        <v>51.8</v>
      </c>
      <c r="M13" s="4">
        <f>OCTOBER!R19</f>
        <v>128</v>
      </c>
    </row>
    <row r="14" spans="1:25" x14ac:dyDescent="0.25">
      <c r="A14" s="3" t="s">
        <v>7</v>
      </c>
      <c r="B14" s="2">
        <f t="shared" si="0"/>
        <v>13</v>
      </c>
      <c r="C14" s="14">
        <v>10</v>
      </c>
      <c r="D14" s="14">
        <v>2022</v>
      </c>
      <c r="E14" s="4">
        <f>IF(OCTOBER!C20&gt;0,OCTOBER!C20,0)</f>
        <v>7200</v>
      </c>
      <c r="F14" s="9">
        <v>0.20799999999999999</v>
      </c>
      <c r="G14" s="4">
        <f>IF(OCTOBER!E20&gt;0,OCTOBER!E20,0)</f>
        <v>53.396999999999998</v>
      </c>
      <c r="H14" s="14">
        <v>2.09</v>
      </c>
      <c r="I14" s="4">
        <f>IF((OCTOBER!I20+OCTOBER!O20)&gt;0,(OCTOBER!I20+OCTOBER!O20),0)</f>
        <v>10290</v>
      </c>
      <c r="J14" s="14">
        <v>4.1500000000000002E-2</v>
      </c>
      <c r="K14" s="4">
        <f>IF((OCTOBER!G20+OCTOBER!M20)&gt;0,(OCTOBER!G20+OCTOBER!M20),0)</f>
        <v>15.700000000000001</v>
      </c>
      <c r="L14" s="14">
        <v>51.8</v>
      </c>
      <c r="M14" s="4">
        <f>OCTOBER!R20</f>
        <v>137</v>
      </c>
    </row>
    <row r="15" spans="1:25" x14ac:dyDescent="0.25">
      <c r="A15" s="3" t="s">
        <v>7</v>
      </c>
      <c r="B15" s="2">
        <f t="shared" si="0"/>
        <v>14</v>
      </c>
      <c r="C15" s="14">
        <v>10</v>
      </c>
      <c r="D15" s="14">
        <v>2022</v>
      </c>
      <c r="E15" s="4">
        <f>IF(OCTOBER!C21&gt;0,OCTOBER!C21,0)</f>
        <v>7200</v>
      </c>
      <c r="F15" s="9">
        <v>0.20799999999999999</v>
      </c>
      <c r="G15" s="4">
        <f>IF(OCTOBER!E21&gt;0,OCTOBER!E21,0)</f>
        <v>54.443999999999996</v>
      </c>
      <c r="H15" s="14">
        <v>2.09</v>
      </c>
      <c r="I15" s="4">
        <f>IF((OCTOBER!I21+OCTOBER!O21)&gt;0,(OCTOBER!I21+OCTOBER!O21),0)</f>
        <v>11005</v>
      </c>
      <c r="J15" s="14">
        <v>4.1500000000000002E-2</v>
      </c>
      <c r="K15" s="4">
        <f>IF((OCTOBER!G21+OCTOBER!M21)&gt;0,(OCTOBER!G21+OCTOBER!M21),0)</f>
        <v>16.5</v>
      </c>
      <c r="L15" s="14">
        <v>51.8</v>
      </c>
      <c r="M15" s="4">
        <f>OCTOBER!R21</f>
        <v>118</v>
      </c>
    </row>
    <row r="16" spans="1:25" x14ac:dyDescent="0.25">
      <c r="A16" s="3" t="s">
        <v>7</v>
      </c>
      <c r="B16" s="2">
        <f t="shared" si="0"/>
        <v>15</v>
      </c>
      <c r="C16" s="14">
        <v>10</v>
      </c>
      <c r="D16" s="14">
        <v>2022</v>
      </c>
      <c r="E16" s="4">
        <f>IF(OCTOBER!C22&gt;0,OCTOBER!C22,0)</f>
        <v>6600</v>
      </c>
      <c r="F16" s="9">
        <v>0.20799999999999999</v>
      </c>
      <c r="G16" s="4">
        <f>IF(OCTOBER!E22&gt;0,OCTOBER!E22,0)</f>
        <v>50.256</v>
      </c>
      <c r="H16" s="14">
        <v>2.09</v>
      </c>
      <c r="I16" s="4">
        <f>IF((OCTOBER!I22+OCTOBER!O22)&gt;0,(OCTOBER!I22+OCTOBER!O22),0)</f>
        <v>10645</v>
      </c>
      <c r="J16" s="14">
        <v>4.1500000000000002E-2</v>
      </c>
      <c r="K16" s="4">
        <f>IF((OCTOBER!G22+OCTOBER!M22)&gt;0,(OCTOBER!G22+OCTOBER!M22),0)</f>
        <v>15.400000000000002</v>
      </c>
      <c r="L16" s="14">
        <v>51.8</v>
      </c>
      <c r="M16" s="4">
        <f>OCTOBER!R22</f>
        <v>110</v>
      </c>
    </row>
    <row r="17" spans="1:13" x14ac:dyDescent="0.25">
      <c r="A17" s="3" t="s">
        <v>7</v>
      </c>
      <c r="B17" s="2">
        <f t="shared" si="0"/>
        <v>16</v>
      </c>
      <c r="C17" s="14">
        <v>10</v>
      </c>
      <c r="D17" s="14">
        <v>2022</v>
      </c>
      <c r="E17" s="4">
        <f>IF(OCTOBER!C23&gt;0,OCTOBER!C23,0)</f>
        <v>7500</v>
      </c>
      <c r="F17" s="9">
        <v>0.20799999999999999</v>
      </c>
      <c r="G17" s="4">
        <f>IF(OCTOBER!E23&gt;0,OCTOBER!E23,0)</f>
        <v>54.443999999999996</v>
      </c>
      <c r="H17" s="14">
        <v>2.09</v>
      </c>
      <c r="I17" s="4">
        <f>IF((OCTOBER!I23+OCTOBER!O23)&gt;0,(OCTOBER!I23+OCTOBER!O23),0)</f>
        <v>12472</v>
      </c>
      <c r="J17" s="14">
        <v>4.1500000000000002E-2</v>
      </c>
      <c r="K17" s="4">
        <f>IF((OCTOBER!G23+OCTOBER!M23)&gt;0,(OCTOBER!G23+OCTOBER!M23),0)</f>
        <v>17.8</v>
      </c>
      <c r="L17" s="14">
        <v>51.8</v>
      </c>
      <c r="M17" s="4">
        <f>OCTOBER!R23</f>
        <v>102</v>
      </c>
    </row>
    <row r="18" spans="1:13" x14ac:dyDescent="0.25">
      <c r="A18" s="3" t="s">
        <v>7</v>
      </c>
      <c r="B18" s="2">
        <f t="shared" si="0"/>
        <v>17</v>
      </c>
      <c r="C18" s="14">
        <v>10</v>
      </c>
      <c r="D18" s="14">
        <v>2022</v>
      </c>
      <c r="E18" s="4">
        <f>IF(OCTOBER!C24&gt;0,OCTOBER!C24,0)</f>
        <v>5400</v>
      </c>
      <c r="F18" s="9">
        <v>0.20799999999999999</v>
      </c>
      <c r="G18" s="4">
        <f>IF(OCTOBER!E24&gt;0,OCTOBER!E24,0)</f>
        <v>36.644999999999996</v>
      </c>
      <c r="H18" s="14">
        <v>2.09</v>
      </c>
      <c r="I18" s="4">
        <f>IF((OCTOBER!I24+OCTOBER!O24)&gt;0,(OCTOBER!I24+OCTOBER!O24),0)</f>
        <v>7242</v>
      </c>
      <c r="J18" s="14">
        <v>4.1500000000000002E-2</v>
      </c>
      <c r="K18" s="4">
        <f>IF((OCTOBER!G24+OCTOBER!M24)&gt;0,(OCTOBER!G24+OCTOBER!M24),0)</f>
        <v>13.100000000000001</v>
      </c>
      <c r="L18" s="14">
        <v>51.8</v>
      </c>
      <c r="M18" s="4">
        <f>OCTOBER!R24</f>
        <v>101</v>
      </c>
    </row>
    <row r="19" spans="1:13" x14ac:dyDescent="0.25">
      <c r="A19" s="3" t="s">
        <v>7</v>
      </c>
      <c r="B19" s="2">
        <f t="shared" si="0"/>
        <v>18</v>
      </c>
      <c r="C19" s="14">
        <v>10</v>
      </c>
      <c r="D19" s="14">
        <v>2022</v>
      </c>
      <c r="E19" s="4">
        <f>IF(OCTOBER!C25&gt;0,OCTOBER!C25,0)</f>
        <v>7500</v>
      </c>
      <c r="F19" s="9">
        <v>0.20799999999999999</v>
      </c>
      <c r="G19" s="4">
        <f>IF(OCTOBER!E25&gt;0,OCTOBER!E25,0)</f>
        <v>54.443999999999996</v>
      </c>
      <c r="H19" s="14">
        <v>2.09</v>
      </c>
      <c r="I19" s="4">
        <f>IF((OCTOBER!I25+OCTOBER!O25)&gt;0,(OCTOBER!I25+OCTOBER!O25),0)</f>
        <v>10405</v>
      </c>
      <c r="J19" s="14">
        <v>4.1500000000000002E-2</v>
      </c>
      <c r="K19" s="4">
        <f>IF((OCTOBER!G25+OCTOBER!M25)&gt;0,(OCTOBER!G25+OCTOBER!M25),0)</f>
        <v>15.3</v>
      </c>
      <c r="L19" s="14">
        <v>51.8</v>
      </c>
      <c r="M19" s="4">
        <f>OCTOBER!R25</f>
        <v>140</v>
      </c>
    </row>
    <row r="20" spans="1:13" x14ac:dyDescent="0.25">
      <c r="A20" s="3" t="s">
        <v>7</v>
      </c>
      <c r="B20" s="2">
        <f t="shared" si="0"/>
        <v>19</v>
      </c>
      <c r="C20" s="14">
        <v>10</v>
      </c>
      <c r="D20" s="14">
        <v>2022</v>
      </c>
      <c r="E20" s="4">
        <f>IF(OCTOBER!C26&gt;0,OCTOBER!C26,0)</f>
        <v>8100</v>
      </c>
      <c r="F20" s="9">
        <v>0.20799999999999999</v>
      </c>
      <c r="G20" s="4">
        <f>IF(OCTOBER!E26&gt;0,OCTOBER!E26,0)</f>
        <v>52.349999999999994</v>
      </c>
      <c r="H20" s="14">
        <v>2.09</v>
      </c>
      <c r="I20" s="4">
        <f>IF((OCTOBER!I26+OCTOBER!O26)&gt;0,(OCTOBER!I26+OCTOBER!O26),0)</f>
        <v>12696</v>
      </c>
      <c r="J20" s="14">
        <v>4.1500000000000002E-2</v>
      </c>
      <c r="K20" s="4">
        <f>IF((OCTOBER!G26+OCTOBER!M26)&gt;0,(OCTOBER!G26+OCTOBER!M26),0)</f>
        <v>8.3000000000000007</v>
      </c>
      <c r="L20" s="14">
        <v>51.8</v>
      </c>
      <c r="M20" s="4">
        <f>OCTOBER!R26</f>
        <v>154</v>
      </c>
    </row>
    <row r="21" spans="1:13" x14ac:dyDescent="0.25">
      <c r="A21" s="3" t="s">
        <v>7</v>
      </c>
      <c r="B21" s="2">
        <f t="shared" si="0"/>
        <v>20</v>
      </c>
      <c r="C21" s="14">
        <v>10</v>
      </c>
      <c r="D21" s="14">
        <v>2022</v>
      </c>
      <c r="E21" s="4">
        <f>IF(OCTOBER!C27&gt;0,OCTOBER!C27,0)</f>
        <v>8700</v>
      </c>
      <c r="F21" s="9">
        <v>0.20799999999999999</v>
      </c>
      <c r="G21" s="4">
        <f>IF(OCTOBER!E27&gt;0,OCTOBER!E27,0)</f>
        <v>49.208999999999996</v>
      </c>
      <c r="H21" s="14">
        <v>2.09</v>
      </c>
      <c r="I21" s="4">
        <f>IF((OCTOBER!I27+OCTOBER!O27)&gt;0,(OCTOBER!I27+OCTOBER!O27),0)</f>
        <v>14090</v>
      </c>
      <c r="J21" s="14">
        <v>4.1500000000000002E-2</v>
      </c>
      <c r="K21" s="4">
        <f>IF((OCTOBER!G27+OCTOBER!M27)&gt;0,(OCTOBER!G27+OCTOBER!M27),0)</f>
        <v>9.9</v>
      </c>
      <c r="L21" s="14">
        <v>51.8</v>
      </c>
      <c r="M21" s="4">
        <f>OCTOBER!R27</f>
        <v>154</v>
      </c>
    </row>
    <row r="22" spans="1:13" x14ac:dyDescent="0.25">
      <c r="A22" s="3" t="s">
        <v>7</v>
      </c>
      <c r="B22" s="2">
        <f t="shared" si="0"/>
        <v>21</v>
      </c>
      <c r="C22" s="14">
        <v>10</v>
      </c>
      <c r="D22" s="14">
        <v>2022</v>
      </c>
      <c r="E22" s="4">
        <f>IF(OCTOBER!C28&gt;0,OCTOBER!C28,0)</f>
        <v>8100</v>
      </c>
      <c r="F22" s="9">
        <v>0.20799999999999999</v>
      </c>
      <c r="G22" s="4">
        <f>IF(OCTOBER!E28&gt;0,OCTOBER!E28,0)</f>
        <v>50.256</v>
      </c>
      <c r="H22" s="14">
        <v>2.09</v>
      </c>
      <c r="I22" s="4">
        <f>IF((OCTOBER!I28+OCTOBER!O28)&gt;0,(OCTOBER!I28+OCTOBER!O28),0)</f>
        <v>11450</v>
      </c>
      <c r="J22" s="14">
        <v>4.1500000000000002E-2</v>
      </c>
      <c r="K22" s="4">
        <f>IF((OCTOBER!G28+OCTOBER!M28)&gt;0,(OCTOBER!G28+OCTOBER!M28),0)</f>
        <v>8.2000000000000011</v>
      </c>
      <c r="L22" s="14">
        <v>51.8</v>
      </c>
      <c r="M22" s="4">
        <f>OCTOBER!R28</f>
        <v>118</v>
      </c>
    </row>
    <row r="23" spans="1:13" x14ac:dyDescent="0.25">
      <c r="A23" s="3" t="s">
        <v>7</v>
      </c>
      <c r="B23" s="2">
        <f t="shared" si="0"/>
        <v>22</v>
      </c>
      <c r="C23" s="14">
        <v>10</v>
      </c>
      <c r="D23" s="14">
        <v>2022</v>
      </c>
      <c r="E23" s="4">
        <f>IF(OCTOBER!C29&gt;0,OCTOBER!C29,0)</f>
        <v>7200</v>
      </c>
      <c r="F23" s="9">
        <v>0.20799999999999999</v>
      </c>
      <c r="G23" s="4">
        <f>IF(OCTOBER!E29&gt;0,OCTOBER!E29,0)</f>
        <v>53.396999999999998</v>
      </c>
      <c r="H23" s="14">
        <v>2.09</v>
      </c>
      <c r="I23" s="4">
        <f>IF((OCTOBER!I29+OCTOBER!O29)&gt;0,(OCTOBER!I29+OCTOBER!O29),0)</f>
        <v>9770</v>
      </c>
      <c r="J23" s="14">
        <v>4.1500000000000002E-2</v>
      </c>
      <c r="K23" s="4">
        <f>IF((OCTOBER!G29+OCTOBER!M29)&gt;0,(OCTOBER!G29+OCTOBER!M29),0)</f>
        <v>8.1</v>
      </c>
      <c r="L23" s="14">
        <v>51.8</v>
      </c>
      <c r="M23" s="4">
        <f>OCTOBER!R29</f>
        <v>101</v>
      </c>
    </row>
    <row r="24" spans="1:13" x14ac:dyDescent="0.25">
      <c r="A24" s="3" t="s">
        <v>7</v>
      </c>
      <c r="B24" s="2">
        <f t="shared" si="0"/>
        <v>23</v>
      </c>
      <c r="C24" s="14">
        <v>10</v>
      </c>
      <c r="D24" s="14">
        <v>2022</v>
      </c>
      <c r="E24" s="4">
        <f>IF(OCTOBER!C30&gt;0,OCTOBER!C30,0)</f>
        <v>6300</v>
      </c>
      <c r="F24" s="9">
        <v>0.20799999999999999</v>
      </c>
      <c r="G24" s="4">
        <f>IF(OCTOBER!E30&gt;0,OCTOBER!E30,0)</f>
        <v>42.927</v>
      </c>
      <c r="H24" s="14">
        <v>2.09</v>
      </c>
      <c r="I24" s="4">
        <f>IF((OCTOBER!I30+OCTOBER!O30)&gt;0,(OCTOBER!I30+OCTOBER!O30),0)</f>
        <v>10176</v>
      </c>
      <c r="J24" s="14">
        <v>4.1500000000000002E-2</v>
      </c>
      <c r="K24" s="4">
        <f>IF((OCTOBER!G30+OCTOBER!M30)&gt;0,(OCTOBER!G30+OCTOBER!M30),0)</f>
        <v>13.200000000000001</v>
      </c>
      <c r="L24" s="14">
        <v>51.8</v>
      </c>
      <c r="M24" s="4">
        <f>OCTOBER!R30</f>
        <v>65</v>
      </c>
    </row>
    <row r="25" spans="1:13" x14ac:dyDescent="0.25">
      <c r="A25" s="3" t="s">
        <v>7</v>
      </c>
      <c r="B25" s="2">
        <f t="shared" si="0"/>
        <v>24</v>
      </c>
      <c r="C25" s="14">
        <v>10</v>
      </c>
      <c r="D25" s="14">
        <v>2022</v>
      </c>
      <c r="E25" s="4">
        <f>IF(OCTOBER!C31&gt;0,OCTOBER!C31,0)</f>
        <v>6900</v>
      </c>
      <c r="F25" s="9">
        <v>0.20799999999999999</v>
      </c>
      <c r="G25" s="4">
        <f>IF(OCTOBER!E31&gt;0,OCTOBER!E31,0)</f>
        <v>45.020999999999994</v>
      </c>
      <c r="H25" s="14">
        <v>2.09</v>
      </c>
      <c r="I25" s="4">
        <f>IF((OCTOBER!I31+OCTOBER!O31)&gt;0,(OCTOBER!I31+OCTOBER!O31),0)</f>
        <v>10267</v>
      </c>
      <c r="J25" s="14">
        <v>4.1500000000000002E-2</v>
      </c>
      <c r="K25" s="4">
        <f>IF((OCTOBER!G31+OCTOBER!M31)&gt;0,(OCTOBER!G31+OCTOBER!M31),0)</f>
        <v>13.5</v>
      </c>
      <c r="L25" s="14">
        <v>51.8</v>
      </c>
      <c r="M25" s="4">
        <f>OCTOBER!R31</f>
        <v>126</v>
      </c>
    </row>
    <row r="26" spans="1:13" x14ac:dyDescent="0.25">
      <c r="A26" s="3" t="s">
        <v>7</v>
      </c>
      <c r="B26" s="2">
        <f>B25+1</f>
        <v>25</v>
      </c>
      <c r="C26" s="14">
        <v>10</v>
      </c>
      <c r="D26" s="14">
        <v>2022</v>
      </c>
      <c r="E26" s="4">
        <f>IF(OCTOBER!C32&gt;0,OCTOBER!C32,0)</f>
        <v>7500</v>
      </c>
      <c r="F26" s="9">
        <v>0.20799999999999999</v>
      </c>
      <c r="G26" s="4">
        <f>IF(OCTOBER!E32&gt;0,OCTOBER!E32,0)</f>
        <v>49.208999999999996</v>
      </c>
      <c r="H26" s="14">
        <v>2.09</v>
      </c>
      <c r="I26" s="4">
        <f>IF((OCTOBER!I32+OCTOBER!O32)&gt;0,(OCTOBER!I32+OCTOBER!O32),0)</f>
        <v>10072</v>
      </c>
      <c r="J26" s="14">
        <v>4.1500000000000002E-2</v>
      </c>
      <c r="K26" s="4">
        <f>IF((OCTOBER!G32+OCTOBER!M32)&gt;0,(OCTOBER!G32+OCTOBER!M32),0)</f>
        <v>13.400000000000002</v>
      </c>
      <c r="L26" s="14">
        <v>51.8</v>
      </c>
      <c r="M26" s="4">
        <f>OCTOBER!R32</f>
        <v>146</v>
      </c>
    </row>
    <row r="27" spans="1:13" x14ac:dyDescent="0.25">
      <c r="A27" s="3" t="s">
        <v>7</v>
      </c>
      <c r="B27" s="2">
        <f t="shared" si="0"/>
        <v>26</v>
      </c>
      <c r="C27" s="14">
        <v>10</v>
      </c>
      <c r="D27" s="14">
        <v>2022</v>
      </c>
      <c r="E27" s="4">
        <f>IF(OCTOBER!C33&gt;0,OCTOBER!C33,0)</f>
        <v>7200</v>
      </c>
      <c r="F27" s="9">
        <v>0.20799999999999999</v>
      </c>
      <c r="G27" s="4">
        <f>IF(OCTOBER!E33&gt;0,OCTOBER!E33,0)</f>
        <v>50.256</v>
      </c>
      <c r="H27" s="14">
        <v>2.09</v>
      </c>
      <c r="I27" s="4">
        <f>IF((OCTOBER!I33+OCTOBER!O33)&gt;0,(OCTOBER!I33+OCTOBER!O33),0)</f>
        <v>10730</v>
      </c>
      <c r="J27" s="14">
        <v>4.1500000000000002E-2</v>
      </c>
      <c r="K27" s="4">
        <f>IF((OCTOBER!G33+OCTOBER!M33)&gt;0,(OCTOBER!G33+OCTOBER!M33),0)</f>
        <v>12.9</v>
      </c>
      <c r="L27" s="14">
        <v>51.8</v>
      </c>
      <c r="M27" s="4">
        <f>OCTOBER!R33</f>
        <v>154</v>
      </c>
    </row>
    <row r="28" spans="1:13" x14ac:dyDescent="0.25">
      <c r="A28" s="3" t="s">
        <v>7</v>
      </c>
      <c r="B28" s="2">
        <f t="shared" si="0"/>
        <v>27</v>
      </c>
      <c r="C28" s="14">
        <v>10</v>
      </c>
      <c r="D28" s="14">
        <v>2022</v>
      </c>
      <c r="E28" s="4">
        <f>IF(OCTOBER!C34&gt;0,OCTOBER!C34,0)</f>
        <v>7200</v>
      </c>
      <c r="F28" s="9">
        <v>0.20799999999999999</v>
      </c>
      <c r="G28" s="4">
        <f>IF(OCTOBER!E34&gt;0,OCTOBER!E34,0)</f>
        <v>51.302999999999997</v>
      </c>
      <c r="H28" s="14">
        <v>2.09</v>
      </c>
      <c r="I28" s="4">
        <f>IF((OCTOBER!I34+OCTOBER!O34)&gt;0,(OCTOBER!I34+OCTOBER!O34),0)</f>
        <v>10950</v>
      </c>
      <c r="J28" s="14">
        <v>4.1500000000000002E-2</v>
      </c>
      <c r="K28" s="4">
        <f>IF((OCTOBER!G34+OCTOBER!M34)&gt;0,(OCTOBER!G34+OCTOBER!M34),0)</f>
        <v>12.4</v>
      </c>
      <c r="L28" s="14">
        <v>51.8</v>
      </c>
      <c r="M28" s="4">
        <f>OCTOBER!R34</f>
        <v>130</v>
      </c>
    </row>
    <row r="29" spans="1:13" x14ac:dyDescent="0.25">
      <c r="A29" s="3" t="s">
        <v>7</v>
      </c>
      <c r="B29" s="2">
        <f t="shared" si="0"/>
        <v>28</v>
      </c>
      <c r="C29" s="14">
        <v>10</v>
      </c>
      <c r="D29" s="14">
        <v>2022</v>
      </c>
      <c r="E29" s="4">
        <f>IF(OCTOBER!C35&gt;0,OCTOBER!C35,0)</f>
        <v>7200</v>
      </c>
      <c r="F29" s="9">
        <v>0.20799999999999999</v>
      </c>
      <c r="G29" s="4">
        <f>IF(OCTOBER!E35&gt;0,OCTOBER!E35,0)</f>
        <v>50.256</v>
      </c>
      <c r="H29" s="14">
        <v>2.09</v>
      </c>
      <c r="I29" s="4">
        <f>IF((OCTOBER!I35+OCTOBER!O35)&gt;0,(OCTOBER!I35+OCTOBER!O35),0)</f>
        <v>10335</v>
      </c>
      <c r="J29" s="14">
        <v>4.1500000000000002E-2</v>
      </c>
      <c r="K29" s="4">
        <f>IF((OCTOBER!G35+OCTOBER!M35)&gt;0,(OCTOBER!G35+OCTOBER!M35),0)</f>
        <v>11.100000000000001</v>
      </c>
      <c r="L29" s="14">
        <v>51.8</v>
      </c>
      <c r="M29" s="4">
        <f>OCTOBER!R35</f>
        <v>100</v>
      </c>
    </row>
    <row r="30" spans="1:13" x14ac:dyDescent="0.25">
      <c r="A30" s="3" t="s">
        <v>7</v>
      </c>
      <c r="B30" s="2">
        <f t="shared" si="0"/>
        <v>29</v>
      </c>
      <c r="C30" s="14">
        <v>10</v>
      </c>
      <c r="D30" s="14">
        <v>2022</v>
      </c>
      <c r="E30" s="4">
        <f>IF(OCTOBER!C36&gt;0,OCTOBER!C36,0)</f>
        <v>7200</v>
      </c>
      <c r="F30" s="9">
        <v>0.20799999999999999</v>
      </c>
      <c r="G30" s="4">
        <f>IF(OCTOBER!E36&gt;0,OCTOBER!E36,0)</f>
        <v>52.349999999999994</v>
      </c>
      <c r="H30" s="14">
        <v>2.09</v>
      </c>
      <c r="I30" s="4">
        <f>IF((OCTOBER!I36+OCTOBER!O36)&gt;0,(OCTOBER!I36+OCTOBER!O36),0)</f>
        <v>9795</v>
      </c>
      <c r="J30" s="14">
        <v>4.1500000000000002E-2</v>
      </c>
      <c r="K30" s="4">
        <f>IF((OCTOBER!G36+OCTOBER!M36)&gt;0,(OCTOBER!G36+OCTOBER!M36),0)</f>
        <v>12.3</v>
      </c>
      <c r="L30" s="14">
        <v>51.8</v>
      </c>
      <c r="M30" s="4">
        <f>OCTOBER!R36</f>
        <v>85</v>
      </c>
    </row>
    <row r="31" spans="1:13" x14ac:dyDescent="0.25">
      <c r="A31" s="3" t="s">
        <v>7</v>
      </c>
      <c r="B31" s="2">
        <f t="shared" si="0"/>
        <v>30</v>
      </c>
      <c r="C31" s="14">
        <v>10</v>
      </c>
      <c r="D31" s="14">
        <v>2022</v>
      </c>
      <c r="E31" s="4">
        <f>IF(OCTOBER!C37&gt;0,OCTOBER!C37,0)</f>
        <v>7200</v>
      </c>
      <c r="F31" s="9">
        <v>0.20799999999999999</v>
      </c>
      <c r="G31" s="4">
        <f>IF(OCTOBER!E37&gt;0,OCTOBER!E37,0)</f>
        <v>119.35799999999999</v>
      </c>
      <c r="H31" s="14">
        <v>2.09</v>
      </c>
      <c r="I31" s="4">
        <f>IF((OCTOBER!I37+OCTOBER!O37)&gt;0,(OCTOBER!I37+OCTOBER!O37),0)</f>
        <v>10982</v>
      </c>
      <c r="J31" s="14">
        <v>4.1500000000000002E-2</v>
      </c>
      <c r="K31" s="4">
        <f>IF((OCTOBER!G37+OCTOBER!M37)&gt;0,(OCTOBER!G37+OCTOBER!M37),0)</f>
        <v>13.8</v>
      </c>
      <c r="L31" s="14">
        <v>51.8</v>
      </c>
      <c r="M31" s="4">
        <f>OCTOBER!R37</f>
        <v>76</v>
      </c>
    </row>
    <row r="32" spans="1:13" x14ac:dyDescent="0.25">
      <c r="A32" s="3" t="s">
        <v>7</v>
      </c>
      <c r="B32" s="2">
        <f t="shared" si="0"/>
        <v>31</v>
      </c>
      <c r="C32" s="14">
        <v>10</v>
      </c>
      <c r="D32" s="14">
        <v>2022</v>
      </c>
      <c r="E32" s="4">
        <f>IF(OCTOBER!C38&gt;0,OCTOBER!C38,0)</f>
        <v>5700</v>
      </c>
      <c r="F32" s="9">
        <v>0.20799999999999999</v>
      </c>
      <c r="G32" s="4">
        <f>IF(OCTOBER!E38&gt;0,OCTOBER!E38,0)</f>
        <v>0</v>
      </c>
      <c r="H32" s="14">
        <v>2.09</v>
      </c>
      <c r="I32" s="4">
        <f>IF((OCTOBER!I38+OCTOBER!O38)&gt;0,(OCTOBER!I38+OCTOBER!O38),0)</f>
        <v>5890</v>
      </c>
      <c r="J32" s="14">
        <v>4.1500000000000002E-2</v>
      </c>
      <c r="K32" s="4">
        <f>IF((OCTOBER!G38+OCTOBER!M38)&gt;0,(OCTOBER!G38+OCTOBER!M38),0)</f>
        <v>9.7000000000000011</v>
      </c>
      <c r="L32" s="14">
        <v>51.8</v>
      </c>
      <c r="M32" s="4">
        <f>OCTOBER!R38</f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B26F-3336-4084-8E5A-828616B6B5CA}">
  <dimension ref="A1:W40"/>
  <sheetViews>
    <sheetView showWhiteSpace="0" topLeftCell="M1" zoomScaleNormal="100" workbookViewId="0">
      <selection activeCell="V26" sqref="V26"/>
    </sheetView>
  </sheetViews>
  <sheetFormatPr defaultColWidth="9.140625" defaultRowHeight="12.75" x14ac:dyDescent="0.25"/>
  <cols>
    <col min="1" max="1" width="9.85546875" style="16" bestFit="1" customWidth="1"/>
    <col min="2" max="7" width="9.7109375" style="16" customWidth="1"/>
    <col min="8" max="10" width="13.7109375" style="16" customWidth="1"/>
    <col min="11" max="11" width="8.42578125" style="16" customWidth="1"/>
    <col min="12" max="13" width="9.7109375" style="16" customWidth="1"/>
    <col min="14" max="15" width="13.7109375" style="16" customWidth="1"/>
    <col min="16" max="16" width="17.140625" style="16" customWidth="1"/>
    <col min="17" max="17" width="13.7109375" style="16" customWidth="1"/>
    <col min="18" max="19" width="9.140625" style="16"/>
    <col min="20" max="20" width="6.85546875" style="16" customWidth="1"/>
    <col min="21" max="21" width="8.140625" style="16" customWidth="1"/>
    <col min="22" max="22" width="9.140625" style="16"/>
    <col min="23" max="23" width="10.5703125" style="16" customWidth="1"/>
    <col min="24" max="16384" width="9.140625" style="16"/>
  </cols>
  <sheetData>
    <row r="1" spans="1:23" ht="18" customHeight="1" x14ac:dyDescent="0.25">
      <c r="A1" s="51"/>
      <c r="B1" s="51"/>
      <c r="C1" s="15"/>
    </row>
    <row r="2" spans="1:23" ht="21" x14ac:dyDescent="0.35">
      <c r="A2" s="52" t="s">
        <v>23</v>
      </c>
      <c r="B2" s="52"/>
      <c r="C2" s="52"/>
      <c r="D2" s="52"/>
      <c r="E2" s="52"/>
      <c r="F2" s="52"/>
      <c r="G2" s="52"/>
      <c r="H2" s="52"/>
      <c r="I2" s="52"/>
      <c r="J2" s="52"/>
      <c r="K2" s="17"/>
    </row>
    <row r="3" spans="1:23" ht="16.5" customHeight="1" x14ac:dyDescent="0.35">
      <c r="A3" s="52"/>
      <c r="B3" s="52"/>
      <c r="C3" s="52"/>
      <c r="D3" s="52"/>
      <c r="E3" s="52"/>
      <c r="F3" s="52"/>
      <c r="G3" s="52"/>
      <c r="H3" s="52"/>
      <c r="I3" s="52"/>
      <c r="J3" s="52"/>
      <c r="K3" s="17"/>
    </row>
    <row r="4" spans="1:23" s="19" customFormat="1" ht="24.75" customHeight="1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18"/>
    </row>
    <row r="5" spans="1:23" s="19" customFormat="1" ht="16.5" customHeight="1" x14ac:dyDescent="0.25">
      <c r="A5" s="18"/>
      <c r="B5" s="40"/>
      <c r="C5" s="18"/>
      <c r="D5" s="40"/>
      <c r="E5" s="18"/>
      <c r="F5" s="40"/>
      <c r="G5" s="18"/>
      <c r="H5" s="40"/>
      <c r="I5" s="18"/>
      <c r="J5" s="40"/>
      <c r="K5" s="18"/>
      <c r="L5" s="40"/>
      <c r="M5" s="18"/>
    </row>
    <row r="6" spans="1:23" s="19" customFormat="1" ht="49.5" customHeight="1" thickBot="1" x14ac:dyDescent="0.3">
      <c r="A6" s="47" t="s">
        <v>8</v>
      </c>
      <c r="B6" s="48">
        <f>[1]SEPTEMBER!B37</f>
        <v>24041</v>
      </c>
      <c r="C6" s="48"/>
      <c r="D6" s="48">
        <f>[1]SEPTEMBER!D37</f>
        <v>57094</v>
      </c>
      <c r="E6" s="48"/>
      <c r="F6" s="48">
        <f>[1]SEPTEMBER!F37</f>
        <v>34241</v>
      </c>
      <c r="G6" s="48"/>
      <c r="H6" s="48">
        <f>[1]SEPTEMBER!H37</f>
        <v>11241970</v>
      </c>
      <c r="I6" s="48"/>
      <c r="J6" s="49">
        <f>[1]SEPTEMBER!J37</f>
        <v>421095</v>
      </c>
      <c r="K6" s="48"/>
      <c r="L6" s="48">
        <f>[1]SEPTEMBER!L37</f>
        <v>35658</v>
      </c>
      <c r="M6" s="48"/>
      <c r="N6" s="50">
        <f>[1]SEPTEMBER!N37</f>
        <v>31059200</v>
      </c>
      <c r="O6" s="50"/>
      <c r="P6" s="50">
        <f>[1]SEPTEMBER!P37</f>
        <v>6373824</v>
      </c>
      <c r="Q6" s="50"/>
    </row>
    <row r="7" spans="1:23" s="20" customFormat="1" ht="47.25" customHeight="1" x14ac:dyDescent="0.25">
      <c r="A7" s="41" t="s">
        <v>9</v>
      </c>
      <c r="B7" s="42" t="s">
        <v>24</v>
      </c>
      <c r="C7" s="43" t="s">
        <v>10</v>
      </c>
      <c r="D7" s="42" t="s">
        <v>25</v>
      </c>
      <c r="E7" s="43" t="s">
        <v>11</v>
      </c>
      <c r="F7" s="44" t="s">
        <v>26</v>
      </c>
      <c r="G7" s="43" t="s">
        <v>12</v>
      </c>
      <c r="H7" s="42" t="s">
        <v>27</v>
      </c>
      <c r="I7" s="43" t="s">
        <v>13</v>
      </c>
      <c r="J7" s="44" t="s">
        <v>28</v>
      </c>
      <c r="K7" s="43" t="s">
        <v>14</v>
      </c>
      <c r="L7" s="44" t="s">
        <v>29</v>
      </c>
      <c r="M7" s="43" t="s">
        <v>12</v>
      </c>
      <c r="N7" s="44" t="s">
        <v>30</v>
      </c>
      <c r="O7" s="43" t="s">
        <v>13</v>
      </c>
      <c r="P7" s="44" t="s">
        <v>31</v>
      </c>
      <c r="Q7" s="45" t="s">
        <v>13</v>
      </c>
      <c r="R7" s="32" t="s">
        <v>22</v>
      </c>
      <c r="S7" s="24" t="s">
        <v>32</v>
      </c>
      <c r="T7" s="25" t="s">
        <v>33</v>
      </c>
      <c r="U7" s="25" t="s">
        <v>34</v>
      </c>
      <c r="V7" s="26" t="s">
        <v>35</v>
      </c>
      <c r="W7" s="38" t="s">
        <v>36</v>
      </c>
    </row>
    <row r="8" spans="1:23" ht="20.25" customHeight="1" x14ac:dyDescent="0.25">
      <c r="A8" s="36">
        <v>1</v>
      </c>
      <c r="B8" s="21">
        <v>24067</v>
      </c>
      <c r="C8" s="21">
        <f>+(B8-B6)*300</f>
        <v>7800</v>
      </c>
      <c r="D8" s="21">
        <v>57142</v>
      </c>
      <c r="E8" s="21">
        <f>+(D8-D6)*1.047</f>
        <v>50.256</v>
      </c>
      <c r="F8" s="21">
        <v>34319</v>
      </c>
      <c r="G8" s="21">
        <f>+(F8-F6)*0.1</f>
        <v>7.8000000000000007</v>
      </c>
      <c r="H8" s="21">
        <v>11244610</v>
      </c>
      <c r="I8" s="21">
        <f>+H8-H6</f>
        <v>2640</v>
      </c>
      <c r="J8" s="21">
        <v>421703</v>
      </c>
      <c r="K8" s="21">
        <f>+J8-J6</f>
        <v>608</v>
      </c>
      <c r="L8" s="21">
        <v>35746</v>
      </c>
      <c r="M8" s="21">
        <f>+(L8-L6)*0.1</f>
        <v>8.8000000000000007</v>
      </c>
      <c r="N8" s="21">
        <v>31069060</v>
      </c>
      <c r="O8" s="21">
        <f>+N8-N6</f>
        <v>9860</v>
      </c>
      <c r="P8" s="21">
        <v>6376128</v>
      </c>
      <c r="Q8" s="28">
        <f>+P8-P6</f>
        <v>2304</v>
      </c>
      <c r="R8" s="33">
        <v>103</v>
      </c>
      <c r="S8" s="27">
        <v>67</v>
      </c>
      <c r="T8" s="21">
        <v>56</v>
      </c>
      <c r="U8" s="21">
        <f>(S8+T8)/2</f>
        <v>61.5</v>
      </c>
      <c r="V8" s="28">
        <f>65-U8</f>
        <v>3.5</v>
      </c>
      <c r="W8" s="39">
        <v>0</v>
      </c>
    </row>
    <row r="9" spans="1:23" ht="20.25" customHeight="1" x14ac:dyDescent="0.25">
      <c r="A9" s="36">
        <v>2</v>
      </c>
      <c r="B9" s="21">
        <v>24091</v>
      </c>
      <c r="C9" s="21">
        <f>+(B9-B8)*300</f>
        <v>7200</v>
      </c>
      <c r="D9" s="21">
        <v>57189</v>
      </c>
      <c r="E9" s="21">
        <f>+(D9-D8)*1.047</f>
        <v>49.208999999999996</v>
      </c>
      <c r="F9" s="21">
        <v>34395</v>
      </c>
      <c r="G9" s="21">
        <f>+(F9-F8)*0.1</f>
        <v>7.6000000000000005</v>
      </c>
      <c r="H9" s="21">
        <v>11247067</v>
      </c>
      <c r="I9" s="21">
        <f>+H9-H8</f>
        <v>2457</v>
      </c>
      <c r="J9" s="21">
        <v>423033</v>
      </c>
      <c r="K9" s="21">
        <f>+J9-J8</f>
        <v>1330</v>
      </c>
      <c r="L9" s="21">
        <v>35813</v>
      </c>
      <c r="M9" s="21">
        <f>+(L9-L8)*0.1</f>
        <v>6.7</v>
      </c>
      <c r="N9" s="21">
        <v>31076629</v>
      </c>
      <c r="O9" s="21">
        <f>+N9-N8</f>
        <v>7569</v>
      </c>
      <c r="P9" s="21">
        <v>6376237</v>
      </c>
      <c r="Q9" s="28">
        <f>+P9-P8</f>
        <v>109</v>
      </c>
      <c r="R9" s="34">
        <v>102</v>
      </c>
      <c r="S9" s="27">
        <v>68</v>
      </c>
      <c r="T9" s="21">
        <v>57</v>
      </c>
      <c r="U9" s="21">
        <f t="shared" ref="U9:U38" si="0">(S9+T9)/2</f>
        <v>62.5</v>
      </c>
      <c r="V9" s="28">
        <f t="shared" ref="V9:V38" si="1">65-U9</f>
        <v>2.5</v>
      </c>
      <c r="W9" s="39">
        <v>0</v>
      </c>
    </row>
    <row r="10" spans="1:23" ht="20.25" customHeight="1" x14ac:dyDescent="0.25">
      <c r="A10" s="36">
        <v>3</v>
      </c>
      <c r="B10" s="21">
        <v>24115</v>
      </c>
      <c r="C10" s="21">
        <f t="shared" ref="C10:C38" si="2">+(B10-B9)*300</f>
        <v>7200</v>
      </c>
      <c r="D10" s="21">
        <v>57232</v>
      </c>
      <c r="E10" s="21">
        <f t="shared" ref="E10:E38" si="3">+(D10-D9)*1.047</f>
        <v>45.020999999999994</v>
      </c>
      <c r="F10" s="21">
        <v>34467</v>
      </c>
      <c r="G10" s="21">
        <f t="shared" ref="G10:G38" si="4">+(F10-F9)*0.1</f>
        <v>7.2</v>
      </c>
      <c r="H10" s="21">
        <v>11249394</v>
      </c>
      <c r="I10" s="21">
        <f>+H10-H9</f>
        <v>2327</v>
      </c>
      <c r="J10" s="21">
        <v>423899</v>
      </c>
      <c r="K10" s="21">
        <f>+J10-J9</f>
        <v>866</v>
      </c>
      <c r="L10" s="21">
        <v>35893</v>
      </c>
      <c r="M10" s="21">
        <f t="shared" ref="M10:M38" si="5">+(L10-L9)*0.1</f>
        <v>8</v>
      </c>
      <c r="N10" s="21">
        <v>31084732</v>
      </c>
      <c r="O10" s="21">
        <f>+N10-N9</f>
        <v>8103</v>
      </c>
      <c r="P10" s="21">
        <v>6377145</v>
      </c>
      <c r="Q10" s="28">
        <f>+P10-P9</f>
        <v>908</v>
      </c>
      <c r="R10" s="34">
        <v>95</v>
      </c>
      <c r="S10" s="27">
        <v>70</v>
      </c>
      <c r="T10" s="21">
        <v>57</v>
      </c>
      <c r="U10" s="21">
        <f t="shared" si="0"/>
        <v>63.5</v>
      </c>
      <c r="V10" s="28">
        <f t="shared" si="1"/>
        <v>1.5</v>
      </c>
      <c r="W10" s="39">
        <v>0</v>
      </c>
    </row>
    <row r="11" spans="1:23" ht="20.25" customHeight="1" x14ac:dyDescent="0.25">
      <c r="A11" s="36">
        <v>4</v>
      </c>
      <c r="B11" s="21">
        <v>24140</v>
      </c>
      <c r="C11" s="21">
        <f t="shared" si="2"/>
        <v>7500</v>
      </c>
      <c r="D11" s="21">
        <v>57280</v>
      </c>
      <c r="E11" s="21">
        <f t="shared" si="3"/>
        <v>50.256</v>
      </c>
      <c r="F11" s="21">
        <v>34542</v>
      </c>
      <c r="G11" s="21">
        <f t="shared" si="4"/>
        <v>7.5</v>
      </c>
      <c r="H11" s="21">
        <v>11251681</v>
      </c>
      <c r="I11" s="21">
        <f t="shared" ref="I11:K38" si="6">+H11-H10</f>
        <v>2287</v>
      </c>
      <c r="J11" s="21">
        <v>424856</v>
      </c>
      <c r="K11" s="21">
        <f t="shared" si="6"/>
        <v>957</v>
      </c>
      <c r="L11" s="21">
        <v>35976</v>
      </c>
      <c r="M11" s="21">
        <f t="shared" si="5"/>
        <v>8.3000000000000007</v>
      </c>
      <c r="N11" s="21">
        <v>31092896</v>
      </c>
      <c r="O11" s="21">
        <f t="shared" ref="O11:Q26" si="7">+N11-N10</f>
        <v>8164</v>
      </c>
      <c r="P11" s="21">
        <v>6378369</v>
      </c>
      <c r="Q11" s="28">
        <f t="shared" si="7"/>
        <v>1224</v>
      </c>
      <c r="R11" s="34">
        <v>123</v>
      </c>
      <c r="S11" s="27">
        <v>67</v>
      </c>
      <c r="T11" s="21">
        <v>55</v>
      </c>
      <c r="U11" s="21">
        <f t="shared" si="0"/>
        <v>61</v>
      </c>
      <c r="V11" s="28">
        <f t="shared" si="1"/>
        <v>4</v>
      </c>
      <c r="W11" s="39">
        <v>0</v>
      </c>
    </row>
    <row r="12" spans="1:23" ht="20.25" customHeight="1" x14ac:dyDescent="0.25">
      <c r="A12" s="36">
        <v>5</v>
      </c>
      <c r="B12" s="21">
        <v>24164</v>
      </c>
      <c r="C12" s="21">
        <f t="shared" si="2"/>
        <v>7200</v>
      </c>
      <c r="D12" s="21">
        <v>57327</v>
      </c>
      <c r="E12" s="21">
        <f t="shared" si="3"/>
        <v>49.208999999999996</v>
      </c>
      <c r="F12" s="21">
        <v>34614</v>
      </c>
      <c r="G12" s="21">
        <f t="shared" si="4"/>
        <v>7.2</v>
      </c>
      <c r="H12" s="21">
        <v>11253780</v>
      </c>
      <c r="I12" s="21">
        <f t="shared" si="6"/>
        <v>2099</v>
      </c>
      <c r="J12" s="21">
        <v>425557</v>
      </c>
      <c r="K12" s="21">
        <f t="shared" si="6"/>
        <v>701</v>
      </c>
      <c r="L12" s="21">
        <v>36057</v>
      </c>
      <c r="M12" s="21">
        <f t="shared" si="5"/>
        <v>8.1</v>
      </c>
      <c r="N12" s="21">
        <v>31099940</v>
      </c>
      <c r="O12" s="21">
        <f t="shared" si="7"/>
        <v>7044</v>
      </c>
      <c r="P12" s="21">
        <v>6378883</v>
      </c>
      <c r="Q12" s="28">
        <f t="shared" si="7"/>
        <v>514</v>
      </c>
      <c r="R12" s="34">
        <v>113</v>
      </c>
      <c r="S12" s="27">
        <v>72</v>
      </c>
      <c r="T12" s="21">
        <v>55</v>
      </c>
      <c r="U12" s="21">
        <f t="shared" si="0"/>
        <v>63.5</v>
      </c>
      <c r="V12" s="28">
        <f t="shared" si="1"/>
        <v>1.5</v>
      </c>
      <c r="W12" s="39">
        <v>0</v>
      </c>
    </row>
    <row r="13" spans="1:23" ht="20.25" customHeight="1" x14ac:dyDescent="0.25">
      <c r="A13" s="36">
        <v>6</v>
      </c>
      <c r="B13" s="21">
        <v>24190</v>
      </c>
      <c r="C13" s="21">
        <f t="shared" si="2"/>
        <v>7800</v>
      </c>
      <c r="D13" s="21">
        <v>57375</v>
      </c>
      <c r="E13" s="21">
        <f t="shared" si="3"/>
        <v>50.256</v>
      </c>
      <c r="F13" s="21">
        <v>34692</v>
      </c>
      <c r="G13" s="21">
        <f t="shared" si="4"/>
        <v>7.8000000000000007</v>
      </c>
      <c r="H13" s="21">
        <v>11256070</v>
      </c>
      <c r="I13" s="21">
        <f t="shared" si="6"/>
        <v>2290</v>
      </c>
      <c r="J13" s="21">
        <v>426235</v>
      </c>
      <c r="K13" s="21">
        <f t="shared" si="6"/>
        <v>678</v>
      </c>
      <c r="L13" s="21">
        <v>36144</v>
      </c>
      <c r="M13" s="21">
        <f t="shared" si="5"/>
        <v>8.7000000000000011</v>
      </c>
      <c r="N13" s="21">
        <v>31107700</v>
      </c>
      <c r="O13" s="21">
        <f t="shared" si="7"/>
        <v>7760</v>
      </c>
      <c r="P13" s="21">
        <v>6379814</v>
      </c>
      <c r="Q13" s="28">
        <f t="shared" si="7"/>
        <v>931</v>
      </c>
      <c r="R13" s="34">
        <v>91</v>
      </c>
      <c r="S13" s="27">
        <v>69</v>
      </c>
      <c r="T13" s="21">
        <v>54</v>
      </c>
      <c r="U13" s="21">
        <f t="shared" si="0"/>
        <v>61.5</v>
      </c>
      <c r="V13" s="28">
        <f t="shared" si="1"/>
        <v>3.5</v>
      </c>
      <c r="W13" s="39">
        <v>0</v>
      </c>
    </row>
    <row r="14" spans="1:23" ht="20.25" customHeight="1" x14ac:dyDescent="0.25">
      <c r="A14" s="36">
        <v>7</v>
      </c>
      <c r="B14" s="21">
        <v>24213</v>
      </c>
      <c r="C14" s="21">
        <f t="shared" si="2"/>
        <v>6900</v>
      </c>
      <c r="D14" s="21">
        <v>57418</v>
      </c>
      <c r="E14" s="21">
        <f t="shared" si="3"/>
        <v>45.020999999999994</v>
      </c>
      <c r="F14" s="21">
        <v>34765</v>
      </c>
      <c r="G14" s="21">
        <f t="shared" si="4"/>
        <v>7.3000000000000007</v>
      </c>
      <c r="H14" s="21">
        <v>11258060</v>
      </c>
      <c r="I14" s="21">
        <f t="shared" si="6"/>
        <v>1990</v>
      </c>
      <c r="J14" s="21">
        <v>426815</v>
      </c>
      <c r="K14" s="21">
        <f t="shared" si="6"/>
        <v>580</v>
      </c>
      <c r="L14" s="21">
        <v>36221</v>
      </c>
      <c r="M14" s="21">
        <f t="shared" si="5"/>
        <v>7.7</v>
      </c>
      <c r="N14" s="21">
        <v>31113730</v>
      </c>
      <c r="O14" s="21">
        <f t="shared" si="7"/>
        <v>6030</v>
      </c>
      <c r="P14" s="21">
        <v>6380573</v>
      </c>
      <c r="Q14" s="28">
        <f t="shared" si="7"/>
        <v>759</v>
      </c>
      <c r="R14" s="34">
        <v>108</v>
      </c>
      <c r="S14" s="27">
        <v>70</v>
      </c>
      <c r="T14" s="21">
        <v>53</v>
      </c>
      <c r="U14" s="21">
        <f t="shared" si="0"/>
        <v>61.5</v>
      </c>
      <c r="V14" s="28">
        <f t="shared" si="1"/>
        <v>3.5</v>
      </c>
      <c r="W14" s="39">
        <v>0</v>
      </c>
    </row>
    <row r="15" spans="1:23" ht="20.25" customHeight="1" x14ac:dyDescent="0.25">
      <c r="A15" s="36">
        <v>8</v>
      </c>
      <c r="B15" s="21">
        <v>24240</v>
      </c>
      <c r="C15" s="21">
        <f t="shared" si="2"/>
        <v>8100</v>
      </c>
      <c r="D15" s="21">
        <v>57468</v>
      </c>
      <c r="E15" s="21">
        <f t="shared" si="3"/>
        <v>52.349999999999994</v>
      </c>
      <c r="F15" s="21">
        <v>34843</v>
      </c>
      <c r="G15" s="21">
        <f t="shared" si="4"/>
        <v>7.8000000000000007</v>
      </c>
      <c r="H15" s="21">
        <v>11260225</v>
      </c>
      <c r="I15" s="21">
        <f t="shared" si="6"/>
        <v>2165</v>
      </c>
      <c r="J15" s="21">
        <v>427384</v>
      </c>
      <c r="K15" s="21">
        <f t="shared" si="6"/>
        <v>569</v>
      </c>
      <c r="L15" s="21">
        <v>36307</v>
      </c>
      <c r="M15" s="21">
        <f t="shared" si="5"/>
        <v>8.6</v>
      </c>
      <c r="N15" s="21">
        <v>31123270</v>
      </c>
      <c r="O15" s="21">
        <f t="shared" si="7"/>
        <v>9540</v>
      </c>
      <c r="P15" s="21">
        <v>6381298</v>
      </c>
      <c r="Q15" s="28">
        <f t="shared" si="7"/>
        <v>725</v>
      </c>
      <c r="R15" s="34">
        <v>127</v>
      </c>
      <c r="S15" s="27">
        <v>66</v>
      </c>
      <c r="T15" s="21">
        <v>54</v>
      </c>
      <c r="U15" s="21">
        <f t="shared" si="0"/>
        <v>60</v>
      </c>
      <c r="V15" s="28">
        <f t="shared" si="1"/>
        <v>5</v>
      </c>
      <c r="W15" s="39">
        <v>0</v>
      </c>
    </row>
    <row r="16" spans="1:23" ht="20.25" customHeight="1" x14ac:dyDescent="0.25">
      <c r="A16" s="36">
        <v>9</v>
      </c>
      <c r="B16" s="21">
        <v>24274</v>
      </c>
      <c r="C16" s="21">
        <f>+(B16-B15)*300</f>
        <v>10200</v>
      </c>
      <c r="D16" s="21">
        <v>57535</v>
      </c>
      <c r="E16" s="21">
        <f t="shared" si="3"/>
        <v>70.149000000000001</v>
      </c>
      <c r="F16" s="21">
        <v>34950</v>
      </c>
      <c r="G16" s="21">
        <f t="shared" si="4"/>
        <v>10.700000000000001</v>
      </c>
      <c r="H16" s="21">
        <v>11263894</v>
      </c>
      <c r="I16" s="21">
        <f t="shared" si="6"/>
        <v>3669</v>
      </c>
      <c r="J16" s="21">
        <v>427794</v>
      </c>
      <c r="K16" s="21">
        <f t="shared" si="6"/>
        <v>410</v>
      </c>
      <c r="L16" s="21">
        <v>36368</v>
      </c>
      <c r="M16" s="21">
        <f t="shared" si="5"/>
        <v>6.1000000000000005</v>
      </c>
      <c r="N16" s="21">
        <v>31139570</v>
      </c>
      <c r="O16" s="21">
        <f t="shared" si="7"/>
        <v>16300</v>
      </c>
      <c r="P16" s="21">
        <v>6382081</v>
      </c>
      <c r="Q16" s="28">
        <f t="shared" si="7"/>
        <v>783</v>
      </c>
      <c r="R16" s="34">
        <v>130</v>
      </c>
      <c r="S16" s="27">
        <v>63</v>
      </c>
      <c r="T16" s="21">
        <v>54</v>
      </c>
      <c r="U16" s="21">
        <f t="shared" si="0"/>
        <v>58.5</v>
      </c>
      <c r="V16" s="28">
        <f t="shared" si="1"/>
        <v>6.5</v>
      </c>
      <c r="W16" s="39">
        <v>0</v>
      </c>
    </row>
    <row r="17" spans="1:23" ht="20.25" customHeight="1" x14ac:dyDescent="0.25">
      <c r="A17" s="36">
        <v>10</v>
      </c>
      <c r="B17" s="21">
        <v>24286</v>
      </c>
      <c r="C17" s="21">
        <f t="shared" si="2"/>
        <v>3600</v>
      </c>
      <c r="D17" s="21">
        <v>57557</v>
      </c>
      <c r="E17" s="21">
        <f t="shared" si="3"/>
        <v>23.033999999999999</v>
      </c>
      <c r="F17" s="21">
        <v>34990</v>
      </c>
      <c r="G17" s="21">
        <f t="shared" si="4"/>
        <v>4</v>
      </c>
      <c r="H17" s="21">
        <v>11264445</v>
      </c>
      <c r="I17" s="21">
        <f t="shared" si="6"/>
        <v>551</v>
      </c>
      <c r="J17" s="21">
        <v>427852</v>
      </c>
      <c r="K17" s="21">
        <f t="shared" si="6"/>
        <v>58</v>
      </c>
      <c r="L17" s="21">
        <v>36480</v>
      </c>
      <c r="M17" s="21">
        <f t="shared" si="5"/>
        <v>11.200000000000001</v>
      </c>
      <c r="N17" s="21">
        <v>31143781</v>
      </c>
      <c r="O17" s="21">
        <f t="shared" si="7"/>
        <v>4211</v>
      </c>
      <c r="P17" s="21">
        <v>6382094</v>
      </c>
      <c r="Q17" s="28">
        <f t="shared" si="7"/>
        <v>13</v>
      </c>
      <c r="R17" s="34">
        <v>98</v>
      </c>
      <c r="S17" s="27">
        <v>67</v>
      </c>
      <c r="T17" s="21">
        <v>52</v>
      </c>
      <c r="U17" s="21">
        <f t="shared" si="0"/>
        <v>59.5</v>
      </c>
      <c r="V17" s="28">
        <f t="shared" si="1"/>
        <v>5.5</v>
      </c>
      <c r="W17" s="39">
        <v>0</v>
      </c>
    </row>
    <row r="18" spans="1:23" ht="20.25" customHeight="1" x14ac:dyDescent="0.25">
      <c r="A18" s="36">
        <v>11</v>
      </c>
      <c r="B18" s="21">
        <v>24309</v>
      </c>
      <c r="C18" s="21">
        <f t="shared" si="2"/>
        <v>6900</v>
      </c>
      <c r="D18" s="21">
        <v>57604</v>
      </c>
      <c r="E18" s="21">
        <f t="shared" si="3"/>
        <v>49.208999999999996</v>
      </c>
      <c r="F18" s="21">
        <v>35064</v>
      </c>
      <c r="G18" s="21">
        <f t="shared" si="4"/>
        <v>7.4</v>
      </c>
      <c r="H18" s="21">
        <v>11266787</v>
      </c>
      <c r="I18" s="21">
        <f t="shared" si="6"/>
        <v>2342</v>
      </c>
      <c r="J18" s="21">
        <v>428234</v>
      </c>
      <c r="K18" s="21">
        <f t="shared" si="6"/>
        <v>382</v>
      </c>
      <c r="L18" s="21">
        <v>36562</v>
      </c>
      <c r="M18" s="21">
        <f t="shared" si="5"/>
        <v>8.2000000000000011</v>
      </c>
      <c r="N18" s="21">
        <v>31151384</v>
      </c>
      <c r="O18" s="21">
        <f t="shared" si="7"/>
        <v>7603</v>
      </c>
      <c r="P18" s="21">
        <v>6382445</v>
      </c>
      <c r="Q18" s="28">
        <f t="shared" si="7"/>
        <v>351</v>
      </c>
      <c r="R18" s="34">
        <v>98</v>
      </c>
      <c r="S18" s="27">
        <v>65</v>
      </c>
      <c r="T18" s="21">
        <v>53</v>
      </c>
      <c r="U18" s="21">
        <f t="shared" si="0"/>
        <v>59</v>
      </c>
      <c r="V18" s="28">
        <f t="shared" si="1"/>
        <v>6</v>
      </c>
      <c r="W18" s="39">
        <v>0</v>
      </c>
    </row>
    <row r="19" spans="1:23" ht="20.25" customHeight="1" x14ac:dyDescent="0.25">
      <c r="A19" s="36">
        <v>12</v>
      </c>
      <c r="B19" s="21">
        <v>24332</v>
      </c>
      <c r="C19" s="21">
        <f t="shared" si="2"/>
        <v>6900</v>
      </c>
      <c r="D19" s="21">
        <v>57653</v>
      </c>
      <c r="E19" s="21">
        <f t="shared" si="3"/>
        <v>51.302999999999997</v>
      </c>
      <c r="F19" s="21">
        <v>35139</v>
      </c>
      <c r="G19" s="21">
        <f t="shared" si="4"/>
        <v>7.5</v>
      </c>
      <c r="H19" s="21">
        <v>11269315</v>
      </c>
      <c r="I19" s="21">
        <f t="shared" si="6"/>
        <v>2528</v>
      </c>
      <c r="J19" s="21">
        <v>428666</v>
      </c>
      <c r="K19" s="21">
        <f t="shared" si="6"/>
        <v>432</v>
      </c>
      <c r="L19" s="21">
        <v>36641</v>
      </c>
      <c r="M19" s="21">
        <f t="shared" si="5"/>
        <v>7.9</v>
      </c>
      <c r="N19" s="21">
        <v>31158510</v>
      </c>
      <c r="O19" s="21">
        <f t="shared" si="7"/>
        <v>7126</v>
      </c>
      <c r="P19" s="21">
        <v>6382750</v>
      </c>
      <c r="Q19" s="28">
        <f t="shared" si="7"/>
        <v>305</v>
      </c>
      <c r="R19" s="34">
        <v>128</v>
      </c>
      <c r="S19" s="27">
        <v>62</v>
      </c>
      <c r="T19" s="21">
        <v>53</v>
      </c>
      <c r="U19" s="21">
        <f t="shared" si="0"/>
        <v>57.5</v>
      </c>
      <c r="V19" s="28">
        <f t="shared" si="1"/>
        <v>7.5</v>
      </c>
      <c r="W19" s="39">
        <v>0</v>
      </c>
    </row>
    <row r="20" spans="1:23" ht="20.25" customHeight="1" x14ac:dyDescent="0.25">
      <c r="A20" s="36">
        <v>13</v>
      </c>
      <c r="B20" s="21">
        <v>24356</v>
      </c>
      <c r="C20" s="21">
        <f t="shared" si="2"/>
        <v>7200</v>
      </c>
      <c r="D20" s="21">
        <v>57704</v>
      </c>
      <c r="E20" s="21">
        <f t="shared" si="3"/>
        <v>53.396999999999998</v>
      </c>
      <c r="F20" s="21">
        <v>35214</v>
      </c>
      <c r="G20" s="21">
        <f t="shared" si="4"/>
        <v>7.5</v>
      </c>
      <c r="H20" s="21">
        <v>11271865</v>
      </c>
      <c r="I20" s="21">
        <f t="shared" si="6"/>
        <v>2550</v>
      </c>
      <c r="J20" s="21">
        <v>429155</v>
      </c>
      <c r="K20" s="21">
        <f t="shared" si="6"/>
        <v>489</v>
      </c>
      <c r="L20" s="21">
        <v>36723</v>
      </c>
      <c r="M20" s="21">
        <f t="shared" si="5"/>
        <v>8.2000000000000011</v>
      </c>
      <c r="N20" s="21">
        <v>31166250</v>
      </c>
      <c r="O20" s="21">
        <f t="shared" si="7"/>
        <v>7740</v>
      </c>
      <c r="P20" s="21">
        <v>6382979</v>
      </c>
      <c r="Q20" s="28">
        <f t="shared" si="7"/>
        <v>229</v>
      </c>
      <c r="R20" s="34">
        <v>137</v>
      </c>
      <c r="S20" s="27">
        <v>62</v>
      </c>
      <c r="T20" s="21">
        <v>53</v>
      </c>
      <c r="U20" s="21">
        <f t="shared" si="0"/>
        <v>57.5</v>
      </c>
      <c r="V20" s="28">
        <f t="shared" si="1"/>
        <v>7.5</v>
      </c>
      <c r="W20" s="39">
        <v>0</v>
      </c>
    </row>
    <row r="21" spans="1:23" ht="20.25" customHeight="1" x14ac:dyDescent="0.25">
      <c r="A21" s="36">
        <v>14</v>
      </c>
      <c r="B21" s="21">
        <v>24380</v>
      </c>
      <c r="C21" s="21">
        <f t="shared" si="2"/>
        <v>7200</v>
      </c>
      <c r="D21" s="21">
        <v>57756</v>
      </c>
      <c r="E21" s="21">
        <f t="shared" si="3"/>
        <v>54.443999999999996</v>
      </c>
      <c r="F21" s="21">
        <v>35296</v>
      </c>
      <c r="G21" s="21">
        <f t="shared" si="4"/>
        <v>8.2000000000000011</v>
      </c>
      <c r="H21" s="21">
        <v>11274660</v>
      </c>
      <c r="I21" s="21">
        <f t="shared" si="6"/>
        <v>2795</v>
      </c>
      <c r="J21" s="21">
        <v>429664</v>
      </c>
      <c r="K21" s="21">
        <f t="shared" si="6"/>
        <v>509</v>
      </c>
      <c r="L21" s="21">
        <v>36806</v>
      </c>
      <c r="M21" s="21">
        <f t="shared" si="5"/>
        <v>8.3000000000000007</v>
      </c>
      <c r="N21" s="21">
        <v>31174460</v>
      </c>
      <c r="O21" s="21">
        <f t="shared" si="7"/>
        <v>8210</v>
      </c>
      <c r="P21" s="21">
        <v>6383400</v>
      </c>
      <c r="Q21" s="28">
        <f t="shared" si="7"/>
        <v>421</v>
      </c>
      <c r="R21" s="34">
        <v>118</v>
      </c>
      <c r="S21" s="27">
        <v>64</v>
      </c>
      <c r="T21" s="21">
        <v>53</v>
      </c>
      <c r="U21" s="21">
        <f t="shared" si="0"/>
        <v>58.5</v>
      </c>
      <c r="V21" s="28">
        <f t="shared" si="1"/>
        <v>6.5</v>
      </c>
      <c r="W21" s="39">
        <v>0</v>
      </c>
    </row>
    <row r="22" spans="1:23" ht="20.25" customHeight="1" x14ac:dyDescent="0.25">
      <c r="A22" s="36">
        <v>15</v>
      </c>
      <c r="B22" s="21">
        <v>24402</v>
      </c>
      <c r="C22" s="21">
        <f t="shared" si="2"/>
        <v>6600</v>
      </c>
      <c r="D22" s="21">
        <v>57804</v>
      </c>
      <c r="E22" s="21">
        <f t="shared" si="3"/>
        <v>50.256</v>
      </c>
      <c r="F22" s="21">
        <v>35367</v>
      </c>
      <c r="G22" s="21">
        <f t="shared" si="4"/>
        <v>7.1000000000000005</v>
      </c>
      <c r="H22" s="21">
        <v>11277600</v>
      </c>
      <c r="I22" s="21">
        <f t="shared" si="6"/>
        <v>2940</v>
      </c>
      <c r="J22" s="21">
        <v>430950</v>
      </c>
      <c r="K22" s="21">
        <f t="shared" si="6"/>
        <v>1286</v>
      </c>
      <c r="L22" s="21">
        <v>36889</v>
      </c>
      <c r="M22" s="21">
        <f t="shared" si="5"/>
        <v>8.3000000000000007</v>
      </c>
      <c r="N22" s="21">
        <v>31182165</v>
      </c>
      <c r="O22" s="21">
        <f t="shared" si="7"/>
        <v>7705</v>
      </c>
      <c r="P22" s="21">
        <v>6383772</v>
      </c>
      <c r="Q22" s="28">
        <f t="shared" si="7"/>
        <v>372</v>
      </c>
      <c r="R22" s="34">
        <v>110</v>
      </c>
      <c r="S22" s="27">
        <v>63</v>
      </c>
      <c r="T22" s="21">
        <v>57</v>
      </c>
      <c r="U22" s="21">
        <f t="shared" si="0"/>
        <v>60</v>
      </c>
      <c r="V22" s="28">
        <f t="shared" si="1"/>
        <v>5</v>
      </c>
      <c r="W22" s="39">
        <v>0</v>
      </c>
    </row>
    <row r="23" spans="1:23" ht="20.25" customHeight="1" x14ac:dyDescent="0.25">
      <c r="A23" s="36">
        <v>16</v>
      </c>
      <c r="B23" s="21">
        <v>24427</v>
      </c>
      <c r="C23" s="21">
        <f t="shared" si="2"/>
        <v>7500</v>
      </c>
      <c r="D23" s="21">
        <v>57856</v>
      </c>
      <c r="E23" s="21">
        <f t="shared" si="3"/>
        <v>54.443999999999996</v>
      </c>
      <c r="F23" s="21">
        <v>35454</v>
      </c>
      <c r="G23" s="21">
        <f t="shared" si="4"/>
        <v>8.7000000000000011</v>
      </c>
      <c r="H23" s="21">
        <v>11279939</v>
      </c>
      <c r="I23" s="21">
        <f t="shared" si="6"/>
        <v>2339</v>
      </c>
      <c r="J23" s="21">
        <v>431280</v>
      </c>
      <c r="K23" s="21">
        <f t="shared" si="6"/>
        <v>330</v>
      </c>
      <c r="L23" s="21">
        <v>36980</v>
      </c>
      <c r="M23" s="21">
        <f t="shared" si="5"/>
        <v>9.1</v>
      </c>
      <c r="N23" s="21">
        <v>31192298</v>
      </c>
      <c r="O23" s="21">
        <f t="shared" si="7"/>
        <v>10133</v>
      </c>
      <c r="P23" s="21">
        <v>6383996</v>
      </c>
      <c r="Q23" s="28">
        <f t="shared" si="7"/>
        <v>224</v>
      </c>
      <c r="R23" s="34">
        <v>102</v>
      </c>
      <c r="S23" s="27">
        <v>64</v>
      </c>
      <c r="T23" s="21">
        <v>55</v>
      </c>
      <c r="U23" s="21">
        <f t="shared" si="0"/>
        <v>59.5</v>
      </c>
      <c r="V23" s="28">
        <f t="shared" si="1"/>
        <v>5.5</v>
      </c>
      <c r="W23" s="39">
        <v>0</v>
      </c>
    </row>
    <row r="24" spans="1:23" ht="20.25" customHeight="1" x14ac:dyDescent="0.25">
      <c r="A24" s="36">
        <v>17</v>
      </c>
      <c r="B24" s="21">
        <v>24445</v>
      </c>
      <c r="C24" s="21">
        <f t="shared" si="2"/>
        <v>5400</v>
      </c>
      <c r="D24" s="21">
        <v>57891</v>
      </c>
      <c r="E24" s="21">
        <f t="shared" si="3"/>
        <v>36.644999999999996</v>
      </c>
      <c r="F24" s="21">
        <v>35519</v>
      </c>
      <c r="G24" s="21">
        <f t="shared" si="4"/>
        <v>6.5</v>
      </c>
      <c r="H24" s="21">
        <v>11281550</v>
      </c>
      <c r="I24" s="21">
        <f t="shared" si="6"/>
        <v>1611</v>
      </c>
      <c r="J24" s="21">
        <v>432172</v>
      </c>
      <c r="K24" s="21">
        <f t="shared" si="6"/>
        <v>892</v>
      </c>
      <c r="L24" s="21">
        <v>37046</v>
      </c>
      <c r="M24" s="21">
        <f t="shared" si="5"/>
        <v>6.6000000000000005</v>
      </c>
      <c r="N24" s="21">
        <v>31197929</v>
      </c>
      <c r="O24" s="21">
        <f t="shared" si="7"/>
        <v>5631</v>
      </c>
      <c r="P24" s="21">
        <v>6384197</v>
      </c>
      <c r="Q24" s="28">
        <f t="shared" si="7"/>
        <v>201</v>
      </c>
      <c r="R24" s="34">
        <v>101</v>
      </c>
      <c r="S24" s="27">
        <v>68</v>
      </c>
      <c r="T24" s="21">
        <v>55</v>
      </c>
      <c r="U24" s="21">
        <f t="shared" si="0"/>
        <v>61.5</v>
      </c>
      <c r="V24" s="28">
        <f t="shared" si="1"/>
        <v>3.5</v>
      </c>
      <c r="W24" s="39">
        <v>0</v>
      </c>
    </row>
    <row r="25" spans="1:23" ht="20.25" customHeight="1" x14ac:dyDescent="0.25">
      <c r="A25" s="36">
        <v>18</v>
      </c>
      <c r="B25" s="21">
        <v>24470</v>
      </c>
      <c r="C25" s="21">
        <f t="shared" si="2"/>
        <v>7500</v>
      </c>
      <c r="D25" s="21">
        <v>57943</v>
      </c>
      <c r="E25" s="21">
        <f t="shared" si="3"/>
        <v>54.443999999999996</v>
      </c>
      <c r="F25" s="21">
        <v>35595</v>
      </c>
      <c r="G25" s="21">
        <f t="shared" si="4"/>
        <v>7.6000000000000005</v>
      </c>
      <c r="H25" s="21">
        <v>11284284</v>
      </c>
      <c r="I25" s="21">
        <f t="shared" si="6"/>
        <v>2734</v>
      </c>
      <c r="J25" s="21">
        <v>432942</v>
      </c>
      <c r="K25" s="21">
        <f t="shared" si="6"/>
        <v>770</v>
      </c>
      <c r="L25" s="21">
        <v>37123</v>
      </c>
      <c r="M25" s="21">
        <f t="shared" si="5"/>
        <v>7.7</v>
      </c>
      <c r="N25" s="21">
        <v>31205600</v>
      </c>
      <c r="O25" s="21">
        <f t="shared" si="7"/>
        <v>7671</v>
      </c>
      <c r="P25" s="21">
        <v>6385030</v>
      </c>
      <c r="Q25" s="28">
        <f t="shared" si="7"/>
        <v>833</v>
      </c>
      <c r="R25" s="34">
        <v>140</v>
      </c>
      <c r="S25" s="27">
        <v>75</v>
      </c>
      <c r="T25" s="21">
        <v>56</v>
      </c>
      <c r="U25" s="21">
        <f t="shared" si="0"/>
        <v>65.5</v>
      </c>
      <c r="V25" s="28">
        <v>0</v>
      </c>
      <c r="W25" s="39">
        <f t="shared" ref="W25:W26" si="8">U25-65</f>
        <v>0.5</v>
      </c>
    </row>
    <row r="26" spans="1:23" ht="20.25" customHeight="1" x14ac:dyDescent="0.25">
      <c r="A26" s="36">
        <v>19</v>
      </c>
      <c r="B26" s="21">
        <v>24497</v>
      </c>
      <c r="C26" s="21">
        <f t="shared" si="2"/>
        <v>8100</v>
      </c>
      <c r="D26" s="21">
        <v>57993</v>
      </c>
      <c r="E26" s="21">
        <f t="shared" si="3"/>
        <v>52.349999999999994</v>
      </c>
      <c r="F26" s="21">
        <v>35600</v>
      </c>
      <c r="G26" s="21">
        <f t="shared" si="4"/>
        <v>0.5</v>
      </c>
      <c r="H26" s="21">
        <v>11287230</v>
      </c>
      <c r="I26" s="21">
        <f t="shared" si="6"/>
        <v>2946</v>
      </c>
      <c r="J26" s="21">
        <v>433978</v>
      </c>
      <c r="K26" s="21">
        <f t="shared" si="6"/>
        <v>1036</v>
      </c>
      <c r="L26" s="21">
        <v>37201</v>
      </c>
      <c r="M26" s="21">
        <f t="shared" si="5"/>
        <v>7.8000000000000007</v>
      </c>
      <c r="N26" s="21">
        <v>31215350</v>
      </c>
      <c r="O26" s="21">
        <f t="shared" si="7"/>
        <v>9750</v>
      </c>
      <c r="P26" s="21">
        <v>6387127</v>
      </c>
      <c r="Q26" s="28">
        <f t="shared" si="7"/>
        <v>2097</v>
      </c>
      <c r="R26" s="34">
        <v>154</v>
      </c>
      <c r="S26" s="27">
        <v>81</v>
      </c>
      <c r="T26" s="21">
        <v>53</v>
      </c>
      <c r="U26" s="21">
        <f t="shared" si="0"/>
        <v>67</v>
      </c>
      <c r="V26" s="28">
        <v>0</v>
      </c>
      <c r="W26" s="39">
        <f t="shared" si="8"/>
        <v>2</v>
      </c>
    </row>
    <row r="27" spans="1:23" ht="20.25" customHeight="1" x14ac:dyDescent="0.25">
      <c r="A27" s="36">
        <v>20</v>
      </c>
      <c r="B27" s="21">
        <v>24526</v>
      </c>
      <c r="C27" s="21">
        <f t="shared" si="2"/>
        <v>8700</v>
      </c>
      <c r="D27" s="21">
        <v>58040</v>
      </c>
      <c r="E27" s="21">
        <f t="shared" si="3"/>
        <v>49.208999999999996</v>
      </c>
      <c r="F27" s="21">
        <v>35620</v>
      </c>
      <c r="G27" s="21">
        <f t="shared" si="4"/>
        <v>2</v>
      </c>
      <c r="H27" s="21">
        <v>11290560</v>
      </c>
      <c r="I27" s="21">
        <f t="shared" si="6"/>
        <v>3330</v>
      </c>
      <c r="J27" s="21">
        <v>435120</v>
      </c>
      <c r="K27" s="21">
        <f t="shared" si="6"/>
        <v>1142</v>
      </c>
      <c r="L27" s="21">
        <v>37280</v>
      </c>
      <c r="M27" s="21">
        <f t="shared" si="5"/>
        <v>7.9</v>
      </c>
      <c r="N27" s="21">
        <v>31226110</v>
      </c>
      <c r="O27" s="21">
        <f t="shared" ref="O27:Q38" si="9">+N27-N26</f>
        <v>10760</v>
      </c>
      <c r="P27" s="21">
        <v>6389808</v>
      </c>
      <c r="Q27" s="28">
        <f t="shared" si="9"/>
        <v>2681</v>
      </c>
      <c r="R27" s="34">
        <v>154</v>
      </c>
      <c r="S27" s="27">
        <v>69</v>
      </c>
      <c r="T27" s="21">
        <v>54</v>
      </c>
      <c r="U27" s="21">
        <f t="shared" si="0"/>
        <v>61.5</v>
      </c>
      <c r="V27" s="28">
        <f t="shared" si="1"/>
        <v>3.5</v>
      </c>
      <c r="W27" s="39">
        <v>0</v>
      </c>
    </row>
    <row r="28" spans="1:23" ht="20.25" customHeight="1" x14ac:dyDescent="0.25">
      <c r="A28" s="36">
        <v>21</v>
      </c>
      <c r="B28" s="21">
        <v>24553</v>
      </c>
      <c r="C28" s="21">
        <f t="shared" si="2"/>
        <v>8100</v>
      </c>
      <c r="D28" s="21">
        <v>58088</v>
      </c>
      <c r="E28" s="21">
        <f t="shared" si="3"/>
        <v>50.256</v>
      </c>
      <c r="F28" s="21">
        <v>35631</v>
      </c>
      <c r="G28" s="21">
        <f t="shared" si="4"/>
        <v>1.1000000000000001</v>
      </c>
      <c r="H28" s="21">
        <v>11293280</v>
      </c>
      <c r="I28" s="21">
        <f t="shared" si="6"/>
        <v>2720</v>
      </c>
      <c r="J28" s="21">
        <v>435659</v>
      </c>
      <c r="K28" s="21">
        <f t="shared" si="6"/>
        <v>539</v>
      </c>
      <c r="L28" s="21">
        <v>37351</v>
      </c>
      <c r="M28" s="21">
        <f t="shared" si="5"/>
        <v>7.1000000000000005</v>
      </c>
      <c r="N28" s="21">
        <v>31234840</v>
      </c>
      <c r="O28" s="21">
        <f t="shared" si="9"/>
        <v>8730</v>
      </c>
      <c r="P28" s="21">
        <v>6391091</v>
      </c>
      <c r="Q28" s="28">
        <f t="shared" si="9"/>
        <v>1283</v>
      </c>
      <c r="R28" s="34">
        <v>118</v>
      </c>
      <c r="S28" s="27">
        <v>63</v>
      </c>
      <c r="T28" s="21">
        <v>54</v>
      </c>
      <c r="U28" s="21">
        <f t="shared" si="0"/>
        <v>58.5</v>
      </c>
      <c r="V28" s="28">
        <f t="shared" si="1"/>
        <v>6.5</v>
      </c>
      <c r="W28" s="39">
        <v>0</v>
      </c>
    </row>
    <row r="29" spans="1:23" ht="20.25" customHeight="1" x14ac:dyDescent="0.25">
      <c r="A29" s="36">
        <v>22</v>
      </c>
      <c r="B29" s="21">
        <v>24577</v>
      </c>
      <c r="C29" s="21">
        <f t="shared" si="2"/>
        <v>7200</v>
      </c>
      <c r="D29" s="21">
        <v>58139</v>
      </c>
      <c r="E29" s="21">
        <f t="shared" si="3"/>
        <v>53.396999999999998</v>
      </c>
      <c r="F29" s="21">
        <v>35640</v>
      </c>
      <c r="G29" s="21">
        <f t="shared" si="4"/>
        <v>0.9</v>
      </c>
      <c r="H29" s="21">
        <v>11295720</v>
      </c>
      <c r="I29" s="21">
        <f t="shared" si="6"/>
        <v>2440</v>
      </c>
      <c r="J29" s="21">
        <v>436280</v>
      </c>
      <c r="K29" s="21">
        <f t="shared" si="6"/>
        <v>621</v>
      </c>
      <c r="L29" s="21">
        <v>37423</v>
      </c>
      <c r="M29" s="21">
        <f t="shared" si="5"/>
        <v>7.2</v>
      </c>
      <c r="N29" s="21">
        <v>31242170</v>
      </c>
      <c r="O29" s="21">
        <f t="shared" si="9"/>
        <v>7330</v>
      </c>
      <c r="P29" s="21">
        <v>6391124</v>
      </c>
      <c r="Q29" s="28">
        <f t="shared" si="9"/>
        <v>33</v>
      </c>
      <c r="R29" s="34">
        <v>101</v>
      </c>
      <c r="S29" s="27">
        <v>66</v>
      </c>
      <c r="T29" s="21">
        <v>55</v>
      </c>
      <c r="U29" s="21">
        <f t="shared" si="0"/>
        <v>60.5</v>
      </c>
      <c r="V29" s="28">
        <f t="shared" si="1"/>
        <v>4.5</v>
      </c>
      <c r="W29" s="39">
        <v>0</v>
      </c>
    </row>
    <row r="30" spans="1:23" ht="20.25" customHeight="1" x14ac:dyDescent="0.25">
      <c r="A30" s="36">
        <v>23</v>
      </c>
      <c r="B30" s="21">
        <v>24598</v>
      </c>
      <c r="C30" s="21">
        <f t="shared" si="2"/>
        <v>6300</v>
      </c>
      <c r="D30" s="21">
        <v>58180</v>
      </c>
      <c r="E30" s="21">
        <f t="shared" si="3"/>
        <v>42.927</v>
      </c>
      <c r="F30" s="21">
        <v>35684</v>
      </c>
      <c r="G30" s="21">
        <f t="shared" si="4"/>
        <v>4.4000000000000004</v>
      </c>
      <c r="H30" s="21">
        <v>11297461</v>
      </c>
      <c r="I30" s="21">
        <f t="shared" si="6"/>
        <v>1741</v>
      </c>
      <c r="J30" s="21">
        <v>436735</v>
      </c>
      <c r="K30" s="21">
        <f t="shared" si="6"/>
        <v>455</v>
      </c>
      <c r="L30" s="21">
        <v>37511</v>
      </c>
      <c r="M30" s="21">
        <f t="shared" si="5"/>
        <v>8.8000000000000007</v>
      </c>
      <c r="N30" s="21">
        <v>31250605</v>
      </c>
      <c r="O30" s="21">
        <f t="shared" si="9"/>
        <v>8435</v>
      </c>
      <c r="P30" s="21">
        <v>6392139</v>
      </c>
      <c r="Q30" s="28">
        <f t="shared" si="9"/>
        <v>1015</v>
      </c>
      <c r="R30" s="34">
        <v>65</v>
      </c>
      <c r="S30" s="27">
        <v>67</v>
      </c>
      <c r="T30" s="21">
        <v>51</v>
      </c>
      <c r="U30" s="21">
        <f t="shared" si="0"/>
        <v>59</v>
      </c>
      <c r="V30" s="28">
        <f t="shared" si="1"/>
        <v>6</v>
      </c>
      <c r="W30" s="39">
        <v>0</v>
      </c>
    </row>
    <row r="31" spans="1:23" ht="20.25" customHeight="1" x14ac:dyDescent="0.25">
      <c r="A31" s="36">
        <v>24</v>
      </c>
      <c r="B31" s="21">
        <v>24621</v>
      </c>
      <c r="C31" s="21">
        <f t="shared" si="2"/>
        <v>6900</v>
      </c>
      <c r="D31" s="21">
        <v>58223</v>
      </c>
      <c r="E31" s="21">
        <f t="shared" si="3"/>
        <v>45.020999999999994</v>
      </c>
      <c r="F31" s="21">
        <v>35730</v>
      </c>
      <c r="G31" s="21">
        <f t="shared" si="4"/>
        <v>4.6000000000000005</v>
      </c>
      <c r="H31" s="21">
        <v>11299495</v>
      </c>
      <c r="I31" s="21">
        <f t="shared" si="6"/>
        <v>2034</v>
      </c>
      <c r="J31" s="21">
        <v>437414</v>
      </c>
      <c r="K31" s="21">
        <f t="shared" si="6"/>
        <v>679</v>
      </c>
      <c r="L31" s="21">
        <v>37600</v>
      </c>
      <c r="M31" s="21">
        <f t="shared" si="5"/>
        <v>8.9</v>
      </c>
      <c r="N31" s="21">
        <v>31258838</v>
      </c>
      <c r="O31" s="21">
        <f t="shared" si="9"/>
        <v>8233</v>
      </c>
      <c r="P31" s="21">
        <v>6393229</v>
      </c>
      <c r="Q31" s="28">
        <f t="shared" si="9"/>
        <v>1090</v>
      </c>
      <c r="R31" s="34">
        <v>126</v>
      </c>
      <c r="S31" s="27">
        <v>68</v>
      </c>
      <c r="T31" s="21">
        <v>55</v>
      </c>
      <c r="U31" s="21">
        <f t="shared" si="0"/>
        <v>61.5</v>
      </c>
      <c r="V31" s="28">
        <f t="shared" si="1"/>
        <v>3.5</v>
      </c>
      <c r="W31" s="39">
        <v>0</v>
      </c>
    </row>
    <row r="32" spans="1:23" ht="20.25" customHeight="1" x14ac:dyDescent="0.25">
      <c r="A32" s="36">
        <v>25</v>
      </c>
      <c r="B32" s="21">
        <v>24646</v>
      </c>
      <c r="C32" s="21">
        <f t="shared" si="2"/>
        <v>7500</v>
      </c>
      <c r="D32" s="21">
        <v>58270</v>
      </c>
      <c r="E32" s="21">
        <f t="shared" si="3"/>
        <v>49.208999999999996</v>
      </c>
      <c r="F32" s="21">
        <v>35777</v>
      </c>
      <c r="G32" s="21">
        <f t="shared" si="4"/>
        <v>4.7</v>
      </c>
      <c r="H32" s="21">
        <v>11302020</v>
      </c>
      <c r="I32" s="21">
        <f t="shared" si="6"/>
        <v>2525</v>
      </c>
      <c r="J32" s="21">
        <v>438195</v>
      </c>
      <c r="K32" s="21">
        <f t="shared" si="6"/>
        <v>781</v>
      </c>
      <c r="L32" s="21">
        <v>37687</v>
      </c>
      <c r="M32" s="21">
        <f t="shared" si="5"/>
        <v>8.7000000000000011</v>
      </c>
      <c r="N32" s="21">
        <v>31266385</v>
      </c>
      <c r="O32" s="21">
        <f t="shared" si="9"/>
        <v>7547</v>
      </c>
      <c r="P32" s="21">
        <v>6394221</v>
      </c>
      <c r="Q32" s="28">
        <f t="shared" si="9"/>
        <v>992</v>
      </c>
      <c r="R32" s="34">
        <v>146</v>
      </c>
      <c r="S32" s="27">
        <v>63</v>
      </c>
      <c r="T32" s="21">
        <v>50</v>
      </c>
      <c r="U32" s="21">
        <f t="shared" si="0"/>
        <v>56.5</v>
      </c>
      <c r="V32" s="28">
        <f t="shared" si="1"/>
        <v>8.5</v>
      </c>
      <c r="W32" s="39">
        <v>0</v>
      </c>
    </row>
    <row r="33" spans="1:23" ht="20.25" customHeight="1" x14ac:dyDescent="0.25">
      <c r="A33" s="36">
        <v>26</v>
      </c>
      <c r="B33" s="21">
        <v>24670</v>
      </c>
      <c r="C33" s="21">
        <f t="shared" si="2"/>
        <v>7200</v>
      </c>
      <c r="D33" s="21">
        <v>58318</v>
      </c>
      <c r="E33" s="21">
        <f t="shared" si="3"/>
        <v>50.256</v>
      </c>
      <c r="F33" s="21">
        <v>35822</v>
      </c>
      <c r="G33" s="21">
        <f t="shared" si="4"/>
        <v>4.5</v>
      </c>
      <c r="H33" s="21">
        <v>11304425</v>
      </c>
      <c r="I33" s="21">
        <f t="shared" si="6"/>
        <v>2405</v>
      </c>
      <c r="J33" s="21">
        <v>438721</v>
      </c>
      <c r="K33" s="21">
        <f t="shared" si="6"/>
        <v>526</v>
      </c>
      <c r="L33" s="21">
        <v>37771</v>
      </c>
      <c r="M33" s="21">
        <f t="shared" si="5"/>
        <v>8.4</v>
      </c>
      <c r="N33" s="21">
        <v>31274710</v>
      </c>
      <c r="O33" s="21">
        <f t="shared" si="9"/>
        <v>8325</v>
      </c>
      <c r="P33" s="21">
        <v>6395285</v>
      </c>
      <c r="Q33" s="28">
        <f t="shared" si="9"/>
        <v>1064</v>
      </c>
      <c r="R33" s="34">
        <v>154</v>
      </c>
      <c r="S33" s="27">
        <v>64</v>
      </c>
      <c r="T33" s="21">
        <v>47</v>
      </c>
      <c r="U33" s="21">
        <f t="shared" si="0"/>
        <v>55.5</v>
      </c>
      <c r="V33" s="28">
        <f t="shared" si="1"/>
        <v>9.5</v>
      </c>
      <c r="W33" s="39">
        <v>0</v>
      </c>
    </row>
    <row r="34" spans="1:23" ht="20.25" customHeight="1" x14ac:dyDescent="0.25">
      <c r="A34" s="36">
        <v>27</v>
      </c>
      <c r="B34" s="21">
        <v>24694</v>
      </c>
      <c r="C34" s="21">
        <f t="shared" si="2"/>
        <v>7200</v>
      </c>
      <c r="D34" s="21">
        <v>58367</v>
      </c>
      <c r="E34" s="21">
        <f t="shared" si="3"/>
        <v>51.302999999999997</v>
      </c>
      <c r="F34" s="21">
        <v>35877</v>
      </c>
      <c r="G34" s="21">
        <f t="shared" si="4"/>
        <v>5.5</v>
      </c>
      <c r="H34" s="21">
        <v>11306805</v>
      </c>
      <c r="I34" s="21">
        <f t="shared" si="6"/>
        <v>2380</v>
      </c>
      <c r="J34" s="21">
        <v>439210</v>
      </c>
      <c r="K34" s="21">
        <f t="shared" si="6"/>
        <v>489</v>
      </c>
      <c r="L34" s="21">
        <v>37840</v>
      </c>
      <c r="M34" s="21">
        <f t="shared" si="5"/>
        <v>6.9</v>
      </c>
      <c r="N34" s="21">
        <v>31283280</v>
      </c>
      <c r="O34" s="21">
        <f t="shared" si="9"/>
        <v>8570</v>
      </c>
      <c r="P34" s="21">
        <v>6396015</v>
      </c>
      <c r="Q34" s="28">
        <f t="shared" si="9"/>
        <v>730</v>
      </c>
      <c r="R34" s="34">
        <v>130</v>
      </c>
      <c r="S34" s="27">
        <v>66</v>
      </c>
      <c r="T34" s="21">
        <v>47</v>
      </c>
      <c r="U34" s="21">
        <f t="shared" si="0"/>
        <v>56.5</v>
      </c>
      <c r="V34" s="28">
        <f t="shared" si="1"/>
        <v>8.5</v>
      </c>
      <c r="W34" s="39">
        <v>0</v>
      </c>
    </row>
    <row r="35" spans="1:23" ht="20.25" customHeight="1" x14ac:dyDescent="0.25">
      <c r="A35" s="36">
        <v>28</v>
      </c>
      <c r="B35" s="21">
        <v>24718</v>
      </c>
      <c r="C35" s="21">
        <f t="shared" si="2"/>
        <v>7200</v>
      </c>
      <c r="D35" s="21">
        <v>58415</v>
      </c>
      <c r="E35" s="21">
        <f t="shared" si="3"/>
        <v>50.256</v>
      </c>
      <c r="F35" s="21">
        <v>35911</v>
      </c>
      <c r="G35" s="21">
        <f t="shared" si="4"/>
        <v>3.4000000000000004</v>
      </c>
      <c r="H35" s="21">
        <v>11309575</v>
      </c>
      <c r="I35" s="21">
        <f t="shared" si="6"/>
        <v>2770</v>
      </c>
      <c r="J35" s="21">
        <v>439982</v>
      </c>
      <c r="K35" s="21">
        <f t="shared" si="6"/>
        <v>772</v>
      </c>
      <c r="L35" s="21">
        <v>37917</v>
      </c>
      <c r="M35" s="21">
        <f t="shared" si="5"/>
        <v>7.7</v>
      </c>
      <c r="N35" s="21">
        <v>31290845</v>
      </c>
      <c r="O35" s="21">
        <f t="shared" si="9"/>
        <v>7565</v>
      </c>
      <c r="P35" s="21">
        <v>6396840</v>
      </c>
      <c r="Q35" s="28">
        <f t="shared" si="9"/>
        <v>825</v>
      </c>
      <c r="R35" s="34">
        <v>100</v>
      </c>
      <c r="S35" s="27">
        <v>60</v>
      </c>
      <c r="T35" s="21">
        <v>48</v>
      </c>
      <c r="U35" s="21">
        <f t="shared" si="0"/>
        <v>54</v>
      </c>
      <c r="V35" s="28">
        <f t="shared" si="1"/>
        <v>11</v>
      </c>
      <c r="W35" s="39">
        <v>0</v>
      </c>
    </row>
    <row r="36" spans="1:23" ht="20.25" customHeight="1" x14ac:dyDescent="0.25">
      <c r="A36" s="36">
        <v>29</v>
      </c>
      <c r="B36" s="21">
        <v>24742</v>
      </c>
      <c r="C36" s="21">
        <f t="shared" si="2"/>
        <v>7200</v>
      </c>
      <c r="D36" s="21">
        <v>58465</v>
      </c>
      <c r="E36" s="21">
        <f t="shared" si="3"/>
        <v>52.349999999999994</v>
      </c>
      <c r="F36" s="21">
        <v>35954</v>
      </c>
      <c r="G36" s="21">
        <f t="shared" si="4"/>
        <v>4.3</v>
      </c>
      <c r="H36" s="21">
        <v>11311960</v>
      </c>
      <c r="I36" s="21">
        <f t="shared" si="6"/>
        <v>2385</v>
      </c>
      <c r="J36" s="21">
        <v>440356</v>
      </c>
      <c r="K36" s="21">
        <f t="shared" si="6"/>
        <v>374</v>
      </c>
      <c r="L36" s="21">
        <v>37997</v>
      </c>
      <c r="M36" s="21">
        <f t="shared" si="5"/>
        <v>8</v>
      </c>
      <c r="N36" s="21">
        <v>31298255</v>
      </c>
      <c r="O36" s="21">
        <f t="shared" si="9"/>
        <v>7410</v>
      </c>
      <c r="P36" s="21">
        <v>6397495</v>
      </c>
      <c r="Q36" s="28">
        <f t="shared" si="9"/>
        <v>655</v>
      </c>
      <c r="R36" s="34">
        <v>85</v>
      </c>
      <c r="S36" s="27">
        <v>65</v>
      </c>
      <c r="T36" s="21">
        <v>51</v>
      </c>
      <c r="U36" s="21">
        <f t="shared" si="0"/>
        <v>58</v>
      </c>
      <c r="V36" s="28">
        <f t="shared" si="1"/>
        <v>7</v>
      </c>
      <c r="W36" s="39">
        <v>0</v>
      </c>
    </row>
    <row r="37" spans="1:23" ht="20.25" customHeight="1" x14ac:dyDescent="0.25">
      <c r="A37" s="36">
        <v>30</v>
      </c>
      <c r="B37" s="21">
        <v>24766</v>
      </c>
      <c r="C37" s="21">
        <f t="shared" si="2"/>
        <v>7200</v>
      </c>
      <c r="D37" s="21">
        <v>58579</v>
      </c>
      <c r="E37" s="21">
        <f t="shared" si="3"/>
        <v>119.35799999999999</v>
      </c>
      <c r="F37" s="21">
        <v>36003</v>
      </c>
      <c r="G37" s="21">
        <f t="shared" si="4"/>
        <v>4.9000000000000004</v>
      </c>
      <c r="H37" s="21">
        <v>11314240</v>
      </c>
      <c r="I37" s="21">
        <f t="shared" si="6"/>
        <v>2280</v>
      </c>
      <c r="J37" s="21">
        <v>440812</v>
      </c>
      <c r="K37" s="21">
        <f t="shared" si="6"/>
        <v>456</v>
      </c>
      <c r="L37" s="21">
        <v>38086</v>
      </c>
      <c r="M37" s="21">
        <f t="shared" si="5"/>
        <v>8.9</v>
      </c>
      <c r="N37" s="21">
        <v>31306957</v>
      </c>
      <c r="O37" s="21">
        <f t="shared" si="9"/>
        <v>8702</v>
      </c>
      <c r="P37" s="21">
        <v>6398142</v>
      </c>
      <c r="Q37" s="28">
        <f t="shared" si="9"/>
        <v>647</v>
      </c>
      <c r="R37" s="34">
        <v>76</v>
      </c>
      <c r="S37" s="27">
        <v>61</v>
      </c>
      <c r="T37" s="21">
        <v>51</v>
      </c>
      <c r="U37" s="21">
        <f t="shared" si="0"/>
        <v>56</v>
      </c>
      <c r="V37" s="28">
        <f t="shared" si="1"/>
        <v>9</v>
      </c>
      <c r="W37" s="39">
        <v>0</v>
      </c>
    </row>
    <row r="38" spans="1:23" ht="20.25" customHeight="1" thickBot="1" x14ac:dyDescent="0.3">
      <c r="A38" s="37">
        <v>31</v>
      </c>
      <c r="B38" s="30">
        <v>24785</v>
      </c>
      <c r="C38" s="30">
        <f t="shared" si="2"/>
        <v>5700</v>
      </c>
      <c r="D38" s="30">
        <v>58557</v>
      </c>
      <c r="E38" s="30">
        <f t="shared" si="3"/>
        <v>-23.033999999999999</v>
      </c>
      <c r="F38" s="30">
        <v>36039</v>
      </c>
      <c r="G38" s="30">
        <f t="shared" si="4"/>
        <v>3.6</v>
      </c>
      <c r="H38" s="30">
        <v>11316025</v>
      </c>
      <c r="I38" s="30">
        <f t="shared" si="6"/>
        <v>1785</v>
      </c>
      <c r="J38" s="30">
        <v>441154</v>
      </c>
      <c r="K38" s="30">
        <f t="shared" si="6"/>
        <v>342</v>
      </c>
      <c r="L38" s="30">
        <v>38147</v>
      </c>
      <c r="M38" s="30">
        <f t="shared" si="5"/>
        <v>6.1000000000000005</v>
      </c>
      <c r="N38" s="30">
        <v>31311062</v>
      </c>
      <c r="O38" s="30">
        <f t="shared" si="9"/>
        <v>4105</v>
      </c>
      <c r="P38" s="30">
        <v>6398730</v>
      </c>
      <c r="Q38" s="31">
        <f t="shared" si="9"/>
        <v>588</v>
      </c>
      <c r="R38" s="35">
        <v>47</v>
      </c>
      <c r="S38" s="29">
        <v>60</v>
      </c>
      <c r="T38" s="30">
        <v>53</v>
      </c>
      <c r="U38" s="30">
        <f t="shared" si="0"/>
        <v>56.5</v>
      </c>
      <c r="V38" s="31">
        <f t="shared" si="1"/>
        <v>8.5</v>
      </c>
      <c r="W38" s="46">
        <v>0</v>
      </c>
    </row>
    <row r="40" spans="1:23" x14ac:dyDescent="0.25">
      <c r="A40" s="22" t="s">
        <v>15</v>
      </c>
      <c r="C40" s="23">
        <f>SUM(C8:C39)</f>
        <v>223200</v>
      </c>
      <c r="E40" s="23">
        <f>SUM(E8:E39)</f>
        <v>1531.7609999999995</v>
      </c>
      <c r="G40" s="23">
        <f>SUM(G8:G39)</f>
        <v>179.8</v>
      </c>
      <c r="I40" s="23">
        <f>SUM(I8:I39)</f>
        <v>74055</v>
      </c>
      <c r="K40" s="23">
        <f>SUM(K8:K39)</f>
        <v>20059</v>
      </c>
      <c r="M40" s="23">
        <f>SUM(M8:M39)</f>
        <v>248.9</v>
      </c>
      <c r="O40" s="23">
        <f>SUM(O8:O39)</f>
        <v>251862</v>
      </c>
      <c r="Q40" s="23">
        <f>SUM(Q8:Q39)</f>
        <v>24906</v>
      </c>
      <c r="R40" s="16">
        <f>SUM(R8:R39)</f>
        <v>3480</v>
      </c>
      <c r="V40" s="16">
        <f>SUM(V8:V38)</f>
        <v>164.5</v>
      </c>
      <c r="W40" s="16">
        <f>SUM(W8:W39)</f>
        <v>2.5</v>
      </c>
    </row>
  </sheetData>
  <mergeCells count="3">
    <mergeCell ref="A1:B1"/>
    <mergeCell ref="A2:J3"/>
    <mergeCell ref="A4:L4"/>
  </mergeCells>
  <printOptions horizontalCentered="1"/>
  <pageMargins left="0.2" right="0.2" top="0.25" bottom="0.25" header="0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OCTOBER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Trieu Nguyen</cp:lastModifiedBy>
  <cp:revision/>
  <dcterms:created xsi:type="dcterms:W3CDTF">2017-05-03T09:23:30Z</dcterms:created>
  <dcterms:modified xsi:type="dcterms:W3CDTF">2022-11-21T21:40:29Z</dcterms:modified>
  <cp:category/>
  <cp:contentStatus/>
</cp:coreProperties>
</file>