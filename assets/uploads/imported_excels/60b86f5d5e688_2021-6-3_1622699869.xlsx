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70" i="4" l="1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<sst xmlns="http://schemas.openxmlformats.org/spreadsheetml/2006/main" count="606" uniqueCount="76">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</sst>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30" workbookViewId="0">
      <selection activeCell="K155" sqref="K15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0.67</v>
      </c>
      <c r="G153" s="4">
        <f>'Gas Water'!M155</f>
        <v>1816</v>
      </c>
      <c r="H153" s="154">
        <v>1.77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</v>
      </c>
      <c r="F154" s="154">
        <v>0.67</v>
      </c>
      <c r="G154" s="4">
        <f>'Gas Water'!M156</f>
        <v>1894</v>
      </c>
      <c r="H154" s="154">
        <v>1.77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>
        <v>0.67</v>
      </c>
      <c r="G155" s="4" t="str">
        <f>'Gas Water'!M157</f>
        <v/>
      </c>
      <c r="H155" s="154">
        <v>1.77</v>
      </c>
      <c r="I155" s="2" t="str">
        <f>'Gas Water'!L157</f>
        <v/>
      </c>
      <c r="J155" s="154">
        <v>12.93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>
        <v>0.67</v>
      </c>
      <c r="G156" s="4" t="str">
        <f>'Gas Water'!M158</f>
        <v/>
      </c>
      <c r="H156" s="154">
        <v>1.77</v>
      </c>
      <c r="I156" s="2" t="str">
        <f>'Gas Water'!L158</f>
        <v/>
      </c>
      <c r="J156" s="154">
        <v>12.93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>
        <v>0.67</v>
      </c>
      <c r="G157" s="4" t="str">
        <f>'Gas Water'!M159</f>
        <v/>
      </c>
      <c r="H157" s="154">
        <v>1.77</v>
      </c>
      <c r="I157" s="2" t="str">
        <f>'Gas Water'!L159</f>
        <v/>
      </c>
      <c r="J157" s="154">
        <v>12.93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>
        <v>0.67</v>
      </c>
      <c r="G158" s="4" t="str">
        <f>'Gas Water'!M160</f>
        <v/>
      </c>
      <c r="H158" s="154">
        <v>1.77</v>
      </c>
      <c r="I158" s="2" t="str">
        <f>'Gas Water'!L160</f>
        <v/>
      </c>
      <c r="J158" s="154">
        <v>12.93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str">
        <f>'Gas Water'!M161</f>
        <v/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str">
        <f>'Gas Water'!M162</f>
        <v/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str">
        <f>'Gas Water'!M163</f>
        <v/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str">
        <f>'Gas Water'!M164</f>
        <v/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str">
        <f>'Gas Water'!M165</f>
        <v/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str">
        <f>'Gas Water'!M166</f>
        <v/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str">
        <f>'Gas Water'!M167</f>
        <v/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str">
        <f>'Gas Water'!M168</f>
        <v/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33" workbookViewId="0">
      <selection activeCell="K157" sqref="K15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ref="L156:L196" si="14">IF(G157="","",+(G156-G157))</f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169</v>
      </c>
      <c r="O178" s="32">
        <f>SUM(M156:M185)</f>
        <v>1894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>
        <f>AVERAGE(L156:L185)</f>
        <v>169</v>
      </c>
      <c r="O181" s="32">
        <f>AVERAGE(M156:M185)</f>
        <v>1894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373879</v>
      </c>
      <c r="J371" s="40">
        <f t="shared" si="29"/>
        <v>21426</v>
      </c>
      <c r="K371" s="40">
        <f t="shared" si="29"/>
        <v>20035</v>
      </c>
      <c r="L371" s="40">
        <f t="shared" si="29"/>
        <v>20954</v>
      </c>
      <c r="M371" s="40">
        <f t="shared" si="29"/>
        <v>415340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27" workbookViewId="0">
      <selection activeCell="I157" sqref="I157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v>23130</v>
      </c>
      <c r="J155" s="60">
        <f t="shared" si="22"/>
        <v>447.12000000000222</v>
      </c>
      <c r="K155" s="61">
        <f t="shared" si="19"/>
        <v>1.9330739299610992E-2</v>
      </c>
      <c r="L155" s="60">
        <f t="shared" si="20"/>
        <v>447.12000000000222</v>
      </c>
      <c r="M155" s="61">
        <f t="shared" si="21"/>
        <v>1.9330739299610992E-2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ref="I155:J196" si="23">IF(D156="","",+(D156-D155)*4140)</f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1.9330739299610992E-2</v>
      </c>
      <c r="Q175" s="71">
        <f>IF(L155="",0,+SUM(L155:L184)/SUM(I155:I184))</f>
        <v>1.9330739299610992E-2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3251240.6999999955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2021-06-03T05:56:10Z</dcterms:modified>
  <cp:category/>
  <cp:contentStatus/>
</cp:coreProperties>
</file>