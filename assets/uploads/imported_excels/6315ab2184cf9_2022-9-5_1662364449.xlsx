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51" documentId="13_ncr:1_{76C55D63-F869-4AF5-AAA3-3D809A91432B}" xr6:coauthVersionLast="47" xr6:coauthVersionMax="47" xr10:uidLastSave="{3BBB13FE-704A-4C44-978F-CFF4103E659A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J6" i="27"/>
  <c r="J5" i="27"/>
  <c r="L36" i="27"/>
  <c r="L35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<sst xmlns="http://schemas.openxmlformats.org/spreadsheetml/2006/main" count="71" uniqueCount="33">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</sst>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0</v>
      </c>
      <c r="F5" s="83">
        <v>9.3200000000000005E-2</v>
      </c>
      <c r="G5" s="11">
        <f>IF('Water, Gas, Diesel'!K9&lt;0,0,'Water, Gas, Diesel'!K9)</f>
        <v>11310</v>
      </c>
      <c r="H5" s="83">
        <v>0.7</v>
      </c>
      <c r="I5" s="11">
        <f>IF('Water, Gas, Diesel'!C9&lt;0,0,'Water, Gas, Diesel'!C9)</f>
        <v>0</v>
      </c>
      <c r="J5" s="83">
        <v>0.21186441</v>
      </c>
      <c r="K5" s="11">
        <f>IF('Water, Gas, Diesel'!F9&lt;0,0,'Water, Gas, Diesel'!F9)</f>
        <v>0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3" sqref="J13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22664.999999997235</v>
      </c>
      <c r="G7" s="67">
        <f>F7*0.0932</f>
        <v>2112.3779999997423</v>
      </c>
      <c r="H7" s="137">
        <v>88</v>
      </c>
    </row>
    <row r="8" spans="1:8" ht="30.95" customHeight="1">
      <c r="A8" s="100">
        <v>1</v>
      </c>
      <c r="B8" s="94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101">
        <v>94</v>
      </c>
    </row>
    <row r="9" spans="1:8" ht="30.95" customHeight="1">
      <c r="A9" s="102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3">
        <v>67</v>
      </c>
    </row>
    <row r="10" spans="1:8" ht="30.95" customHeight="1">
      <c r="A10" s="100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3">
        <v>81</v>
      </c>
    </row>
    <row r="11" spans="1:8" ht="30.95" customHeight="1">
      <c r="A11" s="102">
        <v>4</v>
      </c>
      <c r="B11" s="75">
        <v>15730.366</v>
      </c>
      <c r="C11" s="39">
        <f t="shared" si="0"/>
        <v>-39325915</v>
      </c>
      <c r="D11" s="76">
        <v>16063.736000000001</v>
      </c>
      <c r="E11" s="39">
        <f t="shared" si="1"/>
        <v>-40159340</v>
      </c>
      <c r="F11" s="47">
        <f t="shared" si="2"/>
        <v>-79485255</v>
      </c>
      <c r="G11" s="67">
        <f t="shared" si="3"/>
        <v>-7408025.7660000008</v>
      </c>
      <c r="H11" s="103">
        <v>97</v>
      </c>
    </row>
    <row r="12" spans="1:8" ht="30.95" customHeight="1">
      <c r="A12" s="100">
        <v>5</v>
      </c>
      <c r="B12" s="77"/>
      <c r="C12" s="70">
        <f t="shared" si="0"/>
        <v>0</v>
      </c>
      <c r="D12" s="74"/>
      <c r="E12" s="70">
        <f t="shared" si="1"/>
        <v>0</v>
      </c>
      <c r="F12" s="51">
        <f t="shared" si="2"/>
        <v>0</v>
      </c>
      <c r="G12" s="67">
        <f t="shared" si="3"/>
        <v>0</v>
      </c>
      <c r="H12" s="103"/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N7" sqref="N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-7012174</v>
      </c>
      <c r="D9" s="46">
        <f t="shared" si="7"/>
        <v>-1485630.1073273399</v>
      </c>
      <c r="E9" s="47">
        <v>557629</v>
      </c>
      <c r="F9" s="56">
        <f t="shared" si="1"/>
        <v>-557629</v>
      </c>
      <c r="G9" s="48">
        <f t="shared" si="4"/>
        <v>-472568.27233999997</v>
      </c>
      <c r="H9" s="48">
        <f t="shared" si="5"/>
        <v>-472568.27233999997</v>
      </c>
      <c r="I9" s="49">
        <f t="shared" si="2"/>
        <v>-945136.54467999993</v>
      </c>
      <c r="J9" s="37">
        <f>4960+6350</f>
        <v>11310</v>
      </c>
      <c r="K9" s="38">
        <f t="shared" si="3"/>
        <v>11310</v>
      </c>
      <c r="L9" s="39">
        <f t="shared" si="6"/>
        <v>7916.9999999999991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CFA95821-BE09-4CF4-AFB9-6209A7E26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2022-09-05T04:40:01Z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