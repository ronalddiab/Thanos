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1\"/>
    </mc:Choice>
  </mc:AlternateContent>
  <xr:revisionPtr revIDLastSave="0" documentId="13_ncr:1_{8D22D98E-7800-48E4-BE79-07F18788DA53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énergie'!$A$1:$Y$55</definedName>
    <definedName name="_xlnm.Print_Area" localSheetId="5">'facture électricité'!$A$1:$J$33</definedName>
    <definedName name="_xlnm.Print_Area" localSheetId="3">'Suivi EAU-ELEC'!$A$1:$K$41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0" i="2" l="1"/>
  <c r="N49" i="2"/>
  <c r="L48" i="2"/>
  <c r="N48" i="2" s="1"/>
  <c r="L47" i="2"/>
  <c r="N47" i="2" s="1"/>
  <c r="H25" i="2"/>
  <c r="H34" i="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G21" i="21"/>
  <c r="G28" i="21"/>
  <c r="F31" i="21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43" i="4"/>
  <c r="K11" i="6"/>
  <c r="N12" i="2" s="1"/>
  <c r="G4" i="21" s="1"/>
  <c r="K12" i="6"/>
  <c r="K13" i="6"/>
  <c r="K14" i="6"/>
  <c r="K15" i="6"/>
  <c r="K16" i="6"/>
  <c r="N17" i="2" s="1"/>
  <c r="G9" i="21" s="1"/>
  <c r="K17" i="6"/>
  <c r="N18" i="2" s="1"/>
  <c r="G10" i="21" s="1"/>
  <c r="K18" i="6"/>
  <c r="N19" i="2" s="1"/>
  <c r="G11" i="21" s="1"/>
  <c r="K19" i="6"/>
  <c r="K20" i="6"/>
  <c r="K21" i="6"/>
  <c r="K22" i="6"/>
  <c r="K23" i="6"/>
  <c r="K24" i="6"/>
  <c r="N25" i="2" s="1"/>
  <c r="G17" i="21" s="1"/>
  <c r="K25" i="6"/>
  <c r="N26" i="2" s="1"/>
  <c r="G18" i="21" s="1"/>
  <c r="K26" i="6"/>
  <c r="N27" i="2" s="1"/>
  <c r="G19" i="21" s="1"/>
  <c r="K27" i="6"/>
  <c r="N28" i="2" s="1"/>
  <c r="G20" i="21" s="1"/>
  <c r="K28" i="6"/>
  <c r="K29" i="6"/>
  <c r="K30" i="6"/>
  <c r="K31" i="6"/>
  <c r="K32" i="6"/>
  <c r="N33" i="2" s="1"/>
  <c r="G25" i="21" s="1"/>
  <c r="K33" i="6"/>
  <c r="K34" i="6"/>
  <c r="K35" i="6"/>
  <c r="N36" i="2" s="1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M19" i="2" s="1"/>
  <c r="F11" i="21" s="1"/>
  <c r="I19" i="6"/>
  <c r="I20" i="6"/>
  <c r="I21" i="6"/>
  <c r="I22" i="6"/>
  <c r="I23" i="6"/>
  <c r="I24" i="6"/>
  <c r="I25" i="6"/>
  <c r="I26" i="6"/>
  <c r="M27" i="2" s="1"/>
  <c r="F19" i="21" s="1"/>
  <c r="I27" i="6"/>
  <c r="I28" i="6"/>
  <c r="I29" i="6"/>
  <c r="I30" i="6"/>
  <c r="I31" i="6"/>
  <c r="I32" i="6"/>
  <c r="I33" i="6"/>
  <c r="I34" i="6"/>
  <c r="M35" i="2" s="1"/>
  <c r="F27" i="21" s="1"/>
  <c r="I35" i="6"/>
  <c r="I36" i="6"/>
  <c r="I37" i="6"/>
  <c r="I38" i="6"/>
  <c r="I39" i="6"/>
  <c r="I40" i="6"/>
  <c r="G11" i="6"/>
  <c r="G12" i="6"/>
  <c r="L13" i="2" s="1"/>
  <c r="E5" i="21" s="1"/>
  <c r="G13" i="6"/>
  <c r="G14" i="6"/>
  <c r="G15" i="6"/>
  <c r="G16" i="6"/>
  <c r="L17" i="2" s="1"/>
  <c r="E9" i="21" s="1"/>
  <c r="G17" i="6"/>
  <c r="G18" i="6"/>
  <c r="L19" i="2" s="1"/>
  <c r="E11" i="21" s="1"/>
  <c r="G19" i="6"/>
  <c r="G20" i="6"/>
  <c r="L21" i="2" s="1"/>
  <c r="E13" i="21" s="1"/>
  <c r="G21" i="6"/>
  <c r="G22" i="6"/>
  <c r="G23" i="6"/>
  <c r="G24" i="6"/>
  <c r="L25" i="2" s="1"/>
  <c r="E17" i="21" s="1"/>
  <c r="G25" i="6"/>
  <c r="G26" i="6"/>
  <c r="L27" i="2" s="1"/>
  <c r="E19" i="21" s="1"/>
  <c r="G27" i="6"/>
  <c r="G28" i="6"/>
  <c r="L29" i="2" s="1"/>
  <c r="E21" i="21" s="1"/>
  <c r="G29" i="6"/>
  <c r="G30" i="6"/>
  <c r="G31" i="6"/>
  <c r="G32" i="6"/>
  <c r="L33" i="2" s="1"/>
  <c r="E25" i="21" s="1"/>
  <c r="G33" i="6"/>
  <c r="G34" i="6"/>
  <c r="L35" i="2" s="1"/>
  <c r="E27" i="21" s="1"/>
  <c r="G35" i="6"/>
  <c r="G36" i="6"/>
  <c r="G37" i="6"/>
  <c r="G38" i="6"/>
  <c r="G39" i="6"/>
  <c r="G40" i="6"/>
  <c r="E11" i="6"/>
  <c r="E12" i="6"/>
  <c r="E13" i="6"/>
  <c r="E14" i="6"/>
  <c r="F15" i="2" s="1"/>
  <c r="H15" i="2" s="1"/>
  <c r="E15" i="6"/>
  <c r="E16" i="6"/>
  <c r="E17" i="6"/>
  <c r="E18" i="6"/>
  <c r="F19" i="2" s="1"/>
  <c r="I11" i="22" s="1"/>
  <c r="E19" i="6"/>
  <c r="E20" i="6"/>
  <c r="E21" i="6"/>
  <c r="E22" i="6"/>
  <c r="E23" i="6"/>
  <c r="E24" i="6"/>
  <c r="F25" i="2" s="1"/>
  <c r="I17" i="22" s="1"/>
  <c r="E25" i="6"/>
  <c r="E26" i="6"/>
  <c r="F27" i="2" s="1"/>
  <c r="I19" i="22" s="1"/>
  <c r="E27" i="6"/>
  <c r="E28" i="6"/>
  <c r="E29" i="6"/>
  <c r="E30" i="6"/>
  <c r="F31" i="2" s="1"/>
  <c r="I23" i="22" s="1"/>
  <c r="E31" i="6"/>
  <c r="E32" i="6"/>
  <c r="F33" i="2" s="1"/>
  <c r="I25" i="22" s="1"/>
  <c r="E33" i="6"/>
  <c r="E34" i="6"/>
  <c r="F35" i="2" s="1"/>
  <c r="I27" i="22" s="1"/>
  <c r="E35" i="6"/>
  <c r="E36" i="6"/>
  <c r="E37" i="6"/>
  <c r="E38" i="6"/>
  <c r="F39" i="2" s="1"/>
  <c r="I31" i="22" s="1"/>
  <c r="E39" i="6"/>
  <c r="P4" i="4"/>
  <c r="L12" i="2"/>
  <c r="E4" i="21" s="1"/>
  <c r="M12" i="2"/>
  <c r="F4" i="21" s="1"/>
  <c r="M13" i="2"/>
  <c r="F5" i="21" s="1"/>
  <c r="N13" i="2"/>
  <c r="G5" i="21" s="1"/>
  <c r="L14" i="2"/>
  <c r="E6" i="21" s="1"/>
  <c r="M14" i="2"/>
  <c r="F6" i="21" s="1"/>
  <c r="N14" i="2"/>
  <c r="G6" i="21" s="1"/>
  <c r="L15" i="2"/>
  <c r="E7" i="21" s="1"/>
  <c r="M15" i="2"/>
  <c r="F7" i="21" s="1"/>
  <c r="N15" i="2"/>
  <c r="G7" i="21" s="1"/>
  <c r="L16" i="2"/>
  <c r="E8" i="21" s="1"/>
  <c r="M16" i="2"/>
  <c r="F8" i="21" s="1"/>
  <c r="N16" i="2"/>
  <c r="G8" i="21" s="1"/>
  <c r="M17" i="2"/>
  <c r="F9" i="21" s="1"/>
  <c r="L18" i="2"/>
  <c r="E10" i="21" s="1"/>
  <c r="M18" i="2"/>
  <c r="F10" i="21" s="1"/>
  <c r="L20" i="2"/>
  <c r="M20" i="2"/>
  <c r="F12" i="21" s="1"/>
  <c r="N20" i="2"/>
  <c r="G12" i="21" s="1"/>
  <c r="M21" i="2"/>
  <c r="F13" i="21" s="1"/>
  <c r="N21" i="2"/>
  <c r="G13" i="21" s="1"/>
  <c r="L22" i="2"/>
  <c r="E14" i="21" s="1"/>
  <c r="M22" i="2"/>
  <c r="F14" i="21" s="1"/>
  <c r="N22" i="2"/>
  <c r="G14" i="21" s="1"/>
  <c r="L23" i="2"/>
  <c r="M23" i="2"/>
  <c r="F15" i="21" s="1"/>
  <c r="N23" i="2"/>
  <c r="G15" i="21" s="1"/>
  <c r="L24" i="2"/>
  <c r="E16" i="21" s="1"/>
  <c r="M24" i="2"/>
  <c r="F16" i="21" s="1"/>
  <c r="N24" i="2"/>
  <c r="G16" i="21" s="1"/>
  <c r="M25" i="2"/>
  <c r="F17" i="21" s="1"/>
  <c r="L26" i="2"/>
  <c r="E18" i="21" s="1"/>
  <c r="M26" i="2"/>
  <c r="F18" i="21" s="1"/>
  <c r="L28" i="2"/>
  <c r="E20" i="21" s="1"/>
  <c r="M28" i="2"/>
  <c r="F20" i="21" s="1"/>
  <c r="M29" i="2"/>
  <c r="F21" i="21" s="1"/>
  <c r="N29" i="2"/>
  <c r="L30" i="2"/>
  <c r="E22" i="21" s="1"/>
  <c r="M30" i="2"/>
  <c r="F22" i="21" s="1"/>
  <c r="N30" i="2"/>
  <c r="G22" i="21" s="1"/>
  <c r="L31" i="2"/>
  <c r="M31" i="2"/>
  <c r="F23" i="21" s="1"/>
  <c r="N31" i="2"/>
  <c r="G23" i="21" s="1"/>
  <c r="L32" i="2"/>
  <c r="E24" i="21" s="1"/>
  <c r="M32" i="2"/>
  <c r="F24" i="21" s="1"/>
  <c r="N32" i="2"/>
  <c r="G24" i="21" s="1"/>
  <c r="M33" i="2"/>
  <c r="F25" i="21" s="1"/>
  <c r="L34" i="2"/>
  <c r="E26" i="21" s="1"/>
  <c r="M34" i="2"/>
  <c r="F26" i="21" s="1"/>
  <c r="N34" i="2"/>
  <c r="G26" i="21" s="1"/>
  <c r="N35" i="2"/>
  <c r="G27" i="21" s="1"/>
  <c r="L36" i="2"/>
  <c r="E28" i="21" s="1"/>
  <c r="M36" i="2"/>
  <c r="F28" i="21" s="1"/>
  <c r="L37" i="2"/>
  <c r="E29" i="21" s="1"/>
  <c r="M37" i="2"/>
  <c r="F29" i="21" s="1"/>
  <c r="N37" i="2"/>
  <c r="G29" i="21" s="1"/>
  <c r="L38" i="2"/>
  <c r="M38" i="2"/>
  <c r="F30" i="21" s="1"/>
  <c r="N38" i="2"/>
  <c r="G30" i="21" s="1"/>
  <c r="L39" i="2"/>
  <c r="E31" i="21" s="1"/>
  <c r="M39" i="2"/>
  <c r="N39" i="2"/>
  <c r="G31" i="21" s="1"/>
  <c r="L40" i="2"/>
  <c r="E32" i="21" s="1"/>
  <c r="M40" i="2"/>
  <c r="F32" i="21" s="1"/>
  <c r="N40" i="2"/>
  <c r="G32" i="21" s="1"/>
  <c r="K10" i="6"/>
  <c r="N11" i="2" s="1"/>
  <c r="G3" i="21" s="1"/>
  <c r="I10" i="6"/>
  <c r="M11" i="2" s="1"/>
  <c r="F3" i="21" s="1"/>
  <c r="G10" i="6"/>
  <c r="L11" i="2" s="1"/>
  <c r="E3" i="21" s="1"/>
  <c r="F12" i="2"/>
  <c r="I4" i="22" s="1"/>
  <c r="F20" i="2"/>
  <c r="I12" i="22" s="1"/>
  <c r="F21" i="2"/>
  <c r="I13" i="22" s="1"/>
  <c r="F24" i="2"/>
  <c r="I16" i="22" s="1"/>
  <c r="F28" i="2"/>
  <c r="I20" i="22" s="1"/>
  <c r="F36" i="2"/>
  <c r="H36" i="2" s="1"/>
  <c r="F17" i="2"/>
  <c r="I9" i="22" s="1"/>
  <c r="E40" i="6"/>
  <c r="M48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N5" i="4"/>
  <c r="N6" i="4"/>
  <c r="N7" i="4"/>
  <c r="N8" i="4"/>
  <c r="N9" i="4"/>
  <c r="V15" i="2" s="1"/>
  <c r="G7" i="22" s="1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C40" i="6"/>
  <c r="P36" i="4"/>
  <c r="P37" i="4"/>
  <c r="P38" i="4"/>
  <c r="F40" i="2"/>
  <c r="I32" i="22" s="1"/>
  <c r="C39" i="6"/>
  <c r="C38" i="6"/>
  <c r="F38" i="2"/>
  <c r="I30" i="22" s="1"/>
  <c r="C37" i="6"/>
  <c r="F37" i="2"/>
  <c r="I29" i="22" s="1"/>
  <c r="C36" i="6"/>
  <c r="C35" i="6"/>
  <c r="C34" i="6"/>
  <c r="P39" i="4"/>
  <c r="P40" i="4"/>
  <c r="F32" i="2"/>
  <c r="H32" i="2" s="1"/>
  <c r="F34" i="2"/>
  <c r="I26" i="22" s="1"/>
  <c r="C33" i="6"/>
  <c r="C32" i="6"/>
  <c r="C31" i="6"/>
  <c r="F30" i="2"/>
  <c r="I22" i="22" s="1"/>
  <c r="C30" i="6"/>
  <c r="C29" i="6"/>
  <c r="V25" i="2"/>
  <c r="G17" i="22" s="1"/>
  <c r="F26" i="2"/>
  <c r="H26" i="2" s="1"/>
  <c r="F29" i="2"/>
  <c r="I21" i="22" s="1"/>
  <c r="C28" i="6"/>
  <c r="C27" i="6"/>
  <c r="C26" i="6"/>
  <c r="C25" i="6"/>
  <c r="C24" i="6"/>
  <c r="C23" i="6"/>
  <c r="F23" i="2"/>
  <c r="I15" i="22" s="1"/>
  <c r="C22" i="6"/>
  <c r="F22" i="2"/>
  <c r="I14" i="22" s="1"/>
  <c r="C21" i="6"/>
  <c r="C20" i="6"/>
  <c r="F18" i="2"/>
  <c r="I10" i="22" s="1"/>
  <c r="C17" i="6"/>
  <c r="C18" i="6"/>
  <c r="C19" i="6"/>
  <c r="C16" i="6"/>
  <c r="F16" i="2"/>
  <c r="H16" i="2" s="1"/>
  <c r="C15" i="6"/>
  <c r="C14" i="6"/>
  <c r="F14" i="2"/>
  <c r="I6" i="22" s="1"/>
  <c r="C13" i="6"/>
  <c r="F13" i="2"/>
  <c r="H13" i="2" s="1"/>
  <c r="C12" i="6"/>
  <c r="C11" i="6"/>
  <c r="C10" i="6"/>
  <c r="E10" i="6"/>
  <c r="F11" i="2" s="1"/>
  <c r="H11" i="2" s="1"/>
  <c r="N10" i="2"/>
  <c r="G2" i="21"/>
  <c r="M10" i="2"/>
  <c r="F2" i="21" s="1"/>
  <c r="L10" i="2"/>
  <c r="F10" i="2"/>
  <c r="H10" i="2" s="1"/>
  <c r="I2" i="22"/>
  <c r="L32" i="22"/>
  <c r="I32" i="21"/>
  <c r="I31" i="21"/>
  <c r="AC22" i="4"/>
  <c r="E22" i="4"/>
  <c r="G22" i="4"/>
  <c r="J4" i="4"/>
  <c r="K4" i="4"/>
  <c r="AC32" i="4"/>
  <c r="E32" i="4"/>
  <c r="Z43" i="4"/>
  <c r="M4" i="4"/>
  <c r="J9" i="4"/>
  <c r="K9" i="4"/>
  <c r="J10" i="4"/>
  <c r="K10" i="4"/>
  <c r="J11" i="4"/>
  <c r="K11" i="4"/>
  <c r="J12" i="4"/>
  <c r="K12" i="4"/>
  <c r="J13" i="4"/>
  <c r="K13" i="4"/>
  <c r="I30" i="21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I28" i="21"/>
  <c r="I29" i="21"/>
  <c r="L2" i="22"/>
  <c r="K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 s="1"/>
  <c r="B32" i="22" s="1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I5" i="4"/>
  <c r="AD5" i="4"/>
  <c r="AE5" i="4"/>
  <c r="AC6" i="4"/>
  <c r="L6" i="4" s="1"/>
  <c r="I6" i="4"/>
  <c r="AD6" i="4"/>
  <c r="AE6" i="4"/>
  <c r="AC7" i="4"/>
  <c r="G7" i="4" s="1"/>
  <c r="AD7" i="4"/>
  <c r="AE7" i="4"/>
  <c r="J8" i="4"/>
  <c r="K8" i="4"/>
  <c r="L7" i="4"/>
  <c r="AC8" i="4"/>
  <c r="L8" i="4" s="1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L22" i="4"/>
  <c r="V28" i="2"/>
  <c r="X28" i="2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M36" i="4"/>
  <c r="AC36" i="4"/>
  <c r="G36" i="4"/>
  <c r="AD36" i="4"/>
  <c r="AE36" i="4"/>
  <c r="J37" i="4"/>
  <c r="K37" i="4"/>
  <c r="L36" i="4"/>
  <c r="N36" i="4"/>
  <c r="O36" i="4"/>
  <c r="M37" i="4"/>
  <c r="AC37" i="4"/>
  <c r="I37" i="4"/>
  <c r="AD37" i="4"/>
  <c r="AE37" i="4"/>
  <c r="J38" i="4"/>
  <c r="K38" i="4"/>
  <c r="L37" i="4"/>
  <c r="N37" i="4"/>
  <c r="O37" i="4"/>
  <c r="M38" i="4"/>
  <c r="AC38" i="4"/>
  <c r="I38" i="4"/>
  <c r="AD38" i="4"/>
  <c r="AE38" i="4"/>
  <c r="J39" i="4"/>
  <c r="K39" i="4"/>
  <c r="L38" i="4"/>
  <c r="N38" i="4"/>
  <c r="O38" i="4"/>
  <c r="M39" i="4"/>
  <c r="AC39" i="4"/>
  <c r="AD39" i="4"/>
  <c r="AE39" i="4"/>
  <c r="J40" i="4"/>
  <c r="K40" i="4"/>
  <c r="L39" i="4"/>
  <c r="N39" i="4"/>
  <c r="O39" i="4"/>
  <c r="M40" i="4"/>
  <c r="AC40" i="4"/>
  <c r="G40" i="4"/>
  <c r="AD40" i="4"/>
  <c r="AE40" i="4"/>
  <c r="J41" i="4"/>
  <c r="K41" i="4"/>
  <c r="L40" i="4"/>
  <c r="N40" i="4"/>
  <c r="O40" i="4"/>
  <c r="M41" i="4"/>
  <c r="AC41" i="4"/>
  <c r="C41" i="4"/>
  <c r="G41" i="4"/>
  <c r="AD41" i="4"/>
  <c r="AE41" i="4"/>
  <c r="J42" i="4"/>
  <c r="K42" i="4"/>
  <c r="M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G27" i="4"/>
  <c r="E27" i="4"/>
  <c r="I17" i="10"/>
  <c r="F19" i="10"/>
  <c r="E30" i="4"/>
  <c r="I30" i="4"/>
  <c r="G30" i="4"/>
  <c r="B13" i="11"/>
  <c r="F13" i="11"/>
  <c r="E16" i="4"/>
  <c r="I16" i="4"/>
  <c r="C10" i="4"/>
  <c r="G10" i="4"/>
  <c r="E12" i="4"/>
  <c r="I19" i="10"/>
  <c r="E20" i="10"/>
  <c r="D25" i="10"/>
  <c r="F25" i="10"/>
  <c r="F32" i="10"/>
  <c r="H25" i="10"/>
  <c r="I25" i="10"/>
  <c r="I32" i="10"/>
  <c r="F18" i="10"/>
  <c r="F25" i="18"/>
  <c r="F29" i="18"/>
  <c r="F20" i="11"/>
  <c r="F21" i="11"/>
  <c r="F23" i="11"/>
  <c r="F24" i="11"/>
  <c r="I21" i="4"/>
  <c r="C21" i="4"/>
  <c r="E21" i="4"/>
  <c r="G12" i="4"/>
  <c r="I12" i="4"/>
  <c r="L23" i="4"/>
  <c r="L17" i="4"/>
  <c r="V23" i="2"/>
  <c r="G15" i="22" s="1"/>
  <c r="L13" i="4"/>
  <c r="L10" i="4"/>
  <c r="L31" i="4"/>
  <c r="L28" i="4"/>
  <c r="L16" i="4"/>
  <c r="L14" i="4"/>
  <c r="L27" i="4"/>
  <c r="L34" i="4"/>
  <c r="L30" i="4"/>
  <c r="L18" i="4"/>
  <c r="L21" i="4"/>
  <c r="L29" i="4"/>
  <c r="L24" i="4"/>
  <c r="L12" i="4"/>
  <c r="L11" i="4"/>
  <c r="L32" i="4"/>
  <c r="L26" i="4"/>
  <c r="L25" i="4"/>
  <c r="L19" i="4"/>
  <c r="L20" i="4"/>
  <c r="L33" i="4"/>
  <c r="L15" i="4"/>
  <c r="Q44" i="4"/>
  <c r="AC44" i="4"/>
  <c r="K48" i="4"/>
  <c r="L48" i="4"/>
  <c r="L9" i="4"/>
  <c r="AC43" i="4"/>
  <c r="G9" i="4"/>
  <c r="E9" i="4"/>
  <c r="C9" i="4"/>
  <c r="I9" i="4"/>
  <c r="H33" i="2" l="1"/>
  <c r="O10" i="2"/>
  <c r="G20" i="22"/>
  <c r="Q24" i="2"/>
  <c r="H18" i="2"/>
  <c r="E6" i="22"/>
  <c r="Q38" i="2"/>
  <c r="E12" i="22"/>
  <c r="X25" i="2"/>
  <c r="E23" i="21"/>
  <c r="E23" i="22" s="1"/>
  <c r="E15" i="21"/>
  <c r="E15" i="22" s="1"/>
  <c r="H40" i="2"/>
  <c r="H24" i="2"/>
  <c r="E30" i="21"/>
  <c r="E30" i="22" s="1"/>
  <c r="H39" i="2"/>
  <c r="H31" i="2"/>
  <c r="H23" i="2"/>
  <c r="E32" i="22"/>
  <c r="E22" i="22"/>
  <c r="X23" i="2"/>
  <c r="X15" i="2"/>
  <c r="H38" i="2"/>
  <c r="H30" i="2"/>
  <c r="H22" i="2"/>
  <c r="H14" i="2"/>
  <c r="E21" i="22"/>
  <c r="E5" i="22"/>
  <c r="E12" i="21"/>
  <c r="H37" i="2"/>
  <c r="H29" i="2"/>
  <c r="H21" i="2"/>
  <c r="H28" i="2"/>
  <c r="H20" i="2"/>
  <c r="H12" i="2"/>
  <c r="E14" i="22"/>
  <c r="H17" i="2"/>
  <c r="H35" i="2"/>
  <c r="H27" i="2"/>
  <c r="H19" i="2"/>
  <c r="E18" i="22"/>
  <c r="E7" i="22"/>
  <c r="E26" i="22"/>
  <c r="E31" i="22"/>
  <c r="E24" i="22"/>
  <c r="E16" i="22"/>
  <c r="E27" i="22"/>
  <c r="E19" i="22"/>
  <c r="E8" i="22"/>
  <c r="E4" i="22"/>
  <c r="E10" i="22"/>
  <c r="E3" i="22"/>
  <c r="Q11" i="2"/>
  <c r="O11" i="2"/>
  <c r="E28" i="22"/>
  <c r="E11" i="22"/>
  <c r="E25" i="22"/>
  <c r="E17" i="22"/>
  <c r="I7" i="22"/>
  <c r="E13" i="22"/>
  <c r="E29" i="22"/>
  <c r="I18" i="22"/>
  <c r="I24" i="22"/>
  <c r="I8" i="22"/>
  <c r="I5" i="22"/>
  <c r="Q10" i="2"/>
  <c r="I28" i="22"/>
  <c r="E2" i="21"/>
  <c r="I3" i="22"/>
  <c r="O28" i="2"/>
  <c r="O30" i="2"/>
  <c r="Q17" i="2"/>
  <c r="E9" i="22"/>
  <c r="Q22" i="2"/>
  <c r="J5" i="21"/>
  <c r="Q30" i="2"/>
  <c r="O38" i="2"/>
  <c r="J29" i="21"/>
  <c r="Q13" i="2"/>
  <c r="O32" i="2"/>
  <c r="Q16" i="2"/>
  <c r="O37" i="2"/>
  <c r="Q37" i="2"/>
  <c r="Q29" i="2"/>
  <c r="O29" i="2"/>
  <c r="J21" i="21"/>
  <c r="N41" i="2"/>
  <c r="I46" i="2" s="1"/>
  <c r="L46" i="2" s="1"/>
  <c r="O21" i="2"/>
  <c r="J26" i="21"/>
  <c r="O17" i="2"/>
  <c r="J24" i="21"/>
  <c r="Q26" i="2"/>
  <c r="O26" i="2"/>
  <c r="O18" i="2"/>
  <c r="Q18" i="2"/>
  <c r="O16" i="2"/>
  <c r="Q32" i="2"/>
  <c r="M41" i="2"/>
  <c r="I45" i="2" s="1"/>
  <c r="L45" i="2" s="1"/>
  <c r="Q21" i="2"/>
  <c r="J6" i="21"/>
  <c r="J10" i="21"/>
  <c r="J8" i="21"/>
  <c r="O13" i="2"/>
  <c r="O34" i="2"/>
  <c r="O40" i="2"/>
  <c r="J22" i="21"/>
  <c r="O39" i="2"/>
  <c r="Q39" i="2"/>
  <c r="Q31" i="2"/>
  <c r="J23" i="21"/>
  <c r="Q23" i="2"/>
  <c r="Q15" i="2"/>
  <c r="O15" i="2"/>
  <c r="Q36" i="2"/>
  <c r="O36" i="2"/>
  <c r="O20" i="2"/>
  <c r="Q20" i="2"/>
  <c r="O12" i="2"/>
  <c r="J4" i="21"/>
  <c r="O24" i="2"/>
  <c r="Q34" i="2"/>
  <c r="J3" i="21"/>
  <c r="O35" i="2"/>
  <c r="Q35" i="2"/>
  <c r="Q27" i="2"/>
  <c r="O27" i="2"/>
  <c r="O19" i="2"/>
  <c r="J11" i="21"/>
  <c r="Q19" i="2"/>
  <c r="J13" i="21"/>
  <c r="J18" i="21"/>
  <c r="O22" i="2"/>
  <c r="J17" i="21"/>
  <c r="M17" i="22"/>
  <c r="J25" i="21"/>
  <c r="Q12" i="2"/>
  <c r="O14" i="2"/>
  <c r="J16" i="21"/>
  <c r="O25" i="2"/>
  <c r="L41" i="2"/>
  <c r="I44" i="2" s="1"/>
  <c r="L44" i="2" s="1"/>
  <c r="Q25" i="2"/>
  <c r="O33" i="2"/>
  <c r="Q40" i="2"/>
  <c r="O31" i="2"/>
  <c r="Q33" i="2"/>
  <c r="O23" i="2"/>
  <c r="Q28" i="2"/>
  <c r="J7" i="21"/>
  <c r="Q14" i="2"/>
  <c r="F41" i="2"/>
  <c r="I53" i="2" s="1"/>
  <c r="L53" i="2" s="1"/>
  <c r="N53" i="2" s="1"/>
  <c r="V22" i="2"/>
  <c r="V38" i="2"/>
  <c r="V13" i="2"/>
  <c r="V18" i="2"/>
  <c r="V21" i="2"/>
  <c r="V17" i="2"/>
  <c r="V33" i="2"/>
  <c r="V35" i="2"/>
  <c r="V19" i="2"/>
  <c r="V14" i="2"/>
  <c r="V27" i="2"/>
  <c r="V34" i="2"/>
  <c r="V31" i="2"/>
  <c r="V24" i="2"/>
  <c r="V37" i="2"/>
  <c r="V39" i="2"/>
  <c r="V29" i="2"/>
  <c r="V30" i="2"/>
  <c r="V36" i="2"/>
  <c r="V16" i="2"/>
  <c r="V26" i="2"/>
  <c r="V32" i="2"/>
  <c r="V20" i="2"/>
  <c r="V40" i="2"/>
  <c r="J14" i="21"/>
  <c r="G26" i="4"/>
  <c r="E26" i="4"/>
  <c r="C26" i="4"/>
  <c r="V12" i="2"/>
  <c r="G4" i="4"/>
  <c r="E4" i="4"/>
  <c r="C4" i="4"/>
  <c r="I4" i="4"/>
  <c r="L4" i="4"/>
  <c r="N4" i="4" s="1"/>
  <c r="G25" i="4"/>
  <c r="E25" i="4"/>
  <c r="C25" i="4"/>
  <c r="G24" i="4"/>
  <c r="E24" i="4"/>
  <c r="C24" i="4"/>
  <c r="G8" i="22" l="1"/>
  <c r="X16" i="2"/>
  <c r="G23" i="22"/>
  <c r="X31" i="2"/>
  <c r="X18" i="2"/>
  <c r="G10" i="22"/>
  <c r="X36" i="2"/>
  <c r="G28" i="22"/>
  <c r="X27" i="2"/>
  <c r="G19" i="22"/>
  <c r="G5" i="22"/>
  <c r="X13" i="2"/>
  <c r="G22" i="22"/>
  <c r="M22" i="22" s="1"/>
  <c r="X30" i="2"/>
  <c r="G6" i="22"/>
  <c r="X14" i="2"/>
  <c r="G30" i="22"/>
  <c r="X38" i="2"/>
  <c r="X12" i="2"/>
  <c r="G4" i="22"/>
  <c r="X34" i="2"/>
  <c r="G26" i="22"/>
  <c r="G21" i="22"/>
  <c r="M21" i="22" s="1"/>
  <c r="X29" i="2"/>
  <c r="X19" i="2"/>
  <c r="G11" i="22"/>
  <c r="G14" i="22"/>
  <c r="X22" i="2"/>
  <c r="G13" i="22"/>
  <c r="X21" i="2"/>
  <c r="X26" i="2"/>
  <c r="G18" i="22"/>
  <c r="M18" i="22" s="1"/>
  <c r="G32" i="22"/>
  <c r="X40" i="2"/>
  <c r="X20" i="2"/>
  <c r="G12" i="22"/>
  <c r="G29" i="22"/>
  <c r="X37" i="2"/>
  <c r="G25" i="22"/>
  <c r="M25" i="22" s="1"/>
  <c r="X33" i="2"/>
  <c r="G31" i="22"/>
  <c r="X39" i="2"/>
  <c r="X35" i="2"/>
  <c r="G27" i="22"/>
  <c r="G24" i="22"/>
  <c r="M24" i="22" s="1"/>
  <c r="X32" i="2"/>
  <c r="G16" i="22"/>
  <c r="M16" i="22" s="1"/>
  <c r="X24" i="2"/>
  <c r="G9" i="22"/>
  <c r="X17" i="2"/>
  <c r="J20" i="21"/>
  <c r="E20" i="22"/>
  <c r="M20" i="22" s="1"/>
  <c r="E2" i="22"/>
  <c r="J2" i="21"/>
  <c r="N44" i="2"/>
  <c r="M5" i="22"/>
  <c r="M7" i="22"/>
  <c r="J12" i="21"/>
  <c r="J28" i="21"/>
  <c r="M15" i="22"/>
  <c r="J15" i="21"/>
  <c r="J27" i="21"/>
  <c r="M6" i="22"/>
  <c r="J19" i="21"/>
  <c r="O41" i="2"/>
  <c r="Q41" i="2"/>
  <c r="J9" i="21"/>
  <c r="H41" i="2"/>
  <c r="M8" i="22"/>
  <c r="M26" i="22"/>
  <c r="M10" i="22"/>
  <c r="M29" i="22"/>
  <c r="V11" i="2"/>
  <c r="M13" i="22"/>
  <c r="M23" i="22"/>
  <c r="M14" i="22"/>
  <c r="M4" i="22"/>
  <c r="O4" i="4"/>
  <c r="N43" i="4"/>
  <c r="N51" i="2" l="1"/>
  <c r="N52" i="2" s="1"/>
  <c r="G3" i="22"/>
  <c r="X11" i="2"/>
  <c r="M28" i="22"/>
  <c r="M12" i="22"/>
  <c r="M27" i="22"/>
  <c r="M11" i="22"/>
  <c r="M19" i="22"/>
  <c r="M9" i="22"/>
  <c r="M3" i="22"/>
  <c r="O43" i="4"/>
  <c r="K47" i="4"/>
  <c r="V10" i="2"/>
  <c r="X10" i="2" s="1"/>
  <c r="X41" i="2" l="1"/>
  <c r="G2" i="22"/>
  <c r="M2" i="22" s="1"/>
  <c r="V41" i="2"/>
  <c r="L47" i="4"/>
  <c r="M47" i="4"/>
  <c r="I54" i="2" l="1"/>
  <c r="L54" i="2" s="1"/>
  <c r="N54" i="2" s="1"/>
</calcChain>
</file>

<file path=xl/sharedStrings.xml><?xml version="1.0" encoding="utf-8"?>
<sst xmlns="http://schemas.openxmlformats.org/spreadsheetml/2006/main" count="484" uniqueCount="186">
  <si>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</si>
  <si>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</si>
  <si>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</si>
  <si>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</si>
  <si>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</si>
  <si>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</si>
  <si>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</si>
  <si>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</si>
  <si>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</si>
  <si>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</si>
  <si>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</si>
  <si>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</si>
  <si>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</si>
  <si>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</si>
  <si>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</si>
  <si>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</si>
  <si>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</si>
  <si>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</si>
  <si>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</si>
  <si>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</si>
  <si>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</si>
  <si>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</si>
  <si>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</si>
  <si>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</si>
  <si>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</si>
  <si>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</si>
  <si>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</si>
  <si>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</si>
  <si>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</si>
  <si>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</si>
  <si>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</si>
  <si>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</si>
  <si>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</si>
  <si>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</si>
  <si>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</si>
  <si>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</si>
  <si>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</si>
  <si>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</si>
  <si>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</si>
  <si>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</si>
  <si>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</si>
  <si>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Janvier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</si>
  <si>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</si>
  <si>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</si>
  <si>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</si>
  <si>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</si>
  <si>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</si>
  <si>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</si>
  <si>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</si>
  <si>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</si>
  <si>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</si>
  <si>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</si>
  <si>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</si>
  <si>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</si>
  <si>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</si>
  <si>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</si>
  <si>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</si>
  <si>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janvier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</si>
  <si>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</si>
  <si>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</si>
  <si>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</si>
  <si>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</si>
  <si>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</si>
  <si>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</si>
  <si>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</si>
  <si>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</si>
  <si>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</si>
  <si>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</si>
  <si>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</si>
  <si>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</si>
  <si>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</si>
  <si>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</si>
  <si>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</si>
  <si>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</si>
  <si>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</si>
  <si>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</si>
  <si>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</si>
  <si>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</si>
  <si>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</si>
  <si>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</si>
  <si>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</si>
  <si>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</si>
  <si>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</si>
  <si>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</si>
  <si>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</si>
  <si>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</si>
  <si>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</si>
  <si>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</si>
  <si>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</si>
  <si>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</si>
  <si>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</si>
  <si>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</si>
  <si>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</si>
  <si>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</si>
  <si>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</si>
  <si>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</si>
  <si>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</si>
  <si>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</si>
  <si>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</si>
  <si>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</si>
  <si>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</si>
  <si>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</si>
  <si>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</si>
  <si>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</si>
  <si>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</si>
  <si>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</si>
  <si>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</si>
  <si>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</si>
  <si>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</si>
  <si>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</si>
  <si>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</si>
  <si>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</si>
  <si>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</si>
  <si>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</si>
  <si>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</si>
  <si>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</si>
  <si>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</si>
  <si>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</si>
  <si>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</si>
  <si>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</si>
  <si>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</si>
  <si>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</si>
  <si>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</si>
  <si>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</si>
  <si>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</si>
  <si>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</si>
  <si>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</si>
  <si>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</si>
  <si>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</si>
  <si>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</si>
  <si>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</si>
  <si>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Janvier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</si>
  <si>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</si>
  <si>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</si>
  <si>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</si>
  <si>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</si>
  <si>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</si>
  <si>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</si>
  <si>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</si>
  <si>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</si>
  <si>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</si>
  <si>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</si>
  <si>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</si>
  <si>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</si>
  <si>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</si>
  <si>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</si>
  <si>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</si>
  <si>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</si>
  <si>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</si>
  <si>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</si>
  <si>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</si>
  <si>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</si>
  <si>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</si>
  <si>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Janvier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</si>
  <si>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</si>
  <si>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</si>
  <si>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</si>
  <si>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</si>
  <si>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</si>
  <si>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</si>
  <si>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</si>
  <si>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</si>
  <si>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</si>
  <si>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</si>
  <si>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</si>
  <si>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</si>
  <si>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</si>
  <si>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</si>
  <si>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</si>
  <si>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</si>
  <si>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</si>
  <si>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</si>
  <si>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</si>
  <si>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</si>
  <si>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</si>
  <si>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</si>
  <si>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</si>
  <si>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</si>
  <si>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</si>
  <si>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</si>
  <si>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</si>
  <si>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</si>
  <si>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</si>
  <si>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</si>
  <si>
    <t xml:space="preserve">TOTAL  </t>
  </si>
  <si>
    <t>UNIT KW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</si>
</sst>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 wrapText="1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1" fillId="30" borderId="16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8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8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2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8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8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7" fillId="8" borderId="39" xfId="0" applyNumberFormat="1" applyFont="1" applyFill="1" applyBorder="1" applyAlignment="1">
      <alignment horizontal="center" vertical="center"/>
    </xf>
    <xf numFmtId="2" fontId="7" fillId="8" borderId="40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2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8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8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8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3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2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4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12" borderId="51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8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5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6" xfId="0" applyBorder="1" applyAlignment="1">
      <alignment horizontal="left" vertical="top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6" xfId="0" applyFont="1" applyBorder="1" applyAlignment="1">
      <alignment horizontal="left" vertical="top"/>
    </xf>
    <xf numFmtId="0" fontId="31" fillId="0" borderId="45" xfId="0" applyFont="1" applyBorder="1" applyAlignment="1">
      <alignment horizontal="center"/>
    </xf>
    <xf numFmtId="0" fontId="31" fillId="0" borderId="47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7" xfId="0" applyBorder="1" applyAlignment="1">
      <alignment horizont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60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5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5" xfId="0" applyNumberFormat="1" applyFont="1" applyBorder="1" applyAlignment="1">
      <alignment horizontal="center" vertical="center" readingOrder="2"/>
    </xf>
    <xf numFmtId="14" fontId="0" fillId="0" borderId="47" xfId="0" applyNumberFormat="1" applyBorder="1" applyAlignment="1">
      <alignment horizontal="center" vertical="center" readingOrder="2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1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1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2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45" xfId="0" applyFont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29" fillId="0" borderId="47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7" fillId="18" borderId="47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5" xfId="0" applyFont="1" applyBorder="1" applyAlignment="1"/>
    <xf numFmtId="0" fontId="29" fillId="0" borderId="46" xfId="0" applyFont="1" applyBorder="1" applyAlignment="1"/>
    <xf numFmtId="0" fontId="29" fillId="0" borderId="47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6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5" xfId="0" applyFont="1" applyBorder="1" applyAlignment="1">
      <alignment horizontal="right" vertical="center"/>
    </xf>
    <xf numFmtId="0" fontId="27" fillId="0" borderId="47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45" xfId="0" applyFont="1" applyBorder="1" applyAlignment="1">
      <alignment horizontal="center"/>
    </xf>
    <xf numFmtId="0" fontId="27" fillId="0" borderId="47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8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0" fillId="18" borderId="47" xfId="0" applyFill="1" applyBorder="1" applyAlignment="1">
      <alignment horizontal="center"/>
    </xf>
    <xf numFmtId="0" fontId="24" fillId="19" borderId="38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3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40" fillId="6" borderId="30" xfId="0" applyNumberFormat="1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40" fillId="6" borderId="5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2" fontId="11" fillId="6" borderId="30" xfId="0" applyNumberFormat="1" applyFont="1" applyFill="1" applyBorder="1" applyAlignment="1">
      <alignment horizontal="center" vertical="center" wrapText="1"/>
    </xf>
    <xf numFmtId="2" fontId="11" fillId="6" borderId="38" xfId="0" applyNumberFormat="1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48</c:v>
                </c:pt>
                <c:pt idx="1">
                  <c:v>87.100000000005821</c:v>
                </c:pt>
                <c:pt idx="2">
                  <c:v>61.899999999994179</c:v>
                </c:pt>
                <c:pt idx="3">
                  <c:v>60.900000000008731</c:v>
                </c:pt>
                <c:pt idx="4">
                  <c:v>73.299999999988358</c:v>
                </c:pt>
                <c:pt idx="5">
                  <c:v>38.700000000011642</c:v>
                </c:pt>
                <c:pt idx="6">
                  <c:v>70.5</c:v>
                </c:pt>
                <c:pt idx="7">
                  <c:v>53.599999999991269</c:v>
                </c:pt>
                <c:pt idx="8">
                  <c:v>62.80000000000291</c:v>
                </c:pt>
                <c:pt idx="9">
                  <c:v>75</c:v>
                </c:pt>
                <c:pt idx="10">
                  <c:v>63.899999999994179</c:v>
                </c:pt>
                <c:pt idx="11">
                  <c:v>39.200000000011642</c:v>
                </c:pt>
                <c:pt idx="12">
                  <c:v>60</c:v>
                </c:pt>
                <c:pt idx="13">
                  <c:v>42.299999999988358</c:v>
                </c:pt>
                <c:pt idx="14">
                  <c:v>58.700000000011642</c:v>
                </c:pt>
                <c:pt idx="15">
                  <c:v>75</c:v>
                </c:pt>
                <c:pt idx="16">
                  <c:v>62.899999999994179</c:v>
                </c:pt>
                <c:pt idx="17">
                  <c:v>59</c:v>
                </c:pt>
                <c:pt idx="18">
                  <c:v>85</c:v>
                </c:pt>
                <c:pt idx="19">
                  <c:v>63.19999999999709</c:v>
                </c:pt>
                <c:pt idx="20">
                  <c:v>54.30000000000291</c:v>
                </c:pt>
                <c:pt idx="21">
                  <c:v>54.30000000000291</c:v>
                </c:pt>
                <c:pt idx="22">
                  <c:v>69.80000000000291</c:v>
                </c:pt>
                <c:pt idx="23">
                  <c:v>74.399999999994179</c:v>
                </c:pt>
                <c:pt idx="24">
                  <c:v>70</c:v>
                </c:pt>
                <c:pt idx="25">
                  <c:v>71.600000000005821</c:v>
                </c:pt>
                <c:pt idx="26">
                  <c:v>107.19999999999709</c:v>
                </c:pt>
                <c:pt idx="27">
                  <c:v>69.599999999991269</c:v>
                </c:pt>
                <c:pt idx="28">
                  <c:v>52.80000000000291</c:v>
                </c:pt>
                <c:pt idx="29">
                  <c:v>89.80000000000291</c:v>
                </c:pt>
                <c:pt idx="30">
                  <c:v>72.600000000005821</c:v>
                </c:pt>
                <c:pt idx="31">
                  <c:v>103.79999999998836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EAU-ELEC'!$G$9:$G$39</c:f>
              <c:numCache>
                <c:formatCode>General</c:formatCode>
                <c:ptCount val="31"/>
                <c:pt idx="0">
                  <c:v>2484</c:v>
                </c:pt>
                <c:pt idx="1">
                  <c:v>2519</c:v>
                </c:pt>
                <c:pt idx="2">
                  <c:v>2297</c:v>
                </c:pt>
                <c:pt idx="3">
                  <c:v>2535</c:v>
                </c:pt>
                <c:pt idx="4">
                  <c:v>2190</c:v>
                </c:pt>
                <c:pt idx="5">
                  <c:v>2501</c:v>
                </c:pt>
                <c:pt idx="6">
                  <c:v>2346</c:v>
                </c:pt>
                <c:pt idx="7">
                  <c:v>2496</c:v>
                </c:pt>
                <c:pt idx="8">
                  <c:v>2234</c:v>
                </c:pt>
                <c:pt idx="9">
                  <c:v>2498</c:v>
                </c:pt>
                <c:pt idx="10">
                  <c:v>2271</c:v>
                </c:pt>
                <c:pt idx="11">
                  <c:v>2308</c:v>
                </c:pt>
                <c:pt idx="12">
                  <c:v>2353</c:v>
                </c:pt>
                <c:pt idx="13">
                  <c:v>2505</c:v>
                </c:pt>
                <c:pt idx="14">
                  <c:v>2393</c:v>
                </c:pt>
                <c:pt idx="15">
                  <c:v>2444</c:v>
                </c:pt>
                <c:pt idx="16">
                  <c:v>2599</c:v>
                </c:pt>
                <c:pt idx="17">
                  <c:v>2446</c:v>
                </c:pt>
                <c:pt idx="18">
                  <c:v>2521</c:v>
                </c:pt>
                <c:pt idx="19">
                  <c:v>2238</c:v>
                </c:pt>
                <c:pt idx="20">
                  <c:v>2576</c:v>
                </c:pt>
                <c:pt idx="21">
                  <c:v>2555</c:v>
                </c:pt>
                <c:pt idx="22">
                  <c:v>2803</c:v>
                </c:pt>
                <c:pt idx="23">
                  <c:v>2824</c:v>
                </c:pt>
                <c:pt idx="24">
                  <c:v>2444</c:v>
                </c:pt>
                <c:pt idx="25">
                  <c:v>1941</c:v>
                </c:pt>
                <c:pt idx="26">
                  <c:v>2443</c:v>
                </c:pt>
                <c:pt idx="27">
                  <c:v>2362</c:v>
                </c:pt>
                <c:pt idx="28">
                  <c:v>2513</c:v>
                </c:pt>
                <c:pt idx="29">
                  <c:v>2829</c:v>
                </c:pt>
                <c:pt idx="30">
                  <c:v>2368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EAU-ELEC'!$I$9:$I$39</c:f>
              <c:numCache>
                <c:formatCode>General</c:formatCode>
                <c:ptCount val="31"/>
                <c:pt idx="0">
                  <c:v>3682</c:v>
                </c:pt>
                <c:pt idx="1">
                  <c:v>3473</c:v>
                </c:pt>
                <c:pt idx="2">
                  <c:v>3698</c:v>
                </c:pt>
                <c:pt idx="3">
                  <c:v>3605</c:v>
                </c:pt>
                <c:pt idx="4">
                  <c:v>3668</c:v>
                </c:pt>
                <c:pt idx="5">
                  <c:v>3597</c:v>
                </c:pt>
                <c:pt idx="6">
                  <c:v>3512</c:v>
                </c:pt>
                <c:pt idx="7">
                  <c:v>3624</c:v>
                </c:pt>
                <c:pt idx="8">
                  <c:v>3590</c:v>
                </c:pt>
                <c:pt idx="9">
                  <c:v>3484</c:v>
                </c:pt>
                <c:pt idx="10">
                  <c:v>3444</c:v>
                </c:pt>
                <c:pt idx="11">
                  <c:v>3446</c:v>
                </c:pt>
                <c:pt idx="12">
                  <c:v>3469</c:v>
                </c:pt>
                <c:pt idx="13">
                  <c:v>3412</c:v>
                </c:pt>
                <c:pt idx="14">
                  <c:v>3524</c:v>
                </c:pt>
                <c:pt idx="15">
                  <c:v>3365</c:v>
                </c:pt>
                <c:pt idx="16">
                  <c:v>3336</c:v>
                </c:pt>
                <c:pt idx="17">
                  <c:v>3417</c:v>
                </c:pt>
                <c:pt idx="18">
                  <c:v>3698</c:v>
                </c:pt>
                <c:pt idx="19">
                  <c:v>3743</c:v>
                </c:pt>
                <c:pt idx="20">
                  <c:v>3561</c:v>
                </c:pt>
                <c:pt idx="21">
                  <c:v>3570</c:v>
                </c:pt>
                <c:pt idx="22">
                  <c:v>3973</c:v>
                </c:pt>
                <c:pt idx="23">
                  <c:v>4062</c:v>
                </c:pt>
                <c:pt idx="24">
                  <c:v>3664</c:v>
                </c:pt>
                <c:pt idx="25">
                  <c:v>3537</c:v>
                </c:pt>
                <c:pt idx="26">
                  <c:v>3519</c:v>
                </c:pt>
                <c:pt idx="27">
                  <c:v>3637</c:v>
                </c:pt>
                <c:pt idx="28">
                  <c:v>3661</c:v>
                </c:pt>
                <c:pt idx="29">
                  <c:v>3593</c:v>
                </c:pt>
                <c:pt idx="30">
                  <c:v>3509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EAU-ELEC'!$K$9:$K$39</c:f>
              <c:numCache>
                <c:formatCode>General</c:formatCode>
                <c:ptCount val="31"/>
                <c:pt idx="0">
                  <c:v>1748</c:v>
                </c:pt>
                <c:pt idx="1">
                  <c:v>1614</c:v>
                </c:pt>
                <c:pt idx="2">
                  <c:v>1574</c:v>
                </c:pt>
                <c:pt idx="3">
                  <c:v>1645</c:v>
                </c:pt>
                <c:pt idx="4">
                  <c:v>1744</c:v>
                </c:pt>
                <c:pt idx="5">
                  <c:v>1668</c:v>
                </c:pt>
                <c:pt idx="6">
                  <c:v>1546</c:v>
                </c:pt>
                <c:pt idx="7">
                  <c:v>1665</c:v>
                </c:pt>
                <c:pt idx="8">
                  <c:v>1551</c:v>
                </c:pt>
                <c:pt idx="9">
                  <c:v>1591</c:v>
                </c:pt>
                <c:pt idx="10">
                  <c:v>1583</c:v>
                </c:pt>
                <c:pt idx="11">
                  <c:v>1562</c:v>
                </c:pt>
                <c:pt idx="12">
                  <c:v>1586</c:v>
                </c:pt>
                <c:pt idx="13">
                  <c:v>1542</c:v>
                </c:pt>
                <c:pt idx="14">
                  <c:v>1607</c:v>
                </c:pt>
                <c:pt idx="15">
                  <c:v>1553</c:v>
                </c:pt>
                <c:pt idx="16">
                  <c:v>1532</c:v>
                </c:pt>
                <c:pt idx="17">
                  <c:v>1582</c:v>
                </c:pt>
                <c:pt idx="18">
                  <c:v>1573</c:v>
                </c:pt>
                <c:pt idx="19">
                  <c:v>1587</c:v>
                </c:pt>
                <c:pt idx="20">
                  <c:v>1578</c:v>
                </c:pt>
                <c:pt idx="21">
                  <c:v>1637</c:v>
                </c:pt>
                <c:pt idx="22">
                  <c:v>2164</c:v>
                </c:pt>
                <c:pt idx="23">
                  <c:v>1773</c:v>
                </c:pt>
                <c:pt idx="24">
                  <c:v>1575</c:v>
                </c:pt>
                <c:pt idx="25">
                  <c:v>1586</c:v>
                </c:pt>
                <c:pt idx="26">
                  <c:v>1618</c:v>
                </c:pt>
                <c:pt idx="27">
                  <c:v>1636</c:v>
                </c:pt>
                <c:pt idx="28">
                  <c:v>1701</c:v>
                </c:pt>
                <c:pt idx="29">
                  <c:v>1713</c:v>
                </c:pt>
                <c:pt idx="30">
                  <c:v>1584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479.98815000000002</c:v>
                </c:pt>
                <c:pt idx="2">
                  <c:v>447.98894000000001</c:v>
                </c:pt>
                <c:pt idx="3">
                  <c:v>351.99131</c:v>
                </c:pt>
                <c:pt idx="4">
                  <c:v>415.98973000000001</c:v>
                </c:pt>
                <c:pt idx="5">
                  <c:v>607.98499000000004</c:v>
                </c:pt>
                <c:pt idx="6">
                  <c:v>127.99684000000001</c:v>
                </c:pt>
                <c:pt idx="7">
                  <c:v>223.99447000000001</c:v>
                </c:pt>
                <c:pt idx="8">
                  <c:v>223.99447000000001</c:v>
                </c:pt>
                <c:pt idx="9">
                  <c:v>383.99052</c:v>
                </c:pt>
                <c:pt idx="10">
                  <c:v>447.98894000000001</c:v>
                </c:pt>
                <c:pt idx="11">
                  <c:v>319.99209999999999</c:v>
                </c:pt>
                <c:pt idx="12">
                  <c:v>447.98894000000001</c:v>
                </c:pt>
                <c:pt idx="13">
                  <c:v>351.99131</c:v>
                </c:pt>
                <c:pt idx="14">
                  <c:v>319.99209999999999</c:v>
                </c:pt>
                <c:pt idx="15">
                  <c:v>671.98341000000005</c:v>
                </c:pt>
                <c:pt idx="16">
                  <c:v>447.98894000000001</c:v>
                </c:pt>
                <c:pt idx="17">
                  <c:v>415.98973000000001</c:v>
                </c:pt>
                <c:pt idx="18">
                  <c:v>255.99368000000001</c:v>
                </c:pt>
                <c:pt idx="19">
                  <c:v>255.99368000000001</c:v>
                </c:pt>
                <c:pt idx="20">
                  <c:v>351.99131</c:v>
                </c:pt>
                <c:pt idx="21">
                  <c:v>351.99131</c:v>
                </c:pt>
                <c:pt idx="22">
                  <c:v>415.98973000000001</c:v>
                </c:pt>
                <c:pt idx="23">
                  <c:v>319.99209999999999</c:v>
                </c:pt>
                <c:pt idx="24">
                  <c:v>735.98183000000006</c:v>
                </c:pt>
                <c:pt idx="25">
                  <c:v>511.98736000000002</c:v>
                </c:pt>
                <c:pt idx="26">
                  <c:v>479.98815000000002</c:v>
                </c:pt>
                <c:pt idx="27">
                  <c:v>479.98815000000002</c:v>
                </c:pt>
                <c:pt idx="28">
                  <c:v>351.99131</c:v>
                </c:pt>
                <c:pt idx="29">
                  <c:v>863.97867000000008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314325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38</xdr:row>
      <xdr:rowOff>0</xdr:rowOff>
    </xdr:from>
    <xdr:to>
      <xdr:col>25</xdr:col>
      <xdr:colOff>657225</xdr:colOff>
      <xdr:row>47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9"/>
  <sheetViews>
    <sheetView tabSelected="1" workbookViewId="0">
      <selection activeCell="F2" sqref="F2:F3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</v>
      </c>
      <c r="D2" s="141">
        <v>2021</v>
      </c>
      <c r="E2" s="137">
        <f>submetering!E2+submetering!F2+submetering!G2</f>
        <v>7914</v>
      </c>
      <c r="F2" s="134">
        <v>1.1499999999999999</v>
      </c>
      <c r="G2" s="134">
        <f>'Consommation mensuel énergie'!V10</f>
        <v>287.99288999999999</v>
      </c>
      <c r="H2" s="134">
        <v>9.8209999999999997</v>
      </c>
      <c r="I2" s="134">
        <f>'Consommation mensuel énergie'!F10</f>
        <v>48</v>
      </c>
      <c r="J2" s="134">
        <v>11.4</v>
      </c>
      <c r="K2" s="137">
        <f>'Consommation mensuel énergie'!D10</f>
        <v>27</v>
      </c>
      <c r="L2" s="137">
        <f>'Consommation mensuel énergie'!E10</f>
        <v>46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</v>
      </c>
      <c r="D3" s="141">
        <v>2021</v>
      </c>
      <c r="E3" s="137">
        <f>submetering!E3+submetering!F3+submetering!G3</f>
        <v>7606</v>
      </c>
      <c r="F3" s="134">
        <v>1.1499999999999999</v>
      </c>
      <c r="G3" s="134">
        <f>'Consommation mensuel énergie'!V11</f>
        <v>479.98815000000002</v>
      </c>
      <c r="H3" s="134">
        <v>9.8209999999999997</v>
      </c>
      <c r="I3" s="134">
        <f>'Consommation mensuel énergie'!F11</f>
        <v>87.100000000005821</v>
      </c>
      <c r="J3" s="134">
        <v>11.4</v>
      </c>
      <c r="K3" s="137">
        <f>'Consommation mensuel énergie'!D11</f>
        <v>21</v>
      </c>
      <c r="L3" s="137">
        <f>'Consommation mensuel énergie'!E11</f>
        <v>38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32" si="0">B3+1</f>
        <v>3</v>
      </c>
      <c r="C4" s="140">
        <v>1</v>
      </c>
      <c r="D4" s="141">
        <v>2021</v>
      </c>
      <c r="E4" s="137">
        <f>submetering!E4+submetering!F4+submetering!G4</f>
        <v>7569</v>
      </c>
      <c r="F4" s="134">
        <v>1.1499999999999999</v>
      </c>
      <c r="G4" s="134">
        <f>'Consommation mensuel énergie'!V12</f>
        <v>447.98894000000001</v>
      </c>
      <c r="H4" s="134">
        <v>9.8209999999999997</v>
      </c>
      <c r="I4" s="134">
        <f>'Consommation mensuel énergie'!F12</f>
        <v>61.899999999994179</v>
      </c>
      <c r="J4" s="134">
        <v>11.4</v>
      </c>
      <c r="K4" s="137">
        <f>'Consommation mensuel énergie'!D12</f>
        <v>34</v>
      </c>
      <c r="L4" s="137">
        <f>'Consommation mensuel énergie'!E12</f>
        <v>58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</v>
      </c>
      <c r="D5" s="141">
        <v>2021</v>
      </c>
      <c r="E5" s="137">
        <f>submetering!E5+submetering!F5+submetering!G5</f>
        <v>7785</v>
      </c>
      <c r="F5" s="134">
        <v>1.1499999999999999</v>
      </c>
      <c r="G5" s="134">
        <f>'Consommation mensuel énergie'!V13</f>
        <v>351.99131</v>
      </c>
      <c r="H5" s="134">
        <v>9.8209999999999997</v>
      </c>
      <c r="I5" s="134">
        <f>'Consommation mensuel énergie'!F13</f>
        <v>60.900000000008731</v>
      </c>
      <c r="J5" s="134">
        <v>11.4</v>
      </c>
      <c r="K5" s="137">
        <f>'Consommation mensuel énergie'!D13</f>
        <v>41</v>
      </c>
      <c r="L5" s="137">
        <f>'Consommation mensuel énergie'!E13</f>
        <v>67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</v>
      </c>
      <c r="D6" s="141">
        <v>2021</v>
      </c>
      <c r="E6" s="137">
        <f>submetering!E6+submetering!F6+submetering!G6</f>
        <v>7602</v>
      </c>
      <c r="F6" s="134">
        <v>1.1499999999999999</v>
      </c>
      <c r="G6" s="134">
        <f>'Consommation mensuel énergie'!V14</f>
        <v>415.98973000000001</v>
      </c>
      <c r="H6" s="134">
        <v>9.8209999999999997</v>
      </c>
      <c r="I6" s="134">
        <f>'Consommation mensuel énergie'!F14</f>
        <v>73.299999999988358</v>
      </c>
      <c r="J6" s="134">
        <v>11.4</v>
      </c>
      <c r="K6" s="137">
        <f>'Consommation mensuel énergie'!D14</f>
        <v>30</v>
      </c>
      <c r="L6" s="137">
        <f>'Consommation mensuel énergie'!E14</f>
        <v>51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</v>
      </c>
      <c r="D7" s="141">
        <v>2021</v>
      </c>
      <c r="E7" s="137">
        <f>submetering!E7+submetering!F7+submetering!G7</f>
        <v>7766</v>
      </c>
      <c r="F7" s="134">
        <v>1.1499999999999999</v>
      </c>
      <c r="G7" s="134">
        <f>'Consommation mensuel énergie'!V15</f>
        <v>607.98499000000004</v>
      </c>
      <c r="H7" s="134">
        <v>9.8209999999999997</v>
      </c>
      <c r="I7" s="134">
        <f>'Consommation mensuel énergie'!F15</f>
        <v>38.700000000011642</v>
      </c>
      <c r="J7" s="134">
        <v>11.4</v>
      </c>
      <c r="K7" s="137">
        <f>'Consommation mensuel énergie'!D15</f>
        <v>20</v>
      </c>
      <c r="L7" s="137">
        <f>'Consommation mensuel énergie'!E15</f>
        <v>24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</v>
      </c>
      <c r="D8" s="141">
        <v>2021</v>
      </c>
      <c r="E8" s="137">
        <f>submetering!E8+submetering!F8+submetering!G8</f>
        <v>7404</v>
      </c>
      <c r="F8" s="134">
        <v>1.1499999999999999</v>
      </c>
      <c r="G8" s="134">
        <f>'Consommation mensuel énergie'!V16</f>
        <v>127.99684000000001</v>
      </c>
      <c r="H8" s="134">
        <v>9.8209999999999997</v>
      </c>
      <c r="I8" s="134">
        <f>'Consommation mensuel énergie'!F16</f>
        <v>70.5</v>
      </c>
      <c r="J8" s="134">
        <v>11.4</v>
      </c>
      <c r="K8" s="137">
        <f>'Consommation mensuel énergie'!D16</f>
        <v>24</v>
      </c>
      <c r="L8" s="137">
        <f>'Consommation mensuel énergie'!E16</f>
        <v>43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</v>
      </c>
      <c r="D9" s="141">
        <v>2021</v>
      </c>
      <c r="E9" s="137">
        <f>submetering!E9+submetering!F9+submetering!G9</f>
        <v>7785</v>
      </c>
      <c r="F9" s="134">
        <v>1.1499999999999999</v>
      </c>
      <c r="G9" s="134">
        <f>'Consommation mensuel énergie'!V17</f>
        <v>223.99447000000001</v>
      </c>
      <c r="H9" s="134">
        <v>9.8209999999999997</v>
      </c>
      <c r="I9" s="134">
        <f>'Consommation mensuel énergie'!F17</f>
        <v>53.599999999991269</v>
      </c>
      <c r="J9" s="134">
        <v>11.4</v>
      </c>
      <c r="K9" s="137">
        <f>'Consommation mensuel énergie'!D17</f>
        <v>33</v>
      </c>
      <c r="L9" s="137">
        <f>'Consommation mensuel énergie'!E17</f>
        <v>49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</v>
      </c>
      <c r="D10" s="141">
        <v>2021</v>
      </c>
      <c r="E10" s="137">
        <f>submetering!E10+submetering!F10+submetering!G10</f>
        <v>7375</v>
      </c>
      <c r="F10" s="134">
        <v>1.1499999999999999</v>
      </c>
      <c r="G10" s="134">
        <f>'Consommation mensuel énergie'!V18</f>
        <v>223.99447000000001</v>
      </c>
      <c r="H10" s="134">
        <v>9.8209999999999997</v>
      </c>
      <c r="I10" s="134">
        <f>'Consommation mensuel énergie'!F18</f>
        <v>62.80000000000291</v>
      </c>
      <c r="J10" s="134">
        <v>11.4</v>
      </c>
      <c r="K10" s="137">
        <f>'Consommation mensuel énergie'!D18</f>
        <v>27</v>
      </c>
      <c r="L10" s="137">
        <f>'Consommation mensuel énergie'!E18</f>
        <v>38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</v>
      </c>
      <c r="D11" s="141">
        <v>2021</v>
      </c>
      <c r="E11" s="137">
        <f>submetering!E11+submetering!F11+submetering!G11</f>
        <v>7573</v>
      </c>
      <c r="F11" s="134">
        <v>1.1499999999999999</v>
      </c>
      <c r="G11" s="134">
        <f>'Consommation mensuel énergie'!V19</f>
        <v>383.99052</v>
      </c>
      <c r="H11" s="134">
        <v>9.8209999999999997</v>
      </c>
      <c r="I11" s="134">
        <f>'Consommation mensuel énergie'!F19</f>
        <v>75</v>
      </c>
      <c r="J11" s="134">
        <v>11.4</v>
      </c>
      <c r="K11" s="137">
        <f>'Consommation mensuel énergie'!D19</f>
        <v>24</v>
      </c>
      <c r="L11" s="137">
        <f>'Consommation mensuel énergie'!E19</f>
        <v>32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</v>
      </c>
      <c r="D12" s="141">
        <v>2021</v>
      </c>
      <c r="E12" s="137">
        <f>submetering!E12+submetering!F12+submetering!G12</f>
        <v>7298</v>
      </c>
      <c r="F12" s="134">
        <v>1.1499999999999999</v>
      </c>
      <c r="G12" s="134">
        <f>'Consommation mensuel énergie'!V20</f>
        <v>447.98894000000001</v>
      </c>
      <c r="H12" s="134">
        <v>9.8209999999999997</v>
      </c>
      <c r="I12" s="134">
        <f>'Consommation mensuel énergie'!F20</f>
        <v>63.899999999994179</v>
      </c>
      <c r="J12" s="134">
        <v>11.4</v>
      </c>
      <c r="K12" s="137">
        <f>'Consommation mensuel énergie'!D20</f>
        <v>27</v>
      </c>
      <c r="L12" s="137">
        <f>'Consommation mensuel énergie'!E20</f>
        <v>37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</v>
      </c>
      <c r="D13" s="141">
        <v>2021</v>
      </c>
      <c r="E13" s="137">
        <f>submetering!E13+submetering!F13+submetering!G13</f>
        <v>7316</v>
      </c>
      <c r="F13" s="134">
        <v>1.1499999999999999</v>
      </c>
      <c r="G13" s="134">
        <f>'Consommation mensuel énergie'!V21</f>
        <v>319.99209999999999</v>
      </c>
      <c r="H13" s="134">
        <v>9.8209999999999997</v>
      </c>
      <c r="I13" s="134">
        <f>'Consommation mensuel énergie'!F21</f>
        <v>39.200000000011642</v>
      </c>
      <c r="J13" s="134">
        <v>11.4</v>
      </c>
      <c r="K13" s="137">
        <f>'Consommation mensuel énergie'!D21</f>
        <v>38</v>
      </c>
      <c r="L13" s="137">
        <f>'Consommation mensuel énergie'!E21</f>
        <v>48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</v>
      </c>
      <c r="D14" s="141">
        <v>2021</v>
      </c>
      <c r="E14" s="137">
        <f>submetering!E14+submetering!F14+submetering!G14</f>
        <v>7408</v>
      </c>
      <c r="F14" s="134">
        <v>1.1499999999999999</v>
      </c>
      <c r="G14" s="134">
        <f>'Consommation mensuel énergie'!V22</f>
        <v>447.98894000000001</v>
      </c>
      <c r="H14" s="134">
        <v>9.8209999999999997</v>
      </c>
      <c r="I14" s="134">
        <f>'Consommation mensuel énergie'!F22</f>
        <v>60</v>
      </c>
      <c r="J14" s="134">
        <v>11.4</v>
      </c>
      <c r="K14" s="137">
        <f>'Consommation mensuel énergie'!D22</f>
        <v>31</v>
      </c>
      <c r="L14" s="137">
        <f>'Consommation mensuel énergie'!E22</f>
        <v>42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</v>
      </c>
      <c r="D15" s="141">
        <v>2021</v>
      </c>
      <c r="E15" s="137">
        <f>submetering!E15+submetering!F15+submetering!G15</f>
        <v>7459</v>
      </c>
      <c r="F15" s="134">
        <v>1.1499999999999999</v>
      </c>
      <c r="G15" s="134">
        <f>'Consommation mensuel énergie'!V23</f>
        <v>351.99131</v>
      </c>
      <c r="H15" s="134">
        <v>9.8209999999999997</v>
      </c>
      <c r="I15" s="134">
        <f>'Consommation mensuel énergie'!F23</f>
        <v>42.299999999988358</v>
      </c>
      <c r="J15" s="134">
        <v>11.4</v>
      </c>
      <c r="K15" s="137">
        <f>'Consommation mensuel énergie'!D23</f>
        <v>25</v>
      </c>
      <c r="L15" s="137">
        <f>'Consommation mensuel énergie'!E23</f>
        <v>39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</v>
      </c>
      <c r="D16" s="141">
        <v>2021</v>
      </c>
      <c r="E16" s="137">
        <f>submetering!E16+submetering!F16+submetering!G16</f>
        <v>7524</v>
      </c>
      <c r="F16" s="134">
        <v>1.1499999999999999</v>
      </c>
      <c r="G16" s="134">
        <f>'Consommation mensuel énergie'!V24</f>
        <v>319.99209999999999</v>
      </c>
      <c r="H16" s="134">
        <v>9.8209999999999997</v>
      </c>
      <c r="I16" s="134">
        <f>'Consommation mensuel énergie'!F24</f>
        <v>58.700000000011642</v>
      </c>
      <c r="J16" s="134">
        <v>11.4</v>
      </c>
      <c r="K16" s="137">
        <f>'Consommation mensuel énergie'!D24</f>
        <v>25</v>
      </c>
      <c r="L16" s="137">
        <f>'Consommation mensuel énergie'!E24</f>
        <v>44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</v>
      </c>
      <c r="D17" s="141">
        <v>2021</v>
      </c>
      <c r="E17" s="137">
        <f>submetering!E17+submetering!F17+submetering!G17</f>
        <v>7362</v>
      </c>
      <c r="F17" s="134">
        <v>1.1499999999999999</v>
      </c>
      <c r="G17" s="134">
        <f>'Consommation mensuel énergie'!V25</f>
        <v>671.98341000000005</v>
      </c>
      <c r="H17" s="134">
        <v>9.8209999999999997</v>
      </c>
      <c r="I17" s="134">
        <f>'Consommation mensuel énergie'!F25</f>
        <v>75</v>
      </c>
      <c r="J17" s="134">
        <v>11.4</v>
      </c>
      <c r="K17" s="137">
        <f>'Consommation mensuel énergie'!D25</f>
        <v>23</v>
      </c>
      <c r="L17" s="137">
        <f>'Consommation mensuel énergie'!E25</f>
        <v>38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</v>
      </c>
      <c r="D18" s="141">
        <v>2021</v>
      </c>
      <c r="E18" s="137">
        <f>submetering!E18+submetering!F18+submetering!G18</f>
        <v>7467</v>
      </c>
      <c r="F18" s="134">
        <v>1.1499999999999999</v>
      </c>
      <c r="G18" s="134">
        <f>'Consommation mensuel énergie'!V26</f>
        <v>447.98894000000001</v>
      </c>
      <c r="H18" s="134">
        <v>9.8209999999999997</v>
      </c>
      <c r="I18" s="134">
        <f>'Consommation mensuel énergie'!F26</f>
        <v>62.899999999994179</v>
      </c>
      <c r="J18" s="134">
        <v>11.4</v>
      </c>
      <c r="K18" s="137">
        <f>'Consommation mensuel énergie'!D26</f>
        <v>28</v>
      </c>
      <c r="L18" s="137">
        <f>'Consommation mensuel énergie'!E26</f>
        <v>39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</v>
      </c>
      <c r="D19" s="141">
        <v>2021</v>
      </c>
      <c r="E19" s="137">
        <f>submetering!E19+submetering!F19+submetering!G19</f>
        <v>7445</v>
      </c>
      <c r="F19" s="134">
        <v>1.1499999999999999</v>
      </c>
      <c r="G19" s="134">
        <f>'Consommation mensuel énergie'!V27</f>
        <v>415.98973000000001</v>
      </c>
      <c r="H19" s="134">
        <v>9.8209999999999997</v>
      </c>
      <c r="I19" s="134">
        <f>'Consommation mensuel énergie'!F27</f>
        <v>59</v>
      </c>
      <c r="J19" s="134">
        <v>11.4</v>
      </c>
      <c r="K19" s="137">
        <f>'Consommation mensuel énergie'!D27</f>
        <v>54</v>
      </c>
      <c r="L19" s="137">
        <f>'Consommation mensuel énergie'!E27</f>
        <v>69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</v>
      </c>
      <c r="D20" s="141">
        <v>2021</v>
      </c>
      <c r="E20" s="137">
        <f>submetering!E20+submetering!F20+submetering!G20</f>
        <v>7792</v>
      </c>
      <c r="F20" s="134">
        <v>1.1499999999999999</v>
      </c>
      <c r="G20" s="134">
        <f>'Consommation mensuel énergie'!V28</f>
        <v>255.99368000000001</v>
      </c>
      <c r="H20" s="134">
        <v>9.8209999999999997</v>
      </c>
      <c r="I20" s="134">
        <f>'Consommation mensuel énergie'!F28</f>
        <v>85</v>
      </c>
      <c r="J20" s="134">
        <v>11.4</v>
      </c>
      <c r="K20" s="137">
        <f>'Consommation mensuel énergie'!D28</f>
        <v>19</v>
      </c>
      <c r="L20" s="137">
        <f>'Consommation mensuel énergie'!E28</f>
        <v>32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</v>
      </c>
      <c r="D21" s="141">
        <v>2021</v>
      </c>
      <c r="E21" s="137">
        <f>submetering!E21+submetering!F21+submetering!G21</f>
        <v>7568</v>
      </c>
      <c r="F21" s="134">
        <v>1.1499999999999999</v>
      </c>
      <c r="G21" s="134">
        <f>'Consommation mensuel énergie'!V29</f>
        <v>255.99368000000001</v>
      </c>
      <c r="H21" s="134">
        <v>9.8209999999999997</v>
      </c>
      <c r="I21" s="134">
        <f>'Consommation mensuel énergie'!F29</f>
        <v>63.19999999999709</v>
      </c>
      <c r="J21" s="134">
        <v>11.4</v>
      </c>
      <c r="K21" s="137">
        <f>'Consommation mensuel énergie'!D29</f>
        <v>21</v>
      </c>
      <c r="L21" s="137">
        <f>'Consommation mensuel énergie'!E29</f>
        <v>29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</v>
      </c>
      <c r="D22" s="141">
        <v>2021</v>
      </c>
      <c r="E22" s="137">
        <f>submetering!E22+submetering!F22+submetering!G22</f>
        <v>7715</v>
      </c>
      <c r="F22" s="134">
        <v>1.1499999999999999</v>
      </c>
      <c r="G22" s="134">
        <f>'Consommation mensuel énergie'!V30</f>
        <v>351.99131</v>
      </c>
      <c r="H22" s="134">
        <v>9.8209999999999997</v>
      </c>
      <c r="I22" s="134">
        <f>'Consommation mensuel énergie'!F30</f>
        <v>54.30000000000291</v>
      </c>
      <c r="J22" s="134">
        <v>11.4</v>
      </c>
      <c r="K22" s="137">
        <f>'Consommation mensuel énergie'!D30</f>
        <v>32</v>
      </c>
      <c r="L22" s="137">
        <f>'Consommation mensuel énergie'!E30</f>
        <v>48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</v>
      </c>
      <c r="D23" s="141">
        <v>2021</v>
      </c>
      <c r="E23" s="137">
        <f>submetering!E23+submetering!F23+submetering!G23</f>
        <v>7762</v>
      </c>
      <c r="F23" s="134">
        <v>1.1499999999999999</v>
      </c>
      <c r="G23" s="134">
        <f>'Consommation mensuel énergie'!V31</f>
        <v>351.99131</v>
      </c>
      <c r="H23" s="134">
        <v>9.8209999999999997</v>
      </c>
      <c r="I23" s="134">
        <f>'Consommation mensuel énergie'!F31</f>
        <v>54.30000000000291</v>
      </c>
      <c r="J23" s="134">
        <v>11.4</v>
      </c>
      <c r="K23" s="137">
        <f>'Consommation mensuel énergie'!D31</f>
        <v>42</v>
      </c>
      <c r="L23" s="137">
        <f>'Consommation mensuel énergie'!E31</f>
        <v>66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</v>
      </c>
      <c r="D24" s="141">
        <v>2021</v>
      </c>
      <c r="E24" s="137">
        <f>submetering!E24+submetering!F24+submetering!G24</f>
        <v>8940</v>
      </c>
      <c r="F24" s="134">
        <v>1.1499999999999999</v>
      </c>
      <c r="G24" s="134">
        <f>'Consommation mensuel énergie'!V32</f>
        <v>415.98973000000001</v>
      </c>
      <c r="H24" s="134">
        <v>9.8209999999999997</v>
      </c>
      <c r="I24" s="134">
        <f>'Consommation mensuel énergie'!F32</f>
        <v>69.80000000000291</v>
      </c>
      <c r="J24" s="134">
        <v>11.4</v>
      </c>
      <c r="K24" s="137">
        <f>'Consommation mensuel énergie'!D32</f>
        <v>30</v>
      </c>
      <c r="L24" s="137">
        <f>'Consommation mensuel énergie'!E32</f>
        <v>50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</v>
      </c>
      <c r="D25" s="141">
        <v>2021</v>
      </c>
      <c r="E25" s="137">
        <f>submetering!E25+submetering!F25+submetering!G25</f>
        <v>8659</v>
      </c>
      <c r="F25" s="134">
        <v>1.1499999999999999</v>
      </c>
      <c r="G25" s="134">
        <f>'Consommation mensuel énergie'!V33</f>
        <v>319.99209999999999</v>
      </c>
      <c r="H25" s="134">
        <v>9.8209999999999997</v>
      </c>
      <c r="I25" s="134">
        <f>'Consommation mensuel énergie'!F33</f>
        <v>74.399999999994179</v>
      </c>
      <c r="J25" s="134">
        <v>11.4</v>
      </c>
      <c r="K25" s="137">
        <f>'Consommation mensuel énergie'!D33</f>
        <v>31</v>
      </c>
      <c r="L25" s="137">
        <f>'Consommation mensuel énergie'!E33</f>
        <v>47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</v>
      </c>
      <c r="D26" s="141">
        <v>2021</v>
      </c>
      <c r="E26" s="137">
        <f>submetering!E26+submetering!F26+submetering!G26</f>
        <v>7683</v>
      </c>
      <c r="F26" s="134">
        <v>1.1499999999999999</v>
      </c>
      <c r="G26" s="134">
        <f>'Consommation mensuel énergie'!V34</f>
        <v>735.98183000000006</v>
      </c>
      <c r="H26" s="134">
        <v>9.8209999999999997</v>
      </c>
      <c r="I26" s="134">
        <f>'Consommation mensuel énergie'!F34</f>
        <v>70</v>
      </c>
      <c r="J26" s="134">
        <v>11.4</v>
      </c>
      <c r="K26" s="137">
        <f>'Consommation mensuel énergie'!D34</f>
        <v>26</v>
      </c>
      <c r="L26" s="137">
        <f>'Consommation mensuel énergie'!E34</f>
        <v>48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si="0"/>
        <v>26</v>
      </c>
      <c r="C27" s="140">
        <v>1</v>
      </c>
      <c r="D27" s="141">
        <v>2021</v>
      </c>
      <c r="E27" s="137">
        <f>submetering!E27+submetering!F27+submetering!G27</f>
        <v>7064</v>
      </c>
      <c r="F27" s="134">
        <v>1.1499999999999999</v>
      </c>
      <c r="G27" s="134">
        <f>'Consommation mensuel énergie'!V35</f>
        <v>511.98736000000002</v>
      </c>
      <c r="H27" s="134">
        <v>9.8209999999999997</v>
      </c>
      <c r="I27" s="134">
        <f>'Consommation mensuel énergie'!F35</f>
        <v>71.600000000005821</v>
      </c>
      <c r="J27" s="134">
        <v>11.4</v>
      </c>
      <c r="K27" s="137">
        <f>'Consommation mensuel énergie'!D35</f>
        <v>32</v>
      </c>
      <c r="L27" s="137">
        <f>'Consommation mensuel énergie'!E35</f>
        <v>53</v>
      </c>
      <c r="M27" s="133" t="e">
        <f>E27*F27+G27*H27+#REF!*#REF!+I27*J27</f>
        <v>#REF!</v>
      </c>
    </row>
    <row r="28" spans="1:13" x14ac:dyDescent="0.2">
      <c r="A28" s="136" t="s">
        <v>13</v>
      </c>
      <c r="B28" s="140">
        <f t="shared" si="0"/>
        <v>27</v>
      </c>
      <c r="C28" s="140">
        <v>1</v>
      </c>
      <c r="D28" s="141">
        <v>2021</v>
      </c>
      <c r="E28" s="137">
        <f>submetering!E28+submetering!F28+submetering!G28</f>
        <v>7580</v>
      </c>
      <c r="F28" s="134">
        <v>1.1499999999999999</v>
      </c>
      <c r="G28" s="134">
        <f>'Consommation mensuel énergie'!V36</f>
        <v>479.98815000000002</v>
      </c>
      <c r="H28" s="134">
        <v>9.8209999999999997</v>
      </c>
      <c r="I28" s="134">
        <f>'Consommation mensuel énergie'!F36</f>
        <v>107.19999999999709</v>
      </c>
      <c r="J28" s="134">
        <v>11.4</v>
      </c>
      <c r="K28" s="137">
        <f>'Consommation mensuel énergie'!D36</f>
        <v>32</v>
      </c>
      <c r="L28" s="137">
        <f>'Consommation mensuel énergie'!E36</f>
        <v>47</v>
      </c>
      <c r="M28" s="133" t="e">
        <f>E28*F28+G28*H28+#REF!*#REF!+I28*J28</f>
        <v>#REF!</v>
      </c>
    </row>
    <row r="29" spans="1:13" x14ac:dyDescent="0.2">
      <c r="A29" s="136" t="s">
        <v>13</v>
      </c>
      <c r="B29" s="140">
        <f t="shared" si="0"/>
        <v>28</v>
      </c>
      <c r="C29" s="140">
        <v>1</v>
      </c>
      <c r="D29" s="141">
        <v>2021</v>
      </c>
      <c r="E29" s="137">
        <f>submetering!E29+submetering!F29+submetering!G29</f>
        <v>7635</v>
      </c>
      <c r="F29" s="134">
        <v>1.1499999999999999</v>
      </c>
      <c r="G29" s="134">
        <f>'Consommation mensuel énergie'!V37</f>
        <v>479.98815000000002</v>
      </c>
      <c r="H29" s="134">
        <v>9.8209999999999997</v>
      </c>
      <c r="I29" s="134">
        <f>'Consommation mensuel énergie'!F37</f>
        <v>69.599999999991269</v>
      </c>
      <c r="J29" s="134">
        <v>11.4</v>
      </c>
      <c r="K29" s="137">
        <f>'Consommation mensuel énergie'!D37</f>
        <v>33</v>
      </c>
      <c r="L29" s="137">
        <f>'Consommation mensuel énergie'!E37</f>
        <v>51</v>
      </c>
      <c r="M29" s="133" t="e">
        <f>E29*F29+G29*H29+#REF!*#REF!+I29*J29</f>
        <v>#REF!</v>
      </c>
    </row>
    <row r="30" spans="1:13" x14ac:dyDescent="0.2">
      <c r="A30" s="136" t="s">
        <v>13</v>
      </c>
      <c r="B30" s="140">
        <f t="shared" si="0"/>
        <v>29</v>
      </c>
      <c r="C30" s="140">
        <v>1</v>
      </c>
      <c r="D30" s="141">
        <v>2021</v>
      </c>
      <c r="E30" s="137">
        <f>submetering!E30+submetering!F30+submetering!G30</f>
        <v>7875</v>
      </c>
      <c r="F30" s="134">
        <v>1.1499999999999999</v>
      </c>
      <c r="G30" s="134">
        <f>'Consommation mensuel énergie'!V38</f>
        <v>351.99131</v>
      </c>
      <c r="H30" s="134">
        <v>9.8209999999999997</v>
      </c>
      <c r="I30" s="134">
        <f>'Consommation mensuel énergie'!F38</f>
        <v>52.80000000000291</v>
      </c>
      <c r="J30" s="134">
        <v>11.4</v>
      </c>
      <c r="K30" s="137">
        <f>'Consommation mensuel énergie'!D38</f>
        <v>33</v>
      </c>
      <c r="L30" s="137">
        <f>'Consommation mensuel énergie'!E38</f>
        <v>60</v>
      </c>
      <c r="M30" s="133"/>
    </row>
    <row r="31" spans="1:13" x14ac:dyDescent="0.2">
      <c r="A31" s="136" t="s">
        <v>13</v>
      </c>
      <c r="B31" s="140">
        <f t="shared" si="0"/>
        <v>30</v>
      </c>
      <c r="C31" s="140">
        <v>1</v>
      </c>
      <c r="D31" s="141">
        <v>2021</v>
      </c>
      <c r="E31" s="137">
        <f>submetering!E31+submetering!F31+submetering!G31</f>
        <v>8135</v>
      </c>
      <c r="F31" s="134">
        <v>1.1499999999999999</v>
      </c>
      <c r="G31" s="134">
        <f>'Consommation mensuel énergie'!V39</f>
        <v>863.97867000000008</v>
      </c>
      <c r="H31" s="134">
        <v>9.8209999999999997</v>
      </c>
      <c r="I31" s="134">
        <f>'Consommation mensuel énergie'!F39</f>
        <v>89.80000000000291</v>
      </c>
      <c r="J31" s="134">
        <v>11.4</v>
      </c>
      <c r="K31" s="137">
        <f>'Consommation mensuel énergie'!D39</f>
        <v>39</v>
      </c>
      <c r="L31" s="137">
        <f>'Consommation mensuel énergie'!E39</f>
        <v>70</v>
      </c>
      <c r="M31" s="133"/>
    </row>
    <row r="32" spans="1:13" x14ac:dyDescent="0.2">
      <c r="A32" s="136" t="s">
        <v>13</v>
      </c>
      <c r="B32" s="140">
        <f t="shared" si="0"/>
        <v>31</v>
      </c>
      <c r="C32" s="140">
        <v>1</v>
      </c>
      <c r="D32" s="141">
        <v>2021</v>
      </c>
      <c r="E32" s="137">
        <f>submetering!E32+submetering!F32+submetering!G32</f>
        <v>7461</v>
      </c>
      <c r="F32" s="134">
        <v>1.1499999999999999</v>
      </c>
      <c r="G32" s="134">
        <f>'Consommation mensuel énergie'!V40</f>
        <v>575.98577999999998</v>
      </c>
      <c r="H32" s="134">
        <v>9.8209999999999997</v>
      </c>
      <c r="I32" s="134">
        <f>'Consommation mensuel énergie'!F40</f>
        <v>72.600000000005821</v>
      </c>
      <c r="J32" s="134">
        <v>11.4</v>
      </c>
      <c r="K32" s="137">
        <f>'Consommation mensuel énergie'!D40</f>
        <v>32</v>
      </c>
      <c r="L32" s="137">
        <f>'Consommation mensuel énergie'!E40</f>
        <v>47</v>
      </c>
      <c r="M32" s="133"/>
    </row>
    <row r="33" spans="6:10" x14ac:dyDescent="0.2">
      <c r="F33" s="134"/>
      <c r="G33" s="134"/>
      <c r="H33" s="134"/>
      <c r="I33" s="134"/>
      <c r="J33" s="134"/>
    </row>
    <row r="34" spans="6:10" x14ac:dyDescent="0.2">
      <c r="F34" s="134"/>
      <c r="G34" s="134"/>
      <c r="H34" s="134"/>
      <c r="I34" s="134"/>
      <c r="J34" s="134"/>
    </row>
    <row r="35" spans="6:10" x14ac:dyDescent="0.2">
      <c r="F35" s="134"/>
      <c r="G35" s="134"/>
      <c r="H35" s="134"/>
      <c r="I35" s="134"/>
      <c r="J35" s="134"/>
    </row>
    <row r="36" spans="6:10" x14ac:dyDescent="0.2">
      <c r="F36" s="134"/>
      <c r="G36" s="134"/>
      <c r="H36" s="134"/>
      <c r="I36" s="134"/>
      <c r="J36" s="134"/>
    </row>
    <row r="37" spans="6:10" x14ac:dyDescent="0.2">
      <c r="F37" s="134"/>
      <c r="G37" s="134"/>
      <c r="H37" s="134"/>
      <c r="I37" s="134"/>
      <c r="J37" s="134"/>
    </row>
    <row r="38" spans="6:10" x14ac:dyDescent="0.2">
      <c r="F38" s="134"/>
      <c r="G38" s="134"/>
      <c r="H38" s="134"/>
      <c r="I38" s="134"/>
      <c r="J38" s="134"/>
    </row>
    <row r="39" spans="6:10" x14ac:dyDescent="0.2">
      <c r="F39" s="134"/>
      <c r="G39" s="134"/>
      <c r="H39" s="134"/>
      <c r="I39" s="134"/>
      <c r="J39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Q28" sqref="Q28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</v>
      </c>
      <c r="D2" s="141">
        <v>2021</v>
      </c>
      <c r="E2" s="137">
        <f>'Consommation mensuel énergie'!L10</f>
        <v>2484</v>
      </c>
      <c r="F2" s="137">
        <f>'Consommation mensuel énergie'!M10</f>
        <v>3682</v>
      </c>
      <c r="G2" s="137">
        <f>'Consommation mensuel énergie'!N10</f>
        <v>1748</v>
      </c>
      <c r="H2" s="137">
        <f>'Consommation mensuel énergie'!D10</f>
        <v>27</v>
      </c>
      <c r="I2" s="137">
        <f>'Consommation mensuel énergie'!E10</f>
        <v>46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</v>
      </c>
      <c r="D3" s="141">
        <v>2021</v>
      </c>
      <c r="E3" s="137">
        <f>'Consommation mensuel énergie'!L11</f>
        <v>2519</v>
      </c>
      <c r="F3" s="137">
        <f>'Consommation mensuel énergie'!M11</f>
        <v>3473</v>
      </c>
      <c r="G3" s="137">
        <f>'Consommation mensuel énergie'!N11</f>
        <v>1614</v>
      </c>
      <c r="H3" s="137">
        <f>'Consommation mensuel énergie'!D11</f>
        <v>21</v>
      </c>
      <c r="I3" s="137">
        <f>'Consommation mensuel énergie'!E11</f>
        <v>38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31" si="0">B3+1</f>
        <v>3</v>
      </c>
      <c r="C4" s="140">
        <v>1</v>
      </c>
      <c r="D4" s="141">
        <v>2021</v>
      </c>
      <c r="E4" s="137">
        <f>'Consommation mensuel énergie'!L12</f>
        <v>2297</v>
      </c>
      <c r="F4" s="137">
        <f>'Consommation mensuel énergie'!M12</f>
        <v>3698</v>
      </c>
      <c r="G4" s="137">
        <f>'Consommation mensuel énergie'!N12</f>
        <v>1574</v>
      </c>
      <c r="H4" s="137">
        <f>'Consommation mensuel énergie'!D12</f>
        <v>34</v>
      </c>
      <c r="I4" s="137">
        <f>'Consommation mensuel énergie'!E12</f>
        <v>58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</v>
      </c>
      <c r="D5" s="141">
        <v>2021</v>
      </c>
      <c r="E5" s="137">
        <f>'Consommation mensuel énergie'!L13</f>
        <v>2535</v>
      </c>
      <c r="F5" s="137">
        <f>'Consommation mensuel énergie'!M13</f>
        <v>3605</v>
      </c>
      <c r="G5" s="137">
        <f>'Consommation mensuel énergie'!N13</f>
        <v>1645</v>
      </c>
      <c r="H5" s="137">
        <f>'Consommation mensuel énergie'!D13</f>
        <v>41</v>
      </c>
      <c r="I5" s="137">
        <f>'Consommation mensuel énergie'!E13</f>
        <v>67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</v>
      </c>
      <c r="D6" s="141">
        <v>2021</v>
      </c>
      <c r="E6" s="137">
        <f>'Consommation mensuel énergie'!L14</f>
        <v>2190</v>
      </c>
      <c r="F6" s="137">
        <f>'Consommation mensuel énergie'!M14</f>
        <v>3668</v>
      </c>
      <c r="G6" s="137">
        <f>'Consommation mensuel énergie'!N14</f>
        <v>1744</v>
      </c>
      <c r="H6" s="137">
        <f>'Consommation mensuel énergie'!D14</f>
        <v>30</v>
      </c>
      <c r="I6" s="137">
        <f>'Consommation mensuel énergie'!E14</f>
        <v>51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</v>
      </c>
      <c r="D7" s="141">
        <v>2021</v>
      </c>
      <c r="E7" s="137">
        <f>'Consommation mensuel énergie'!L15</f>
        <v>2501</v>
      </c>
      <c r="F7" s="137">
        <f>'Consommation mensuel énergie'!M15</f>
        <v>3597</v>
      </c>
      <c r="G7" s="137">
        <f>'Consommation mensuel énergie'!N15</f>
        <v>1668</v>
      </c>
      <c r="H7" s="137">
        <f>'Consommation mensuel énergie'!D15</f>
        <v>20</v>
      </c>
      <c r="I7" s="137">
        <f>'Consommation mensuel énergie'!E15</f>
        <v>24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</v>
      </c>
      <c r="D8" s="141">
        <v>2021</v>
      </c>
      <c r="E8" s="137">
        <f>'Consommation mensuel énergie'!L16</f>
        <v>2346</v>
      </c>
      <c r="F8" s="137">
        <f>'Consommation mensuel énergie'!M16</f>
        <v>3512</v>
      </c>
      <c r="G8" s="137">
        <f>'Consommation mensuel énergie'!N16</f>
        <v>1546</v>
      </c>
      <c r="H8" s="137">
        <f>'Consommation mensuel énergie'!D16</f>
        <v>24</v>
      </c>
      <c r="I8" s="137">
        <f>'Consommation mensuel énergie'!E16</f>
        <v>43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</v>
      </c>
      <c r="D9" s="141">
        <v>2021</v>
      </c>
      <c r="E9" s="137">
        <f>'Consommation mensuel énergie'!L17</f>
        <v>2496</v>
      </c>
      <c r="F9" s="137">
        <f>'Consommation mensuel énergie'!M17</f>
        <v>3624</v>
      </c>
      <c r="G9" s="137">
        <f>'Consommation mensuel énergie'!N17</f>
        <v>1665</v>
      </c>
      <c r="H9" s="137">
        <f>'Consommation mensuel énergie'!D17</f>
        <v>33</v>
      </c>
      <c r="I9" s="137">
        <f>'Consommation mensuel énergie'!E17</f>
        <v>49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</v>
      </c>
      <c r="D10" s="141">
        <v>2021</v>
      </c>
      <c r="E10" s="137">
        <f>'Consommation mensuel énergie'!L18</f>
        <v>2234</v>
      </c>
      <c r="F10" s="137">
        <f>'Consommation mensuel énergie'!M18</f>
        <v>3590</v>
      </c>
      <c r="G10" s="137">
        <f>'Consommation mensuel énergie'!N18</f>
        <v>1551</v>
      </c>
      <c r="H10" s="137">
        <f>'Consommation mensuel énergie'!D18</f>
        <v>27</v>
      </c>
      <c r="I10" s="137">
        <f>'Consommation mensuel énergie'!E18</f>
        <v>38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</v>
      </c>
      <c r="D11" s="141">
        <v>2021</v>
      </c>
      <c r="E11" s="137">
        <f>'Consommation mensuel énergie'!L19</f>
        <v>2498</v>
      </c>
      <c r="F11" s="137">
        <f>'Consommation mensuel énergie'!M19</f>
        <v>3484</v>
      </c>
      <c r="G11" s="137">
        <f>'Consommation mensuel énergie'!N19</f>
        <v>1591</v>
      </c>
      <c r="H11" s="137">
        <f>'Consommation mensuel énergie'!D19</f>
        <v>24</v>
      </c>
      <c r="I11" s="137">
        <f>'Consommation mensuel énergie'!E19</f>
        <v>32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</v>
      </c>
      <c r="D12" s="141">
        <v>2021</v>
      </c>
      <c r="E12" s="137">
        <f>'Consommation mensuel énergie'!L20</f>
        <v>2271</v>
      </c>
      <c r="F12" s="137">
        <f>'Consommation mensuel énergie'!M20</f>
        <v>3444</v>
      </c>
      <c r="G12" s="137">
        <f>'Consommation mensuel énergie'!N20</f>
        <v>1583</v>
      </c>
      <c r="H12" s="137">
        <f>'Consommation mensuel énergie'!D20</f>
        <v>27</v>
      </c>
      <c r="I12" s="137">
        <f>'Consommation mensuel énergie'!E20</f>
        <v>37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</v>
      </c>
      <c r="D13" s="141">
        <v>2021</v>
      </c>
      <c r="E13" s="137">
        <f>'Consommation mensuel énergie'!L21</f>
        <v>2308</v>
      </c>
      <c r="F13" s="137">
        <f>'Consommation mensuel énergie'!M21</f>
        <v>3446</v>
      </c>
      <c r="G13" s="137">
        <f>'Consommation mensuel énergie'!N21</f>
        <v>1562</v>
      </c>
      <c r="H13" s="137">
        <f>'Consommation mensuel énergie'!D21</f>
        <v>38</v>
      </c>
      <c r="I13" s="137">
        <f>'Consommation mensuel énergie'!E21</f>
        <v>48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</v>
      </c>
      <c r="D14" s="141">
        <v>2021</v>
      </c>
      <c r="E14" s="137">
        <f>'Consommation mensuel énergie'!L22</f>
        <v>2353</v>
      </c>
      <c r="F14" s="137">
        <f>'Consommation mensuel énergie'!M22</f>
        <v>3469</v>
      </c>
      <c r="G14" s="137">
        <f>'Consommation mensuel énergie'!N22</f>
        <v>1586</v>
      </c>
      <c r="H14" s="137">
        <f>'Consommation mensuel énergie'!D22</f>
        <v>31</v>
      </c>
      <c r="I14" s="137">
        <f>'Consommation mensuel énergie'!E22</f>
        <v>42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</v>
      </c>
      <c r="D15" s="141">
        <v>2021</v>
      </c>
      <c r="E15" s="137">
        <f>'Consommation mensuel énergie'!L23</f>
        <v>2505</v>
      </c>
      <c r="F15" s="137">
        <f>'Consommation mensuel énergie'!M23</f>
        <v>3412</v>
      </c>
      <c r="G15" s="137">
        <f>'Consommation mensuel énergie'!N23</f>
        <v>1542</v>
      </c>
      <c r="H15" s="137">
        <f>'Consommation mensuel énergie'!D23</f>
        <v>25</v>
      </c>
      <c r="I15" s="137">
        <f>'Consommation mensuel énergie'!E23</f>
        <v>39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</v>
      </c>
      <c r="D16" s="141">
        <v>2021</v>
      </c>
      <c r="E16" s="137">
        <f>'Consommation mensuel énergie'!L24</f>
        <v>2393</v>
      </c>
      <c r="F16" s="137">
        <f>'Consommation mensuel énergie'!M24</f>
        <v>3524</v>
      </c>
      <c r="G16" s="137">
        <f>'Consommation mensuel énergie'!N24</f>
        <v>1607</v>
      </c>
      <c r="H16" s="137">
        <f>'Consommation mensuel énergie'!D24</f>
        <v>25</v>
      </c>
      <c r="I16" s="137">
        <f>'Consommation mensuel énergie'!E24</f>
        <v>44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</v>
      </c>
      <c r="D17" s="141">
        <v>2021</v>
      </c>
      <c r="E17" s="137">
        <f>'Consommation mensuel énergie'!L25</f>
        <v>2444</v>
      </c>
      <c r="F17" s="137">
        <f>'Consommation mensuel énergie'!M25</f>
        <v>3365</v>
      </c>
      <c r="G17" s="137">
        <f>'Consommation mensuel énergie'!N25</f>
        <v>1553</v>
      </c>
      <c r="H17" s="137">
        <f>'Consommation mensuel énergie'!D25</f>
        <v>23</v>
      </c>
      <c r="I17" s="137">
        <f>'Consommation mensuel énergie'!E25</f>
        <v>38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</v>
      </c>
      <c r="D18" s="141">
        <v>2021</v>
      </c>
      <c r="E18" s="137">
        <f>'Consommation mensuel énergie'!L26</f>
        <v>2599</v>
      </c>
      <c r="F18" s="137">
        <f>'Consommation mensuel énergie'!M26</f>
        <v>3336</v>
      </c>
      <c r="G18" s="137">
        <f>'Consommation mensuel énergie'!N26</f>
        <v>1532</v>
      </c>
      <c r="H18" s="137">
        <f>'Consommation mensuel énergie'!D26</f>
        <v>28</v>
      </c>
      <c r="I18" s="137">
        <f>'Consommation mensuel énergie'!E26</f>
        <v>39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</v>
      </c>
      <c r="D19" s="141">
        <v>2021</v>
      </c>
      <c r="E19" s="137">
        <f>'Consommation mensuel énergie'!L27</f>
        <v>2446</v>
      </c>
      <c r="F19" s="137">
        <f>'Consommation mensuel énergie'!M27</f>
        <v>3417</v>
      </c>
      <c r="G19" s="137">
        <f>'Consommation mensuel énergie'!N27</f>
        <v>1582</v>
      </c>
      <c r="H19" s="137">
        <f>'Consommation mensuel énergie'!D27</f>
        <v>54</v>
      </c>
      <c r="I19" s="137">
        <f>'Consommation mensuel énergie'!E27</f>
        <v>69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</v>
      </c>
      <c r="D20" s="141">
        <v>2021</v>
      </c>
      <c r="E20" s="137">
        <f>'Consommation mensuel énergie'!L28</f>
        <v>2521</v>
      </c>
      <c r="F20" s="137">
        <f>'Consommation mensuel énergie'!M28</f>
        <v>3698</v>
      </c>
      <c r="G20" s="137">
        <f>'Consommation mensuel énergie'!N28</f>
        <v>1573</v>
      </c>
      <c r="H20" s="137">
        <f>'Consommation mensuel énergie'!D28</f>
        <v>19</v>
      </c>
      <c r="I20" s="137">
        <f>'Consommation mensuel énergie'!E28</f>
        <v>32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</v>
      </c>
      <c r="D21" s="141">
        <v>2021</v>
      </c>
      <c r="E21" s="137">
        <f>'Consommation mensuel énergie'!L29</f>
        <v>2238</v>
      </c>
      <c r="F21" s="137">
        <f>'Consommation mensuel énergie'!M29</f>
        <v>3743</v>
      </c>
      <c r="G21" s="137">
        <f>'Consommation mensuel énergie'!N29</f>
        <v>1587</v>
      </c>
      <c r="H21" s="137">
        <f>'Consommation mensuel énergie'!D29</f>
        <v>21</v>
      </c>
      <c r="I21" s="137">
        <f>'Consommation mensuel énergie'!E29</f>
        <v>29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</v>
      </c>
      <c r="D22" s="141">
        <v>2021</v>
      </c>
      <c r="E22" s="137">
        <f>'Consommation mensuel énergie'!L30</f>
        <v>2576</v>
      </c>
      <c r="F22" s="137">
        <f>'Consommation mensuel énergie'!M30</f>
        <v>3561</v>
      </c>
      <c r="G22" s="137">
        <f>'Consommation mensuel énergie'!N30</f>
        <v>1578</v>
      </c>
      <c r="H22" s="137">
        <f>'Consommation mensuel énergie'!D30</f>
        <v>32</v>
      </c>
      <c r="I22" s="137">
        <f>'Consommation mensuel énergie'!E30</f>
        <v>48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</v>
      </c>
      <c r="D23" s="141">
        <v>2021</v>
      </c>
      <c r="E23" s="137">
        <f>'Consommation mensuel énergie'!L31</f>
        <v>2555</v>
      </c>
      <c r="F23" s="137">
        <f>'Consommation mensuel énergie'!M31</f>
        <v>3570</v>
      </c>
      <c r="G23" s="137">
        <f>'Consommation mensuel énergie'!N31</f>
        <v>1637</v>
      </c>
      <c r="H23" s="137">
        <f>'Consommation mensuel énergie'!D31</f>
        <v>42</v>
      </c>
      <c r="I23" s="137">
        <f>'Consommation mensuel énergie'!E31</f>
        <v>66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</v>
      </c>
      <c r="D24" s="141">
        <v>2021</v>
      </c>
      <c r="E24" s="137">
        <f>'Consommation mensuel énergie'!L32</f>
        <v>2803</v>
      </c>
      <c r="F24" s="137">
        <f>'Consommation mensuel énergie'!M32</f>
        <v>3973</v>
      </c>
      <c r="G24" s="137">
        <f>'Consommation mensuel énergie'!N32</f>
        <v>2164</v>
      </c>
      <c r="H24" s="137">
        <f>'Consommation mensuel énergie'!D32</f>
        <v>30</v>
      </c>
      <c r="I24" s="137">
        <f>'Consommation mensuel énergie'!E32</f>
        <v>50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</v>
      </c>
      <c r="D25" s="141">
        <v>2021</v>
      </c>
      <c r="E25" s="137">
        <f>'Consommation mensuel énergie'!L33</f>
        <v>2824</v>
      </c>
      <c r="F25" s="137">
        <f>'Consommation mensuel énergie'!M33</f>
        <v>4062</v>
      </c>
      <c r="G25" s="137">
        <f>'Consommation mensuel énergie'!N33</f>
        <v>1773</v>
      </c>
      <c r="H25" s="137">
        <f>'Consommation mensuel énergie'!D33</f>
        <v>31</v>
      </c>
      <c r="I25" s="137">
        <f>'Consommation mensuel énergie'!E33</f>
        <v>47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</v>
      </c>
      <c r="D26" s="141">
        <v>2021</v>
      </c>
      <c r="E26" s="137">
        <f>'Consommation mensuel énergie'!L34</f>
        <v>2444</v>
      </c>
      <c r="F26" s="137">
        <f>'Consommation mensuel énergie'!M34</f>
        <v>3664</v>
      </c>
      <c r="G26" s="137">
        <f>'Consommation mensuel énergie'!N34</f>
        <v>1575</v>
      </c>
      <c r="H26" s="137">
        <f>'Consommation mensuel énergie'!D34</f>
        <v>26</v>
      </c>
      <c r="I26" s="137">
        <f>'Consommation mensuel énergie'!E34</f>
        <v>48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si="0"/>
        <v>26</v>
      </c>
      <c r="C27" s="140">
        <v>1</v>
      </c>
      <c r="D27" s="141">
        <v>2021</v>
      </c>
      <c r="E27" s="137">
        <f>'Consommation mensuel énergie'!L35</f>
        <v>1941</v>
      </c>
      <c r="F27" s="137">
        <f>'Consommation mensuel énergie'!M35</f>
        <v>3537</v>
      </c>
      <c r="G27" s="137">
        <f>'Consommation mensuel énergie'!N35</f>
        <v>1586</v>
      </c>
      <c r="H27" s="137">
        <f>'Consommation mensuel énergie'!D35</f>
        <v>32</v>
      </c>
      <c r="I27" s="137">
        <f>'Consommation mensuel énergie'!E35</f>
        <v>53</v>
      </c>
      <c r="J27" s="133" t="e">
        <f>E27*F27+G27*#REF!+#REF!*#REF!+#REF!*#REF!</f>
        <v>#REF!</v>
      </c>
    </row>
    <row r="28" spans="1:10" x14ac:dyDescent="0.2">
      <c r="A28" s="136" t="s">
        <v>13</v>
      </c>
      <c r="B28" s="140">
        <f t="shared" si="0"/>
        <v>27</v>
      </c>
      <c r="C28" s="140">
        <v>1</v>
      </c>
      <c r="D28" s="141">
        <v>2021</v>
      </c>
      <c r="E28" s="137">
        <f>'Consommation mensuel énergie'!L36</f>
        <v>2443</v>
      </c>
      <c r="F28" s="137">
        <f>'Consommation mensuel énergie'!M36</f>
        <v>3519</v>
      </c>
      <c r="G28" s="137">
        <f>'Consommation mensuel énergie'!N36</f>
        <v>1618</v>
      </c>
      <c r="H28" s="137">
        <f>'Consommation mensuel énergie'!D36</f>
        <v>32</v>
      </c>
      <c r="I28" s="137">
        <f>'Consommation mensuel énergie'!E36</f>
        <v>47</v>
      </c>
      <c r="J28" s="133" t="e">
        <f>E28*F28+G28*#REF!+#REF!*#REF!+#REF!*#REF!</f>
        <v>#REF!</v>
      </c>
    </row>
    <row r="29" spans="1:10" x14ac:dyDescent="0.2">
      <c r="A29" s="136" t="s">
        <v>13</v>
      </c>
      <c r="B29" s="140">
        <f t="shared" si="0"/>
        <v>28</v>
      </c>
      <c r="C29" s="140">
        <v>1</v>
      </c>
      <c r="D29" s="141">
        <v>2021</v>
      </c>
      <c r="E29" s="137">
        <f>'Consommation mensuel énergie'!L37</f>
        <v>2362</v>
      </c>
      <c r="F29" s="137">
        <f>'Consommation mensuel énergie'!M37</f>
        <v>3637</v>
      </c>
      <c r="G29" s="137">
        <f>'Consommation mensuel énergie'!N37</f>
        <v>1636</v>
      </c>
      <c r="H29" s="137">
        <f>'Consommation mensuel énergie'!D37</f>
        <v>33</v>
      </c>
      <c r="I29" s="137">
        <f>'Consommation mensuel énergie'!E37</f>
        <v>51</v>
      </c>
      <c r="J29" s="133" t="e">
        <f>E29*F29+G29*#REF!+#REF!*#REF!+#REF!*#REF!</f>
        <v>#REF!</v>
      </c>
    </row>
    <row r="30" spans="1:10" x14ac:dyDescent="0.2">
      <c r="A30" s="136" t="s">
        <v>13</v>
      </c>
      <c r="B30" s="140">
        <f t="shared" si="0"/>
        <v>29</v>
      </c>
      <c r="C30" s="140">
        <v>1</v>
      </c>
      <c r="D30" s="141">
        <v>2021</v>
      </c>
      <c r="E30" s="137">
        <f>'Consommation mensuel énergie'!L38</f>
        <v>2513</v>
      </c>
      <c r="F30" s="137">
        <f>'Consommation mensuel énergie'!M38</f>
        <v>3661</v>
      </c>
      <c r="G30" s="137">
        <f>'Consommation mensuel énergie'!N38</f>
        <v>1701</v>
      </c>
      <c r="H30" s="137">
        <f>'Consommation mensuel énergie'!D38</f>
        <v>33</v>
      </c>
      <c r="I30" s="137">
        <f>'Consommation mensuel énergie'!E38</f>
        <v>60</v>
      </c>
      <c r="J30" s="133"/>
    </row>
    <row r="31" spans="1:10" x14ac:dyDescent="0.2">
      <c r="A31" s="136" t="s">
        <v>13</v>
      </c>
      <c r="B31" s="140">
        <f t="shared" si="0"/>
        <v>30</v>
      </c>
      <c r="C31" s="140">
        <v>1</v>
      </c>
      <c r="D31" s="141">
        <v>2021</v>
      </c>
      <c r="E31" s="137">
        <f>'Consommation mensuel énergie'!L39</f>
        <v>2829</v>
      </c>
      <c r="F31" s="137">
        <f>'Consommation mensuel énergie'!M39</f>
        <v>3593</v>
      </c>
      <c r="G31" s="137">
        <f>'Consommation mensuel énergie'!N39</f>
        <v>1713</v>
      </c>
      <c r="H31" s="137">
        <f>'Consommation mensuel énergie'!D39</f>
        <v>39</v>
      </c>
      <c r="I31" s="137">
        <f>'Consommation mensuel énergie'!E39</f>
        <v>70</v>
      </c>
      <c r="J31" s="133"/>
    </row>
    <row r="32" spans="1:10" x14ac:dyDescent="0.2">
      <c r="A32" s="136" t="s">
        <v>13</v>
      </c>
      <c r="B32" s="140">
        <f>B31+1</f>
        <v>31</v>
      </c>
      <c r="C32" s="140">
        <v>1</v>
      </c>
      <c r="D32" s="141">
        <v>2021</v>
      </c>
      <c r="E32" s="137">
        <f>'Consommation mensuel énergie'!L40</f>
        <v>2368</v>
      </c>
      <c r="F32" s="137">
        <f>'Consommation mensuel énergie'!M40</f>
        <v>3509</v>
      </c>
      <c r="G32" s="137">
        <f>'Consommation mensuel énergie'!N40</f>
        <v>1584</v>
      </c>
      <c r="H32" s="137">
        <f>'Consommation mensuel énergie'!D40</f>
        <v>32</v>
      </c>
      <c r="I32" s="137">
        <f>'Consommation mensuel énergie'!E40</f>
        <v>47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60"/>
  <sheetViews>
    <sheetView showGridLines="0" zoomScale="55" zoomScaleNormal="55" workbookViewId="0">
      <pane xSplit="3" ySplit="9" topLeftCell="D34" activePane="bottomRight" state="frozen"/>
      <selection pane="topRight" activeCell="B21" sqref="A21:IV21"/>
      <selection pane="bottomLeft" activeCell="B21" sqref="A21:IV21"/>
      <selection pane="bottomRight" activeCell="AE51" sqref="AE51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</row>
    <row r="2" spans="1:24" ht="100.5" customHeight="1" thickBot="1" x14ac:dyDescent="0.25">
      <c r="A2" s="218"/>
      <c r="B2" s="219"/>
      <c r="C2" s="219"/>
      <c r="D2" s="219"/>
      <c r="E2" s="219"/>
      <c r="F2" s="219"/>
      <c r="G2" s="219"/>
      <c r="H2" s="220"/>
      <c r="I2" s="229" t="s">
        <v>17</v>
      </c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</row>
    <row r="3" spans="1:24" ht="15" hidden="1" customHeight="1" thickBot="1" x14ac:dyDescent="0.25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</row>
    <row r="4" spans="1:24" ht="39" hidden="1" customHeight="1" thickBot="1" x14ac:dyDescent="0.25">
      <c r="A4" s="221"/>
      <c r="B4" s="221"/>
      <c r="C4" s="221"/>
      <c r="D4" s="154"/>
      <c r="E4" s="154"/>
      <c r="F4" s="154"/>
      <c r="G4" s="154"/>
      <c r="H4" s="154"/>
      <c r="I4" s="154"/>
      <c r="J4" s="154"/>
      <c r="K4" s="154"/>
      <c r="L4" s="154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21"/>
      <c r="B5" s="221"/>
      <c r="C5" s="221"/>
      <c r="D5" s="154"/>
      <c r="E5" s="154"/>
      <c r="F5" s="154"/>
      <c r="G5" s="154"/>
      <c r="H5" s="154"/>
      <c r="I5" s="154"/>
      <c r="J5" s="154"/>
      <c r="K5" s="154"/>
      <c r="L5" s="154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</row>
    <row r="6" spans="1:24" s="5" customFormat="1" ht="44.25" hidden="1" customHeight="1" thickBot="1" x14ac:dyDescent="0.25">
      <c r="A6" s="3"/>
      <c r="B6" s="3"/>
      <c r="C6" s="3"/>
      <c r="D6" s="154"/>
      <c r="E6" s="154"/>
      <c r="F6" s="154"/>
      <c r="G6" s="154"/>
      <c r="H6" s="154"/>
      <c r="I6" s="154"/>
      <c r="J6" s="154"/>
      <c r="K6" s="154"/>
      <c r="L6" s="154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</row>
    <row r="7" spans="1:24" s="5" customFormat="1" ht="18.75" hidden="1" customHeight="1" thickBot="1" x14ac:dyDescent="0.25">
      <c r="A7" s="154"/>
      <c r="B7" s="154"/>
      <c r="C7" s="154"/>
      <c r="D7" s="154"/>
      <c r="E7" s="154"/>
      <c r="F7" s="222"/>
      <c r="G7" s="222"/>
      <c r="H7" s="222"/>
      <c r="I7" s="222"/>
      <c r="J7" s="222"/>
      <c r="K7" s="222"/>
      <c r="L7" s="222"/>
      <c r="M7" s="222"/>
      <c r="N7" s="231"/>
      <c r="O7" s="231"/>
      <c r="P7" s="222"/>
      <c r="Q7" s="222"/>
      <c r="R7" s="222"/>
      <c r="S7" s="222"/>
      <c r="T7" s="222"/>
      <c r="U7" s="222"/>
      <c r="V7" s="222"/>
      <c r="W7" s="222"/>
      <c r="X7" s="222"/>
    </row>
    <row r="8" spans="1:24" ht="18.75" customHeight="1" thickBot="1" x14ac:dyDescent="0.25">
      <c r="A8" s="222"/>
      <c r="B8" s="236" t="s">
        <v>19</v>
      </c>
      <c r="C8" s="4"/>
      <c r="D8" s="237" t="s">
        <v>20</v>
      </c>
      <c r="E8" s="237" t="s">
        <v>21</v>
      </c>
      <c r="F8" s="241" t="s">
        <v>22</v>
      </c>
      <c r="G8" s="2"/>
      <c r="H8" s="223" t="s">
        <v>23</v>
      </c>
      <c r="I8" s="224"/>
      <c r="J8" s="225"/>
      <c r="K8" s="243" t="s">
        <v>24</v>
      </c>
      <c r="L8" s="234" t="s">
        <v>25</v>
      </c>
      <c r="M8" s="234"/>
      <c r="N8" s="234"/>
      <c r="O8" s="234" t="s">
        <v>26</v>
      </c>
      <c r="P8" s="2"/>
      <c r="Q8" s="232" t="s">
        <v>23</v>
      </c>
      <c r="R8" s="2"/>
      <c r="S8" s="232" t="s">
        <v>27</v>
      </c>
      <c r="T8" s="2"/>
      <c r="U8" s="232" t="s">
        <v>28</v>
      </c>
      <c r="V8" s="239" t="s">
        <v>29</v>
      </c>
      <c r="W8" s="2"/>
      <c r="X8" s="232" t="s">
        <v>23</v>
      </c>
    </row>
    <row r="9" spans="1:24" ht="59.25" customHeight="1" thickBot="1" x14ac:dyDescent="0.25">
      <c r="A9" s="222"/>
      <c r="B9" s="236"/>
      <c r="C9" s="4"/>
      <c r="D9" s="238"/>
      <c r="E9" s="238"/>
      <c r="F9" s="242"/>
      <c r="G9" s="2"/>
      <c r="H9" s="226"/>
      <c r="I9" s="227"/>
      <c r="J9" s="228"/>
      <c r="K9" s="244"/>
      <c r="L9" s="153" t="s">
        <v>30</v>
      </c>
      <c r="M9" s="153" t="s">
        <v>31</v>
      </c>
      <c r="N9" s="153" t="s">
        <v>32</v>
      </c>
      <c r="O9" s="235"/>
      <c r="P9" s="2"/>
      <c r="Q9" s="233"/>
      <c r="R9" s="2"/>
      <c r="S9" s="233"/>
      <c r="T9" s="2"/>
      <c r="U9" s="233"/>
      <c r="V9" s="240"/>
      <c r="W9" s="2"/>
      <c r="X9" s="233"/>
    </row>
    <row r="10" spans="1:24" ht="32.25" customHeight="1" thickBot="1" x14ac:dyDescent="0.25">
      <c r="A10" s="2"/>
      <c r="B10" s="6">
        <v>44197</v>
      </c>
      <c r="C10" s="7"/>
      <c r="D10" s="143">
        <v>27</v>
      </c>
      <c r="E10" s="143">
        <v>46</v>
      </c>
      <c r="F10" s="13">
        <f>'Suivi EAU-ELEC'!E9</f>
        <v>48</v>
      </c>
      <c r="G10" s="11"/>
      <c r="H10" s="198">
        <f>F10*11.4</f>
        <v>547.20000000000005</v>
      </c>
      <c r="I10" s="199"/>
      <c r="J10" s="199"/>
      <c r="K10" s="60">
        <v>42278</v>
      </c>
      <c r="L10" s="90">
        <f>'Suivi EAU-ELEC'!G9</f>
        <v>2484</v>
      </c>
      <c r="M10" s="91">
        <f>'Suivi EAU-ELEC'!I9</f>
        <v>3682</v>
      </c>
      <c r="N10" s="91">
        <f>'Suivi EAU-ELEC'!K9</f>
        <v>1748</v>
      </c>
      <c r="O10" s="91">
        <f>L10+M10+N10</f>
        <v>7914</v>
      </c>
      <c r="P10" s="11"/>
      <c r="Q10" s="34">
        <f>L10*0.6985+M10*0.9514+N10*1.3304</f>
        <v>7563.6680000000006</v>
      </c>
      <c r="R10" s="11"/>
      <c r="S10" s="28"/>
      <c r="T10" s="11"/>
      <c r="U10" s="28"/>
      <c r="V10" s="147">
        <f>'Suvi Gaz'!O4</f>
        <v>287.99288999999999</v>
      </c>
      <c r="W10" s="11"/>
      <c r="X10" s="34">
        <f>V10*9.821</f>
        <v>2828.3781726899997</v>
      </c>
    </row>
    <row r="11" spans="1:24" ht="32.25" customHeight="1" thickBot="1" x14ac:dyDescent="0.25">
      <c r="A11" s="2"/>
      <c r="B11" s="6">
        <v>44198</v>
      </c>
      <c r="C11" s="7"/>
      <c r="D11" s="143">
        <v>21</v>
      </c>
      <c r="E11" s="143">
        <v>38</v>
      </c>
      <c r="F11" s="13">
        <f>'Suivi EAU-ELEC'!E10</f>
        <v>87.100000000005821</v>
      </c>
      <c r="G11" s="11"/>
      <c r="H11" s="198">
        <f t="shared" ref="H11:H40" si="0">F11*11.4</f>
        <v>992.94000000006633</v>
      </c>
      <c r="I11" s="199"/>
      <c r="J11" s="199"/>
      <c r="K11" s="60">
        <v>42279</v>
      </c>
      <c r="L11" s="90">
        <f>'Suivi EAU-ELEC'!G10</f>
        <v>2519</v>
      </c>
      <c r="M11" s="91">
        <f>'Suivi EAU-ELEC'!I10</f>
        <v>3473</v>
      </c>
      <c r="N11" s="91">
        <f>'Suivi EAU-ELEC'!K10</f>
        <v>1614</v>
      </c>
      <c r="O11" s="91">
        <f>L11+M11+N11</f>
        <v>7606</v>
      </c>
      <c r="P11" s="11"/>
      <c r="Q11" s="34">
        <f>L11*0.6985+M11*0.9514+N11*1.3304</f>
        <v>7210.9992999999995</v>
      </c>
      <c r="R11" s="11"/>
      <c r="S11" s="28"/>
      <c r="T11" s="11"/>
      <c r="U11" s="28"/>
      <c r="V11" s="147">
        <f>'Suvi Gaz'!O5</f>
        <v>479.98815000000002</v>
      </c>
      <c r="W11" s="11"/>
      <c r="X11" s="34">
        <f t="shared" ref="X11:X40" si="1">V11*9.821</f>
        <v>4713.9636211500001</v>
      </c>
    </row>
    <row r="12" spans="1:24" ht="32.25" customHeight="1" thickBot="1" x14ac:dyDescent="0.25">
      <c r="A12" s="2"/>
      <c r="B12" s="6">
        <v>44199</v>
      </c>
      <c r="C12" s="7"/>
      <c r="D12" s="143">
        <v>34</v>
      </c>
      <c r="E12" s="143">
        <v>58</v>
      </c>
      <c r="F12" s="13">
        <f>'Suivi EAU-ELEC'!E11</f>
        <v>61.899999999994179</v>
      </c>
      <c r="G12" s="11"/>
      <c r="H12" s="198">
        <f t="shared" si="0"/>
        <v>705.65999999993369</v>
      </c>
      <c r="I12" s="199"/>
      <c r="J12" s="199"/>
      <c r="K12" s="60">
        <v>42280</v>
      </c>
      <c r="L12" s="90">
        <f>'Suivi EAU-ELEC'!G11</f>
        <v>2297</v>
      </c>
      <c r="M12" s="91">
        <f>'Suivi EAU-ELEC'!I11</f>
        <v>3698</v>
      </c>
      <c r="N12" s="91">
        <f>'Suivi EAU-ELEC'!K11</f>
        <v>1574</v>
      </c>
      <c r="O12" s="91">
        <f>L12+M12+N12</f>
        <v>7569</v>
      </c>
      <c r="P12" s="11"/>
      <c r="Q12" s="34">
        <f>L12*0.6985+M12*0.9514+N12*1.3304</f>
        <v>7216.7813000000006</v>
      </c>
      <c r="R12" s="11"/>
      <c r="S12" s="28"/>
      <c r="T12" s="11"/>
      <c r="U12" s="28"/>
      <c r="V12" s="147">
        <f>'Suvi Gaz'!O6</f>
        <v>447.98894000000001</v>
      </c>
      <c r="W12" s="11"/>
      <c r="X12" s="34">
        <f t="shared" si="1"/>
        <v>4399.69937974</v>
      </c>
    </row>
    <row r="13" spans="1:24" ht="32.25" customHeight="1" thickBot="1" x14ac:dyDescent="0.25">
      <c r="A13" s="2"/>
      <c r="B13" s="6">
        <v>44200</v>
      </c>
      <c r="C13" s="7"/>
      <c r="D13" s="143">
        <v>41</v>
      </c>
      <c r="E13" s="143">
        <v>67</v>
      </c>
      <c r="F13" s="13">
        <f>'Suivi EAU-ELEC'!E12</f>
        <v>60.900000000008731</v>
      </c>
      <c r="G13" s="11"/>
      <c r="H13" s="198">
        <f t="shared" si="0"/>
        <v>694.26000000009958</v>
      </c>
      <c r="I13" s="199"/>
      <c r="J13" s="199"/>
      <c r="K13" s="60">
        <v>42281</v>
      </c>
      <c r="L13" s="90">
        <f>'Suivi EAU-ELEC'!G12</f>
        <v>2535</v>
      </c>
      <c r="M13" s="91">
        <f>'Suivi EAU-ELEC'!I12</f>
        <v>3605</v>
      </c>
      <c r="N13" s="91">
        <f>'Suivi EAU-ELEC'!K12</f>
        <v>1645</v>
      </c>
      <c r="O13" s="91">
        <f t="shared" ref="O13:O40" si="2">L13+M13+N13</f>
        <v>7785</v>
      </c>
      <c r="P13" s="11"/>
      <c r="Q13" s="34">
        <f t="shared" ref="Q13:Q40" si="3">L13*0.6985+M13*0.9514+N13*1.3304</f>
        <v>7389.0025000000005</v>
      </c>
      <c r="R13" s="11"/>
      <c r="S13" s="28"/>
      <c r="T13" s="11"/>
      <c r="U13" s="28"/>
      <c r="V13" s="147">
        <f>'Suvi Gaz'!O7</f>
        <v>351.99131</v>
      </c>
      <c r="W13" s="11"/>
      <c r="X13" s="34">
        <f t="shared" si="1"/>
        <v>3456.9066555099998</v>
      </c>
    </row>
    <row r="14" spans="1:24" ht="32.25" customHeight="1" thickBot="1" x14ac:dyDescent="0.25">
      <c r="A14" s="2"/>
      <c r="B14" s="6">
        <v>44201</v>
      </c>
      <c r="C14" s="7"/>
      <c r="D14" s="143">
        <v>30</v>
      </c>
      <c r="E14" s="143">
        <v>51</v>
      </c>
      <c r="F14" s="13">
        <f>'Suivi EAU-ELEC'!E13</f>
        <v>73.299999999988358</v>
      </c>
      <c r="G14" s="12"/>
      <c r="H14" s="198">
        <f t="shared" si="0"/>
        <v>835.61999999986733</v>
      </c>
      <c r="I14" s="199"/>
      <c r="J14" s="199"/>
      <c r="K14" s="60">
        <v>42282</v>
      </c>
      <c r="L14" s="90">
        <f>'Suivi EAU-ELEC'!G13</f>
        <v>2190</v>
      </c>
      <c r="M14" s="91">
        <f>'Suivi EAU-ELEC'!I13</f>
        <v>3668</v>
      </c>
      <c r="N14" s="91">
        <f>'Suivi EAU-ELEC'!K13</f>
        <v>1744</v>
      </c>
      <c r="O14" s="91">
        <f t="shared" si="2"/>
        <v>7602</v>
      </c>
      <c r="P14" s="12"/>
      <c r="Q14" s="34">
        <f t="shared" si="3"/>
        <v>7339.6678000000002</v>
      </c>
      <c r="R14" s="12"/>
      <c r="S14" s="28"/>
      <c r="T14" s="12"/>
      <c r="U14" s="28"/>
      <c r="V14" s="147">
        <f>'Suvi Gaz'!O8</f>
        <v>415.98973000000001</v>
      </c>
      <c r="W14" s="11"/>
      <c r="X14" s="34">
        <f t="shared" si="1"/>
        <v>4085.43513833</v>
      </c>
    </row>
    <row r="15" spans="1:24" ht="32.25" customHeight="1" thickBot="1" x14ac:dyDescent="0.25">
      <c r="A15" s="154"/>
      <c r="B15" s="6">
        <v>44202</v>
      </c>
      <c r="C15" s="7"/>
      <c r="D15" s="143">
        <v>20</v>
      </c>
      <c r="E15" s="143">
        <v>24</v>
      </c>
      <c r="F15" s="13">
        <f>'Suivi EAU-ELEC'!E14</f>
        <v>38.700000000011642</v>
      </c>
      <c r="G15" s="11"/>
      <c r="H15" s="198">
        <f t="shared" si="0"/>
        <v>441.18000000013274</v>
      </c>
      <c r="I15" s="199"/>
      <c r="J15" s="199"/>
      <c r="K15" s="60">
        <v>42283</v>
      </c>
      <c r="L15" s="90">
        <f>'Suivi EAU-ELEC'!G14</f>
        <v>2501</v>
      </c>
      <c r="M15" s="91">
        <f>'Suivi EAU-ELEC'!I14</f>
        <v>3597</v>
      </c>
      <c r="N15" s="91">
        <f>'Suivi EAU-ELEC'!K14</f>
        <v>1668</v>
      </c>
      <c r="O15" s="91">
        <f t="shared" si="2"/>
        <v>7766</v>
      </c>
      <c r="P15" s="12"/>
      <c r="Q15" s="34">
        <f>L15*0.6985+M15*0.9514+N15*1.3304</f>
        <v>7388.2415000000001</v>
      </c>
      <c r="R15" s="12"/>
      <c r="S15" s="28"/>
      <c r="T15" s="12"/>
      <c r="U15" s="28"/>
      <c r="V15" s="147">
        <f>'Suvi Gaz'!O9</f>
        <v>607.98499000000004</v>
      </c>
      <c r="W15" s="11"/>
      <c r="X15" s="34">
        <f t="shared" si="1"/>
        <v>5971.0205867900004</v>
      </c>
    </row>
    <row r="16" spans="1:24" ht="32.25" customHeight="1" thickBot="1" x14ac:dyDescent="0.25">
      <c r="A16" s="154"/>
      <c r="B16" s="6">
        <v>44203</v>
      </c>
      <c r="C16" s="7"/>
      <c r="D16" s="143">
        <v>24</v>
      </c>
      <c r="E16" s="143">
        <v>43</v>
      </c>
      <c r="F16" s="13">
        <f>'Suivi EAU-ELEC'!E15</f>
        <v>70.5</v>
      </c>
      <c r="G16" s="11"/>
      <c r="H16" s="198">
        <f t="shared" si="0"/>
        <v>803.7</v>
      </c>
      <c r="I16" s="199"/>
      <c r="J16" s="199"/>
      <c r="K16" s="60">
        <v>42284</v>
      </c>
      <c r="L16" s="90">
        <f>'Suivi EAU-ELEC'!G15</f>
        <v>2346</v>
      </c>
      <c r="M16" s="91">
        <f>'Suivi EAU-ELEC'!I15</f>
        <v>3512</v>
      </c>
      <c r="N16" s="91">
        <f>'Suivi EAU-ELEC'!K15</f>
        <v>1546</v>
      </c>
      <c r="O16" s="91">
        <f t="shared" si="2"/>
        <v>7404</v>
      </c>
      <c r="P16" s="11"/>
      <c r="Q16" s="34">
        <f t="shared" si="3"/>
        <v>7036.7962000000007</v>
      </c>
      <c r="R16" s="11"/>
      <c r="S16" s="28"/>
      <c r="T16" s="11"/>
      <c r="U16" s="28"/>
      <c r="V16" s="147">
        <f>'Suvi Gaz'!O10</f>
        <v>127.99684000000001</v>
      </c>
      <c r="W16" s="11"/>
      <c r="X16" s="34">
        <f t="shared" si="1"/>
        <v>1257.05696564</v>
      </c>
    </row>
    <row r="17" spans="1:24" s="5" customFormat="1" ht="32.25" customHeight="1" thickBot="1" x14ac:dyDescent="0.25">
      <c r="A17" s="2"/>
      <c r="B17" s="6">
        <v>44204</v>
      </c>
      <c r="C17" s="7"/>
      <c r="D17" s="143">
        <v>33</v>
      </c>
      <c r="E17" s="143">
        <v>49</v>
      </c>
      <c r="F17" s="13">
        <f>'Suivi EAU-ELEC'!E16</f>
        <v>53.599999999991269</v>
      </c>
      <c r="G17" s="11"/>
      <c r="H17" s="198">
        <f t="shared" si="0"/>
        <v>611.03999999990049</v>
      </c>
      <c r="I17" s="199"/>
      <c r="J17" s="199"/>
      <c r="K17" s="60">
        <v>42285</v>
      </c>
      <c r="L17" s="90">
        <f>'Suivi EAU-ELEC'!G16</f>
        <v>2496</v>
      </c>
      <c r="M17" s="91">
        <f>'Suivi EAU-ELEC'!I16</f>
        <v>3624</v>
      </c>
      <c r="N17" s="91">
        <f>'Suivi EAU-ELEC'!K16</f>
        <v>1665</v>
      </c>
      <c r="O17" s="91">
        <f t="shared" si="2"/>
        <v>7785</v>
      </c>
      <c r="P17" s="12"/>
      <c r="Q17" s="34">
        <f t="shared" si="3"/>
        <v>7406.4456</v>
      </c>
      <c r="R17" s="12"/>
      <c r="S17" s="28"/>
      <c r="T17" s="12"/>
      <c r="U17" s="28"/>
      <c r="V17" s="147">
        <f>'Suvi Gaz'!O11</f>
        <v>223.99447000000001</v>
      </c>
      <c r="W17" s="11"/>
      <c r="X17" s="34">
        <f t="shared" si="1"/>
        <v>2199.84968987</v>
      </c>
    </row>
    <row r="18" spans="1:24" ht="32.25" customHeight="1" thickBot="1" x14ac:dyDescent="0.25">
      <c r="A18" s="2"/>
      <c r="B18" s="6">
        <v>44205</v>
      </c>
      <c r="C18" s="7"/>
      <c r="D18" s="143">
        <v>27</v>
      </c>
      <c r="E18" s="143">
        <v>38</v>
      </c>
      <c r="F18" s="13">
        <f>'Suivi EAU-ELEC'!E17</f>
        <v>62.80000000000291</v>
      </c>
      <c r="G18" s="11"/>
      <c r="H18" s="198">
        <f t="shared" si="0"/>
        <v>715.92000000003316</v>
      </c>
      <c r="I18" s="199"/>
      <c r="J18" s="199"/>
      <c r="K18" s="60">
        <v>42286</v>
      </c>
      <c r="L18" s="90">
        <f>'Suivi EAU-ELEC'!G17</f>
        <v>2234</v>
      </c>
      <c r="M18" s="91">
        <f>'Suivi EAU-ELEC'!I17</f>
        <v>3590</v>
      </c>
      <c r="N18" s="91">
        <f>'Suivi EAU-ELEC'!K17</f>
        <v>1551</v>
      </c>
      <c r="O18" s="91">
        <f t="shared" si="2"/>
        <v>7375</v>
      </c>
      <c r="P18" s="12"/>
      <c r="Q18" s="34">
        <f t="shared" si="3"/>
        <v>7039.4254000000001</v>
      </c>
      <c r="R18" s="12"/>
      <c r="S18" s="28"/>
      <c r="T18" s="12"/>
      <c r="U18" s="28"/>
      <c r="V18" s="147">
        <f>'Suvi Gaz'!O12</f>
        <v>223.99447000000001</v>
      </c>
      <c r="W18" s="11"/>
      <c r="X18" s="34">
        <f t="shared" si="1"/>
        <v>2199.84968987</v>
      </c>
    </row>
    <row r="19" spans="1:24" ht="32.25" customHeight="1" thickBot="1" x14ac:dyDescent="0.25">
      <c r="A19" s="2"/>
      <c r="B19" s="6">
        <v>44206</v>
      </c>
      <c r="C19" s="7"/>
      <c r="D19" s="143">
        <v>24</v>
      </c>
      <c r="E19" s="143">
        <v>32</v>
      </c>
      <c r="F19" s="13">
        <f>'Suivi EAU-ELEC'!E18</f>
        <v>75</v>
      </c>
      <c r="G19" s="12"/>
      <c r="H19" s="198">
        <f t="shared" si="0"/>
        <v>855</v>
      </c>
      <c r="I19" s="199"/>
      <c r="J19" s="199"/>
      <c r="K19" s="60">
        <v>42287</v>
      </c>
      <c r="L19" s="90">
        <f>'Suivi EAU-ELEC'!G18</f>
        <v>2498</v>
      </c>
      <c r="M19" s="91">
        <f>'Suivi EAU-ELEC'!I18</f>
        <v>3484</v>
      </c>
      <c r="N19" s="91">
        <f>'Suivi EAU-ELEC'!K18</f>
        <v>1591</v>
      </c>
      <c r="O19" s="91">
        <f t="shared" si="2"/>
        <v>7573</v>
      </c>
      <c r="P19" s="12"/>
      <c r="Q19" s="34">
        <f t="shared" si="3"/>
        <v>7176.1970000000001</v>
      </c>
      <c r="R19" s="12"/>
      <c r="S19" s="28"/>
      <c r="T19" s="12"/>
      <c r="U19" s="28"/>
      <c r="V19" s="147">
        <f>'Suvi Gaz'!O13</f>
        <v>383.99052</v>
      </c>
      <c r="W19" s="11"/>
      <c r="X19" s="34">
        <f t="shared" si="1"/>
        <v>3771.1708969199999</v>
      </c>
    </row>
    <row r="20" spans="1:24" ht="32.25" customHeight="1" thickBot="1" x14ac:dyDescent="0.25">
      <c r="A20" s="2"/>
      <c r="B20" s="6">
        <v>44207</v>
      </c>
      <c r="C20" s="7"/>
      <c r="D20" s="143">
        <v>27</v>
      </c>
      <c r="E20" s="143">
        <v>37</v>
      </c>
      <c r="F20" s="13">
        <f>'Suivi EAU-ELEC'!E19</f>
        <v>63.899999999994179</v>
      </c>
      <c r="G20" s="12"/>
      <c r="H20" s="198">
        <f t="shared" si="0"/>
        <v>728.45999999993364</v>
      </c>
      <c r="I20" s="199"/>
      <c r="J20" s="199"/>
      <c r="K20" s="60">
        <v>42288</v>
      </c>
      <c r="L20" s="90">
        <f>'Suivi EAU-ELEC'!G19</f>
        <v>2271</v>
      </c>
      <c r="M20" s="91">
        <f>'Suivi EAU-ELEC'!I19</f>
        <v>3444</v>
      </c>
      <c r="N20" s="91">
        <f>'Suivi EAU-ELEC'!K19</f>
        <v>1583</v>
      </c>
      <c r="O20" s="91">
        <f t="shared" si="2"/>
        <v>7298</v>
      </c>
      <c r="P20" s="12"/>
      <c r="Q20" s="34">
        <f t="shared" si="3"/>
        <v>6968.9382999999998</v>
      </c>
      <c r="R20" s="12"/>
      <c r="S20" s="28"/>
      <c r="T20" s="12"/>
      <c r="U20" s="28"/>
      <c r="V20" s="147">
        <f>'Suvi Gaz'!O14</f>
        <v>447.98894000000001</v>
      </c>
      <c r="W20" s="11"/>
      <c r="X20" s="34">
        <f t="shared" si="1"/>
        <v>4399.69937974</v>
      </c>
    </row>
    <row r="21" spans="1:24" ht="32.25" customHeight="1" thickBot="1" x14ac:dyDescent="0.25">
      <c r="A21" s="2"/>
      <c r="B21" s="6">
        <v>44208</v>
      </c>
      <c r="C21" s="7"/>
      <c r="D21" s="143">
        <v>38</v>
      </c>
      <c r="E21" s="143">
        <v>48</v>
      </c>
      <c r="F21" s="13">
        <f>'Suivi EAU-ELEC'!E20</f>
        <v>39.200000000011642</v>
      </c>
      <c r="G21" s="12"/>
      <c r="H21" s="198">
        <f t="shared" si="0"/>
        <v>446.88000000013272</v>
      </c>
      <c r="I21" s="199"/>
      <c r="J21" s="199"/>
      <c r="K21" s="60">
        <v>42289</v>
      </c>
      <c r="L21" s="90">
        <f>'Suivi EAU-ELEC'!G20</f>
        <v>2308</v>
      </c>
      <c r="M21" s="91">
        <f>'Suivi EAU-ELEC'!I20</f>
        <v>3446</v>
      </c>
      <c r="N21" s="91">
        <f>'Suivi EAU-ELEC'!K20</f>
        <v>1562</v>
      </c>
      <c r="O21" s="91">
        <f>L21+M21+N21</f>
        <v>7316</v>
      </c>
      <c r="P21" s="12"/>
      <c r="Q21" s="34">
        <f t="shared" si="3"/>
        <v>6968.7471999999998</v>
      </c>
      <c r="R21" s="12"/>
      <c r="S21" s="28"/>
      <c r="T21" s="12"/>
      <c r="U21" s="28"/>
      <c r="V21" s="147">
        <f>'Suvi Gaz'!O15</f>
        <v>319.99209999999999</v>
      </c>
      <c r="W21" s="11"/>
      <c r="X21" s="34">
        <f t="shared" si="1"/>
        <v>3142.6424140999998</v>
      </c>
    </row>
    <row r="22" spans="1:24" ht="32.25" customHeight="1" thickBot="1" x14ac:dyDescent="0.25">
      <c r="A22" s="2"/>
      <c r="B22" s="6">
        <v>44209</v>
      </c>
      <c r="C22" s="7"/>
      <c r="D22" s="143">
        <v>31</v>
      </c>
      <c r="E22" s="143">
        <v>42</v>
      </c>
      <c r="F22" s="13">
        <f>'Suivi EAU-ELEC'!E21</f>
        <v>60</v>
      </c>
      <c r="G22" s="12"/>
      <c r="H22" s="198">
        <f t="shared" si="0"/>
        <v>684</v>
      </c>
      <c r="I22" s="199"/>
      <c r="J22" s="199"/>
      <c r="K22" s="60">
        <v>42290</v>
      </c>
      <c r="L22" s="90">
        <f>'Suivi EAU-ELEC'!G21</f>
        <v>2353</v>
      </c>
      <c r="M22" s="91">
        <f>'Suivi EAU-ELEC'!I21</f>
        <v>3469</v>
      </c>
      <c r="N22" s="91">
        <f>'Suivi EAU-ELEC'!K21</f>
        <v>1586</v>
      </c>
      <c r="O22" s="91">
        <f t="shared" si="2"/>
        <v>7408</v>
      </c>
      <c r="P22" s="12"/>
      <c r="Q22" s="34">
        <f t="shared" si="3"/>
        <v>7053.9915000000001</v>
      </c>
      <c r="R22" s="12"/>
      <c r="S22" s="28"/>
      <c r="T22" s="12"/>
      <c r="U22" s="28"/>
      <c r="V22" s="147">
        <f>'Suvi Gaz'!O16</f>
        <v>447.98894000000001</v>
      </c>
      <c r="W22" s="11"/>
      <c r="X22" s="34">
        <f t="shared" si="1"/>
        <v>4399.69937974</v>
      </c>
    </row>
    <row r="23" spans="1:24" ht="32.25" customHeight="1" thickBot="1" x14ac:dyDescent="0.25">
      <c r="A23" s="2"/>
      <c r="B23" s="6">
        <v>44210</v>
      </c>
      <c r="C23" s="7"/>
      <c r="D23" s="143">
        <v>25</v>
      </c>
      <c r="E23" s="143">
        <v>39</v>
      </c>
      <c r="F23" s="13">
        <f>'Suivi EAU-ELEC'!E22</f>
        <v>42.299999999988358</v>
      </c>
      <c r="G23" s="14"/>
      <c r="H23" s="198">
        <f t="shared" si="0"/>
        <v>482.2199999998673</v>
      </c>
      <c r="I23" s="199"/>
      <c r="J23" s="199"/>
      <c r="K23" s="60">
        <v>42291</v>
      </c>
      <c r="L23" s="90">
        <f>'Suivi EAU-ELEC'!G22</f>
        <v>2505</v>
      </c>
      <c r="M23" s="91">
        <f>'Suivi EAU-ELEC'!I22</f>
        <v>3412</v>
      </c>
      <c r="N23" s="91">
        <f>'Suivi EAU-ELEC'!K22</f>
        <v>1542</v>
      </c>
      <c r="O23" s="91">
        <f t="shared" si="2"/>
        <v>7459</v>
      </c>
      <c r="P23" s="12"/>
      <c r="Q23" s="34">
        <f t="shared" si="3"/>
        <v>7047.3960999999999</v>
      </c>
      <c r="R23" s="12"/>
      <c r="S23" s="28"/>
      <c r="T23" s="14"/>
      <c r="U23" s="28"/>
      <c r="V23" s="147">
        <f>'Suvi Gaz'!O17</f>
        <v>351.99131</v>
      </c>
      <c r="W23" s="11"/>
      <c r="X23" s="34">
        <f t="shared" si="1"/>
        <v>3456.9066555099998</v>
      </c>
    </row>
    <row r="24" spans="1:24" ht="32.25" customHeight="1" thickBot="1" x14ac:dyDescent="0.25">
      <c r="A24" s="2"/>
      <c r="B24" s="6">
        <v>44211</v>
      </c>
      <c r="C24" s="7"/>
      <c r="D24" s="143">
        <v>25</v>
      </c>
      <c r="E24" s="143">
        <v>44</v>
      </c>
      <c r="F24" s="13">
        <f>'Suivi EAU-ELEC'!E23</f>
        <v>58.700000000011642</v>
      </c>
      <c r="G24" s="14"/>
      <c r="H24" s="198">
        <f t="shared" si="0"/>
        <v>669.18000000013274</v>
      </c>
      <c r="I24" s="199"/>
      <c r="J24" s="199"/>
      <c r="K24" s="60">
        <v>42292</v>
      </c>
      <c r="L24" s="90">
        <f>'Suivi EAU-ELEC'!G23</f>
        <v>2393</v>
      </c>
      <c r="M24" s="91">
        <f>'Suivi EAU-ELEC'!I23</f>
        <v>3524</v>
      </c>
      <c r="N24" s="91">
        <f>'Suivi EAU-ELEC'!K23</f>
        <v>1607</v>
      </c>
      <c r="O24" s="91">
        <f t="shared" si="2"/>
        <v>7524</v>
      </c>
      <c r="P24" s="12"/>
      <c r="Q24" s="34">
        <f t="shared" si="3"/>
        <v>7162.1968999999999</v>
      </c>
      <c r="R24" s="12"/>
      <c r="S24" s="28"/>
      <c r="T24" s="14"/>
      <c r="U24" s="28"/>
      <c r="V24" s="147">
        <f>'Suvi Gaz'!O18</f>
        <v>319.99209999999999</v>
      </c>
      <c r="W24" s="11"/>
      <c r="X24" s="34">
        <f t="shared" si="1"/>
        <v>3142.6424140999998</v>
      </c>
    </row>
    <row r="25" spans="1:24" ht="32.25" customHeight="1" thickBot="1" x14ac:dyDescent="0.25">
      <c r="A25" s="2"/>
      <c r="B25" s="6">
        <v>44212</v>
      </c>
      <c r="C25" s="7"/>
      <c r="D25" s="143">
        <v>23</v>
      </c>
      <c r="E25" s="143">
        <v>38</v>
      </c>
      <c r="F25" s="13">
        <f>'Suivi EAU-ELEC'!E24</f>
        <v>75</v>
      </c>
      <c r="G25" s="14"/>
      <c r="H25" s="198">
        <f t="shared" si="0"/>
        <v>855</v>
      </c>
      <c r="I25" s="199"/>
      <c r="J25" s="199"/>
      <c r="K25" s="60">
        <v>42293</v>
      </c>
      <c r="L25" s="90">
        <f>'Suivi EAU-ELEC'!G24</f>
        <v>2444</v>
      </c>
      <c r="M25" s="91">
        <f>'Suivi EAU-ELEC'!I24</f>
        <v>3365</v>
      </c>
      <c r="N25" s="91">
        <f>'Suivi EAU-ELEC'!K24</f>
        <v>1553</v>
      </c>
      <c r="O25" s="91">
        <f t="shared" si="2"/>
        <v>7362</v>
      </c>
      <c r="P25" s="12"/>
      <c r="Q25" s="34">
        <f t="shared" si="3"/>
        <v>6974.7062000000005</v>
      </c>
      <c r="R25" s="12"/>
      <c r="S25" s="28"/>
      <c r="T25" s="14"/>
      <c r="U25" s="28"/>
      <c r="V25" s="147">
        <f>'Suvi Gaz'!O19</f>
        <v>671.98341000000005</v>
      </c>
      <c r="W25" s="11"/>
      <c r="X25" s="34">
        <f t="shared" si="1"/>
        <v>6599.5490696100005</v>
      </c>
    </row>
    <row r="26" spans="1:24" ht="32.25" customHeight="1" thickBot="1" x14ac:dyDescent="0.25">
      <c r="A26" s="2"/>
      <c r="B26" s="6">
        <v>44213</v>
      </c>
      <c r="C26" s="7"/>
      <c r="D26" s="143">
        <v>28</v>
      </c>
      <c r="E26" s="143">
        <v>39</v>
      </c>
      <c r="F26" s="13">
        <f>'Suivi EAU-ELEC'!E25</f>
        <v>62.899999999994179</v>
      </c>
      <c r="G26" s="14"/>
      <c r="H26" s="198">
        <f t="shared" si="0"/>
        <v>717.05999999993367</v>
      </c>
      <c r="I26" s="199"/>
      <c r="J26" s="199"/>
      <c r="K26" s="60">
        <v>42294</v>
      </c>
      <c r="L26" s="90">
        <f>'Suivi EAU-ELEC'!G25</f>
        <v>2599</v>
      </c>
      <c r="M26" s="91">
        <f>'Suivi EAU-ELEC'!I25</f>
        <v>3336</v>
      </c>
      <c r="N26" s="91">
        <f>'Suivi EAU-ELEC'!K25</f>
        <v>1532</v>
      </c>
      <c r="O26" s="91">
        <f t="shared" si="2"/>
        <v>7467</v>
      </c>
      <c r="P26" s="14"/>
      <c r="Q26" s="34">
        <f t="shared" si="3"/>
        <v>7027.4447</v>
      </c>
      <c r="R26" s="14"/>
      <c r="S26" s="28"/>
      <c r="T26" s="14"/>
      <c r="U26" s="28"/>
      <c r="V26" s="147">
        <f>'Suvi Gaz'!O20</f>
        <v>447.98894000000001</v>
      </c>
      <c r="W26" s="11"/>
      <c r="X26" s="34">
        <f t="shared" si="1"/>
        <v>4399.69937974</v>
      </c>
    </row>
    <row r="27" spans="1:24" ht="32.25" customHeight="1" thickBot="1" x14ac:dyDescent="0.25">
      <c r="A27" s="2"/>
      <c r="B27" s="6">
        <v>44214</v>
      </c>
      <c r="C27" s="7"/>
      <c r="D27" s="143">
        <v>54</v>
      </c>
      <c r="E27" s="143">
        <v>69</v>
      </c>
      <c r="F27" s="13">
        <f>'Suivi EAU-ELEC'!E26</f>
        <v>59</v>
      </c>
      <c r="G27" s="14"/>
      <c r="H27" s="198">
        <f t="shared" si="0"/>
        <v>672.6</v>
      </c>
      <c r="I27" s="199"/>
      <c r="J27" s="199"/>
      <c r="K27" s="60">
        <v>42295</v>
      </c>
      <c r="L27" s="90">
        <f>'Suivi EAU-ELEC'!G26</f>
        <v>2446</v>
      </c>
      <c r="M27" s="91">
        <f>'Suivi EAU-ELEC'!I26</f>
        <v>3417</v>
      </c>
      <c r="N27" s="91">
        <f>'Suivi EAU-ELEC'!K26</f>
        <v>1582</v>
      </c>
      <c r="O27" s="91">
        <f t="shared" si="2"/>
        <v>7445</v>
      </c>
      <c r="P27" s="14"/>
      <c r="Q27" s="34">
        <f t="shared" si="3"/>
        <v>7064.1576000000005</v>
      </c>
      <c r="R27" s="14"/>
      <c r="S27" s="28"/>
      <c r="T27" s="14"/>
      <c r="U27" s="28"/>
      <c r="V27" s="147">
        <f>'Suvi Gaz'!O21</f>
        <v>415.98973000000001</v>
      </c>
      <c r="W27" s="11"/>
      <c r="X27" s="34">
        <f t="shared" si="1"/>
        <v>4085.43513833</v>
      </c>
    </row>
    <row r="28" spans="1:24" ht="32.25" customHeight="1" thickBot="1" x14ac:dyDescent="0.25">
      <c r="A28" s="2"/>
      <c r="B28" s="6">
        <v>44215</v>
      </c>
      <c r="C28" s="7"/>
      <c r="D28" s="143">
        <v>19</v>
      </c>
      <c r="E28" s="143">
        <v>32</v>
      </c>
      <c r="F28" s="13">
        <f>'Suivi EAU-ELEC'!E27</f>
        <v>85</v>
      </c>
      <c r="G28" s="11"/>
      <c r="H28" s="198">
        <f t="shared" si="0"/>
        <v>969</v>
      </c>
      <c r="I28" s="199"/>
      <c r="J28" s="199"/>
      <c r="K28" s="60">
        <v>42296</v>
      </c>
      <c r="L28" s="90">
        <f>'Suivi EAU-ELEC'!G27</f>
        <v>2521</v>
      </c>
      <c r="M28" s="91">
        <f>'Suivi EAU-ELEC'!I27</f>
        <v>3698</v>
      </c>
      <c r="N28" s="91">
        <f>'Suivi EAU-ELEC'!K27</f>
        <v>1573</v>
      </c>
      <c r="O28" s="91">
        <f t="shared" si="2"/>
        <v>7792</v>
      </c>
      <c r="P28" s="11"/>
      <c r="Q28" s="34">
        <f>L28*0.6985+M28*0.9514+N28*1.3304</f>
        <v>7371.9148999999998</v>
      </c>
      <c r="R28" s="11"/>
      <c r="S28" s="28"/>
      <c r="T28" s="11"/>
      <c r="U28" s="28"/>
      <c r="V28" s="147">
        <f>'Suvi Gaz'!O22</f>
        <v>255.99368000000001</v>
      </c>
      <c r="W28" s="11"/>
      <c r="X28" s="34">
        <f t="shared" si="1"/>
        <v>2514.1139312800001</v>
      </c>
    </row>
    <row r="29" spans="1:24" ht="32.25" customHeight="1" thickBot="1" x14ac:dyDescent="0.25">
      <c r="A29" s="2"/>
      <c r="B29" s="6">
        <v>44216</v>
      </c>
      <c r="C29" s="7"/>
      <c r="D29" s="143">
        <v>21</v>
      </c>
      <c r="E29" s="143">
        <v>29</v>
      </c>
      <c r="F29" s="13">
        <f>'Suivi EAU-ELEC'!E28</f>
        <v>63.19999999999709</v>
      </c>
      <c r="G29" s="11"/>
      <c r="H29" s="198">
        <f t="shared" si="0"/>
        <v>720.47999999996682</v>
      </c>
      <c r="I29" s="199"/>
      <c r="J29" s="199"/>
      <c r="K29" s="60">
        <v>42297</v>
      </c>
      <c r="L29" s="90">
        <f>'Suivi EAU-ELEC'!G28</f>
        <v>2238</v>
      </c>
      <c r="M29" s="91">
        <f>'Suivi EAU-ELEC'!I28</f>
        <v>3743</v>
      </c>
      <c r="N29" s="91">
        <f>'Suivi EAU-ELEC'!K28</f>
        <v>1587</v>
      </c>
      <c r="O29" s="91">
        <f>L29+M29+N29</f>
        <v>7568</v>
      </c>
      <c r="P29" s="11"/>
      <c r="Q29" s="34">
        <f t="shared" si="3"/>
        <v>7235.6779999999999</v>
      </c>
      <c r="R29" s="11"/>
      <c r="S29" s="28"/>
      <c r="T29" s="11"/>
      <c r="U29" s="28"/>
      <c r="V29" s="147">
        <f>'Suvi Gaz'!O23</f>
        <v>255.99368000000001</v>
      </c>
      <c r="W29" s="11"/>
      <c r="X29" s="34">
        <f t="shared" si="1"/>
        <v>2514.1139312800001</v>
      </c>
    </row>
    <row r="30" spans="1:24" ht="32.25" customHeight="1" thickBot="1" x14ac:dyDescent="0.25">
      <c r="A30" s="2"/>
      <c r="B30" s="6">
        <v>44217</v>
      </c>
      <c r="C30" s="7"/>
      <c r="D30" s="143">
        <v>32</v>
      </c>
      <c r="E30" s="143">
        <v>48</v>
      </c>
      <c r="F30" s="13">
        <f>'Suivi EAU-ELEC'!E29</f>
        <v>54.30000000000291</v>
      </c>
      <c r="G30" s="11"/>
      <c r="H30" s="198">
        <f t="shared" si="0"/>
        <v>619.02000000003318</v>
      </c>
      <c r="I30" s="199"/>
      <c r="J30" s="199"/>
      <c r="K30" s="60">
        <v>42298</v>
      </c>
      <c r="L30" s="90">
        <f>'Suivi EAU-ELEC'!G29</f>
        <v>2576</v>
      </c>
      <c r="M30" s="91">
        <f>'Suivi EAU-ELEC'!I29</f>
        <v>3561</v>
      </c>
      <c r="N30" s="91">
        <f>'Suivi EAU-ELEC'!K29</f>
        <v>1578</v>
      </c>
      <c r="O30" s="91">
        <f t="shared" si="2"/>
        <v>7715</v>
      </c>
      <c r="P30" s="11"/>
      <c r="Q30" s="34">
        <f t="shared" si="3"/>
        <v>7286.642600000001</v>
      </c>
      <c r="R30" s="11"/>
      <c r="S30" s="28"/>
      <c r="T30" s="11"/>
      <c r="U30" s="28"/>
      <c r="V30" s="147">
        <f>'Suvi Gaz'!O24</f>
        <v>351.99131</v>
      </c>
      <c r="W30" s="11"/>
      <c r="X30" s="34">
        <f t="shared" si="1"/>
        <v>3456.9066555099998</v>
      </c>
    </row>
    <row r="31" spans="1:24" ht="27.75" customHeight="1" thickBot="1" x14ac:dyDescent="0.25">
      <c r="A31" s="2"/>
      <c r="B31" s="6">
        <v>44218</v>
      </c>
      <c r="C31" s="7"/>
      <c r="D31" s="143">
        <v>42</v>
      </c>
      <c r="E31" s="143">
        <v>66</v>
      </c>
      <c r="F31" s="13">
        <f>'Suivi EAU-ELEC'!E30</f>
        <v>54.30000000000291</v>
      </c>
      <c r="G31" s="11"/>
      <c r="H31" s="198">
        <f t="shared" si="0"/>
        <v>619.02000000003318</v>
      </c>
      <c r="I31" s="199"/>
      <c r="J31" s="199"/>
      <c r="K31" s="60">
        <v>42299</v>
      </c>
      <c r="L31" s="90">
        <f>'Suivi EAU-ELEC'!G30</f>
        <v>2555</v>
      </c>
      <c r="M31" s="91">
        <f>'Suivi EAU-ELEC'!I30</f>
        <v>3570</v>
      </c>
      <c r="N31" s="91">
        <f>'Suivi EAU-ELEC'!K30</f>
        <v>1637</v>
      </c>
      <c r="O31" s="91">
        <f>L31+M31+N31</f>
        <v>7762</v>
      </c>
      <c r="P31" s="11"/>
      <c r="Q31" s="34">
        <f>L31*0.6985+M31*0.9514+N31*1.3304</f>
        <v>7359.0303000000004</v>
      </c>
      <c r="R31" s="11"/>
      <c r="S31" s="28"/>
      <c r="T31" s="11"/>
      <c r="U31" s="28"/>
      <c r="V31" s="147">
        <f>'Suvi Gaz'!O25</f>
        <v>351.99131</v>
      </c>
      <c r="W31" s="11"/>
      <c r="X31" s="34">
        <f t="shared" si="1"/>
        <v>3456.9066555099998</v>
      </c>
    </row>
    <row r="32" spans="1:24" ht="37.5" customHeight="1" thickBot="1" x14ac:dyDescent="0.25">
      <c r="A32" s="2"/>
      <c r="B32" s="6">
        <v>44219</v>
      </c>
      <c r="C32" s="7"/>
      <c r="D32" s="143">
        <v>30</v>
      </c>
      <c r="E32" s="143">
        <v>50</v>
      </c>
      <c r="F32" s="13">
        <f>'Suivi EAU-ELEC'!E31</f>
        <v>69.80000000000291</v>
      </c>
      <c r="G32" s="11"/>
      <c r="H32" s="198">
        <f t="shared" si="0"/>
        <v>795.72000000003322</v>
      </c>
      <c r="I32" s="199"/>
      <c r="J32" s="199"/>
      <c r="K32" s="60">
        <v>42300</v>
      </c>
      <c r="L32" s="90">
        <f>'Suivi EAU-ELEC'!G31</f>
        <v>2803</v>
      </c>
      <c r="M32" s="91">
        <f>'Suivi EAU-ELEC'!I31</f>
        <v>3973</v>
      </c>
      <c r="N32" s="91">
        <f>'Suivi EAU-ELEC'!K31</f>
        <v>2164</v>
      </c>
      <c r="O32" s="91">
        <f t="shared" si="2"/>
        <v>8940</v>
      </c>
      <c r="P32" s="11"/>
      <c r="Q32" s="34">
        <f t="shared" si="3"/>
        <v>8616.7933000000012</v>
      </c>
      <c r="R32" s="11"/>
      <c r="S32" s="28"/>
      <c r="T32" s="11"/>
      <c r="U32" s="28"/>
      <c r="V32" s="147">
        <f>'Suvi Gaz'!O26</f>
        <v>415.98973000000001</v>
      </c>
      <c r="W32" s="11"/>
      <c r="X32" s="34">
        <f t="shared" si="1"/>
        <v>4085.43513833</v>
      </c>
    </row>
    <row r="33" spans="1:24" ht="37.5" customHeight="1" thickBot="1" x14ac:dyDescent="0.25">
      <c r="A33" s="2"/>
      <c r="B33" s="6">
        <v>44220</v>
      </c>
      <c r="C33" s="7"/>
      <c r="D33" s="143">
        <v>31</v>
      </c>
      <c r="E33" s="143">
        <v>47</v>
      </c>
      <c r="F33" s="13">
        <f>'Suivi EAU-ELEC'!E32</f>
        <v>74.399999999994179</v>
      </c>
      <c r="G33" s="11"/>
      <c r="H33" s="198">
        <f t="shared" si="0"/>
        <v>848.15999999993369</v>
      </c>
      <c r="I33" s="199"/>
      <c r="J33" s="199"/>
      <c r="K33" s="60">
        <v>42301</v>
      </c>
      <c r="L33" s="90">
        <f>'Suivi EAU-ELEC'!G32</f>
        <v>2824</v>
      </c>
      <c r="M33" s="91">
        <f>'Suivi EAU-ELEC'!I32</f>
        <v>4062</v>
      </c>
      <c r="N33" s="91">
        <f>'Suivi EAU-ELEC'!K32</f>
        <v>1773</v>
      </c>
      <c r="O33" s="91">
        <f t="shared" si="2"/>
        <v>8659</v>
      </c>
      <c r="P33" s="11"/>
      <c r="Q33" s="34">
        <f t="shared" si="3"/>
        <v>8195.9500000000007</v>
      </c>
      <c r="R33" s="11"/>
      <c r="S33" s="28"/>
      <c r="T33" s="11"/>
      <c r="U33" s="28"/>
      <c r="V33" s="147">
        <f>'Suvi Gaz'!O27</f>
        <v>319.99209999999999</v>
      </c>
      <c r="W33" s="11"/>
      <c r="X33" s="34">
        <f t="shared" si="1"/>
        <v>3142.6424140999998</v>
      </c>
    </row>
    <row r="34" spans="1:24" ht="37.5" customHeight="1" thickBot="1" x14ac:dyDescent="0.25">
      <c r="A34" s="2"/>
      <c r="B34" s="6">
        <v>44221</v>
      </c>
      <c r="C34" s="7"/>
      <c r="D34" s="143">
        <v>26</v>
      </c>
      <c r="E34" s="143">
        <v>48</v>
      </c>
      <c r="F34" s="13">
        <f>'Suivi EAU-ELEC'!E33</f>
        <v>70</v>
      </c>
      <c r="G34" s="11"/>
      <c r="H34" s="198">
        <f t="shared" si="0"/>
        <v>798</v>
      </c>
      <c r="I34" s="199"/>
      <c r="J34" s="199"/>
      <c r="K34" s="60">
        <v>42302</v>
      </c>
      <c r="L34" s="90">
        <f>'Suivi EAU-ELEC'!G33</f>
        <v>2444</v>
      </c>
      <c r="M34" s="91">
        <f>'Suivi EAU-ELEC'!I33</f>
        <v>3664</v>
      </c>
      <c r="N34" s="91">
        <f>'Suivi EAU-ELEC'!K33</f>
        <v>1575</v>
      </c>
      <c r="O34" s="91">
        <f t="shared" si="2"/>
        <v>7683</v>
      </c>
      <c r="P34" s="11"/>
      <c r="Q34" s="34">
        <f t="shared" si="3"/>
        <v>7288.4435999999996</v>
      </c>
      <c r="R34" s="11"/>
      <c r="S34" s="28"/>
      <c r="T34" s="11"/>
      <c r="U34" s="28"/>
      <c r="V34" s="147">
        <f>'Suvi Gaz'!O28</f>
        <v>735.98183000000006</v>
      </c>
      <c r="W34" s="11"/>
      <c r="X34" s="34">
        <f t="shared" si="1"/>
        <v>7228.0775524300007</v>
      </c>
    </row>
    <row r="35" spans="1:24" ht="33.75" customHeight="1" thickBot="1" x14ac:dyDescent="0.25">
      <c r="A35" s="2"/>
      <c r="B35" s="6">
        <v>44222</v>
      </c>
      <c r="C35" s="7"/>
      <c r="D35" s="143">
        <v>32</v>
      </c>
      <c r="E35" s="143">
        <v>53</v>
      </c>
      <c r="F35" s="13">
        <f>'Suivi EAU-ELEC'!E34</f>
        <v>71.600000000005821</v>
      </c>
      <c r="G35" s="11"/>
      <c r="H35" s="198">
        <f t="shared" si="0"/>
        <v>816.2400000000664</v>
      </c>
      <c r="I35" s="199"/>
      <c r="J35" s="199"/>
      <c r="K35" s="60">
        <v>42303</v>
      </c>
      <c r="L35" s="90">
        <f>'Suivi EAU-ELEC'!G34</f>
        <v>1941</v>
      </c>
      <c r="M35" s="91">
        <f>'Suivi EAU-ELEC'!I34</f>
        <v>3537</v>
      </c>
      <c r="N35" s="91">
        <f>'Suivi EAU-ELEC'!K34</f>
        <v>1586</v>
      </c>
      <c r="O35" s="91">
        <f t="shared" si="2"/>
        <v>7064</v>
      </c>
      <c r="P35" s="11"/>
      <c r="Q35" s="34">
        <f t="shared" si="3"/>
        <v>6830.9047</v>
      </c>
      <c r="R35" s="11"/>
      <c r="S35" s="28"/>
      <c r="T35" s="11"/>
      <c r="U35" s="28"/>
      <c r="V35" s="147">
        <f>'Suvi Gaz'!O29</f>
        <v>511.98736000000002</v>
      </c>
      <c r="W35" s="11"/>
      <c r="X35" s="34">
        <f t="shared" si="1"/>
        <v>5028.2278625600002</v>
      </c>
    </row>
    <row r="36" spans="1:24" ht="33.75" customHeight="1" thickBot="1" x14ac:dyDescent="0.25">
      <c r="A36" s="2"/>
      <c r="B36" s="6">
        <v>44223</v>
      </c>
      <c r="C36" s="7"/>
      <c r="D36" s="143">
        <v>32</v>
      </c>
      <c r="E36" s="143">
        <v>47</v>
      </c>
      <c r="F36" s="13">
        <f>'Suivi EAU-ELEC'!E35</f>
        <v>107.19999999999709</v>
      </c>
      <c r="G36" s="11"/>
      <c r="H36" s="198">
        <f t="shared" si="0"/>
        <v>1222.079999999967</v>
      </c>
      <c r="I36" s="199"/>
      <c r="J36" s="199"/>
      <c r="K36" s="60">
        <v>42304</v>
      </c>
      <c r="L36" s="90">
        <f>'Suivi EAU-ELEC'!G35</f>
        <v>2443</v>
      </c>
      <c r="M36" s="91">
        <f>'Suivi EAU-ELEC'!I35</f>
        <v>3519</v>
      </c>
      <c r="N36" s="91">
        <f>'Suivi EAU-ELEC'!K35</f>
        <v>1618</v>
      </c>
      <c r="O36" s="91">
        <f t="shared" si="2"/>
        <v>7580</v>
      </c>
      <c r="P36" s="11"/>
      <c r="Q36" s="34">
        <f t="shared" si="3"/>
        <v>7206.9992999999995</v>
      </c>
      <c r="R36" s="11"/>
      <c r="S36" s="28"/>
      <c r="T36" s="11"/>
      <c r="U36" s="28"/>
      <c r="V36" s="147">
        <f>'Suvi Gaz'!O30</f>
        <v>479.98815000000002</v>
      </c>
      <c r="W36" s="11"/>
      <c r="X36" s="34">
        <f t="shared" si="1"/>
        <v>4713.9636211500001</v>
      </c>
    </row>
    <row r="37" spans="1:24" ht="33.75" customHeight="1" thickBot="1" x14ac:dyDescent="0.25">
      <c r="A37" s="2"/>
      <c r="B37" s="6">
        <v>44224</v>
      </c>
      <c r="C37" s="7"/>
      <c r="D37" s="143">
        <v>33</v>
      </c>
      <c r="E37" s="143">
        <v>51</v>
      </c>
      <c r="F37" s="13">
        <f>'Suivi EAU-ELEC'!E36</f>
        <v>69.599999999991269</v>
      </c>
      <c r="G37" s="11"/>
      <c r="H37" s="198">
        <f t="shared" si="0"/>
        <v>793.43999999990046</v>
      </c>
      <c r="I37" s="199"/>
      <c r="J37" s="199"/>
      <c r="K37" s="60">
        <v>42305</v>
      </c>
      <c r="L37" s="90">
        <f>'Suivi EAU-ELEC'!G36</f>
        <v>2362</v>
      </c>
      <c r="M37" s="91">
        <f>'Suivi EAU-ELEC'!I36</f>
        <v>3637</v>
      </c>
      <c r="N37" s="91">
        <f>'Suivi EAU-ELEC'!K36</f>
        <v>1636</v>
      </c>
      <c r="O37" s="91">
        <f t="shared" si="2"/>
        <v>7635</v>
      </c>
      <c r="P37" s="11"/>
      <c r="Q37" s="34">
        <f t="shared" si="3"/>
        <v>7286.6332000000002</v>
      </c>
      <c r="R37" s="11"/>
      <c r="S37" s="28"/>
      <c r="T37" s="11"/>
      <c r="U37" s="28"/>
      <c r="V37" s="147">
        <f>'Suvi Gaz'!O31</f>
        <v>479.98815000000002</v>
      </c>
      <c r="W37" s="11"/>
      <c r="X37" s="34">
        <f t="shared" si="1"/>
        <v>4713.9636211500001</v>
      </c>
    </row>
    <row r="38" spans="1:24" ht="33.75" customHeight="1" thickBot="1" x14ac:dyDescent="0.25">
      <c r="A38" s="2"/>
      <c r="B38" s="6">
        <v>44225</v>
      </c>
      <c r="C38" s="7"/>
      <c r="D38" s="143">
        <v>33</v>
      </c>
      <c r="E38" s="143">
        <v>60</v>
      </c>
      <c r="F38" s="13">
        <f>'Suivi EAU-ELEC'!E37</f>
        <v>52.80000000000291</v>
      </c>
      <c r="G38" s="11"/>
      <c r="H38" s="198">
        <f t="shared" si="0"/>
        <v>601.92000000003316</v>
      </c>
      <c r="I38" s="199"/>
      <c r="J38" s="199"/>
      <c r="K38" s="60"/>
      <c r="L38" s="90">
        <f>'Suivi EAU-ELEC'!G37</f>
        <v>2513</v>
      </c>
      <c r="M38" s="91">
        <f>'Suivi EAU-ELEC'!I37</f>
        <v>3661</v>
      </c>
      <c r="N38" s="91">
        <f>'Suivi EAU-ELEC'!K37</f>
        <v>1701</v>
      </c>
      <c r="O38" s="91">
        <f t="shared" si="2"/>
        <v>7875</v>
      </c>
      <c r="P38" s="11"/>
      <c r="Q38" s="34">
        <f t="shared" si="3"/>
        <v>7501.4162999999999</v>
      </c>
      <c r="R38" s="11"/>
      <c r="S38" s="28"/>
      <c r="T38" s="11"/>
      <c r="U38" s="28"/>
      <c r="V38" s="147">
        <f>'Suvi Gaz'!O32</f>
        <v>351.99131</v>
      </c>
      <c r="W38" s="11"/>
      <c r="X38" s="34">
        <f t="shared" si="1"/>
        <v>3456.9066555099998</v>
      </c>
    </row>
    <row r="39" spans="1:24" ht="33.75" customHeight="1" thickBot="1" x14ac:dyDescent="0.25">
      <c r="A39" s="2"/>
      <c r="B39" s="6">
        <v>44226</v>
      </c>
      <c r="C39" s="7"/>
      <c r="D39" s="143">
        <v>39</v>
      </c>
      <c r="E39" s="143">
        <v>70</v>
      </c>
      <c r="F39" s="13">
        <f>'Suivi EAU-ELEC'!E38</f>
        <v>89.80000000000291</v>
      </c>
      <c r="G39" s="11"/>
      <c r="H39" s="198">
        <f t="shared" si="0"/>
        <v>1023.7200000000332</v>
      </c>
      <c r="I39" s="199"/>
      <c r="J39" s="199"/>
      <c r="K39" s="60"/>
      <c r="L39" s="90">
        <f>'Suivi EAU-ELEC'!G38</f>
        <v>2829</v>
      </c>
      <c r="M39" s="91">
        <f>'Suivi EAU-ELEC'!I38</f>
        <v>3593</v>
      </c>
      <c r="N39" s="91">
        <f>'Suivi EAU-ELEC'!K38</f>
        <v>1713</v>
      </c>
      <c r="O39" s="91">
        <f t="shared" si="2"/>
        <v>8135</v>
      </c>
      <c r="P39" s="11"/>
      <c r="Q39" s="34">
        <f t="shared" si="3"/>
        <v>7673.4119000000001</v>
      </c>
      <c r="R39" s="11"/>
      <c r="S39" s="28"/>
      <c r="T39" s="11"/>
      <c r="U39" s="28"/>
      <c r="V39" s="147">
        <f>'Suvi Gaz'!O33</f>
        <v>863.97867000000008</v>
      </c>
      <c r="W39" s="11"/>
      <c r="X39" s="34">
        <f t="shared" si="1"/>
        <v>8485.1345180700009</v>
      </c>
    </row>
    <row r="40" spans="1:24" ht="33.75" customHeight="1" thickBot="1" x14ac:dyDescent="0.25">
      <c r="A40" s="2"/>
      <c r="B40" s="6">
        <v>44227</v>
      </c>
      <c r="C40" s="7"/>
      <c r="D40" s="143">
        <v>32</v>
      </c>
      <c r="E40" s="143">
        <v>47</v>
      </c>
      <c r="F40" s="13">
        <f>'Suivi EAU-ELEC'!E39</f>
        <v>72.600000000005821</v>
      </c>
      <c r="G40" s="11"/>
      <c r="H40" s="198">
        <f t="shared" si="0"/>
        <v>827.64000000006638</v>
      </c>
      <c r="I40" s="199"/>
      <c r="J40" s="199"/>
      <c r="K40" s="60"/>
      <c r="L40" s="90">
        <f>'Suivi EAU-ELEC'!G39</f>
        <v>2368</v>
      </c>
      <c r="M40" s="91">
        <f>'Suivi EAU-ELEC'!I39</f>
        <v>3509</v>
      </c>
      <c r="N40" s="91">
        <f>'Suivi EAU-ELEC'!K39</f>
        <v>1584</v>
      </c>
      <c r="O40" s="91">
        <f t="shared" si="2"/>
        <v>7461</v>
      </c>
      <c r="P40" s="11"/>
      <c r="Q40" s="34">
        <f t="shared" si="3"/>
        <v>7099.8642</v>
      </c>
      <c r="R40" s="11"/>
      <c r="S40" s="28"/>
      <c r="T40" s="11"/>
      <c r="U40" s="28"/>
      <c r="V40" s="147">
        <f>'Suvi Gaz'!O34</f>
        <v>575.98577999999998</v>
      </c>
      <c r="W40" s="11"/>
      <c r="X40" s="34">
        <f t="shared" si="1"/>
        <v>5656.7563453799994</v>
      </c>
    </row>
    <row r="41" spans="1:24" ht="42.75" customHeight="1" thickBot="1" x14ac:dyDescent="0.25">
      <c r="A41" s="2"/>
      <c r="B41" s="10"/>
      <c r="C41" s="10"/>
      <c r="D41" s="8">
        <f>SUM(D10:D40)</f>
        <v>934</v>
      </c>
      <c r="E41" s="8">
        <f>SUM(E10:E40)</f>
        <v>1450</v>
      </c>
      <c r="F41" s="8">
        <f>SUM(F10:F40)</f>
        <v>2027.4000000000087</v>
      </c>
      <c r="G41" s="1"/>
      <c r="H41" s="248">
        <f>SUM(H10:H40)</f>
        <v>23112.360000000099</v>
      </c>
      <c r="I41" s="249"/>
      <c r="J41" s="250"/>
      <c r="K41" s="1"/>
      <c r="L41" s="53">
        <f>SUM(L10:L40)</f>
        <v>75836</v>
      </c>
      <c r="M41" s="53">
        <f>SUM(M10:M40)</f>
        <v>111073</v>
      </c>
      <c r="N41" s="54">
        <f>SUM(N10:N40)</f>
        <v>50618</v>
      </c>
      <c r="O41" s="55">
        <f>SUM(O10:O40)</f>
        <v>237527</v>
      </c>
      <c r="P41" s="31"/>
      <c r="Q41" s="32">
        <f>SUM(Q10:Q40)</f>
        <v>225988.48540000006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12927.680839999997</v>
      </c>
      <c r="W41" s="31"/>
      <c r="X41" s="32">
        <f>SUM(X10:X40)</f>
        <v>126962.75352963999</v>
      </c>
    </row>
    <row r="42" spans="1:24" s="5" customFormat="1" ht="12.75" customHeight="1" thickBot="1" x14ac:dyDescent="0.25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54"/>
      <c r="M42" s="154"/>
      <c r="N42" s="154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83" t="s">
        <v>33</v>
      </c>
      <c r="B43" s="184"/>
      <c r="C43" s="184"/>
      <c r="D43" s="184"/>
      <c r="E43" s="184"/>
      <c r="F43" s="185"/>
      <c r="G43" s="26"/>
      <c r="H43" s="27" t="s">
        <v>34</v>
      </c>
      <c r="I43" s="195" t="s">
        <v>35</v>
      </c>
      <c r="J43" s="196"/>
      <c r="K43" s="197"/>
      <c r="L43" s="216" t="s">
        <v>36</v>
      </c>
      <c r="M43" s="217"/>
      <c r="N43" s="183" t="s">
        <v>37</v>
      </c>
      <c r="O43" s="184"/>
      <c r="P43" s="184"/>
      <c r="Q43" s="184"/>
      <c r="R43" s="184"/>
      <c r="S43" s="184"/>
      <c r="T43" s="184"/>
      <c r="U43" s="184"/>
      <c r="V43" s="184"/>
      <c r="W43" s="184"/>
      <c r="X43" s="185"/>
    </row>
    <row r="44" spans="1:24" s="18" customFormat="1" ht="29.25" customHeight="1" thickBot="1" x14ac:dyDescent="0.25">
      <c r="A44" s="210" t="s">
        <v>38</v>
      </c>
      <c r="B44" s="211"/>
      <c r="C44" s="212"/>
      <c r="D44" s="156" t="s">
        <v>30</v>
      </c>
      <c r="E44" s="156" t="s">
        <v>30</v>
      </c>
      <c r="F44" s="156" t="s">
        <v>30</v>
      </c>
      <c r="G44" s="16"/>
      <c r="H44" s="17">
        <v>0.69850000000000001</v>
      </c>
      <c r="I44" s="207">
        <f>L41</f>
        <v>75836</v>
      </c>
      <c r="J44" s="208"/>
      <c r="K44" s="209"/>
      <c r="L44" s="205">
        <f>I44*H44</f>
        <v>52971.446000000004</v>
      </c>
      <c r="M44" s="206"/>
      <c r="N44" s="174">
        <f>L44+L45+L46</f>
        <v>225988.48540000001</v>
      </c>
      <c r="O44" s="175"/>
      <c r="P44" s="175"/>
      <c r="Q44" s="175"/>
      <c r="R44" s="175"/>
      <c r="S44" s="175"/>
      <c r="T44" s="175"/>
      <c r="U44" s="175"/>
      <c r="V44" s="175"/>
      <c r="W44" s="175"/>
      <c r="X44" s="176"/>
    </row>
    <row r="45" spans="1:24" s="18" customFormat="1" ht="29.25" customHeight="1" thickBot="1" x14ac:dyDescent="0.25">
      <c r="A45" s="213"/>
      <c r="B45" s="214"/>
      <c r="C45" s="215"/>
      <c r="D45" s="155" t="s">
        <v>31</v>
      </c>
      <c r="E45" s="155" t="s">
        <v>31</v>
      </c>
      <c r="F45" s="155" t="s">
        <v>31</v>
      </c>
      <c r="G45" s="16"/>
      <c r="H45" s="19">
        <v>0.95140000000000002</v>
      </c>
      <c r="I45" s="207">
        <f>M41</f>
        <v>111073</v>
      </c>
      <c r="J45" s="208"/>
      <c r="K45" s="209"/>
      <c r="L45" s="205">
        <f>I45*H45</f>
        <v>105674.85220000001</v>
      </c>
      <c r="M45" s="206"/>
      <c r="N45" s="177"/>
      <c r="O45" s="178"/>
      <c r="P45" s="178"/>
      <c r="Q45" s="178"/>
      <c r="R45" s="178"/>
      <c r="S45" s="178"/>
      <c r="T45" s="178"/>
      <c r="U45" s="178"/>
      <c r="V45" s="178"/>
      <c r="W45" s="178"/>
      <c r="X45" s="179"/>
    </row>
    <row r="46" spans="1:24" s="18" customFormat="1" ht="24.75" customHeight="1" thickBot="1" x14ac:dyDescent="0.25">
      <c r="A46" s="213"/>
      <c r="B46" s="214"/>
      <c r="C46" s="215"/>
      <c r="D46" s="158" t="s">
        <v>32</v>
      </c>
      <c r="E46" s="158" t="s">
        <v>32</v>
      </c>
      <c r="F46" s="158" t="s">
        <v>32</v>
      </c>
      <c r="G46" s="20"/>
      <c r="H46" s="20">
        <v>1.3304</v>
      </c>
      <c r="I46" s="192">
        <f>N41</f>
        <v>50618</v>
      </c>
      <c r="J46" s="193"/>
      <c r="K46" s="194"/>
      <c r="L46" s="205">
        <f>I46*H46</f>
        <v>67342.1872</v>
      </c>
      <c r="M46" s="206"/>
      <c r="N46" s="180"/>
      <c r="O46" s="181"/>
      <c r="P46" s="181"/>
      <c r="Q46" s="181"/>
      <c r="R46" s="181"/>
      <c r="S46" s="181"/>
      <c r="T46" s="181"/>
      <c r="U46" s="181"/>
      <c r="V46" s="181"/>
      <c r="W46" s="181"/>
      <c r="X46" s="182"/>
    </row>
    <row r="47" spans="1:24" s="18" customFormat="1" ht="43.5" customHeight="1" thickBot="1" x14ac:dyDescent="0.25">
      <c r="A47" s="164"/>
      <c r="B47" s="165"/>
      <c r="C47" s="165"/>
      <c r="D47" s="207" t="s">
        <v>126</v>
      </c>
      <c r="E47" s="436"/>
      <c r="F47" s="437"/>
      <c r="G47" s="16"/>
      <c r="H47" s="19">
        <v>1000</v>
      </c>
      <c r="I47" s="207">
        <v>43.88167</v>
      </c>
      <c r="J47" s="436"/>
      <c r="K47" s="166"/>
      <c r="L47" s="438">
        <f>H47*I47</f>
        <v>43881.67</v>
      </c>
      <c r="M47" s="439"/>
      <c r="N47" s="245">
        <f>L47</f>
        <v>43881.67</v>
      </c>
      <c r="O47" s="246"/>
      <c r="P47" s="246"/>
      <c r="Q47" s="246"/>
      <c r="R47" s="246"/>
      <c r="S47" s="246"/>
      <c r="T47" s="246"/>
      <c r="U47" s="246"/>
      <c r="V47" s="246"/>
      <c r="W47" s="246"/>
      <c r="X47" s="247"/>
    </row>
    <row r="48" spans="1:24" s="18" customFormat="1" ht="43.5" customHeight="1" thickBot="1" x14ac:dyDescent="0.25">
      <c r="A48" s="164"/>
      <c r="B48" s="165"/>
      <c r="C48" s="165"/>
      <c r="D48" s="207" t="s">
        <v>127</v>
      </c>
      <c r="E48" s="436"/>
      <c r="F48" s="437"/>
      <c r="G48" s="16"/>
      <c r="H48" s="440"/>
      <c r="I48" s="207">
        <v>65.822505000000007</v>
      </c>
      <c r="J48" s="436"/>
      <c r="K48" s="437"/>
      <c r="L48" s="205">
        <f>H48*I48</f>
        <v>0</v>
      </c>
      <c r="M48" s="441"/>
      <c r="N48" s="245">
        <f t="shared" ref="N48:N50" si="4">L48</f>
        <v>0</v>
      </c>
      <c r="O48" s="246"/>
      <c r="P48" s="246"/>
      <c r="Q48" s="246"/>
      <c r="R48" s="246"/>
      <c r="S48" s="246"/>
      <c r="T48" s="246"/>
      <c r="U48" s="246"/>
      <c r="V48" s="246"/>
      <c r="W48" s="246"/>
      <c r="X48" s="247"/>
    </row>
    <row r="49" spans="1:24" s="18" customFormat="1" ht="43.5" customHeight="1" thickBot="1" x14ac:dyDescent="0.25">
      <c r="A49" s="164"/>
      <c r="B49" s="165"/>
      <c r="C49" s="165"/>
      <c r="D49" s="207" t="s">
        <v>128</v>
      </c>
      <c r="E49" s="436"/>
      <c r="F49" s="437"/>
      <c r="G49" s="16"/>
      <c r="H49" s="19"/>
      <c r="I49" s="207">
        <v>841</v>
      </c>
      <c r="J49" s="436"/>
      <c r="K49" s="437"/>
      <c r="L49" s="205">
        <v>841</v>
      </c>
      <c r="M49" s="437"/>
      <c r="N49" s="245">
        <f t="shared" si="4"/>
        <v>841</v>
      </c>
      <c r="O49" s="246"/>
      <c r="P49" s="246"/>
      <c r="Q49" s="246"/>
      <c r="R49" s="246"/>
      <c r="S49" s="246"/>
      <c r="T49" s="246"/>
      <c r="U49" s="246"/>
      <c r="V49" s="246"/>
      <c r="W49" s="246"/>
      <c r="X49" s="247"/>
    </row>
    <row r="50" spans="1:24" s="18" customFormat="1" ht="43.5" customHeight="1" thickBot="1" x14ac:dyDescent="0.25">
      <c r="A50" s="164"/>
      <c r="B50" s="165"/>
      <c r="C50" s="165"/>
      <c r="D50" s="207" t="s">
        <v>129</v>
      </c>
      <c r="E50" s="436"/>
      <c r="F50" s="437"/>
      <c r="G50" s="16"/>
      <c r="H50" s="19"/>
      <c r="I50" s="207">
        <v>1492</v>
      </c>
      <c r="J50" s="436"/>
      <c r="K50" s="437"/>
      <c r="L50" s="205">
        <v>1492</v>
      </c>
      <c r="M50" s="437"/>
      <c r="N50" s="245">
        <f t="shared" si="4"/>
        <v>1492</v>
      </c>
      <c r="O50" s="246"/>
      <c r="P50" s="246"/>
      <c r="Q50" s="246"/>
      <c r="R50" s="246"/>
      <c r="S50" s="246"/>
      <c r="T50" s="246"/>
      <c r="U50" s="246"/>
      <c r="V50" s="246"/>
      <c r="W50" s="246"/>
      <c r="X50" s="247"/>
    </row>
    <row r="51" spans="1:24" s="18" customFormat="1" ht="43.5" customHeight="1" thickBot="1" x14ac:dyDescent="0.25">
      <c r="A51" s="164"/>
      <c r="B51" s="165"/>
      <c r="C51" s="165"/>
      <c r="D51" s="213" t="s">
        <v>184</v>
      </c>
      <c r="E51" s="442"/>
      <c r="F51" s="442"/>
      <c r="G51" s="442"/>
      <c r="H51" s="442"/>
      <c r="I51" s="442"/>
      <c r="J51" s="442"/>
      <c r="K51" s="442"/>
      <c r="L51" s="442"/>
      <c r="M51" s="443"/>
      <c r="N51" s="245">
        <f>N44+N47+N48+N49+N50</f>
        <v>272203.15539999999</v>
      </c>
      <c r="O51" s="246"/>
      <c r="P51" s="246"/>
      <c r="Q51" s="246"/>
      <c r="R51" s="246"/>
      <c r="S51" s="246"/>
      <c r="T51" s="246"/>
      <c r="U51" s="246"/>
      <c r="V51" s="246"/>
      <c r="W51" s="246"/>
      <c r="X51" s="247"/>
    </row>
    <row r="52" spans="1:24" s="18" customFormat="1" ht="43.5" customHeight="1" thickBot="1" x14ac:dyDescent="0.25">
      <c r="A52" s="164"/>
      <c r="B52" s="165"/>
      <c r="C52" s="165"/>
      <c r="D52" s="207" t="s">
        <v>185</v>
      </c>
      <c r="E52" s="436"/>
      <c r="F52" s="436"/>
      <c r="G52" s="436"/>
      <c r="H52" s="436"/>
      <c r="I52" s="436"/>
      <c r="J52" s="436"/>
      <c r="K52" s="436"/>
      <c r="L52" s="436"/>
      <c r="M52" s="437"/>
      <c r="N52" s="444">
        <f>N51/O41</f>
        <v>1.1459882682810796</v>
      </c>
      <c r="O52" s="445"/>
      <c r="P52" s="445"/>
      <c r="Q52" s="445"/>
      <c r="R52" s="445"/>
      <c r="S52" s="445"/>
      <c r="T52" s="445"/>
      <c r="U52" s="445"/>
      <c r="V52" s="445"/>
      <c r="W52" s="445"/>
      <c r="X52" s="446"/>
    </row>
    <row r="53" spans="1:24" s="23" customFormat="1" ht="32.25" customHeight="1" thickBot="1" x14ac:dyDescent="0.25">
      <c r="A53" s="200" t="s">
        <v>39</v>
      </c>
      <c r="B53" s="201"/>
      <c r="C53" s="201"/>
      <c r="D53" s="201"/>
      <c r="E53" s="201"/>
      <c r="F53" s="202"/>
      <c r="G53" s="21"/>
      <c r="H53" s="22">
        <v>11.4</v>
      </c>
      <c r="I53" s="200">
        <f>F41</f>
        <v>2027.4000000000087</v>
      </c>
      <c r="J53" s="201"/>
      <c r="K53" s="202"/>
      <c r="L53" s="203">
        <f>I53*H53</f>
        <v>23112.360000000099</v>
      </c>
      <c r="M53" s="204"/>
      <c r="N53" s="171">
        <f>L53</f>
        <v>23112.360000000099</v>
      </c>
      <c r="O53" s="172"/>
      <c r="P53" s="172"/>
      <c r="Q53" s="172"/>
      <c r="R53" s="172"/>
      <c r="S53" s="172"/>
      <c r="T53" s="172"/>
      <c r="U53" s="172"/>
      <c r="V53" s="172"/>
      <c r="W53" s="172"/>
      <c r="X53" s="173"/>
    </row>
    <row r="54" spans="1:24" s="23" customFormat="1" ht="36.75" customHeight="1" x14ac:dyDescent="0.2">
      <c r="A54" s="186" t="s">
        <v>40</v>
      </c>
      <c r="B54" s="187"/>
      <c r="C54" s="187"/>
      <c r="D54" s="187"/>
      <c r="E54" s="187"/>
      <c r="F54" s="188"/>
      <c r="G54" s="24"/>
      <c r="H54" s="25">
        <v>9.8209999999999997</v>
      </c>
      <c r="I54" s="189">
        <f>V41</f>
        <v>12927.680839999997</v>
      </c>
      <c r="J54" s="190"/>
      <c r="K54" s="191"/>
      <c r="L54" s="189">
        <f>I54*H54</f>
        <v>126962.75352963997</v>
      </c>
      <c r="M54" s="191"/>
      <c r="N54" s="168">
        <f>L54</f>
        <v>126962.75352963997</v>
      </c>
      <c r="O54" s="169"/>
      <c r="P54" s="169"/>
      <c r="Q54" s="169"/>
      <c r="R54" s="169"/>
      <c r="S54" s="169"/>
      <c r="T54" s="169"/>
      <c r="U54" s="169"/>
      <c r="V54" s="169"/>
      <c r="W54" s="169"/>
      <c r="X54" s="170"/>
    </row>
    <row r="55" spans="1:24" ht="27" customHeight="1" x14ac:dyDescent="0.2">
      <c r="A55" s="2"/>
      <c r="B55" s="2"/>
      <c r="C55" s="2"/>
      <c r="D55" s="2"/>
      <c r="E55" s="2"/>
      <c r="F55" s="2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33"/>
      <c r="U55" s="33"/>
      <c r="V55" s="33"/>
      <c r="W55" s="33"/>
      <c r="X55" s="33"/>
    </row>
    <row r="56" spans="1:24" ht="18.75" customHeight="1" x14ac:dyDescent="0.2">
      <c r="A56" s="157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</row>
    <row r="60" spans="1:24" ht="39" customHeight="1" x14ac:dyDescent="0.2">
      <c r="A60" s="157"/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</row>
  </sheetData>
  <mergeCells count="92">
    <mergeCell ref="D51:M51"/>
    <mergeCell ref="N51:X51"/>
    <mergeCell ref="D52:M52"/>
    <mergeCell ref="N52:X52"/>
    <mergeCell ref="N49:X49"/>
    <mergeCell ref="D50:F50"/>
    <mergeCell ref="I50:K50"/>
    <mergeCell ref="L50:M50"/>
    <mergeCell ref="N50:X50"/>
    <mergeCell ref="H39:J39"/>
    <mergeCell ref="H41:J41"/>
    <mergeCell ref="H30:J30"/>
    <mergeCell ref="H38:J38"/>
    <mergeCell ref="H36:J36"/>
    <mergeCell ref="L44:M44"/>
    <mergeCell ref="H33:J33"/>
    <mergeCell ref="L46:M46"/>
    <mergeCell ref="H31:J31"/>
    <mergeCell ref="H35:J35"/>
    <mergeCell ref="H40:J40"/>
    <mergeCell ref="I47:J47"/>
    <mergeCell ref="L47:M47"/>
    <mergeCell ref="N47:X47"/>
    <mergeCell ref="I48:K48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37:J37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54:M54"/>
    <mergeCell ref="A53:F53"/>
    <mergeCell ref="A43:F43"/>
    <mergeCell ref="I53:K53"/>
    <mergeCell ref="L53:M53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60:X60"/>
    <mergeCell ref="N54:X54"/>
    <mergeCell ref="N53:X53"/>
    <mergeCell ref="N44:X46"/>
    <mergeCell ref="N43:X43"/>
    <mergeCell ref="A54:F54"/>
    <mergeCell ref="I54:K54"/>
    <mergeCell ref="I46:K46"/>
    <mergeCell ref="I43:K43"/>
    <mergeCell ref="D47:F47"/>
    <mergeCell ref="D48:F48"/>
    <mergeCell ref="L48:M48"/>
    <mergeCell ref="N48:X48"/>
    <mergeCell ref="D49:F49"/>
    <mergeCell ref="I49:K49"/>
    <mergeCell ref="L49:M4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4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P27" sqref="P27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 x14ac:dyDescent="0.2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 x14ac:dyDescent="0.2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 x14ac:dyDescent="0.25">
      <c r="A6" s="159"/>
      <c r="B6" s="159"/>
      <c r="C6" s="159"/>
    </row>
    <row r="7" spans="1:12" ht="16.5" customHeight="1" x14ac:dyDescent="0.2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 x14ac:dyDescent="0.2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44197</v>
      </c>
      <c r="B9" s="116">
        <v>2559</v>
      </c>
      <c r="C9" s="115">
        <v>0</v>
      </c>
      <c r="D9" s="57">
        <v>99706.2</v>
      </c>
      <c r="E9" s="146">
        <v>48</v>
      </c>
      <c r="F9" s="51">
        <v>10232735</v>
      </c>
      <c r="G9" s="50">
        <v>2484</v>
      </c>
      <c r="H9" s="51">
        <v>17209781</v>
      </c>
      <c r="I9" s="50">
        <v>3682</v>
      </c>
      <c r="J9" s="51">
        <v>7619985</v>
      </c>
      <c r="K9" s="50">
        <v>1748</v>
      </c>
    </row>
    <row r="10" spans="1:12" ht="19.5" x14ac:dyDescent="0.3">
      <c r="A10" s="59">
        <v>44198</v>
      </c>
      <c r="B10" s="116">
        <v>2559</v>
      </c>
      <c r="C10" s="115">
        <f t="shared" ref="C10:C40" si="0">B10-B9</f>
        <v>0</v>
      </c>
      <c r="D10" s="57">
        <v>99793.3</v>
      </c>
      <c r="E10" s="146">
        <f t="shared" ref="E10:E40" si="1">D10-D9</f>
        <v>87.100000000005821</v>
      </c>
      <c r="F10" s="51">
        <v>10235254</v>
      </c>
      <c r="G10" s="50">
        <f>F10-F9</f>
        <v>2519</v>
      </c>
      <c r="H10" s="51">
        <v>17213254</v>
      </c>
      <c r="I10" s="50">
        <f>H10-H9</f>
        <v>3473</v>
      </c>
      <c r="J10" s="51">
        <v>7621599</v>
      </c>
      <c r="K10" s="50">
        <f>J10-J9</f>
        <v>1614</v>
      </c>
    </row>
    <row r="11" spans="1:12" ht="19.5" x14ac:dyDescent="0.3">
      <c r="A11" s="59">
        <v>44199</v>
      </c>
      <c r="B11" s="116">
        <v>2559</v>
      </c>
      <c r="C11" s="115">
        <f t="shared" si="0"/>
        <v>0</v>
      </c>
      <c r="D11" s="57">
        <v>99855.2</v>
      </c>
      <c r="E11" s="146">
        <f t="shared" si="1"/>
        <v>61.899999999994179</v>
      </c>
      <c r="F11" s="150">
        <v>10237551</v>
      </c>
      <c r="G11" s="50">
        <f t="shared" ref="G11:G40" si="2">F11-F10</f>
        <v>2297</v>
      </c>
      <c r="H11" s="150">
        <v>17216952</v>
      </c>
      <c r="I11" s="50">
        <f t="shared" ref="I11:I40" si="3">H11-H10</f>
        <v>3698</v>
      </c>
      <c r="J11" s="150">
        <v>7623173</v>
      </c>
      <c r="K11" s="50">
        <f t="shared" ref="K11:K40" si="4">J11-J10</f>
        <v>1574</v>
      </c>
    </row>
    <row r="12" spans="1:12" ht="19.5" x14ac:dyDescent="0.3">
      <c r="A12" s="59">
        <v>44200</v>
      </c>
      <c r="B12" s="116">
        <v>2559</v>
      </c>
      <c r="C12" s="115">
        <f t="shared" si="0"/>
        <v>0</v>
      </c>
      <c r="D12" s="57">
        <v>99916.1</v>
      </c>
      <c r="E12" s="146">
        <f t="shared" si="1"/>
        <v>60.900000000008731</v>
      </c>
      <c r="F12" s="51">
        <v>10240086</v>
      </c>
      <c r="G12" s="50">
        <f t="shared" si="2"/>
        <v>2535</v>
      </c>
      <c r="H12" s="51">
        <v>17220557</v>
      </c>
      <c r="I12" s="50">
        <f t="shared" si="3"/>
        <v>3605</v>
      </c>
      <c r="J12" s="51">
        <v>7624818</v>
      </c>
      <c r="K12" s="50">
        <f t="shared" si="4"/>
        <v>1645</v>
      </c>
    </row>
    <row r="13" spans="1:12" ht="19.5" x14ac:dyDescent="0.3">
      <c r="A13" s="59">
        <v>44201</v>
      </c>
      <c r="B13" s="116">
        <v>2559</v>
      </c>
      <c r="C13" s="115">
        <f t="shared" si="0"/>
        <v>0</v>
      </c>
      <c r="D13" s="57">
        <v>99989.4</v>
      </c>
      <c r="E13" s="146">
        <f t="shared" si="1"/>
        <v>73.299999999988358</v>
      </c>
      <c r="F13" s="51">
        <v>10242276</v>
      </c>
      <c r="G13" s="50">
        <f t="shared" si="2"/>
        <v>2190</v>
      </c>
      <c r="H13" s="51">
        <v>17224225</v>
      </c>
      <c r="I13" s="50">
        <f t="shared" si="3"/>
        <v>3668</v>
      </c>
      <c r="J13" s="51">
        <v>7626562</v>
      </c>
      <c r="K13" s="50">
        <f t="shared" si="4"/>
        <v>1744</v>
      </c>
    </row>
    <row r="14" spans="1:12" ht="19.5" x14ac:dyDescent="0.3">
      <c r="A14" s="59">
        <v>44202</v>
      </c>
      <c r="B14" s="116">
        <v>2559</v>
      </c>
      <c r="C14" s="115">
        <f t="shared" si="0"/>
        <v>0</v>
      </c>
      <c r="D14" s="57">
        <v>100028.1</v>
      </c>
      <c r="E14" s="146">
        <f t="shared" si="1"/>
        <v>38.700000000011642</v>
      </c>
      <c r="F14" s="51">
        <v>10244777</v>
      </c>
      <c r="G14" s="50">
        <f t="shared" si="2"/>
        <v>2501</v>
      </c>
      <c r="H14" s="51">
        <v>17227822</v>
      </c>
      <c r="I14" s="50">
        <f t="shared" si="3"/>
        <v>3597</v>
      </c>
      <c r="J14" s="51">
        <v>7628230</v>
      </c>
      <c r="K14" s="50">
        <f t="shared" si="4"/>
        <v>1668</v>
      </c>
    </row>
    <row r="15" spans="1:12" ht="19.5" x14ac:dyDescent="0.3">
      <c r="A15" s="59">
        <v>44203</v>
      </c>
      <c r="B15" s="116">
        <v>2559</v>
      </c>
      <c r="C15" s="115">
        <f t="shared" si="0"/>
        <v>0</v>
      </c>
      <c r="D15" s="57">
        <v>100098.6</v>
      </c>
      <c r="E15" s="146">
        <f t="shared" si="1"/>
        <v>70.5</v>
      </c>
      <c r="F15" s="51">
        <v>10247123</v>
      </c>
      <c r="G15" s="50">
        <f t="shared" si="2"/>
        <v>2346</v>
      </c>
      <c r="H15" s="51">
        <v>17231334</v>
      </c>
      <c r="I15" s="50">
        <f t="shared" si="3"/>
        <v>3512</v>
      </c>
      <c r="J15" s="51">
        <v>7629776</v>
      </c>
      <c r="K15" s="50">
        <f t="shared" si="4"/>
        <v>1546</v>
      </c>
    </row>
    <row r="16" spans="1:12" ht="19.5" x14ac:dyDescent="0.3">
      <c r="A16" s="59">
        <v>44204</v>
      </c>
      <c r="B16" s="116">
        <v>2559</v>
      </c>
      <c r="C16" s="115">
        <f t="shared" si="0"/>
        <v>0</v>
      </c>
      <c r="D16" s="57">
        <v>100152.2</v>
      </c>
      <c r="E16" s="146">
        <f t="shared" si="1"/>
        <v>53.599999999991269</v>
      </c>
      <c r="F16" s="51">
        <v>10249619</v>
      </c>
      <c r="G16" s="50">
        <f t="shared" si="2"/>
        <v>2496</v>
      </c>
      <c r="H16" s="51">
        <v>17234958</v>
      </c>
      <c r="I16" s="50">
        <f t="shared" si="3"/>
        <v>3624</v>
      </c>
      <c r="J16" s="51">
        <v>7631441</v>
      </c>
      <c r="K16" s="50">
        <f t="shared" si="4"/>
        <v>1665</v>
      </c>
    </row>
    <row r="17" spans="1:29" ht="19.5" x14ac:dyDescent="0.3">
      <c r="A17" s="59">
        <v>44205</v>
      </c>
      <c r="B17" s="116">
        <v>2559</v>
      </c>
      <c r="C17" s="115">
        <f t="shared" si="0"/>
        <v>0</v>
      </c>
      <c r="D17" s="57">
        <v>100215</v>
      </c>
      <c r="E17" s="146">
        <f t="shared" si="1"/>
        <v>62.80000000000291</v>
      </c>
      <c r="F17" s="51">
        <v>10251853</v>
      </c>
      <c r="G17" s="50">
        <f t="shared" si="2"/>
        <v>2234</v>
      </c>
      <c r="H17" s="51">
        <v>17238548</v>
      </c>
      <c r="I17" s="50">
        <f t="shared" si="3"/>
        <v>3590</v>
      </c>
      <c r="J17" s="51">
        <v>7632992</v>
      </c>
      <c r="K17" s="50">
        <f t="shared" si="4"/>
        <v>1551</v>
      </c>
    </row>
    <row r="18" spans="1:29" ht="19.5" x14ac:dyDescent="0.3">
      <c r="A18" s="59">
        <v>44206</v>
      </c>
      <c r="B18" s="116">
        <v>2559</v>
      </c>
      <c r="C18" s="115">
        <f t="shared" si="0"/>
        <v>0</v>
      </c>
      <c r="D18" s="57">
        <v>100290</v>
      </c>
      <c r="E18" s="146">
        <f t="shared" si="1"/>
        <v>75</v>
      </c>
      <c r="F18" s="51">
        <v>10254351</v>
      </c>
      <c r="G18" s="50">
        <f t="shared" si="2"/>
        <v>2498</v>
      </c>
      <c r="H18" s="51">
        <v>17242032</v>
      </c>
      <c r="I18" s="50">
        <f t="shared" si="3"/>
        <v>3484</v>
      </c>
      <c r="J18" s="51">
        <v>7634583</v>
      </c>
      <c r="K18" s="50">
        <f t="shared" si="4"/>
        <v>1591</v>
      </c>
    </row>
    <row r="19" spans="1:29" ht="19.5" x14ac:dyDescent="0.3">
      <c r="A19" s="59">
        <v>44207</v>
      </c>
      <c r="B19" s="116">
        <v>2559</v>
      </c>
      <c r="C19" s="115">
        <f t="shared" si="0"/>
        <v>0</v>
      </c>
      <c r="D19" s="57">
        <v>100353.9</v>
      </c>
      <c r="E19" s="146">
        <f t="shared" si="1"/>
        <v>63.899999999994179</v>
      </c>
      <c r="F19" s="51">
        <v>10256622</v>
      </c>
      <c r="G19" s="50">
        <f t="shared" si="2"/>
        <v>2271</v>
      </c>
      <c r="H19" s="51">
        <v>17245476</v>
      </c>
      <c r="I19" s="50">
        <f t="shared" si="3"/>
        <v>3444</v>
      </c>
      <c r="J19" s="51">
        <v>7636166</v>
      </c>
      <c r="K19" s="50">
        <f t="shared" si="4"/>
        <v>1583</v>
      </c>
    </row>
    <row r="20" spans="1:29" ht="20.25" customHeight="1" x14ac:dyDescent="0.35">
      <c r="A20" s="59">
        <v>44208</v>
      </c>
      <c r="B20" s="116">
        <v>2559</v>
      </c>
      <c r="C20" s="115">
        <f t="shared" si="0"/>
        <v>0</v>
      </c>
      <c r="D20" s="57">
        <v>100393.1</v>
      </c>
      <c r="E20" s="146">
        <f t="shared" si="1"/>
        <v>39.200000000011642</v>
      </c>
      <c r="F20" s="51">
        <v>10258930</v>
      </c>
      <c r="G20" s="50">
        <f t="shared" si="2"/>
        <v>2308</v>
      </c>
      <c r="H20" s="51">
        <v>17248922</v>
      </c>
      <c r="I20" s="50">
        <f t="shared" si="3"/>
        <v>3446</v>
      </c>
      <c r="J20" s="51">
        <v>7637728</v>
      </c>
      <c r="K20" s="50">
        <f t="shared" si="4"/>
        <v>1562</v>
      </c>
      <c r="L20" s="117" t="s">
        <v>18</v>
      </c>
      <c r="AC20" t="s">
        <v>56</v>
      </c>
    </row>
    <row r="21" spans="1:29" ht="19.5" x14ac:dyDescent="0.3">
      <c r="A21" s="59">
        <v>44209</v>
      </c>
      <c r="B21" s="116">
        <v>2559</v>
      </c>
      <c r="C21" s="115">
        <f t="shared" si="0"/>
        <v>0</v>
      </c>
      <c r="D21" s="57">
        <v>100453.1</v>
      </c>
      <c r="E21" s="146">
        <f t="shared" si="1"/>
        <v>60</v>
      </c>
      <c r="F21" s="51">
        <v>10261283</v>
      </c>
      <c r="G21" s="50">
        <f t="shared" si="2"/>
        <v>2353</v>
      </c>
      <c r="H21" s="51">
        <v>17252391</v>
      </c>
      <c r="I21" s="50">
        <f t="shared" si="3"/>
        <v>3469</v>
      </c>
      <c r="J21" s="51">
        <v>7639314</v>
      </c>
      <c r="K21" s="50">
        <f t="shared" si="4"/>
        <v>1586</v>
      </c>
    </row>
    <row r="22" spans="1:29" ht="19.5" x14ac:dyDescent="0.3">
      <c r="A22" s="59">
        <v>44210</v>
      </c>
      <c r="B22" s="116">
        <v>2559</v>
      </c>
      <c r="C22" s="115">
        <f t="shared" si="0"/>
        <v>0</v>
      </c>
      <c r="D22" s="57">
        <v>100495.4</v>
      </c>
      <c r="E22" s="146">
        <f t="shared" si="1"/>
        <v>42.299999999988358</v>
      </c>
      <c r="F22" s="51">
        <v>10263788</v>
      </c>
      <c r="G22" s="50">
        <f t="shared" si="2"/>
        <v>2505</v>
      </c>
      <c r="H22" s="51">
        <v>17255803</v>
      </c>
      <c r="I22" s="50">
        <f t="shared" si="3"/>
        <v>3412</v>
      </c>
      <c r="J22" s="51">
        <v>7640856</v>
      </c>
      <c r="K22" s="50">
        <f t="shared" si="4"/>
        <v>1542</v>
      </c>
    </row>
    <row r="23" spans="1:29" ht="19.5" x14ac:dyDescent="0.3">
      <c r="A23" s="59">
        <v>44211</v>
      </c>
      <c r="B23" s="116">
        <v>2559</v>
      </c>
      <c r="C23" s="115">
        <f t="shared" si="0"/>
        <v>0</v>
      </c>
      <c r="D23" s="57">
        <v>100554.1</v>
      </c>
      <c r="E23" s="146">
        <f t="shared" si="1"/>
        <v>58.700000000011642</v>
      </c>
      <c r="F23" s="51">
        <v>10266181</v>
      </c>
      <c r="G23" s="50">
        <f t="shared" si="2"/>
        <v>2393</v>
      </c>
      <c r="H23" s="51">
        <v>17259327</v>
      </c>
      <c r="I23" s="50">
        <f t="shared" si="3"/>
        <v>3524</v>
      </c>
      <c r="J23" s="51">
        <v>7642463</v>
      </c>
      <c r="K23" s="50">
        <f t="shared" si="4"/>
        <v>1607</v>
      </c>
    </row>
    <row r="24" spans="1:29" ht="19.5" x14ac:dyDescent="0.3">
      <c r="A24" s="59">
        <v>44212</v>
      </c>
      <c r="B24" s="116">
        <v>2559</v>
      </c>
      <c r="C24" s="115">
        <f t="shared" si="0"/>
        <v>0</v>
      </c>
      <c r="D24" s="57">
        <v>100629.1</v>
      </c>
      <c r="E24" s="146">
        <f t="shared" si="1"/>
        <v>75</v>
      </c>
      <c r="F24" s="51">
        <v>10268625</v>
      </c>
      <c r="G24" s="50">
        <f t="shared" si="2"/>
        <v>2444</v>
      </c>
      <c r="H24" s="51">
        <v>17262692</v>
      </c>
      <c r="I24" s="50">
        <f t="shared" si="3"/>
        <v>3365</v>
      </c>
      <c r="J24" s="51">
        <v>7644016</v>
      </c>
      <c r="K24" s="50">
        <f t="shared" si="4"/>
        <v>1553</v>
      </c>
    </row>
    <row r="25" spans="1:29" ht="19.5" x14ac:dyDescent="0.3">
      <c r="A25" s="59">
        <v>44213</v>
      </c>
      <c r="B25" s="116">
        <v>2559</v>
      </c>
      <c r="C25" s="115">
        <f t="shared" si="0"/>
        <v>0</v>
      </c>
      <c r="D25" s="57">
        <v>100692</v>
      </c>
      <c r="E25" s="146">
        <f t="shared" si="1"/>
        <v>62.899999999994179</v>
      </c>
      <c r="F25" s="51">
        <v>10271224</v>
      </c>
      <c r="G25" s="50">
        <f t="shared" si="2"/>
        <v>2599</v>
      </c>
      <c r="H25" s="51">
        <v>17266028</v>
      </c>
      <c r="I25" s="50">
        <f t="shared" si="3"/>
        <v>3336</v>
      </c>
      <c r="J25" s="51">
        <v>7645548</v>
      </c>
      <c r="K25" s="50">
        <f t="shared" si="4"/>
        <v>1532</v>
      </c>
    </row>
    <row r="26" spans="1:29" ht="19.5" x14ac:dyDescent="0.3">
      <c r="A26" s="59">
        <v>44214</v>
      </c>
      <c r="B26" s="116">
        <v>2559</v>
      </c>
      <c r="C26" s="115">
        <f t="shared" si="0"/>
        <v>0</v>
      </c>
      <c r="D26" s="57">
        <v>100751</v>
      </c>
      <c r="E26" s="146">
        <f t="shared" si="1"/>
        <v>59</v>
      </c>
      <c r="F26" s="51">
        <v>10273670</v>
      </c>
      <c r="G26" s="50">
        <f t="shared" si="2"/>
        <v>2446</v>
      </c>
      <c r="H26" s="51">
        <v>17269445</v>
      </c>
      <c r="I26" s="50">
        <f t="shared" si="3"/>
        <v>3417</v>
      </c>
      <c r="J26" s="51">
        <v>7647130</v>
      </c>
      <c r="K26" s="50">
        <f t="shared" si="4"/>
        <v>1582</v>
      </c>
    </row>
    <row r="27" spans="1:29" ht="19.5" x14ac:dyDescent="0.3">
      <c r="A27" s="59">
        <v>44215</v>
      </c>
      <c r="B27" s="116">
        <v>2559</v>
      </c>
      <c r="C27" s="115">
        <f t="shared" si="0"/>
        <v>0</v>
      </c>
      <c r="D27" s="57">
        <v>100836</v>
      </c>
      <c r="E27" s="146">
        <f t="shared" si="1"/>
        <v>85</v>
      </c>
      <c r="F27" s="51">
        <v>10276191</v>
      </c>
      <c r="G27" s="50">
        <f t="shared" si="2"/>
        <v>2521</v>
      </c>
      <c r="H27" s="51">
        <v>17273143</v>
      </c>
      <c r="I27" s="50">
        <f t="shared" si="3"/>
        <v>3698</v>
      </c>
      <c r="J27" s="51">
        <v>7648703</v>
      </c>
      <c r="K27" s="50">
        <f t="shared" si="4"/>
        <v>1573</v>
      </c>
    </row>
    <row r="28" spans="1:29" ht="19.5" x14ac:dyDescent="0.3">
      <c r="A28" s="59">
        <v>44216</v>
      </c>
      <c r="B28" s="116">
        <v>2559</v>
      </c>
      <c r="C28" s="115">
        <f t="shared" si="0"/>
        <v>0</v>
      </c>
      <c r="D28" s="57">
        <v>100899.2</v>
      </c>
      <c r="E28" s="146">
        <f t="shared" si="1"/>
        <v>63.19999999999709</v>
      </c>
      <c r="F28" s="51">
        <v>10278429</v>
      </c>
      <c r="G28" s="50">
        <f t="shared" si="2"/>
        <v>2238</v>
      </c>
      <c r="H28" s="51">
        <v>17276886</v>
      </c>
      <c r="I28" s="50">
        <f t="shared" si="3"/>
        <v>3743</v>
      </c>
      <c r="J28" s="51">
        <v>7650290</v>
      </c>
      <c r="K28" s="50">
        <f t="shared" si="4"/>
        <v>1587</v>
      </c>
    </row>
    <row r="29" spans="1:29" ht="19.5" x14ac:dyDescent="0.3">
      <c r="A29" s="59">
        <v>44217</v>
      </c>
      <c r="B29" s="116">
        <v>2559</v>
      </c>
      <c r="C29" s="115">
        <f t="shared" si="0"/>
        <v>0</v>
      </c>
      <c r="D29" s="57">
        <v>100953.5</v>
      </c>
      <c r="E29" s="146">
        <f t="shared" si="1"/>
        <v>54.30000000000291</v>
      </c>
      <c r="F29" s="51">
        <v>10281005</v>
      </c>
      <c r="G29" s="50">
        <f t="shared" si="2"/>
        <v>2576</v>
      </c>
      <c r="H29" s="51">
        <v>17280447</v>
      </c>
      <c r="I29" s="50">
        <f t="shared" si="3"/>
        <v>3561</v>
      </c>
      <c r="J29" s="51">
        <v>7651868</v>
      </c>
      <c r="K29" s="50">
        <f t="shared" si="4"/>
        <v>1578</v>
      </c>
    </row>
    <row r="30" spans="1:29" ht="19.5" x14ac:dyDescent="0.3">
      <c r="A30" s="59">
        <v>44218</v>
      </c>
      <c r="B30" s="116">
        <v>2559</v>
      </c>
      <c r="C30" s="115">
        <f t="shared" si="0"/>
        <v>0</v>
      </c>
      <c r="D30" s="57">
        <v>101007.8</v>
      </c>
      <c r="E30" s="146">
        <f t="shared" si="1"/>
        <v>54.30000000000291</v>
      </c>
      <c r="F30" s="51">
        <v>10283560</v>
      </c>
      <c r="G30" s="50">
        <f t="shared" si="2"/>
        <v>2555</v>
      </c>
      <c r="H30" s="51">
        <v>17284017</v>
      </c>
      <c r="I30" s="50">
        <f t="shared" si="3"/>
        <v>3570</v>
      </c>
      <c r="J30" s="51">
        <v>7653505</v>
      </c>
      <c r="K30" s="50">
        <f t="shared" si="4"/>
        <v>1637</v>
      </c>
    </row>
    <row r="31" spans="1:29" ht="19.5" x14ac:dyDescent="0.3">
      <c r="A31" s="59">
        <v>44219</v>
      </c>
      <c r="B31" s="116">
        <v>2559</v>
      </c>
      <c r="C31" s="115">
        <f t="shared" si="0"/>
        <v>0</v>
      </c>
      <c r="D31" s="57">
        <v>101077.6</v>
      </c>
      <c r="E31" s="146">
        <f t="shared" si="1"/>
        <v>69.80000000000291</v>
      </c>
      <c r="F31" s="51">
        <v>10286363</v>
      </c>
      <c r="G31" s="50">
        <f t="shared" si="2"/>
        <v>2803</v>
      </c>
      <c r="H31" s="51">
        <v>17287990</v>
      </c>
      <c r="I31" s="50">
        <f t="shared" si="3"/>
        <v>3973</v>
      </c>
      <c r="J31" s="51">
        <v>7655669</v>
      </c>
      <c r="K31" s="50">
        <f t="shared" si="4"/>
        <v>2164</v>
      </c>
    </row>
    <row r="32" spans="1:29" ht="19.5" x14ac:dyDescent="0.3">
      <c r="A32" s="59">
        <v>44220</v>
      </c>
      <c r="B32" s="116">
        <v>2559</v>
      </c>
      <c r="C32" s="115">
        <f t="shared" si="0"/>
        <v>0</v>
      </c>
      <c r="D32" s="57">
        <v>101152</v>
      </c>
      <c r="E32" s="146">
        <f t="shared" si="1"/>
        <v>74.399999999994179</v>
      </c>
      <c r="F32" s="51">
        <v>10289187</v>
      </c>
      <c r="G32" s="50">
        <f t="shared" si="2"/>
        <v>2824</v>
      </c>
      <c r="H32" s="51">
        <v>17292052</v>
      </c>
      <c r="I32" s="50">
        <f t="shared" si="3"/>
        <v>4062</v>
      </c>
      <c r="J32" s="51">
        <v>7657442</v>
      </c>
      <c r="K32" s="50">
        <f t="shared" si="4"/>
        <v>1773</v>
      </c>
    </row>
    <row r="33" spans="1:11" ht="19.5" x14ac:dyDescent="0.3">
      <c r="A33" s="59">
        <v>44221</v>
      </c>
      <c r="B33" s="116">
        <v>2559</v>
      </c>
      <c r="C33" s="115">
        <f t="shared" si="0"/>
        <v>0</v>
      </c>
      <c r="D33" s="57">
        <v>101222</v>
      </c>
      <c r="E33" s="146">
        <f t="shared" si="1"/>
        <v>70</v>
      </c>
      <c r="F33" s="51">
        <v>10291631</v>
      </c>
      <c r="G33" s="50">
        <f t="shared" si="2"/>
        <v>2444</v>
      </c>
      <c r="H33" s="51">
        <v>17295716</v>
      </c>
      <c r="I33" s="50">
        <f t="shared" si="3"/>
        <v>3664</v>
      </c>
      <c r="J33" s="51">
        <v>7659017</v>
      </c>
      <c r="K33" s="50">
        <f t="shared" si="4"/>
        <v>1575</v>
      </c>
    </row>
    <row r="34" spans="1:11" ht="19.5" x14ac:dyDescent="0.3">
      <c r="A34" s="59">
        <v>44222</v>
      </c>
      <c r="B34" s="116">
        <v>2559</v>
      </c>
      <c r="C34" s="115">
        <f t="shared" si="0"/>
        <v>0</v>
      </c>
      <c r="D34" s="57">
        <v>101293.6</v>
      </c>
      <c r="E34" s="146">
        <f t="shared" si="1"/>
        <v>71.600000000005821</v>
      </c>
      <c r="F34" s="51">
        <v>10293572</v>
      </c>
      <c r="G34" s="50">
        <f t="shared" si="2"/>
        <v>1941</v>
      </c>
      <c r="H34" s="51">
        <v>17299253</v>
      </c>
      <c r="I34" s="50">
        <f t="shared" si="3"/>
        <v>3537</v>
      </c>
      <c r="J34" s="51">
        <v>7660603</v>
      </c>
      <c r="K34" s="50">
        <f t="shared" si="4"/>
        <v>1586</v>
      </c>
    </row>
    <row r="35" spans="1:11" ht="19.5" x14ac:dyDescent="0.3">
      <c r="A35" s="59">
        <v>44223</v>
      </c>
      <c r="B35" s="116">
        <v>2559</v>
      </c>
      <c r="C35" s="115">
        <f t="shared" si="0"/>
        <v>0</v>
      </c>
      <c r="D35" s="57">
        <v>101400.8</v>
      </c>
      <c r="E35" s="146">
        <f t="shared" si="1"/>
        <v>107.19999999999709</v>
      </c>
      <c r="F35" s="51">
        <v>10296015</v>
      </c>
      <c r="G35" s="50">
        <f t="shared" si="2"/>
        <v>2443</v>
      </c>
      <c r="H35" s="51">
        <v>17302772</v>
      </c>
      <c r="I35" s="50">
        <f t="shared" si="3"/>
        <v>3519</v>
      </c>
      <c r="J35" s="51">
        <v>7662221</v>
      </c>
      <c r="K35" s="50">
        <f t="shared" si="4"/>
        <v>1618</v>
      </c>
    </row>
    <row r="36" spans="1:11" ht="19.5" x14ac:dyDescent="0.3">
      <c r="A36" s="59">
        <v>44224</v>
      </c>
      <c r="B36" s="116">
        <v>2559</v>
      </c>
      <c r="C36" s="115">
        <f t="shared" si="0"/>
        <v>0</v>
      </c>
      <c r="D36" s="57">
        <v>101470.39999999999</v>
      </c>
      <c r="E36" s="146">
        <f t="shared" si="1"/>
        <v>69.599999999991269</v>
      </c>
      <c r="F36" s="51">
        <v>10298377</v>
      </c>
      <c r="G36" s="50">
        <f t="shared" si="2"/>
        <v>2362</v>
      </c>
      <c r="H36" s="51">
        <v>17306409</v>
      </c>
      <c r="I36" s="50">
        <f t="shared" si="3"/>
        <v>3637</v>
      </c>
      <c r="J36" s="51">
        <v>7663857</v>
      </c>
      <c r="K36" s="50">
        <f t="shared" si="4"/>
        <v>1636</v>
      </c>
    </row>
    <row r="37" spans="1:11" ht="19.5" x14ac:dyDescent="0.3">
      <c r="A37" s="59">
        <v>44225</v>
      </c>
      <c r="B37" s="116">
        <v>2559</v>
      </c>
      <c r="C37" s="115">
        <f t="shared" si="0"/>
        <v>0</v>
      </c>
      <c r="D37" s="57">
        <v>101523.2</v>
      </c>
      <c r="E37" s="146">
        <f t="shared" si="1"/>
        <v>52.80000000000291</v>
      </c>
      <c r="F37" s="51">
        <v>10300890</v>
      </c>
      <c r="G37" s="50">
        <f t="shared" si="2"/>
        <v>2513</v>
      </c>
      <c r="H37" s="51">
        <v>17310070</v>
      </c>
      <c r="I37" s="50">
        <f t="shared" si="3"/>
        <v>3661</v>
      </c>
      <c r="J37" s="51">
        <v>7665558</v>
      </c>
      <c r="K37" s="50">
        <f t="shared" si="4"/>
        <v>1701</v>
      </c>
    </row>
    <row r="38" spans="1:11" ht="19.5" x14ac:dyDescent="0.3">
      <c r="A38" s="59">
        <v>44226</v>
      </c>
      <c r="B38" s="116">
        <v>2559</v>
      </c>
      <c r="C38" s="115">
        <f t="shared" si="0"/>
        <v>0</v>
      </c>
      <c r="D38" s="57">
        <v>101613</v>
      </c>
      <c r="E38" s="146">
        <f t="shared" si="1"/>
        <v>89.80000000000291</v>
      </c>
      <c r="F38" s="51">
        <v>10303719</v>
      </c>
      <c r="G38" s="50">
        <f t="shared" si="2"/>
        <v>2829</v>
      </c>
      <c r="H38" s="51">
        <v>17313663</v>
      </c>
      <c r="I38" s="50">
        <f t="shared" si="3"/>
        <v>3593</v>
      </c>
      <c r="J38" s="51">
        <v>7667271</v>
      </c>
      <c r="K38" s="50">
        <f t="shared" si="4"/>
        <v>1713</v>
      </c>
    </row>
    <row r="39" spans="1:11" ht="21" thickTop="1" thickBot="1" x14ac:dyDescent="0.35">
      <c r="A39" s="59">
        <v>44227</v>
      </c>
      <c r="B39" s="116">
        <v>2559</v>
      </c>
      <c r="C39" s="115">
        <f t="shared" si="0"/>
        <v>0</v>
      </c>
      <c r="D39" s="57">
        <v>101685.6</v>
      </c>
      <c r="E39" s="146">
        <f t="shared" si="1"/>
        <v>72.600000000005821</v>
      </c>
      <c r="F39" s="51">
        <v>10306087</v>
      </c>
      <c r="G39" s="50">
        <f t="shared" si="2"/>
        <v>2368</v>
      </c>
      <c r="H39" s="51">
        <v>17317172</v>
      </c>
      <c r="I39" s="50">
        <f t="shared" si="3"/>
        <v>3509</v>
      </c>
      <c r="J39" s="51">
        <v>7668855</v>
      </c>
      <c r="K39" s="50">
        <f t="shared" si="4"/>
        <v>1584</v>
      </c>
    </row>
    <row r="40" spans="1:11" ht="21" thickTop="1" thickBot="1" x14ac:dyDescent="0.35">
      <c r="A40" s="59">
        <v>44228</v>
      </c>
      <c r="B40" s="116">
        <v>2559</v>
      </c>
      <c r="C40" s="115">
        <f t="shared" si="0"/>
        <v>0</v>
      </c>
      <c r="D40" s="57">
        <v>101789.4</v>
      </c>
      <c r="E40" s="163">
        <f t="shared" si="1"/>
        <v>103.79999999998836</v>
      </c>
      <c r="F40" s="51">
        <v>10308480</v>
      </c>
      <c r="G40" s="50">
        <f t="shared" si="2"/>
        <v>2393</v>
      </c>
      <c r="H40" s="150">
        <v>17320621</v>
      </c>
      <c r="I40" s="50">
        <f t="shared" si="3"/>
        <v>3449</v>
      </c>
      <c r="J40" s="150">
        <v>7670453</v>
      </c>
      <c r="K40" s="50">
        <f t="shared" si="4"/>
        <v>1598</v>
      </c>
    </row>
    <row r="41" spans="1:11" ht="21.75" customHeight="1" thickTop="1" x14ac:dyDescent="0.3">
      <c r="A41" s="52"/>
      <c r="B41" s="52"/>
      <c r="C41" s="52"/>
      <c r="D41" s="52"/>
      <c r="E41" s="52"/>
    </row>
    <row r="42" spans="1:11" ht="24" customHeight="1" x14ac:dyDescent="0.3">
      <c r="A42" s="52"/>
      <c r="B42" s="52"/>
      <c r="C42" s="52"/>
    </row>
    <row r="43" spans="1:11" x14ac:dyDescent="0.25">
      <c r="A43" s="48"/>
      <c r="B43" s="48"/>
      <c r="C43" s="48"/>
    </row>
    <row r="44" spans="1:11" x14ac:dyDescent="0.25">
      <c r="A44" s="48"/>
      <c r="B44" s="48"/>
      <c r="C44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2:E65534">
    <cfRule type="cellIs" dxfId="2" priority="51" stopIfTrue="1" operator="lessThanOrEqual">
      <formula>0</formula>
    </cfRule>
  </conditionalFormatting>
  <conditionalFormatting sqref="E15:E40">
    <cfRule type="cellIs" dxfId="1" priority="18" stopIfTrue="1" operator="lessThanOrEqual">
      <formula>0</formula>
    </cfRule>
  </conditionalFormatting>
  <conditionalFormatting sqref="E9:E40">
    <cfRule type="cellIs" dxfId="0" priority="1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34" activePane="bottomRight" state="frozen"/>
      <selection pane="topRight" activeCell="B1" sqref="B1"/>
      <selection pane="bottomLeft" activeCell="A4" sqref="A4"/>
      <selection pane="bottomRight" activeCell="O43" sqref="O43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 x14ac:dyDescent="0.4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44197</v>
      </c>
      <c r="B4" s="41">
        <v>75</v>
      </c>
      <c r="C4" s="39">
        <f>IF(AC4&gt;0,((B4-R4)+(S4-B5)),IF(B5=0, ,(B4-B5)))</f>
        <v>2</v>
      </c>
      <c r="D4" s="41">
        <v>73</v>
      </c>
      <c r="E4" s="39">
        <f>IF(AC4&gt;0,((D4-U4)+(V4-D5)),IF(D5=0, ,(D4-D5)))</f>
        <v>3</v>
      </c>
      <c r="F4" s="41">
        <v>74</v>
      </c>
      <c r="G4" s="39">
        <f>IF(AC4&gt;0,((F4-X4)+(Y4-F5)),IF(F5=0, ,(F4-F5)))</f>
        <v>1</v>
      </c>
      <c r="H4" s="41">
        <v>76</v>
      </c>
      <c r="I4" s="39">
        <f>IF(AC4&gt;0,((H4-AA4)+(AB4-H5)),IF(H5=0, ,(H4-H5)))</f>
        <v>3</v>
      </c>
      <c r="J4" s="39">
        <f>B4+D4+F4+H4</f>
        <v>298</v>
      </c>
      <c r="K4" s="39">
        <f>J4/4</f>
        <v>74.5</v>
      </c>
      <c r="L4" s="39">
        <f>IF(AC4&gt;0,((K4-AD4)+(AE4-K5)),IF(K5=0, ,(K4-K5)))</f>
        <v>2.25</v>
      </c>
      <c r="M4" s="149">
        <f>6049*4</f>
        <v>24196</v>
      </c>
      <c r="N4" s="39">
        <f>L4*M4/100</f>
        <v>544.41</v>
      </c>
      <c r="O4" s="39">
        <f>N4*0.529</f>
        <v>287.99288999999999</v>
      </c>
      <c r="P4" s="42">
        <f>O4*9.821</f>
        <v>2828.3781726899997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0">Q4+T4+W4+Z4</f>
        <v>0</v>
      </c>
      <c r="AD4" s="38">
        <f t="shared" ref="AD4:AD24" si="1">(R4+U4+X4+AA4)/4</f>
        <v>0</v>
      </c>
      <c r="AE4" s="38">
        <f t="shared" ref="AE4:AE24" si="2">(S4+V4+Y4+AB4)/4</f>
        <v>0</v>
      </c>
    </row>
    <row r="5" spans="1:31" ht="32.25" customHeight="1" x14ac:dyDescent="0.3">
      <c r="A5" s="40">
        <v>44198</v>
      </c>
      <c r="B5" s="41">
        <v>73</v>
      </c>
      <c r="C5" s="39">
        <f>IF(AC5&gt;0,((B5-R5)+(S5-B6)),IF(B6=0, ,(B5-B6)))</f>
        <v>7</v>
      </c>
      <c r="D5" s="41">
        <v>70</v>
      </c>
      <c r="E5" s="39">
        <f>IF(AC5&gt;0,((D5-U5)+(V5-D6)),IF(D6=0, ,(D5-D6)))</f>
        <v>2</v>
      </c>
      <c r="F5" s="41">
        <v>73</v>
      </c>
      <c r="G5" s="39">
        <f>IF(AC5&gt;0,((F5-X5)+(Y5-F6)),IF(F6=0, ,(F5-F6)))</f>
        <v>3</v>
      </c>
      <c r="H5" s="41">
        <v>73</v>
      </c>
      <c r="I5" s="39">
        <f>IF(AC5&gt;0,((H5-AA5)+(AB5-H6)),IF(H6=0, ,(H5-H6)))</f>
        <v>3</v>
      </c>
      <c r="J5" s="39">
        <f>B5+D5+F5+H5</f>
        <v>289</v>
      </c>
      <c r="K5" s="39">
        <f>J5/4</f>
        <v>72.25</v>
      </c>
      <c r="L5" s="39">
        <f>IF(AC5&gt;0,((K5-AD5)+(AE5-K6)),IF(K6=0, ,(K5-K6)))</f>
        <v>3.75</v>
      </c>
      <c r="M5" s="149">
        <f t="shared" ref="M5:M35" si="3">6049*4</f>
        <v>24196</v>
      </c>
      <c r="N5" s="39">
        <f t="shared" ref="N5:N34" si="4">L5*M5/100</f>
        <v>907.35</v>
      </c>
      <c r="O5" s="39">
        <f t="shared" ref="O5:O34" si="5">N5*0.529</f>
        <v>479.98815000000002</v>
      </c>
      <c r="P5" s="42">
        <f t="shared" ref="P5:P34" si="6">O5*9.821</f>
        <v>4713.9636211500001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0"/>
        <v>0</v>
      </c>
      <c r="AD5" s="38">
        <f t="shared" si="1"/>
        <v>0</v>
      </c>
      <c r="AE5" s="38">
        <f t="shared" si="2"/>
        <v>0</v>
      </c>
    </row>
    <row r="6" spans="1:31" ht="32.25" customHeight="1" x14ac:dyDescent="0.3">
      <c r="A6" s="40">
        <v>44199</v>
      </c>
      <c r="B6" s="41">
        <v>66</v>
      </c>
      <c r="C6" s="39">
        <f t="shared" ref="C6:C19" si="7">IF(AC6&gt;0,((B6-R6)+(S6-B7)),IF(B7=0, ,(B6-B7)))</f>
        <v>3</v>
      </c>
      <c r="D6" s="41">
        <v>68</v>
      </c>
      <c r="E6" s="39">
        <f>IF(AC6:AC29&gt;0,((D6-U6)+(V6-D7)),IF(D7=0, ,(D6-D7)))</f>
        <v>3</v>
      </c>
      <c r="F6" s="41">
        <v>70</v>
      </c>
      <c r="G6" s="39">
        <f t="shared" ref="G6:G26" si="8">IF(AC6&gt;0,((F6-X6)+(Y6-F7)),IF(F7=0, ,(F6-F7)))</f>
        <v>4</v>
      </c>
      <c r="H6" s="41">
        <v>70</v>
      </c>
      <c r="I6" s="39">
        <f t="shared" ref="I6:I36" si="9">IF(AC6&gt;0,((H6-AA6)+(AB6-H7)),IF(H7=0, ,(H6-H7)))</f>
        <v>4</v>
      </c>
      <c r="J6" s="39">
        <f t="shared" ref="J6:J42" si="10">B6+D6+F6+H6</f>
        <v>274</v>
      </c>
      <c r="K6" s="39">
        <f t="shared" ref="K6:K42" si="11">J6/4</f>
        <v>68.5</v>
      </c>
      <c r="L6" s="39">
        <f t="shared" ref="L6:L19" si="12">IF(AC6&gt;0,((K6-AD6)+(AE6-K7)),IF(K7=0, ,(K6-K7)))</f>
        <v>3.5</v>
      </c>
      <c r="M6" s="149">
        <f t="shared" si="3"/>
        <v>24196</v>
      </c>
      <c r="N6" s="39">
        <f t="shared" si="4"/>
        <v>846.86</v>
      </c>
      <c r="O6" s="39">
        <f t="shared" si="5"/>
        <v>447.98894000000001</v>
      </c>
      <c r="P6" s="42">
        <f t="shared" si="6"/>
        <v>4399.69937974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0"/>
        <v>0</v>
      </c>
      <c r="AD6" s="38">
        <f t="shared" si="1"/>
        <v>0</v>
      </c>
      <c r="AE6" s="38">
        <f t="shared" si="2"/>
        <v>0</v>
      </c>
    </row>
    <row r="7" spans="1:31" ht="32.25" customHeight="1" x14ac:dyDescent="0.3">
      <c r="A7" s="40">
        <v>44200</v>
      </c>
      <c r="B7" s="41">
        <v>63</v>
      </c>
      <c r="C7" s="39">
        <f t="shared" si="7"/>
        <v>3</v>
      </c>
      <c r="D7" s="41">
        <v>65</v>
      </c>
      <c r="E7" s="39">
        <f>IF(AC7:AC30&gt;0,((D7-U7)+(V7-D8)),IF(D8=0, ,(D7-D8)))</f>
        <v>3</v>
      </c>
      <c r="F7" s="41">
        <v>66</v>
      </c>
      <c r="G7" s="39">
        <f>IF(AC7&gt;0,((F7-X7)+(Y7-F8)),IF(F8=0, ,(F7-F8)))</f>
        <v>1</v>
      </c>
      <c r="H7" s="41">
        <v>66</v>
      </c>
      <c r="I7" s="39">
        <f t="shared" si="9"/>
        <v>4</v>
      </c>
      <c r="J7" s="39">
        <f t="shared" si="10"/>
        <v>260</v>
      </c>
      <c r="K7" s="39">
        <f t="shared" si="11"/>
        <v>65</v>
      </c>
      <c r="L7" s="39">
        <f t="shared" si="12"/>
        <v>2.75</v>
      </c>
      <c r="M7" s="149">
        <f t="shared" si="3"/>
        <v>24196</v>
      </c>
      <c r="N7" s="39">
        <f t="shared" si="4"/>
        <v>665.39</v>
      </c>
      <c r="O7" s="39">
        <f t="shared" si="5"/>
        <v>351.99131</v>
      </c>
      <c r="P7" s="42">
        <f t="shared" si="6"/>
        <v>3456.9066555099998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0"/>
        <v>0</v>
      </c>
      <c r="AD7" s="38">
        <f t="shared" si="1"/>
        <v>0</v>
      </c>
      <c r="AE7" s="38">
        <f t="shared" si="2"/>
        <v>0</v>
      </c>
    </row>
    <row r="8" spans="1:31" ht="32.25" customHeight="1" x14ac:dyDescent="0.3">
      <c r="A8" s="40">
        <v>44201</v>
      </c>
      <c r="B8" s="41">
        <v>60</v>
      </c>
      <c r="C8" s="39">
        <f>IF(AC8&gt;0,((B8-R8)+(S8-B9)),IF(B9=0, ,(B8-B9)))</f>
        <v>4</v>
      </c>
      <c r="D8" s="41">
        <v>62</v>
      </c>
      <c r="E8" s="39">
        <f>IF(AC8:AC31&gt;0,((D8-U8)+(V8-D9)),IF(D9=0, ,(D8-D9)))</f>
        <v>3</v>
      </c>
      <c r="F8" s="41">
        <v>65</v>
      </c>
      <c r="G8" s="39">
        <f>IF(AC8&gt;0,((F8-X8)+(Y8-F9)),IF(F9=0, ,(F8-F9)))</f>
        <v>4</v>
      </c>
      <c r="H8" s="41">
        <v>62</v>
      </c>
      <c r="I8" s="39">
        <f t="shared" si="9"/>
        <v>2</v>
      </c>
      <c r="J8" s="39">
        <f t="shared" si="10"/>
        <v>249</v>
      </c>
      <c r="K8" s="39">
        <f t="shared" si="11"/>
        <v>62.25</v>
      </c>
      <c r="L8" s="39">
        <f t="shared" si="12"/>
        <v>3.25</v>
      </c>
      <c r="M8" s="149">
        <f t="shared" si="3"/>
        <v>24196</v>
      </c>
      <c r="N8" s="39">
        <f t="shared" si="4"/>
        <v>786.37</v>
      </c>
      <c r="O8" s="39">
        <f t="shared" si="5"/>
        <v>415.98973000000001</v>
      </c>
      <c r="P8" s="42">
        <f t="shared" si="6"/>
        <v>4085.43513833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0"/>
        <v>0</v>
      </c>
      <c r="AD8" s="38">
        <f t="shared" si="1"/>
        <v>0</v>
      </c>
      <c r="AE8" s="38">
        <f t="shared" si="2"/>
        <v>0</v>
      </c>
    </row>
    <row r="9" spans="1:31" ht="32.25" customHeight="1" x14ac:dyDescent="0.3">
      <c r="A9" s="40">
        <v>44202</v>
      </c>
      <c r="B9" s="41">
        <v>56</v>
      </c>
      <c r="C9" s="39">
        <f>IF(AC9&gt;0,((B9-R9)+(S9-B10)),IF(B10=0, ,(B9-B10)))</f>
        <v>3</v>
      </c>
      <c r="D9" s="41">
        <v>59</v>
      </c>
      <c r="E9" s="39">
        <f>IF(AC9&gt;0,((D9-U9)+(V9-D10)),IF(D10=0, ,(D9-D10)))</f>
        <v>6</v>
      </c>
      <c r="F9" s="41">
        <v>61</v>
      </c>
      <c r="G9" s="39">
        <f>IF(AC9&gt;0,((F9-X9)+(Y9-F10)),IF(F10=0, ,(F9-F10)))</f>
        <v>5</v>
      </c>
      <c r="H9" s="41">
        <v>60</v>
      </c>
      <c r="I9" s="39">
        <f t="shared" si="9"/>
        <v>5</v>
      </c>
      <c r="J9" s="39">
        <f t="shared" si="10"/>
        <v>236</v>
      </c>
      <c r="K9" s="39">
        <f t="shared" si="11"/>
        <v>59</v>
      </c>
      <c r="L9" s="39">
        <f t="shared" si="12"/>
        <v>4.75</v>
      </c>
      <c r="M9" s="149">
        <f t="shared" si="3"/>
        <v>24196</v>
      </c>
      <c r="N9" s="39">
        <f t="shared" si="4"/>
        <v>1149.31</v>
      </c>
      <c r="O9" s="39">
        <f t="shared" si="5"/>
        <v>607.98499000000004</v>
      </c>
      <c r="P9" s="42">
        <f t="shared" si="6"/>
        <v>5971.0205867900004</v>
      </c>
      <c r="Q9" s="39">
        <v>2505</v>
      </c>
      <c r="R9" s="39">
        <v>53</v>
      </c>
      <c r="S9" s="39">
        <v>85</v>
      </c>
      <c r="T9" s="39">
        <v>2479</v>
      </c>
      <c r="U9" s="39">
        <v>54</v>
      </c>
      <c r="V9" s="39">
        <v>85</v>
      </c>
      <c r="W9" s="39">
        <v>2170</v>
      </c>
      <c r="X9" s="39">
        <v>57</v>
      </c>
      <c r="Y9" s="39">
        <v>85</v>
      </c>
      <c r="Z9" s="39">
        <v>2312</v>
      </c>
      <c r="AA9" s="39">
        <v>56</v>
      </c>
      <c r="AB9" s="39">
        <v>85</v>
      </c>
      <c r="AC9" s="39">
        <f t="shared" si="0"/>
        <v>9466</v>
      </c>
      <c r="AD9" s="38">
        <f t="shared" si="1"/>
        <v>55</v>
      </c>
      <c r="AE9" s="38">
        <f t="shared" si="2"/>
        <v>85</v>
      </c>
    </row>
    <row r="10" spans="1:31" ht="32.25" customHeight="1" x14ac:dyDescent="0.3">
      <c r="A10" s="40">
        <v>44203</v>
      </c>
      <c r="B10" s="41">
        <v>85</v>
      </c>
      <c r="C10" s="39">
        <f>IF(AC10&gt;0,((B10-R10)+(S10-B11)),IF(B11=0, ,(B10-B11)))</f>
        <v>0</v>
      </c>
      <c r="D10" s="41">
        <v>84</v>
      </c>
      <c r="E10" s="39">
        <f>IF(AC10&gt;0,((D10-U10)+(V10-D11)),IF(D11=0, ,(D10-D11)))</f>
        <v>1</v>
      </c>
      <c r="F10" s="41">
        <v>84</v>
      </c>
      <c r="G10" s="39">
        <f>IF(AC10&gt;0,((F10-X10)+(Y10-F11)),IF(F11=0, ,(F10-F11)))</f>
        <v>0</v>
      </c>
      <c r="H10" s="41">
        <v>84</v>
      </c>
      <c r="I10" s="39">
        <f t="shared" si="9"/>
        <v>3</v>
      </c>
      <c r="J10" s="39">
        <f t="shared" si="10"/>
        <v>337</v>
      </c>
      <c r="K10" s="39">
        <f t="shared" si="11"/>
        <v>84.25</v>
      </c>
      <c r="L10" s="39">
        <f t="shared" si="12"/>
        <v>1</v>
      </c>
      <c r="M10" s="149">
        <f t="shared" si="3"/>
        <v>24196</v>
      </c>
      <c r="N10" s="39">
        <f t="shared" si="4"/>
        <v>241.96</v>
      </c>
      <c r="O10" s="39">
        <f t="shared" si="5"/>
        <v>127.99684000000001</v>
      </c>
      <c r="P10" s="42">
        <f t="shared" si="6"/>
        <v>1257.05696564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0"/>
        <v>0</v>
      </c>
      <c r="AD10" s="38">
        <f t="shared" si="1"/>
        <v>0</v>
      </c>
      <c r="AE10" s="38">
        <f t="shared" si="2"/>
        <v>0</v>
      </c>
    </row>
    <row r="11" spans="1:31" ht="32.25" customHeight="1" x14ac:dyDescent="0.3">
      <c r="A11" s="40">
        <v>44204</v>
      </c>
      <c r="B11" s="41">
        <v>85</v>
      </c>
      <c r="C11" s="39">
        <f t="shared" si="7"/>
        <v>5</v>
      </c>
      <c r="D11" s="41">
        <v>83</v>
      </c>
      <c r="E11" s="39">
        <f t="shared" ref="E11:E26" si="13">IF(AC11&gt;0,((D11-U11)+(V11-D12)),IF(D12=0, ,(D11-D12)))</f>
        <v>0</v>
      </c>
      <c r="F11" s="41">
        <v>84</v>
      </c>
      <c r="G11" s="39">
        <f t="shared" si="8"/>
        <v>1</v>
      </c>
      <c r="H11" s="41">
        <v>81</v>
      </c>
      <c r="I11" s="39">
        <f t="shared" si="9"/>
        <v>1</v>
      </c>
      <c r="J11" s="39">
        <f t="shared" si="10"/>
        <v>333</v>
      </c>
      <c r="K11" s="39">
        <f t="shared" si="11"/>
        <v>83.25</v>
      </c>
      <c r="L11" s="39">
        <f t="shared" si="12"/>
        <v>1.75</v>
      </c>
      <c r="M11" s="149">
        <f t="shared" si="3"/>
        <v>24196</v>
      </c>
      <c r="N11" s="39">
        <f t="shared" si="4"/>
        <v>423.43</v>
      </c>
      <c r="O11" s="39">
        <f t="shared" si="5"/>
        <v>223.99447000000001</v>
      </c>
      <c r="P11" s="42">
        <f t="shared" si="6"/>
        <v>2199.84968987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0"/>
        <v>0</v>
      </c>
      <c r="AD11" s="38">
        <f t="shared" si="1"/>
        <v>0</v>
      </c>
      <c r="AE11" s="38">
        <f t="shared" si="2"/>
        <v>0</v>
      </c>
    </row>
    <row r="12" spans="1:31" ht="32.25" customHeight="1" x14ac:dyDescent="0.3">
      <c r="A12" s="40">
        <v>44205</v>
      </c>
      <c r="B12" s="41">
        <v>80</v>
      </c>
      <c r="C12" s="39">
        <f t="shared" si="7"/>
        <v>0</v>
      </c>
      <c r="D12" s="41">
        <v>83</v>
      </c>
      <c r="E12" s="39">
        <f t="shared" si="13"/>
        <v>2</v>
      </c>
      <c r="F12" s="41">
        <v>83</v>
      </c>
      <c r="G12" s="39">
        <f t="shared" si="8"/>
        <v>3</v>
      </c>
      <c r="H12" s="41">
        <v>80</v>
      </c>
      <c r="I12" s="39">
        <f t="shared" si="9"/>
        <v>2</v>
      </c>
      <c r="J12" s="39">
        <f t="shared" si="10"/>
        <v>326</v>
      </c>
      <c r="K12" s="39">
        <f t="shared" si="11"/>
        <v>81.5</v>
      </c>
      <c r="L12" s="39">
        <f t="shared" si="12"/>
        <v>1.75</v>
      </c>
      <c r="M12" s="149">
        <f t="shared" si="3"/>
        <v>24196</v>
      </c>
      <c r="N12" s="39">
        <f t="shared" si="4"/>
        <v>423.43</v>
      </c>
      <c r="O12" s="39">
        <f t="shared" si="5"/>
        <v>223.99447000000001</v>
      </c>
      <c r="P12" s="42">
        <f t="shared" si="6"/>
        <v>2199.84968987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0"/>
        <v>0</v>
      </c>
      <c r="AD12" s="38">
        <f t="shared" si="1"/>
        <v>0</v>
      </c>
      <c r="AE12" s="38">
        <f t="shared" si="2"/>
        <v>0</v>
      </c>
    </row>
    <row r="13" spans="1:31" ht="32.25" customHeight="1" x14ac:dyDescent="0.3">
      <c r="A13" s="40">
        <v>44206</v>
      </c>
      <c r="B13" s="41">
        <v>80</v>
      </c>
      <c r="C13" s="39">
        <f t="shared" si="7"/>
        <v>1</v>
      </c>
      <c r="D13" s="41">
        <v>81</v>
      </c>
      <c r="E13" s="39">
        <f t="shared" si="13"/>
        <v>6</v>
      </c>
      <c r="F13" s="41">
        <v>80</v>
      </c>
      <c r="G13" s="39">
        <f t="shared" si="8"/>
        <v>1</v>
      </c>
      <c r="H13" s="41">
        <v>78</v>
      </c>
      <c r="I13" s="39">
        <f t="shared" si="9"/>
        <v>4</v>
      </c>
      <c r="J13" s="39">
        <f t="shared" si="10"/>
        <v>319</v>
      </c>
      <c r="K13" s="39">
        <f t="shared" si="11"/>
        <v>79.75</v>
      </c>
      <c r="L13" s="39">
        <f t="shared" si="12"/>
        <v>3</v>
      </c>
      <c r="M13" s="149">
        <f t="shared" si="3"/>
        <v>24196</v>
      </c>
      <c r="N13" s="39">
        <f t="shared" si="4"/>
        <v>725.88</v>
      </c>
      <c r="O13" s="39">
        <f t="shared" si="5"/>
        <v>383.99052</v>
      </c>
      <c r="P13" s="42">
        <f t="shared" si="6"/>
        <v>3771.1708969199999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0"/>
        <v>0</v>
      </c>
      <c r="AD13" s="38">
        <f t="shared" si="1"/>
        <v>0</v>
      </c>
      <c r="AE13" s="38">
        <f t="shared" si="2"/>
        <v>0</v>
      </c>
    </row>
    <row r="14" spans="1:31" ht="32.25" customHeight="1" x14ac:dyDescent="0.3">
      <c r="A14" s="40">
        <v>44207</v>
      </c>
      <c r="B14" s="41">
        <v>79</v>
      </c>
      <c r="C14" s="39">
        <f>IF(AC14&gt;0,((B14-R14)+(S14-B15)),IF(B15=0, ,(B14-B15)))</f>
        <v>4</v>
      </c>
      <c r="D14" s="41">
        <v>75</v>
      </c>
      <c r="E14" s="39">
        <f>IF(AC14&gt;0,((D14-U14)+(V14-D15)),IF(D15=0, ,(D14-D15)))</f>
        <v>3</v>
      </c>
      <c r="F14" s="41">
        <v>79</v>
      </c>
      <c r="G14" s="39">
        <f>IF(AC14&gt;0,((F14-X14)+(Y14-F15)),IF(F15=0, ,(F14-F15)))</f>
        <v>4</v>
      </c>
      <c r="H14" s="41">
        <v>74</v>
      </c>
      <c r="I14" s="39">
        <f>IF(AC14&gt;0,((H14-AA14)+(AB14-H15)),IF(H15=0, ,(H14-H15)))</f>
        <v>3</v>
      </c>
      <c r="J14" s="39">
        <f t="shared" si="10"/>
        <v>307</v>
      </c>
      <c r="K14" s="39">
        <f t="shared" si="11"/>
        <v>76.75</v>
      </c>
      <c r="L14" s="39">
        <f t="shared" si="12"/>
        <v>3.5</v>
      </c>
      <c r="M14" s="149">
        <f t="shared" si="3"/>
        <v>24196</v>
      </c>
      <c r="N14" s="39">
        <f t="shared" si="4"/>
        <v>846.86</v>
      </c>
      <c r="O14" s="39">
        <f t="shared" si="5"/>
        <v>447.98894000000001</v>
      </c>
      <c r="P14" s="42">
        <f t="shared" si="6"/>
        <v>4399.69937974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44208</v>
      </c>
      <c r="B15" s="41">
        <v>75</v>
      </c>
      <c r="C15" s="39">
        <f>IF(AC15&gt;0,((B15-R15)+(S15-B16)),IF(B16=0, ,(B15-B16)))</f>
        <v>3</v>
      </c>
      <c r="D15" s="41">
        <v>72</v>
      </c>
      <c r="E15" s="39">
        <f>IF(AC15&gt;0,((D15-U15)+(V15-D16)),IF(D16=0, ,(D15-D16)))</f>
        <v>1</v>
      </c>
      <c r="F15" s="41">
        <v>75</v>
      </c>
      <c r="G15" s="39">
        <f>IF(AC15&gt;0,((F15-X15)+(Y15-F16)),IF(F16=0, ,(F15-F16)))</f>
        <v>5</v>
      </c>
      <c r="H15" s="41">
        <v>71</v>
      </c>
      <c r="I15" s="39">
        <f>IF(AC15&gt;0,((H15-AA15)+(AB15-H16)),IF(H16=0, ,(H15-H16)))</f>
        <v>1</v>
      </c>
      <c r="J15" s="39">
        <f t="shared" si="10"/>
        <v>293</v>
      </c>
      <c r="K15" s="39">
        <f t="shared" si="11"/>
        <v>73.25</v>
      </c>
      <c r="L15" s="39">
        <f t="shared" si="12"/>
        <v>2.5</v>
      </c>
      <c r="M15" s="149">
        <f t="shared" si="3"/>
        <v>24196</v>
      </c>
      <c r="N15" s="39">
        <f t="shared" si="4"/>
        <v>604.9</v>
      </c>
      <c r="O15" s="39">
        <f t="shared" si="5"/>
        <v>319.99209999999999</v>
      </c>
      <c r="P15" s="42">
        <f t="shared" si="6"/>
        <v>3142.6424140999998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44209</v>
      </c>
      <c r="B16" s="41">
        <v>72</v>
      </c>
      <c r="C16" s="39">
        <f t="shared" si="7"/>
        <v>3</v>
      </c>
      <c r="D16" s="41">
        <v>71</v>
      </c>
      <c r="E16" s="39">
        <f t="shared" si="13"/>
        <v>6</v>
      </c>
      <c r="F16" s="41">
        <v>70</v>
      </c>
      <c r="G16" s="39">
        <f t="shared" si="8"/>
        <v>0</v>
      </c>
      <c r="H16" s="41">
        <v>70</v>
      </c>
      <c r="I16" s="39">
        <f t="shared" si="9"/>
        <v>5</v>
      </c>
      <c r="J16" s="39">
        <f t="shared" si="10"/>
        <v>283</v>
      </c>
      <c r="K16" s="39">
        <f t="shared" si="11"/>
        <v>70.75</v>
      </c>
      <c r="L16" s="39">
        <f t="shared" si="12"/>
        <v>3.5</v>
      </c>
      <c r="M16" s="149">
        <f t="shared" si="3"/>
        <v>24196</v>
      </c>
      <c r="N16" s="39">
        <f t="shared" si="4"/>
        <v>846.86</v>
      </c>
      <c r="O16" s="39">
        <f t="shared" si="5"/>
        <v>447.98894000000001</v>
      </c>
      <c r="P16" s="42">
        <f t="shared" si="6"/>
        <v>4399.69937974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0"/>
        <v>0</v>
      </c>
      <c r="AD16" s="38">
        <f t="shared" si="1"/>
        <v>0</v>
      </c>
      <c r="AE16" s="38">
        <f t="shared" si="2"/>
        <v>0</v>
      </c>
    </row>
    <row r="17" spans="1:31" ht="32.25" customHeight="1" x14ac:dyDescent="0.3">
      <c r="A17" s="40">
        <v>44210</v>
      </c>
      <c r="B17" s="41">
        <v>69</v>
      </c>
      <c r="C17" s="39">
        <f t="shared" si="7"/>
        <v>3</v>
      </c>
      <c r="D17" s="41">
        <v>65</v>
      </c>
      <c r="E17" s="39">
        <f t="shared" si="13"/>
        <v>2</v>
      </c>
      <c r="F17" s="41">
        <v>70</v>
      </c>
      <c r="G17" s="39">
        <f t="shared" si="8"/>
        <v>4</v>
      </c>
      <c r="H17" s="41">
        <v>65</v>
      </c>
      <c r="I17" s="39">
        <f t="shared" si="9"/>
        <v>2</v>
      </c>
      <c r="J17" s="39">
        <f t="shared" si="10"/>
        <v>269</v>
      </c>
      <c r="K17" s="39">
        <f t="shared" si="11"/>
        <v>67.25</v>
      </c>
      <c r="L17" s="39">
        <f t="shared" si="12"/>
        <v>2.75</v>
      </c>
      <c r="M17" s="149">
        <f t="shared" si="3"/>
        <v>24196</v>
      </c>
      <c r="N17" s="39">
        <f t="shared" si="4"/>
        <v>665.39</v>
      </c>
      <c r="O17" s="39">
        <f t="shared" si="5"/>
        <v>351.99131</v>
      </c>
      <c r="P17" s="42">
        <f t="shared" si="6"/>
        <v>3456.9066555099998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0"/>
        <v>0</v>
      </c>
      <c r="AD17" s="38">
        <f t="shared" si="1"/>
        <v>0</v>
      </c>
      <c r="AE17" s="38">
        <f t="shared" si="2"/>
        <v>0</v>
      </c>
    </row>
    <row r="18" spans="1:31" ht="32.25" customHeight="1" x14ac:dyDescent="0.3">
      <c r="A18" s="40">
        <v>44211</v>
      </c>
      <c r="B18" s="41">
        <v>66</v>
      </c>
      <c r="C18" s="39">
        <f t="shared" si="7"/>
        <v>2</v>
      </c>
      <c r="D18" s="41">
        <v>63</v>
      </c>
      <c r="E18" s="39">
        <f t="shared" si="13"/>
        <v>2</v>
      </c>
      <c r="F18" s="41">
        <v>66</v>
      </c>
      <c r="G18" s="39">
        <f t="shared" si="8"/>
        <v>3</v>
      </c>
      <c r="H18" s="41">
        <v>63</v>
      </c>
      <c r="I18" s="39">
        <f t="shared" si="9"/>
        <v>3</v>
      </c>
      <c r="J18" s="39">
        <f t="shared" si="10"/>
        <v>258</v>
      </c>
      <c r="K18" s="39">
        <f t="shared" si="11"/>
        <v>64.5</v>
      </c>
      <c r="L18" s="39">
        <f t="shared" si="12"/>
        <v>2.5</v>
      </c>
      <c r="M18" s="149">
        <f t="shared" si="3"/>
        <v>24196</v>
      </c>
      <c r="N18" s="39">
        <f t="shared" si="4"/>
        <v>604.9</v>
      </c>
      <c r="O18" s="39">
        <f t="shared" si="5"/>
        <v>319.99209999999999</v>
      </c>
      <c r="P18" s="42">
        <f t="shared" si="6"/>
        <v>3142.6424140999998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0"/>
        <v>0</v>
      </c>
      <c r="AD18" s="38">
        <f t="shared" si="1"/>
        <v>0</v>
      </c>
      <c r="AE18" s="38">
        <f t="shared" si="2"/>
        <v>0</v>
      </c>
    </row>
    <row r="19" spans="1:31" ht="32.25" customHeight="1" x14ac:dyDescent="0.3">
      <c r="A19" s="40">
        <v>44212</v>
      </c>
      <c r="B19" s="41">
        <v>64</v>
      </c>
      <c r="C19" s="39">
        <f t="shared" si="7"/>
        <v>9</v>
      </c>
      <c r="D19" s="41">
        <v>61</v>
      </c>
      <c r="E19" s="39">
        <f>IF(AC19&gt;0,((D19-U19)+(V19-D20)),IF(D20=0, ,(D19-D20)))</f>
        <v>3</v>
      </c>
      <c r="F19" s="41">
        <v>63</v>
      </c>
      <c r="G19" s="39">
        <f t="shared" si="8"/>
        <v>4</v>
      </c>
      <c r="H19" s="41">
        <v>60</v>
      </c>
      <c r="I19" s="39">
        <f t="shared" si="9"/>
        <v>5</v>
      </c>
      <c r="J19" s="39">
        <f t="shared" si="10"/>
        <v>248</v>
      </c>
      <c r="K19" s="39">
        <f t="shared" si="11"/>
        <v>62</v>
      </c>
      <c r="L19" s="39">
        <f t="shared" si="12"/>
        <v>5.25</v>
      </c>
      <c r="M19" s="149">
        <f t="shared" si="3"/>
        <v>24196</v>
      </c>
      <c r="N19" s="39">
        <f t="shared" si="4"/>
        <v>1270.29</v>
      </c>
      <c r="O19" s="39">
        <f t="shared" si="5"/>
        <v>671.98341000000005</v>
      </c>
      <c r="P19" s="42">
        <f t="shared" si="6"/>
        <v>6599.5490696100005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0"/>
        <v>0</v>
      </c>
      <c r="AD19" s="38">
        <f t="shared" si="1"/>
        <v>0</v>
      </c>
      <c r="AE19" s="38">
        <f t="shared" si="2"/>
        <v>0</v>
      </c>
    </row>
    <row r="20" spans="1:31" ht="32.25" customHeight="1" x14ac:dyDescent="0.3">
      <c r="A20" s="40">
        <v>44213</v>
      </c>
      <c r="B20" s="41">
        <v>55</v>
      </c>
      <c r="C20" s="39">
        <f>IF(AC20&gt;0,((B20-R20)+(S20-B21)),IF(B21=0, ,(B20-B21)))</f>
        <v>4</v>
      </c>
      <c r="D20" s="41">
        <v>58</v>
      </c>
      <c r="E20" s="39">
        <f t="shared" si="13"/>
        <v>3</v>
      </c>
      <c r="F20" s="41">
        <v>59</v>
      </c>
      <c r="G20" s="39">
        <f t="shared" si="8"/>
        <v>3</v>
      </c>
      <c r="H20" s="41">
        <v>55</v>
      </c>
      <c r="I20" s="39">
        <f t="shared" si="9"/>
        <v>4</v>
      </c>
      <c r="J20" s="39">
        <f t="shared" si="10"/>
        <v>227</v>
      </c>
      <c r="K20" s="39">
        <f t="shared" si="11"/>
        <v>56.75</v>
      </c>
      <c r="L20" s="39">
        <f t="shared" ref="L20:L42" si="14">IF(AC20&gt;0,((K20-AD20)+(AE20-K21)),IF(K21=0, ,(K20-K21)))</f>
        <v>3.5</v>
      </c>
      <c r="M20" s="149">
        <f t="shared" si="3"/>
        <v>24196</v>
      </c>
      <c r="N20" s="39">
        <f t="shared" si="4"/>
        <v>846.86</v>
      </c>
      <c r="O20" s="39">
        <f t="shared" si="5"/>
        <v>447.98894000000001</v>
      </c>
      <c r="P20" s="42">
        <f t="shared" si="6"/>
        <v>4399.69937974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0"/>
        <v>0</v>
      </c>
      <c r="AD20" s="38">
        <f t="shared" si="1"/>
        <v>0</v>
      </c>
      <c r="AE20" s="38">
        <f t="shared" si="2"/>
        <v>0</v>
      </c>
    </row>
    <row r="21" spans="1:31" ht="32.25" customHeight="1" x14ac:dyDescent="0.3">
      <c r="A21" s="40">
        <v>44214</v>
      </c>
      <c r="B21" s="41">
        <v>51</v>
      </c>
      <c r="C21" s="39">
        <f t="shared" ref="C21:C35" si="15">IF(AC21&gt;0,((B21-R21)+(S21-B22)),IF(B22=0, ,(B21-B22)))</f>
        <v>1</v>
      </c>
      <c r="D21" s="41">
        <v>55</v>
      </c>
      <c r="E21" s="39">
        <f t="shared" si="13"/>
        <v>5</v>
      </c>
      <c r="F21" s="41">
        <v>56</v>
      </c>
      <c r="G21" s="39">
        <f>IF(AC21&gt;0,((F21-X21)+(Y21-F22)),IF(F22=0, ,(F21-F22)))</f>
        <v>6</v>
      </c>
      <c r="H21" s="41">
        <v>51</v>
      </c>
      <c r="I21" s="39">
        <f t="shared" si="9"/>
        <v>1</v>
      </c>
      <c r="J21" s="39">
        <f t="shared" si="10"/>
        <v>213</v>
      </c>
      <c r="K21" s="39">
        <f t="shared" si="11"/>
        <v>53.25</v>
      </c>
      <c r="L21" s="39">
        <f>IF(AC21&gt;0,((K21-AD21)+(AE21-K22)),IF(K22=0, ,(K21-K22)))</f>
        <v>3.25</v>
      </c>
      <c r="M21" s="149">
        <f t="shared" si="3"/>
        <v>24196</v>
      </c>
      <c r="N21" s="39">
        <f t="shared" si="4"/>
        <v>786.37</v>
      </c>
      <c r="O21" s="39">
        <f t="shared" si="5"/>
        <v>415.98973000000001</v>
      </c>
      <c r="P21" s="42">
        <f t="shared" si="6"/>
        <v>4085.43513833</v>
      </c>
      <c r="Q21" s="39">
        <v>2505</v>
      </c>
      <c r="R21" s="39">
        <v>50</v>
      </c>
      <c r="S21" s="39">
        <v>85</v>
      </c>
      <c r="T21" s="39">
        <v>2505</v>
      </c>
      <c r="U21" s="39">
        <v>50</v>
      </c>
      <c r="V21" s="39">
        <v>85</v>
      </c>
      <c r="W21" s="39">
        <v>2506</v>
      </c>
      <c r="X21" s="39">
        <v>50</v>
      </c>
      <c r="Y21" s="39">
        <v>85</v>
      </c>
      <c r="Z21" s="39">
        <v>2506</v>
      </c>
      <c r="AA21" s="39">
        <v>50</v>
      </c>
      <c r="AB21" s="39">
        <v>85</v>
      </c>
      <c r="AC21" s="39">
        <f t="shared" si="0"/>
        <v>10022</v>
      </c>
      <c r="AD21" s="38">
        <f t="shared" si="1"/>
        <v>50</v>
      </c>
      <c r="AE21" s="38">
        <f t="shared" si="2"/>
        <v>85</v>
      </c>
    </row>
    <row r="22" spans="1:31" ht="32.25" customHeight="1" x14ac:dyDescent="0.3">
      <c r="A22" s="40">
        <v>44215</v>
      </c>
      <c r="B22" s="41">
        <v>85</v>
      </c>
      <c r="C22" s="39">
        <f t="shared" si="15"/>
        <v>2</v>
      </c>
      <c r="D22" s="41">
        <v>85</v>
      </c>
      <c r="E22" s="39">
        <f t="shared" si="13"/>
        <v>1</v>
      </c>
      <c r="F22" s="41">
        <v>85</v>
      </c>
      <c r="G22" s="39">
        <f t="shared" si="8"/>
        <v>3</v>
      </c>
      <c r="H22" s="41">
        <v>85</v>
      </c>
      <c r="I22" s="39">
        <f t="shared" si="9"/>
        <v>2</v>
      </c>
      <c r="J22" s="39">
        <f t="shared" si="10"/>
        <v>340</v>
      </c>
      <c r="K22" s="39">
        <f t="shared" si="11"/>
        <v>85</v>
      </c>
      <c r="L22" s="39">
        <f>IF(AC22&gt;0,((K22-AD22)+(AE22-K23)),IF(K23=0, ,(K22-K23)))</f>
        <v>2</v>
      </c>
      <c r="M22" s="149">
        <f t="shared" si="3"/>
        <v>24196</v>
      </c>
      <c r="N22" s="39">
        <f t="shared" si="4"/>
        <v>483.92</v>
      </c>
      <c r="O22" s="39">
        <f t="shared" si="5"/>
        <v>255.99368000000001</v>
      </c>
      <c r="P22" s="42">
        <f t="shared" si="6"/>
        <v>2514.1139312800001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1"/>
        <v>0</v>
      </c>
      <c r="AE22" s="38">
        <f t="shared" si="2"/>
        <v>0</v>
      </c>
    </row>
    <row r="23" spans="1:31" ht="32.25" customHeight="1" x14ac:dyDescent="0.3">
      <c r="A23" s="40">
        <v>44216</v>
      </c>
      <c r="B23" s="41">
        <v>83</v>
      </c>
      <c r="C23" s="39">
        <f t="shared" si="15"/>
        <v>2</v>
      </c>
      <c r="D23" s="41">
        <v>84</v>
      </c>
      <c r="E23" s="39">
        <f t="shared" si="13"/>
        <v>2</v>
      </c>
      <c r="F23" s="41">
        <v>82</v>
      </c>
      <c r="G23" s="39">
        <f t="shared" si="8"/>
        <v>2</v>
      </c>
      <c r="H23" s="41">
        <v>83</v>
      </c>
      <c r="I23" s="39">
        <f t="shared" si="9"/>
        <v>2</v>
      </c>
      <c r="J23" s="39">
        <f t="shared" si="10"/>
        <v>332</v>
      </c>
      <c r="K23" s="39">
        <f t="shared" si="11"/>
        <v>83</v>
      </c>
      <c r="L23" s="39">
        <f t="shared" si="14"/>
        <v>2</v>
      </c>
      <c r="M23" s="149">
        <f t="shared" si="3"/>
        <v>24196</v>
      </c>
      <c r="N23" s="39">
        <f t="shared" si="4"/>
        <v>483.92</v>
      </c>
      <c r="O23" s="39">
        <f t="shared" si="5"/>
        <v>255.99368000000001</v>
      </c>
      <c r="P23" s="42">
        <f t="shared" si="6"/>
        <v>2514.1139312800001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0"/>
        <v>0</v>
      </c>
      <c r="AD23" s="38">
        <f t="shared" si="1"/>
        <v>0</v>
      </c>
      <c r="AE23" s="38">
        <f t="shared" si="2"/>
        <v>0</v>
      </c>
    </row>
    <row r="24" spans="1:31" ht="32.25" customHeight="1" x14ac:dyDescent="0.3">
      <c r="A24" s="40">
        <v>44217</v>
      </c>
      <c r="B24" s="41">
        <v>81</v>
      </c>
      <c r="C24" s="39">
        <f>IF(AC24&gt;0,((B24-R24)+(S24-B25)),IF(B25=0, ,(B24-B25)))</f>
        <v>3</v>
      </c>
      <c r="D24" s="41">
        <v>82</v>
      </c>
      <c r="E24" s="39">
        <f t="shared" si="13"/>
        <v>2</v>
      </c>
      <c r="F24" s="41">
        <v>80</v>
      </c>
      <c r="G24" s="39">
        <f t="shared" si="8"/>
        <v>3</v>
      </c>
      <c r="H24" s="41">
        <v>81</v>
      </c>
      <c r="I24" s="39">
        <f t="shared" si="9"/>
        <v>3</v>
      </c>
      <c r="J24" s="39">
        <f t="shared" si="10"/>
        <v>324</v>
      </c>
      <c r="K24" s="39">
        <f t="shared" si="11"/>
        <v>81</v>
      </c>
      <c r="L24" s="39">
        <f t="shared" si="14"/>
        <v>2.75</v>
      </c>
      <c r="M24" s="149">
        <f t="shared" si="3"/>
        <v>24196</v>
      </c>
      <c r="N24" s="39">
        <f t="shared" si="4"/>
        <v>665.39</v>
      </c>
      <c r="O24" s="39">
        <f t="shared" si="5"/>
        <v>351.99131</v>
      </c>
      <c r="P24" s="42">
        <f t="shared" si="6"/>
        <v>3456.9066555099998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0"/>
        <v>0</v>
      </c>
      <c r="AD24" s="38">
        <f t="shared" si="1"/>
        <v>0</v>
      </c>
      <c r="AE24" s="38">
        <f t="shared" si="2"/>
        <v>0</v>
      </c>
    </row>
    <row r="25" spans="1:31" ht="32.25" customHeight="1" x14ac:dyDescent="0.3">
      <c r="A25" s="40">
        <v>44218</v>
      </c>
      <c r="B25" s="41">
        <v>78</v>
      </c>
      <c r="C25" s="39">
        <f>IF(AC25&gt;0,((B25-R25)+(S25-B26)),IF(B26=0, ,(B25-B26)))</f>
        <v>3</v>
      </c>
      <c r="D25" s="41">
        <v>80</v>
      </c>
      <c r="E25" s="39">
        <f t="shared" si="13"/>
        <v>4</v>
      </c>
      <c r="F25" s="41">
        <v>77</v>
      </c>
      <c r="G25" s="39">
        <f t="shared" si="8"/>
        <v>1</v>
      </c>
      <c r="H25" s="41">
        <v>78</v>
      </c>
      <c r="I25" s="39">
        <f t="shared" si="9"/>
        <v>3</v>
      </c>
      <c r="J25" s="39">
        <f t="shared" si="10"/>
        <v>313</v>
      </c>
      <c r="K25" s="39">
        <f t="shared" si="11"/>
        <v>78.25</v>
      </c>
      <c r="L25" s="39">
        <f t="shared" si="14"/>
        <v>2.75</v>
      </c>
      <c r="M25" s="149">
        <f t="shared" si="3"/>
        <v>24196</v>
      </c>
      <c r="N25" s="39">
        <f t="shared" si="4"/>
        <v>665.39</v>
      </c>
      <c r="O25" s="39">
        <f t="shared" si="5"/>
        <v>351.99131</v>
      </c>
      <c r="P25" s="42">
        <f t="shared" si="6"/>
        <v>3456.9066555099998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0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 x14ac:dyDescent="0.3">
      <c r="A26" s="40">
        <v>44219</v>
      </c>
      <c r="B26" s="41">
        <v>75</v>
      </c>
      <c r="C26" s="39">
        <f>IF(AC26&gt;0,((B26-R26)+(S26-B27)),IF(B27=0, ,(B26-B27)))</f>
        <v>3</v>
      </c>
      <c r="D26" s="41">
        <v>76</v>
      </c>
      <c r="E26" s="39">
        <f t="shared" si="13"/>
        <v>3</v>
      </c>
      <c r="F26" s="41">
        <v>76</v>
      </c>
      <c r="G26" s="39">
        <f t="shared" si="8"/>
        <v>3</v>
      </c>
      <c r="H26" s="41">
        <v>75</v>
      </c>
      <c r="I26" s="39">
        <f t="shared" si="9"/>
        <v>4</v>
      </c>
      <c r="J26" s="39">
        <f t="shared" si="10"/>
        <v>302</v>
      </c>
      <c r="K26" s="39">
        <f t="shared" si="11"/>
        <v>75.5</v>
      </c>
      <c r="L26" s="39">
        <f t="shared" si="14"/>
        <v>3.25</v>
      </c>
      <c r="M26" s="149">
        <f t="shared" si="3"/>
        <v>24196</v>
      </c>
      <c r="N26" s="39">
        <f t="shared" si="4"/>
        <v>786.37</v>
      </c>
      <c r="O26" s="39">
        <f t="shared" si="5"/>
        <v>415.98973000000001</v>
      </c>
      <c r="P26" s="42">
        <f t="shared" si="6"/>
        <v>4085.43513833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 x14ac:dyDescent="0.3">
      <c r="A27" s="40">
        <v>44220</v>
      </c>
      <c r="B27" s="41">
        <v>72</v>
      </c>
      <c r="C27" s="39">
        <f t="shared" si="15"/>
        <v>3</v>
      </c>
      <c r="D27" s="41">
        <v>73</v>
      </c>
      <c r="E27" s="39">
        <f t="shared" ref="E27:E36" si="18">IF(AC27&gt;0,((D27-U27)+(V27-D28)),IF(D28=0, ,(D27-D28)))</f>
        <v>3</v>
      </c>
      <c r="F27" s="41">
        <v>73</v>
      </c>
      <c r="G27" s="39">
        <f t="shared" ref="G27:G36" si="19">IF(AC27&gt;0,((F27-X27)+(Y27-F28)),IF(F28=0, ,(F27-F28)))</f>
        <v>3</v>
      </c>
      <c r="H27" s="41">
        <v>71</v>
      </c>
      <c r="I27" s="39">
        <f t="shared" si="9"/>
        <v>1</v>
      </c>
      <c r="J27" s="39">
        <f t="shared" si="10"/>
        <v>289</v>
      </c>
      <c r="K27" s="39">
        <f t="shared" si="11"/>
        <v>72.25</v>
      </c>
      <c r="L27" s="39">
        <f t="shared" si="14"/>
        <v>2.5</v>
      </c>
      <c r="M27" s="149">
        <f t="shared" si="3"/>
        <v>24196</v>
      </c>
      <c r="N27" s="39">
        <f t="shared" si="4"/>
        <v>604.9</v>
      </c>
      <c r="O27" s="39">
        <f t="shared" si="5"/>
        <v>319.99209999999999</v>
      </c>
      <c r="P27" s="42">
        <f t="shared" si="6"/>
        <v>3142.6424140999998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 x14ac:dyDescent="0.3">
      <c r="A28" s="40">
        <v>44221</v>
      </c>
      <c r="B28" s="41">
        <v>69</v>
      </c>
      <c r="C28" s="39">
        <f t="shared" si="15"/>
        <v>9</v>
      </c>
      <c r="D28" s="41">
        <v>70</v>
      </c>
      <c r="E28" s="39">
        <f t="shared" si="18"/>
        <v>5</v>
      </c>
      <c r="F28" s="41">
        <v>70</v>
      </c>
      <c r="G28" s="39">
        <f t="shared" si="19"/>
        <v>4</v>
      </c>
      <c r="H28" s="41">
        <v>70</v>
      </c>
      <c r="I28" s="39">
        <f>IF(AC28&gt;0,((H28-AA28)+(AB28-H29)),IF(H29=0, ,(H28-H29)))</f>
        <v>5</v>
      </c>
      <c r="J28" s="39">
        <f t="shared" si="10"/>
        <v>279</v>
      </c>
      <c r="K28" s="39">
        <f t="shared" si="11"/>
        <v>69.75</v>
      </c>
      <c r="L28" s="39">
        <f t="shared" si="14"/>
        <v>5.75</v>
      </c>
      <c r="M28" s="149">
        <f t="shared" si="3"/>
        <v>24196</v>
      </c>
      <c r="N28" s="39">
        <f t="shared" si="4"/>
        <v>1391.27</v>
      </c>
      <c r="O28" s="39">
        <f t="shared" si="5"/>
        <v>735.98183000000006</v>
      </c>
      <c r="P28" s="42">
        <f t="shared" si="6"/>
        <v>7228.0775524300007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 x14ac:dyDescent="0.3">
      <c r="A29" s="40">
        <v>44222</v>
      </c>
      <c r="B29" s="41">
        <v>60</v>
      </c>
      <c r="C29" s="39">
        <f t="shared" si="15"/>
        <v>1</v>
      </c>
      <c r="D29" s="41">
        <v>65</v>
      </c>
      <c r="E29" s="39">
        <f t="shared" si="18"/>
        <v>5</v>
      </c>
      <c r="F29" s="41">
        <v>66</v>
      </c>
      <c r="G29" s="39">
        <f t="shared" si="19"/>
        <v>5</v>
      </c>
      <c r="H29" s="41">
        <v>65</v>
      </c>
      <c r="I29" s="39">
        <f t="shared" si="9"/>
        <v>5</v>
      </c>
      <c r="J29" s="39">
        <f t="shared" si="10"/>
        <v>256</v>
      </c>
      <c r="K29" s="39">
        <f t="shared" si="11"/>
        <v>64</v>
      </c>
      <c r="L29" s="39">
        <f t="shared" si="14"/>
        <v>4</v>
      </c>
      <c r="M29" s="149">
        <f t="shared" si="3"/>
        <v>24196</v>
      </c>
      <c r="N29" s="39">
        <f t="shared" si="4"/>
        <v>967.84</v>
      </c>
      <c r="O29" s="39">
        <f t="shared" si="5"/>
        <v>511.98736000000002</v>
      </c>
      <c r="P29" s="42">
        <f t="shared" si="6"/>
        <v>5028.2278625600002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 x14ac:dyDescent="0.3">
      <c r="A30" s="40">
        <v>44223</v>
      </c>
      <c r="B30" s="41">
        <v>59</v>
      </c>
      <c r="C30" s="39">
        <f t="shared" si="15"/>
        <v>4</v>
      </c>
      <c r="D30" s="41">
        <v>60</v>
      </c>
      <c r="E30" s="39">
        <f t="shared" si="18"/>
        <v>4</v>
      </c>
      <c r="F30" s="41">
        <v>61</v>
      </c>
      <c r="G30" s="39">
        <f t="shared" si="19"/>
        <v>3</v>
      </c>
      <c r="H30" s="41">
        <v>60</v>
      </c>
      <c r="I30" s="39">
        <f t="shared" si="9"/>
        <v>4</v>
      </c>
      <c r="J30" s="39">
        <f t="shared" si="10"/>
        <v>240</v>
      </c>
      <c r="K30" s="39">
        <f t="shared" si="11"/>
        <v>60</v>
      </c>
      <c r="L30" s="39">
        <f t="shared" si="14"/>
        <v>3.75</v>
      </c>
      <c r="M30" s="149">
        <f t="shared" si="3"/>
        <v>24196</v>
      </c>
      <c r="N30" s="39">
        <f t="shared" si="4"/>
        <v>907.35</v>
      </c>
      <c r="O30" s="39">
        <f t="shared" si="5"/>
        <v>479.98815000000002</v>
      </c>
      <c r="P30" s="42">
        <f t="shared" si="6"/>
        <v>4713.9636211500001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20">(S30+V30+Y30+AB30)/4</f>
        <v>0</v>
      </c>
    </row>
    <row r="31" spans="1:31" ht="32.25" customHeight="1" x14ac:dyDescent="0.3">
      <c r="A31" s="40">
        <v>44224</v>
      </c>
      <c r="B31" s="41">
        <v>55</v>
      </c>
      <c r="C31" s="39">
        <f t="shared" si="15"/>
        <v>4</v>
      </c>
      <c r="D31" s="41">
        <v>56</v>
      </c>
      <c r="E31" s="39">
        <f t="shared" si="18"/>
        <v>4</v>
      </c>
      <c r="F31" s="41">
        <v>58</v>
      </c>
      <c r="G31" s="39">
        <f>IF(AC31&gt;0,((F31-X31)+(Y31-F32)),IF(F32=0, ,(F31-F32)))</f>
        <v>3</v>
      </c>
      <c r="H31" s="41">
        <v>56</v>
      </c>
      <c r="I31" s="39">
        <f t="shared" si="9"/>
        <v>4</v>
      </c>
      <c r="J31" s="39">
        <f t="shared" si="10"/>
        <v>225</v>
      </c>
      <c r="K31" s="39">
        <f t="shared" si="11"/>
        <v>56.25</v>
      </c>
      <c r="L31" s="39">
        <f t="shared" si="14"/>
        <v>3.75</v>
      </c>
      <c r="M31" s="149">
        <f t="shared" si="3"/>
        <v>24196</v>
      </c>
      <c r="N31" s="39">
        <f t="shared" si="4"/>
        <v>907.35</v>
      </c>
      <c r="O31" s="39">
        <f t="shared" si="5"/>
        <v>479.98815000000002</v>
      </c>
      <c r="P31" s="42">
        <f t="shared" si="6"/>
        <v>4713.9636211500001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20"/>
        <v>0</v>
      </c>
    </row>
    <row r="32" spans="1:31" ht="32.25" customHeight="1" x14ac:dyDescent="0.3">
      <c r="A32" s="40">
        <v>44225</v>
      </c>
      <c r="B32" s="41">
        <v>51</v>
      </c>
      <c r="C32" s="39">
        <f t="shared" si="15"/>
        <v>2</v>
      </c>
      <c r="D32" s="41">
        <v>52</v>
      </c>
      <c r="E32" s="39">
        <f t="shared" si="18"/>
        <v>3</v>
      </c>
      <c r="F32" s="41">
        <v>55</v>
      </c>
      <c r="G32" s="39">
        <f t="shared" si="19"/>
        <v>5</v>
      </c>
      <c r="H32" s="41">
        <v>52</v>
      </c>
      <c r="I32" s="39">
        <f t="shared" si="9"/>
        <v>1</v>
      </c>
      <c r="J32" s="39">
        <f t="shared" si="10"/>
        <v>210</v>
      </c>
      <c r="K32" s="39">
        <f t="shared" si="11"/>
        <v>52.5</v>
      </c>
      <c r="L32" s="39">
        <f t="shared" si="14"/>
        <v>2.75</v>
      </c>
      <c r="M32" s="149">
        <f t="shared" si="3"/>
        <v>24196</v>
      </c>
      <c r="N32" s="39">
        <f t="shared" si="4"/>
        <v>665.39</v>
      </c>
      <c r="O32" s="39">
        <f t="shared" si="5"/>
        <v>351.99131</v>
      </c>
      <c r="P32" s="42">
        <f t="shared" si="6"/>
        <v>3456.9066555099998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20"/>
        <v>0</v>
      </c>
    </row>
    <row r="33" spans="1:31" ht="32.25" customHeight="1" x14ac:dyDescent="0.3">
      <c r="A33" s="40">
        <v>44226</v>
      </c>
      <c r="B33" s="41">
        <v>49</v>
      </c>
      <c r="C33" s="39">
        <f t="shared" si="15"/>
        <v>5</v>
      </c>
      <c r="D33" s="41">
        <v>49</v>
      </c>
      <c r="E33" s="39">
        <f t="shared" si="18"/>
        <v>7</v>
      </c>
      <c r="F33" s="41">
        <v>50</v>
      </c>
      <c r="G33" s="39">
        <f t="shared" si="19"/>
        <v>8</v>
      </c>
      <c r="H33" s="41">
        <v>51</v>
      </c>
      <c r="I33" s="39">
        <f t="shared" si="9"/>
        <v>7</v>
      </c>
      <c r="J33" s="39">
        <f t="shared" si="10"/>
        <v>199</v>
      </c>
      <c r="K33" s="39">
        <f t="shared" si="11"/>
        <v>49.75</v>
      </c>
      <c r="L33" s="39">
        <f t="shared" si="14"/>
        <v>6.75</v>
      </c>
      <c r="M33" s="149">
        <f t="shared" si="3"/>
        <v>24196</v>
      </c>
      <c r="N33" s="39">
        <f t="shared" si="4"/>
        <v>1633.23</v>
      </c>
      <c r="O33" s="39">
        <f t="shared" si="5"/>
        <v>863.97867000000008</v>
      </c>
      <c r="P33" s="42">
        <f t="shared" si="6"/>
        <v>8485.1345180700009</v>
      </c>
      <c r="Q33" s="39">
        <v>2876</v>
      </c>
      <c r="R33" s="39">
        <v>45</v>
      </c>
      <c r="S33" s="39">
        <v>85</v>
      </c>
      <c r="T33" s="39">
        <v>2402</v>
      </c>
      <c r="U33" s="39">
        <v>45</v>
      </c>
      <c r="V33" s="39">
        <v>85</v>
      </c>
      <c r="W33" s="39">
        <v>3046</v>
      </c>
      <c r="X33" s="39">
        <v>42</v>
      </c>
      <c r="Y33" s="39">
        <v>85</v>
      </c>
      <c r="Z33" s="39">
        <v>2854</v>
      </c>
      <c r="AA33" s="39">
        <v>45</v>
      </c>
      <c r="AB33" s="39">
        <v>85</v>
      </c>
      <c r="AC33" s="39">
        <f>Q33+T33+W33+Z33</f>
        <v>11178</v>
      </c>
      <c r="AD33" s="38">
        <f t="shared" si="16"/>
        <v>44.25</v>
      </c>
      <c r="AE33" s="38">
        <f t="shared" si="20"/>
        <v>85</v>
      </c>
    </row>
    <row r="34" spans="1:31" ht="32.25" customHeight="1" x14ac:dyDescent="0.3">
      <c r="A34" s="40">
        <v>44227</v>
      </c>
      <c r="B34" s="41">
        <v>84</v>
      </c>
      <c r="C34" s="39">
        <f t="shared" si="15"/>
        <v>4</v>
      </c>
      <c r="D34" s="41">
        <v>82</v>
      </c>
      <c r="E34" s="39">
        <f t="shared" si="18"/>
        <v>2</v>
      </c>
      <c r="F34" s="41">
        <v>85</v>
      </c>
      <c r="G34" s="39">
        <f t="shared" si="19"/>
        <v>4</v>
      </c>
      <c r="H34" s="41">
        <v>84</v>
      </c>
      <c r="I34" s="39">
        <f t="shared" si="9"/>
        <v>8</v>
      </c>
      <c r="J34" s="39">
        <f>B34+D34+F34+H34</f>
        <v>335</v>
      </c>
      <c r="K34" s="39">
        <f>J34/4</f>
        <v>83.75</v>
      </c>
      <c r="L34" s="39">
        <f>IF(AC34&gt;0,((K34-AD34)+(AE34-K35)),IF(K35=0, ,(K34-K35)))</f>
        <v>4.5</v>
      </c>
      <c r="M34" s="149">
        <f t="shared" si="3"/>
        <v>24196</v>
      </c>
      <c r="N34" s="39">
        <f t="shared" si="4"/>
        <v>1088.82</v>
      </c>
      <c r="O34" s="39">
        <f t="shared" si="5"/>
        <v>575.98577999999998</v>
      </c>
      <c r="P34" s="42">
        <f t="shared" si="6"/>
        <v>5656.7563453799994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20"/>
        <v>0</v>
      </c>
    </row>
    <row r="35" spans="1:31" ht="32.25" customHeight="1" x14ac:dyDescent="0.3">
      <c r="A35" s="40">
        <v>44228</v>
      </c>
      <c r="B35" s="41">
        <v>80</v>
      </c>
      <c r="C35" s="39">
        <f t="shared" si="15"/>
        <v>0</v>
      </c>
      <c r="D35" s="41">
        <v>80</v>
      </c>
      <c r="E35" s="39">
        <f t="shared" si="18"/>
        <v>0</v>
      </c>
      <c r="F35" s="41">
        <v>81</v>
      </c>
      <c r="G35" s="39">
        <f t="shared" si="19"/>
        <v>0</v>
      </c>
      <c r="H35" s="41">
        <v>76</v>
      </c>
      <c r="I35" s="39">
        <f t="shared" si="9"/>
        <v>0</v>
      </c>
      <c r="J35" s="39">
        <f>B35+D35+F35+H35</f>
        <v>317</v>
      </c>
      <c r="K35" s="39">
        <f>J35/4</f>
        <v>79.25</v>
      </c>
      <c r="L35" s="39">
        <f t="shared" si="14"/>
        <v>0</v>
      </c>
      <c r="M35" s="149">
        <f t="shared" si="3"/>
        <v>24196</v>
      </c>
      <c r="N35" s="39">
        <f t="shared" ref="N35:N42" si="21">L35*M35/100</f>
        <v>0</v>
      </c>
      <c r="O35" s="39">
        <f t="shared" ref="O35:O37" si="22">N35*0.529</f>
        <v>0</v>
      </c>
      <c r="P35" s="42">
        <f t="shared" ref="P35:P38" si="23">O35*10.803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20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si="18"/>
        <v>0</v>
      </c>
      <c r="F36" s="41"/>
      <c r="G36" s="39">
        <f t="shared" si="19"/>
        <v>0</v>
      </c>
      <c r="H36" s="41"/>
      <c r="I36" s="39">
        <f t="shared" si="9"/>
        <v>0</v>
      </c>
      <c r="J36" s="39">
        <f t="shared" si="10"/>
        <v>0</v>
      </c>
      <c r="K36" s="39">
        <f t="shared" si="11"/>
        <v>0</v>
      </c>
      <c r="L36" s="39">
        <f t="shared" si="14"/>
        <v>0</v>
      </c>
      <c r="M36" s="39">
        <f t="shared" ref="M36:M42" si="24">6049*4</f>
        <v>24196</v>
      </c>
      <c r="N36" s="39">
        <f t="shared" si="21"/>
        <v>0</v>
      </c>
      <c r="O36" s="39">
        <f t="shared" si="22"/>
        <v>0</v>
      </c>
      <c r="P36" s="42">
        <f t="shared" si="23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20"/>
        <v>0</v>
      </c>
    </row>
    <row r="37" spans="1:31" ht="32.25" customHeight="1" x14ac:dyDescent="0.3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0"/>
        <v>0</v>
      </c>
      <c r="K37" s="39">
        <f t="shared" si="11"/>
        <v>0</v>
      </c>
      <c r="L37" s="39">
        <f t="shared" si="14"/>
        <v>0</v>
      </c>
      <c r="M37" s="39">
        <f t="shared" si="24"/>
        <v>24196</v>
      </c>
      <c r="N37" s="39">
        <f t="shared" si="21"/>
        <v>0</v>
      </c>
      <c r="O37" s="39">
        <f t="shared" si="22"/>
        <v>0</v>
      </c>
      <c r="P37" s="42">
        <f t="shared" si="23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20"/>
        <v>0</v>
      </c>
    </row>
    <row r="38" spans="1:31" ht="32.25" customHeight="1" x14ac:dyDescent="0.3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0"/>
        <v>0</v>
      </c>
      <c r="K38" s="39">
        <f t="shared" si="11"/>
        <v>0</v>
      </c>
      <c r="L38" s="39">
        <f t="shared" si="14"/>
        <v>0</v>
      </c>
      <c r="M38" s="39">
        <f t="shared" si="24"/>
        <v>24196</v>
      </c>
      <c r="N38" s="39">
        <f t="shared" si="21"/>
        <v>0</v>
      </c>
      <c r="O38" s="39">
        <f>N38*0.53</f>
        <v>0</v>
      </c>
      <c r="P38" s="42">
        <f t="shared" si="23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20"/>
        <v>0</v>
      </c>
    </row>
    <row r="39" spans="1:31" ht="32.25" customHeight="1" x14ac:dyDescent="0.3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0"/>
        <v>0</v>
      </c>
      <c r="K39" s="39">
        <f t="shared" si="11"/>
        <v>0</v>
      </c>
      <c r="L39" s="39">
        <f t="shared" si="14"/>
        <v>0</v>
      </c>
      <c r="M39" s="39">
        <f t="shared" si="24"/>
        <v>24196</v>
      </c>
      <c r="N39" s="39">
        <f t="shared" si="21"/>
        <v>0</v>
      </c>
      <c r="O39" s="39">
        <f>N39*0.53</f>
        <v>0</v>
      </c>
      <c r="P39" s="42">
        <f t="shared" ref="P39:P40" si="28">O39*9.1009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20"/>
        <v>0</v>
      </c>
    </row>
    <row r="40" spans="1:31" ht="32.25" customHeight="1" x14ac:dyDescent="0.3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0"/>
        <v>0</v>
      </c>
      <c r="K40" s="39">
        <f t="shared" si="11"/>
        <v>0</v>
      </c>
      <c r="L40" s="39">
        <f t="shared" si="14"/>
        <v>0</v>
      </c>
      <c r="M40" s="39">
        <f t="shared" si="24"/>
        <v>24196</v>
      </c>
      <c r="N40" s="39">
        <f t="shared" si="21"/>
        <v>0</v>
      </c>
      <c r="O40" s="39">
        <f>N40*0.53</f>
        <v>0</v>
      </c>
      <c r="P40" s="42">
        <f t="shared" si="28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20"/>
        <v>0</v>
      </c>
    </row>
    <row r="41" spans="1:31" ht="32.25" customHeight="1" x14ac:dyDescent="0.3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0"/>
        <v>0</v>
      </c>
      <c r="K41" s="39">
        <f t="shared" si="11"/>
        <v>0</v>
      </c>
      <c r="L41" s="39">
        <f t="shared" si="14"/>
        <v>0</v>
      </c>
      <c r="M41" s="39">
        <f t="shared" si="24"/>
        <v>24196</v>
      </c>
      <c r="N41" s="39">
        <f t="shared" si="21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20"/>
        <v>0</v>
      </c>
    </row>
    <row r="42" spans="1:31" ht="32.25" customHeight="1" x14ac:dyDescent="0.3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0"/>
        <v>0</v>
      </c>
      <c r="K42" s="39">
        <f t="shared" si="11"/>
        <v>0</v>
      </c>
      <c r="L42" s="39">
        <f t="shared" si="14"/>
        <v>0</v>
      </c>
      <c r="M42" s="39">
        <f t="shared" si="24"/>
        <v>24196</v>
      </c>
      <c r="N42" s="39">
        <f t="shared" si="21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20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24437.96</v>
      </c>
      <c r="O43" s="39">
        <f>N43*0.529</f>
        <v>12927.680840000001</v>
      </c>
      <c r="P43" s="42">
        <f>O43*9.821</f>
        <v>126962.75352964</v>
      </c>
      <c r="Q43" s="285">
        <f>SUM(Q4:Q42)</f>
        <v>7886</v>
      </c>
      <c r="R43" s="286"/>
      <c r="S43" s="287"/>
      <c r="T43" s="288">
        <f>SUM(T4:T42)</f>
        <v>7386</v>
      </c>
      <c r="U43" s="286"/>
      <c r="V43" s="287"/>
      <c r="W43" s="288">
        <f>SUM(W4:W42)</f>
        <v>7722</v>
      </c>
      <c r="X43" s="286"/>
      <c r="Y43" s="287"/>
      <c r="Z43" s="288">
        <f>SUM(Z4:Z42)</f>
        <v>7672</v>
      </c>
      <c r="AA43" s="286"/>
      <c r="AB43" s="287"/>
      <c r="AC43" s="39">
        <f t="shared" si="17"/>
        <v>30666</v>
      </c>
    </row>
    <row r="44" spans="1:31" ht="35.25" customHeight="1" thickBot="1" x14ac:dyDescent="0.35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30666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30666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1" t="s">
        <v>85</v>
      </c>
      <c r="I47" s="282"/>
      <c r="J47" s="283"/>
      <c r="K47" s="45">
        <f>N43</f>
        <v>24437.96</v>
      </c>
      <c r="L47" s="46">
        <f>O43</f>
        <v>12927.680840000001</v>
      </c>
      <c r="M47" s="46">
        <f>P43</f>
        <v>126962.75352964</v>
      </c>
    </row>
    <row r="48" spans="1:31" ht="54.75" customHeight="1" thickBot="1" x14ac:dyDescent="0.35">
      <c r="H48" s="281" t="s">
        <v>86</v>
      </c>
      <c r="I48" s="282"/>
      <c r="J48" s="283"/>
      <c r="K48" s="43">
        <f>AC44</f>
        <v>30666</v>
      </c>
      <c r="L48" s="44">
        <f>K48*0.529</f>
        <v>16222.314</v>
      </c>
      <c r="M48" s="44">
        <f>L48*9.821</f>
        <v>159319.34579399999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0"/>
      <c r="B1" s="272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 x14ac:dyDescent="0.25">
      <c r="A2" s="273"/>
      <c r="B2" s="275"/>
      <c r="C2" s="360"/>
      <c r="D2" s="361"/>
      <c r="E2" s="361"/>
      <c r="F2" s="361"/>
      <c r="G2" s="361"/>
      <c r="H2" s="367"/>
      <c r="I2" s="368"/>
      <c r="J2" s="369"/>
    </row>
    <row r="3" spans="1:10" ht="15" customHeight="1" x14ac:dyDescent="0.2">
      <c r="A3" s="273"/>
      <c r="B3" s="275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 x14ac:dyDescent="0.25">
      <c r="A4" s="276"/>
      <c r="B4" s="278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 x14ac:dyDescent="0.25"/>
    <row r="7" spans="1:10" ht="36.75" thickTop="1" x14ac:dyDescent="0.2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 x14ac:dyDescent="0.2">
      <c r="A8" s="346">
        <v>95670781</v>
      </c>
      <c r="B8" s="346"/>
      <c r="C8" s="351">
        <v>44193</v>
      </c>
      <c r="D8" s="352"/>
      <c r="E8" s="113">
        <v>44224</v>
      </c>
      <c r="F8" s="160" t="s">
        <v>97</v>
      </c>
      <c r="G8" s="62"/>
      <c r="H8" s="62"/>
      <c r="I8" s="353"/>
      <c r="J8" s="354"/>
    </row>
    <row r="10" spans="1:10" ht="23.25" customHeight="1" thickBot="1" x14ac:dyDescent="0.25"/>
    <row r="11" spans="1:10" ht="24.75" customHeight="1" thickTop="1" x14ac:dyDescent="0.2">
      <c r="A11" s="330" t="s">
        <v>98</v>
      </c>
      <c r="B11" s="330"/>
      <c r="C11" s="355" t="s">
        <v>99</v>
      </c>
      <c r="D11" s="356"/>
      <c r="E11" s="330" t="s">
        <v>100</v>
      </c>
      <c r="F11" s="330"/>
      <c r="G11" s="355" t="s">
        <v>101</v>
      </c>
      <c r="H11" s="356"/>
      <c r="I11" s="357" t="s">
        <v>102</v>
      </c>
      <c r="J11" s="357"/>
    </row>
    <row r="12" spans="1:10" x14ac:dyDescent="0.2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47">
        <v>701</v>
      </c>
      <c r="H12" s="347"/>
      <c r="I12" s="348"/>
      <c r="J12" s="348"/>
    </row>
    <row r="13" spans="1:10" x14ac:dyDescent="0.2">
      <c r="A13" s="349"/>
      <c r="B13" s="350"/>
      <c r="C13" s="350"/>
      <c r="D13" s="350"/>
      <c r="E13" s="350"/>
      <c r="F13" s="350"/>
      <c r="G13" s="350"/>
      <c r="H13" s="350"/>
      <c r="I13" s="350"/>
      <c r="J13" s="350"/>
    </row>
    <row r="15" spans="1:10" ht="13.5" thickBot="1" x14ac:dyDescent="0.25"/>
    <row r="16" spans="1:10" ht="26.25" thickTop="1" x14ac:dyDescent="0.2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 x14ac:dyDescent="0.2">
      <c r="A17" s="335" t="s">
        <v>110</v>
      </c>
      <c r="B17" s="336"/>
      <c r="C17" s="66">
        <v>17306409</v>
      </c>
      <c r="D17" s="66">
        <v>17193597</v>
      </c>
      <c r="E17" s="67">
        <f>MIN(C17-D17)</f>
        <v>112812</v>
      </c>
      <c r="F17" s="67">
        <f>+E17</f>
        <v>112812</v>
      </c>
      <c r="G17" s="337"/>
      <c r="H17" s="338"/>
      <c r="I17" s="337">
        <f>+E17</f>
        <v>112812</v>
      </c>
      <c r="J17" s="338"/>
    </row>
    <row r="18" spans="1:10" x14ac:dyDescent="0.2">
      <c r="A18" s="335" t="s">
        <v>111</v>
      </c>
      <c r="B18" s="336"/>
      <c r="C18" s="66">
        <v>10297358</v>
      </c>
      <c r="D18" s="66">
        <v>10221278</v>
      </c>
      <c r="E18" s="67">
        <f>MIN(C18-D18)</f>
        <v>76080</v>
      </c>
      <c r="F18" s="67">
        <f>+E18</f>
        <v>76080</v>
      </c>
      <c r="G18" s="337"/>
      <c r="H18" s="338"/>
      <c r="I18" s="337">
        <f>+E18</f>
        <v>76080</v>
      </c>
      <c r="J18" s="338"/>
    </row>
    <row r="19" spans="1:10" x14ac:dyDescent="0.2">
      <c r="A19" s="335" t="s">
        <v>112</v>
      </c>
      <c r="B19" s="336"/>
      <c r="C19" s="66">
        <v>7663857</v>
      </c>
      <c r="D19" s="66">
        <v>7612838</v>
      </c>
      <c r="E19" s="67">
        <f>AVERAGE(C19-D19)</f>
        <v>51019</v>
      </c>
      <c r="F19" s="67">
        <f>+E19</f>
        <v>51019</v>
      </c>
      <c r="G19" s="337"/>
      <c r="H19" s="338"/>
      <c r="I19" s="337">
        <f>+E19</f>
        <v>51019</v>
      </c>
      <c r="J19" s="338"/>
    </row>
    <row r="20" spans="1:10" ht="15" x14ac:dyDescent="0.25">
      <c r="A20" s="339" t="s">
        <v>113</v>
      </c>
      <c r="B20" s="340"/>
      <c r="C20" s="68"/>
      <c r="D20" s="69"/>
      <c r="E20" s="68">
        <f>SUM(E17:E19)</f>
        <v>239911</v>
      </c>
      <c r="F20" s="70"/>
      <c r="G20" s="341"/>
      <c r="H20" s="342"/>
      <c r="I20" s="341"/>
      <c r="J20" s="342"/>
    </row>
    <row r="21" spans="1:10" x14ac:dyDescent="0.2">
      <c r="C21" s="110" t="s">
        <v>18</v>
      </c>
      <c r="D21" t="s">
        <v>114</v>
      </c>
      <c r="G21" s="322"/>
      <c r="H21" s="322"/>
    </row>
    <row r="22" spans="1:10" ht="13.5" thickBot="1" x14ac:dyDescent="0.25">
      <c r="G22" s="323"/>
      <c r="H22" s="323"/>
    </row>
    <row r="23" spans="1:10" ht="13.5" thickTop="1" x14ac:dyDescent="0.2">
      <c r="A23" s="324" t="s">
        <v>115</v>
      </c>
      <c r="B23" s="325"/>
      <c r="C23" s="326"/>
      <c r="D23" s="330" t="s">
        <v>116</v>
      </c>
      <c r="E23" s="330" t="s">
        <v>117</v>
      </c>
      <c r="F23" s="332" t="s">
        <v>118</v>
      </c>
      <c r="G23" s="334" t="s">
        <v>119</v>
      </c>
      <c r="H23" s="334"/>
      <c r="I23" s="318" t="s">
        <v>120</v>
      </c>
      <c r="J23" s="318"/>
    </row>
    <row r="24" spans="1:10" x14ac:dyDescent="0.2">
      <c r="A24" s="327"/>
      <c r="B24" s="328"/>
      <c r="C24" s="329"/>
      <c r="D24" s="331"/>
      <c r="E24" s="331"/>
      <c r="F24" s="333"/>
      <c r="G24" s="161" t="s">
        <v>121</v>
      </c>
      <c r="H24" s="71" t="s">
        <v>122</v>
      </c>
      <c r="I24" s="318"/>
      <c r="J24" s="318"/>
    </row>
    <row r="25" spans="1:10" ht="15" x14ac:dyDescent="0.25">
      <c r="A25" s="319" t="s">
        <v>123</v>
      </c>
      <c r="B25" s="320"/>
      <c r="C25" s="321"/>
      <c r="D25" s="67">
        <f>+E17</f>
        <v>112812</v>
      </c>
      <c r="E25" s="72">
        <v>0.95140000000000002</v>
      </c>
      <c r="F25" s="73">
        <f>PRODUCT(D25*E25)</f>
        <v>107329.3368</v>
      </c>
      <c r="G25" s="152">
        <v>14</v>
      </c>
      <c r="H25" s="65">
        <f>PRODUCT(0.14,F25)</f>
        <v>15026.107152000002</v>
      </c>
      <c r="I25" s="303">
        <f>SUM(H25,F25)</f>
        <v>122355.443952</v>
      </c>
      <c r="J25" s="304"/>
    </row>
    <row r="26" spans="1:10" ht="15" x14ac:dyDescent="0.25">
      <c r="A26" s="300" t="s">
        <v>124</v>
      </c>
      <c r="B26" s="301"/>
      <c r="C26" s="302"/>
      <c r="D26" s="67">
        <f>+E18</f>
        <v>76080</v>
      </c>
      <c r="E26" s="74">
        <v>0.69850000000000001</v>
      </c>
      <c r="F26" s="73">
        <f>PRODUCT(D26*E26)</f>
        <v>53141.88</v>
      </c>
      <c r="G26">
        <v>14</v>
      </c>
      <c r="H26" s="67">
        <f>PRODUCT(0.14,F26)</f>
        <v>7439.8632000000007</v>
      </c>
      <c r="I26" s="303">
        <f t="shared" ref="I26:I31" si="0">SUM(H26,F26)</f>
        <v>60581.743199999997</v>
      </c>
      <c r="J26" s="304"/>
    </row>
    <row r="27" spans="1:10" ht="15" x14ac:dyDescent="0.25">
      <c r="A27" s="300" t="s">
        <v>125</v>
      </c>
      <c r="B27" s="301"/>
      <c r="C27" s="302"/>
      <c r="D27" s="67">
        <f>+E19</f>
        <v>51019</v>
      </c>
      <c r="E27" s="74">
        <v>1.3304</v>
      </c>
      <c r="F27" s="73">
        <f>PRODUCT(D27*E27)</f>
        <v>67875.677599999995</v>
      </c>
      <c r="G27">
        <v>14</v>
      </c>
      <c r="H27" s="67">
        <f>PRODUCT(0.14,F27)</f>
        <v>9502.5948640000006</v>
      </c>
      <c r="I27" s="303">
        <f>SUM(H27,F27)</f>
        <v>77378.272463999994</v>
      </c>
      <c r="J27" s="304"/>
    </row>
    <row r="28" spans="1:10" ht="15" x14ac:dyDescent="0.25">
      <c r="A28" s="300" t="s">
        <v>126</v>
      </c>
      <c r="B28" s="301"/>
      <c r="C28" s="30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3">
        <f t="shared" si="0"/>
        <v>50025.103799999997</v>
      </c>
      <c r="J28" s="304"/>
    </row>
    <row r="29" spans="1:10" ht="15" x14ac:dyDescent="0.25">
      <c r="A29" s="313" t="s">
        <v>127</v>
      </c>
      <c r="B29" s="314"/>
      <c r="C29" s="315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6">
        <f t="shared" si="0"/>
        <v>0</v>
      </c>
      <c r="J29" s="317"/>
    </row>
    <row r="30" spans="1:10" ht="15" x14ac:dyDescent="0.25">
      <c r="A30" s="300" t="s">
        <v>128</v>
      </c>
      <c r="B30" s="301"/>
      <c r="C30" s="30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3">
        <f>SUM(H30,F30)</f>
        <v>1009.2</v>
      </c>
      <c r="J30" s="304"/>
    </row>
    <row r="31" spans="1:10" ht="15.75" thickBot="1" x14ac:dyDescent="0.3">
      <c r="A31" s="305" t="s">
        <v>129</v>
      </c>
      <c r="B31" s="306"/>
      <c r="C31" s="30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3">
        <f t="shared" si="0"/>
        <v>1596.44</v>
      </c>
      <c r="J31" s="304"/>
    </row>
    <row r="32" spans="1:10" ht="21" x14ac:dyDescent="0.2">
      <c r="A32" s="308" t="s">
        <v>130</v>
      </c>
      <c r="B32" s="309"/>
      <c r="C32" s="309"/>
      <c r="D32" s="309"/>
      <c r="E32" s="309"/>
      <c r="F32" s="84">
        <f>SUM(F25:F31)</f>
        <v>274561.56439999997</v>
      </c>
      <c r="G32" s="85"/>
      <c r="H32" s="86"/>
      <c r="I32" s="312">
        <f>SUM(I25:J31)</f>
        <v>312946.203416</v>
      </c>
      <c r="J32" s="312"/>
    </row>
    <row r="33" spans="1:10" ht="21.75" thickBot="1" x14ac:dyDescent="0.25">
      <c r="A33" s="310"/>
      <c r="B33" s="311"/>
      <c r="C33" s="311"/>
      <c r="D33" s="311"/>
      <c r="E33" s="311"/>
      <c r="F33" s="87"/>
      <c r="G33" s="88"/>
      <c r="H33" s="89"/>
      <c r="I33" s="312"/>
      <c r="J33" s="312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8.855468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0"/>
      <c r="B1" s="272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 x14ac:dyDescent="0.25">
      <c r="A2" s="273"/>
      <c r="B2" s="275"/>
      <c r="C2" s="360"/>
      <c r="D2" s="361"/>
      <c r="E2" s="361"/>
      <c r="F2" s="361"/>
      <c r="G2" s="361"/>
      <c r="H2" s="367"/>
      <c r="I2" s="368"/>
      <c r="J2" s="369"/>
    </row>
    <row r="3" spans="1:10" ht="15" customHeight="1" x14ac:dyDescent="0.2">
      <c r="A3" s="273"/>
      <c r="B3" s="275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 x14ac:dyDescent="0.25">
      <c r="A4" s="276"/>
      <c r="B4" s="278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 x14ac:dyDescent="0.25"/>
    <row r="7" spans="1:10" ht="36.75" thickTop="1" x14ac:dyDescent="0.2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 x14ac:dyDescent="0.2">
      <c r="A8" s="346">
        <v>95670781</v>
      </c>
      <c r="B8" s="346"/>
      <c r="C8" s="351">
        <v>44137</v>
      </c>
      <c r="D8" s="352"/>
      <c r="E8" s="113">
        <v>44138</v>
      </c>
      <c r="F8" s="160" t="s">
        <v>97</v>
      </c>
      <c r="G8" s="62"/>
      <c r="H8" s="62"/>
      <c r="I8" s="353"/>
      <c r="J8" s="354"/>
    </row>
    <row r="10" spans="1:10" ht="23.25" customHeight="1" thickBot="1" x14ac:dyDescent="0.25"/>
    <row r="11" spans="1:10" ht="24.75" customHeight="1" thickTop="1" x14ac:dyDescent="0.2">
      <c r="A11" s="330" t="s">
        <v>98</v>
      </c>
      <c r="B11" s="330"/>
      <c r="C11" s="355" t="s">
        <v>99</v>
      </c>
      <c r="D11" s="356"/>
      <c r="E11" s="330" t="s">
        <v>100</v>
      </c>
      <c r="F11" s="330"/>
      <c r="G11" s="355" t="s">
        <v>101</v>
      </c>
      <c r="H11" s="356"/>
      <c r="I11" s="357" t="s">
        <v>102</v>
      </c>
      <c r="J11" s="357"/>
    </row>
    <row r="12" spans="1:10" x14ac:dyDescent="0.2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47">
        <v>1070</v>
      </c>
      <c r="H12" s="347"/>
      <c r="I12" s="348"/>
      <c r="J12" s="348"/>
    </row>
    <row r="13" spans="1:10" x14ac:dyDescent="0.2">
      <c r="A13" s="349"/>
      <c r="B13" s="350"/>
      <c r="C13" s="350"/>
      <c r="D13" s="350"/>
      <c r="E13" s="350"/>
      <c r="F13" s="350"/>
      <c r="G13" s="350"/>
      <c r="H13" s="350"/>
      <c r="I13" s="350"/>
      <c r="J13" s="350"/>
    </row>
    <row r="15" spans="1:10" ht="13.5" thickBot="1" x14ac:dyDescent="0.25"/>
    <row r="16" spans="1:10" ht="26.25" thickTop="1" x14ac:dyDescent="0.2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 x14ac:dyDescent="0.2">
      <c r="A17" s="335" t="s">
        <v>110</v>
      </c>
      <c r="B17" s="336"/>
      <c r="C17" s="66">
        <v>16956876</v>
      </c>
      <c r="D17" s="66">
        <v>16952131</v>
      </c>
      <c r="E17" s="67">
        <f>MIN(C17-D17)</f>
        <v>4745</v>
      </c>
      <c r="F17" s="67">
        <f>+E17</f>
        <v>4745</v>
      </c>
      <c r="G17" s="337"/>
      <c r="H17" s="338"/>
      <c r="I17" s="337">
        <f>+E17</f>
        <v>4745</v>
      </c>
      <c r="J17" s="338"/>
    </row>
    <row r="18" spans="1:10" x14ac:dyDescent="0.2">
      <c r="A18" s="335" t="s">
        <v>111</v>
      </c>
      <c r="B18" s="336"/>
      <c r="C18" s="66">
        <v>10068001</v>
      </c>
      <c r="D18" s="66">
        <v>10064884</v>
      </c>
      <c r="E18" s="67">
        <f>MIN(C18-D18)</f>
        <v>3117</v>
      </c>
      <c r="F18" s="67">
        <f>+E18</f>
        <v>3117</v>
      </c>
      <c r="G18" s="337"/>
      <c r="H18" s="338"/>
      <c r="I18" s="337">
        <f>+E18</f>
        <v>3117</v>
      </c>
      <c r="J18" s="338"/>
    </row>
    <row r="19" spans="1:10" x14ac:dyDescent="0.2">
      <c r="A19" s="335" t="s">
        <v>112</v>
      </c>
      <c r="B19" s="336"/>
      <c r="C19" s="66">
        <v>7506386</v>
      </c>
      <c r="D19" s="66">
        <v>7504486</v>
      </c>
      <c r="E19" s="67">
        <f>AVERAGE(C19-D19)</f>
        <v>1900</v>
      </c>
      <c r="F19" s="67">
        <f>+E19</f>
        <v>1900</v>
      </c>
      <c r="G19" s="337"/>
      <c r="H19" s="338"/>
      <c r="I19" s="337">
        <f>+E19</f>
        <v>1900</v>
      </c>
      <c r="J19" s="338"/>
    </row>
    <row r="20" spans="1:10" ht="15" x14ac:dyDescent="0.25">
      <c r="A20" s="339" t="s">
        <v>113</v>
      </c>
      <c r="B20" s="340"/>
      <c r="C20" s="68"/>
      <c r="D20" s="69"/>
      <c r="E20" s="68">
        <f>SUM(E17:E19)</f>
        <v>9762</v>
      </c>
      <c r="F20" s="70"/>
      <c r="G20" s="341"/>
      <c r="H20" s="342"/>
      <c r="I20" s="341"/>
      <c r="J20" s="342"/>
    </row>
    <row r="21" spans="1:10" x14ac:dyDescent="0.2">
      <c r="C21" s="110" t="s">
        <v>18</v>
      </c>
      <c r="D21" t="s">
        <v>114</v>
      </c>
      <c r="G21" s="322"/>
      <c r="H21" s="322"/>
    </row>
    <row r="22" spans="1:10" ht="13.5" thickBot="1" x14ac:dyDescent="0.25">
      <c r="G22" s="323"/>
      <c r="H22" s="323"/>
    </row>
    <row r="23" spans="1:10" ht="13.5" thickTop="1" x14ac:dyDescent="0.2">
      <c r="A23" s="324" t="s">
        <v>115</v>
      </c>
      <c r="B23" s="325"/>
      <c r="C23" s="326"/>
      <c r="D23" s="330" t="s">
        <v>116</v>
      </c>
      <c r="E23" s="330" t="s">
        <v>117</v>
      </c>
      <c r="F23" s="332" t="s">
        <v>118</v>
      </c>
      <c r="G23" s="334" t="s">
        <v>119</v>
      </c>
      <c r="H23" s="334"/>
      <c r="I23" s="318" t="s">
        <v>120</v>
      </c>
      <c r="J23" s="318"/>
    </row>
    <row r="24" spans="1:10" x14ac:dyDescent="0.2">
      <c r="A24" s="327"/>
      <c r="B24" s="328"/>
      <c r="C24" s="329"/>
      <c r="D24" s="331"/>
      <c r="E24" s="331"/>
      <c r="F24" s="333"/>
      <c r="G24" s="161" t="s">
        <v>121</v>
      </c>
      <c r="H24" s="71" t="s">
        <v>122</v>
      </c>
      <c r="I24" s="318"/>
      <c r="J24" s="318"/>
    </row>
    <row r="25" spans="1:10" ht="15" x14ac:dyDescent="0.25">
      <c r="A25" s="319" t="s">
        <v>123</v>
      </c>
      <c r="B25" s="320"/>
      <c r="C25" s="321"/>
      <c r="D25" s="67">
        <f>+E17</f>
        <v>4745</v>
      </c>
      <c r="E25" s="72">
        <v>0.95140000000000002</v>
      </c>
      <c r="F25" s="73">
        <f>PRODUCT(D25*E25)</f>
        <v>4514.393</v>
      </c>
      <c r="G25" s="152">
        <v>14</v>
      </c>
      <c r="H25" s="65">
        <f>PRODUCT(0.14,F25)</f>
        <v>632.01502000000005</v>
      </c>
      <c r="I25" s="303">
        <f>SUM(H25,F25)</f>
        <v>5146.4080199999999</v>
      </c>
      <c r="J25" s="304"/>
    </row>
    <row r="26" spans="1:10" ht="15" x14ac:dyDescent="0.25">
      <c r="A26" s="300" t="s">
        <v>124</v>
      </c>
      <c r="B26" s="301"/>
      <c r="C26" s="302"/>
      <c r="D26" s="67">
        <f>+E18</f>
        <v>3117</v>
      </c>
      <c r="E26" s="74">
        <v>0.69850000000000001</v>
      </c>
      <c r="F26" s="73">
        <f>PRODUCT(D26*E26)</f>
        <v>2177.2244999999998</v>
      </c>
      <c r="G26">
        <v>14</v>
      </c>
      <c r="H26" s="67">
        <f>PRODUCT(0.14,F26)</f>
        <v>304.81143000000003</v>
      </c>
      <c r="I26" s="303">
        <f t="shared" ref="I26:I31" si="0">SUM(H26,F26)</f>
        <v>2482.03593</v>
      </c>
      <c r="J26" s="304"/>
    </row>
    <row r="27" spans="1:10" ht="15" x14ac:dyDescent="0.25">
      <c r="A27" s="300" t="s">
        <v>125</v>
      </c>
      <c r="B27" s="301"/>
      <c r="C27" s="302"/>
      <c r="D27" s="67">
        <f>+E19</f>
        <v>1900</v>
      </c>
      <c r="E27" s="74">
        <v>1.3304</v>
      </c>
      <c r="F27" s="73">
        <f>PRODUCT(D27*E27)</f>
        <v>2527.7600000000002</v>
      </c>
      <c r="G27">
        <v>14</v>
      </c>
      <c r="H27" s="67">
        <f>PRODUCT(0.14,F27)</f>
        <v>353.88640000000004</v>
      </c>
      <c r="I27" s="303">
        <f>SUM(H27,F27)</f>
        <v>2881.6464000000001</v>
      </c>
      <c r="J27" s="304"/>
    </row>
    <row r="28" spans="1:10" ht="15" x14ac:dyDescent="0.25">
      <c r="A28" s="300" t="s">
        <v>126</v>
      </c>
      <c r="B28" s="301"/>
      <c r="C28" s="30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3">
        <f t="shared" si="0"/>
        <v>50025.103799999997</v>
      </c>
      <c r="J28" s="304"/>
    </row>
    <row r="29" spans="1:10" ht="15" x14ac:dyDescent="0.25">
      <c r="A29" s="313" t="s">
        <v>127</v>
      </c>
      <c r="B29" s="314"/>
      <c r="C29" s="315"/>
      <c r="D29" s="75">
        <f>G12-E12</f>
        <v>70</v>
      </c>
      <c r="E29" s="76">
        <v>48.972490000000001</v>
      </c>
      <c r="F29" s="77">
        <f>PRODUCT(D29,E29)</f>
        <v>3428.0743000000002</v>
      </c>
      <c r="G29" s="78">
        <v>14</v>
      </c>
      <c r="H29" s="75">
        <f>PRODUCT(0.14,F29)</f>
        <v>479.93040200000007</v>
      </c>
      <c r="I29" s="316">
        <f t="shared" si="0"/>
        <v>3908.0047020000002</v>
      </c>
      <c r="J29" s="317"/>
    </row>
    <row r="30" spans="1:10" ht="15" x14ac:dyDescent="0.25">
      <c r="A30" s="300" t="s">
        <v>128</v>
      </c>
      <c r="B30" s="301"/>
      <c r="C30" s="30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3">
        <f>SUM(H30,F30)</f>
        <v>1009.2</v>
      </c>
      <c r="J30" s="304"/>
    </row>
    <row r="31" spans="1:10" ht="15.75" thickBot="1" x14ac:dyDescent="0.3">
      <c r="A31" s="305" t="s">
        <v>129</v>
      </c>
      <c r="B31" s="306"/>
      <c r="C31" s="30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3">
        <f t="shared" si="0"/>
        <v>1596.44</v>
      </c>
      <c r="J31" s="304"/>
    </row>
    <row r="32" spans="1:10" ht="21" x14ac:dyDescent="0.2">
      <c r="A32" s="308" t="s">
        <v>130</v>
      </c>
      <c r="B32" s="309"/>
      <c r="C32" s="309"/>
      <c r="D32" s="309"/>
      <c r="E32" s="309"/>
      <c r="F32" s="84">
        <f>SUM(F25:F31)</f>
        <v>58862.121800000001</v>
      </c>
      <c r="G32" s="85"/>
      <c r="H32" s="86"/>
      <c r="I32" s="312">
        <f>SUM(I25:J31)</f>
        <v>67048.838851999986</v>
      </c>
      <c r="J32" s="312"/>
    </row>
    <row r="33" spans="1:10" ht="21.75" thickBot="1" x14ac:dyDescent="0.25">
      <c r="A33" s="310"/>
      <c r="B33" s="311"/>
      <c r="C33" s="311"/>
      <c r="D33" s="311"/>
      <c r="E33" s="311"/>
      <c r="F33" s="87"/>
      <c r="G33" s="88"/>
      <c r="H33" s="89"/>
      <c r="I33" s="312"/>
      <c r="J33" s="312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58" t="s">
        <v>131</v>
      </c>
      <c r="C1" s="359"/>
      <c r="D1" s="359"/>
      <c r="E1" s="359"/>
      <c r="F1" s="407" t="s">
        <v>88</v>
      </c>
      <c r="G1" s="408"/>
      <c r="H1" s="409"/>
    </row>
    <row r="2" spans="1:8" ht="15.75" customHeight="1" thickBot="1" x14ac:dyDescent="0.25">
      <c r="A2" s="405"/>
      <c r="B2" s="360"/>
      <c r="C2" s="361"/>
      <c r="D2" s="361"/>
      <c r="E2" s="361"/>
      <c r="F2" s="410"/>
      <c r="G2" s="411"/>
      <c r="H2" s="412"/>
    </row>
    <row r="3" spans="1:8" ht="15" customHeight="1" x14ac:dyDescent="0.2">
      <c r="A3" s="405"/>
      <c r="B3" s="360"/>
      <c r="C3" s="361"/>
      <c r="D3" s="361"/>
      <c r="E3" s="361"/>
      <c r="F3" s="407" t="s">
        <v>89</v>
      </c>
      <c r="G3" s="408"/>
      <c r="H3" s="409"/>
    </row>
    <row r="4" spans="1:8" ht="15.75" customHeight="1" thickBot="1" x14ac:dyDescent="0.25">
      <c r="A4" s="406"/>
      <c r="B4" s="362"/>
      <c r="C4" s="363"/>
      <c r="D4" s="363"/>
      <c r="E4" s="363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132</v>
      </c>
      <c r="C7" s="92" t="s">
        <v>133</v>
      </c>
      <c r="D7" s="94" t="s">
        <v>91</v>
      </c>
      <c r="E7" s="92" t="s">
        <v>134</v>
      </c>
      <c r="F7" s="94" t="s">
        <v>92</v>
      </c>
      <c r="G7" s="94" t="s">
        <v>135</v>
      </c>
      <c r="H7" s="93" t="s">
        <v>93</v>
      </c>
    </row>
    <row r="8" spans="1:8" ht="15" x14ac:dyDescent="0.25">
      <c r="A8" s="162"/>
      <c r="B8" s="95" t="s">
        <v>136</v>
      </c>
      <c r="C8" s="96">
        <v>99706.2</v>
      </c>
      <c r="D8" s="97">
        <v>43831</v>
      </c>
      <c r="E8" s="96">
        <v>101789.4</v>
      </c>
      <c r="F8" s="97">
        <v>44228</v>
      </c>
      <c r="G8" s="98">
        <f>E8-C8</f>
        <v>2083.1999999999971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116</v>
      </c>
      <c r="C10" s="417"/>
      <c r="D10" s="418" t="s">
        <v>137</v>
      </c>
      <c r="E10" s="418"/>
      <c r="F10" s="416" t="s">
        <v>138</v>
      </c>
      <c r="G10" s="419"/>
      <c r="H10" s="417"/>
    </row>
    <row r="11" spans="1:8" ht="15" x14ac:dyDescent="0.25">
      <c r="A11" s="102" t="s">
        <v>139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402" t="s">
        <v>140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141</v>
      </c>
      <c r="B13" s="396">
        <f>G8</f>
        <v>2083.1999999999971</v>
      </c>
      <c r="C13" s="396"/>
      <c r="D13" s="396">
        <v>8.7899999999999991</v>
      </c>
      <c r="E13" s="396"/>
      <c r="F13" s="403">
        <f>PRODUCT(D13,B13)</f>
        <v>18311.327999999972</v>
      </c>
      <c r="G13" s="403"/>
      <c r="H13" s="403"/>
    </row>
    <row r="14" spans="1:8" ht="45" customHeight="1" x14ac:dyDescent="0.2">
      <c r="A14" s="400" t="s">
        <v>142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103" t="s">
        <v>143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144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145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146</v>
      </c>
      <c r="B19" s="396">
        <f>G8</f>
        <v>2083.1999999999971</v>
      </c>
      <c r="C19" s="396"/>
      <c r="D19" s="396">
        <v>2.61</v>
      </c>
      <c r="E19" s="396"/>
      <c r="F19" s="396">
        <f>PRODUCT(D19,B19)</f>
        <v>5437.1519999999919</v>
      </c>
      <c r="G19" s="396"/>
      <c r="H19" s="396"/>
    </row>
    <row r="20" spans="1:8" ht="18.75" x14ac:dyDescent="0.3">
      <c r="A20" s="392" t="s">
        <v>147</v>
      </c>
      <c r="B20" s="393"/>
      <c r="C20" s="393"/>
      <c r="D20" s="393"/>
      <c r="E20" s="394"/>
      <c r="F20" s="395">
        <f>SUM(F11+F13+F16+F17+F18+F19)</f>
        <v>23771.479999999963</v>
      </c>
      <c r="G20" s="395"/>
      <c r="H20" s="395"/>
    </row>
    <row r="21" spans="1:8" ht="15" x14ac:dyDescent="0.25">
      <c r="A21" s="381" t="s">
        <v>148</v>
      </c>
      <c r="B21" s="382"/>
      <c r="C21" s="382"/>
      <c r="D21" s="382"/>
      <c r="E21" s="383"/>
      <c r="F21" s="396">
        <f>PRODUCT(F20,0.07)</f>
        <v>1664.0035999999975</v>
      </c>
      <c r="G21" s="396"/>
      <c r="H21" s="396"/>
    </row>
    <row r="22" spans="1:8" ht="15" x14ac:dyDescent="0.25">
      <c r="A22" s="397" t="s">
        <v>149</v>
      </c>
      <c r="B22" s="398"/>
      <c r="C22" s="398"/>
      <c r="D22" s="398"/>
      <c r="E22" s="399"/>
      <c r="F22" s="396">
        <v>208.26</v>
      </c>
      <c r="G22" s="396"/>
      <c r="H22" s="396"/>
    </row>
    <row r="23" spans="1:8" ht="15.75" x14ac:dyDescent="0.25">
      <c r="A23" s="381" t="s">
        <v>150</v>
      </c>
      <c r="B23" s="382"/>
      <c r="C23" s="382"/>
      <c r="D23" s="382"/>
      <c r="E23" s="383"/>
      <c r="F23" s="384">
        <f>SUM(F21:H22)</f>
        <v>1872.2635999999975</v>
      </c>
      <c r="G23" s="384"/>
      <c r="H23" s="384"/>
    </row>
    <row r="24" spans="1:8" x14ac:dyDescent="0.2">
      <c r="A24" s="385" t="s">
        <v>151</v>
      </c>
      <c r="B24" s="386"/>
      <c r="C24" s="386"/>
      <c r="D24" s="386"/>
      <c r="E24" s="387"/>
      <c r="F24" s="391">
        <f>SUM(F20,F23)</f>
        <v>25643.743599999962</v>
      </c>
      <c r="G24" s="391"/>
      <c r="H24" s="391"/>
    </row>
    <row r="25" spans="1:8" x14ac:dyDescent="0.2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58" t="s">
        <v>131</v>
      </c>
      <c r="C1" s="359"/>
      <c r="D1" s="359"/>
      <c r="E1" s="359"/>
      <c r="F1" s="407" t="s">
        <v>88</v>
      </c>
      <c r="G1" s="408"/>
      <c r="H1" s="409"/>
    </row>
    <row r="2" spans="1:8" ht="15.75" customHeight="1" thickBot="1" x14ac:dyDescent="0.25">
      <c r="A2" s="405"/>
      <c r="B2" s="360"/>
      <c r="C2" s="361"/>
      <c r="D2" s="361"/>
      <c r="E2" s="361"/>
      <c r="F2" s="410"/>
      <c r="G2" s="411"/>
      <c r="H2" s="412"/>
    </row>
    <row r="3" spans="1:8" ht="15" customHeight="1" x14ac:dyDescent="0.2">
      <c r="A3" s="405"/>
      <c r="B3" s="360"/>
      <c r="C3" s="361"/>
      <c r="D3" s="361"/>
      <c r="E3" s="361"/>
      <c r="F3" s="407" t="s">
        <v>89</v>
      </c>
      <c r="G3" s="408"/>
      <c r="H3" s="409"/>
    </row>
    <row r="4" spans="1:8" ht="15.75" customHeight="1" thickBot="1" x14ac:dyDescent="0.25">
      <c r="A4" s="406"/>
      <c r="B4" s="362"/>
      <c r="C4" s="363"/>
      <c r="D4" s="363"/>
      <c r="E4" s="363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132</v>
      </c>
      <c r="C7" s="92" t="s">
        <v>133</v>
      </c>
      <c r="D7" s="94" t="s">
        <v>91</v>
      </c>
      <c r="E7" s="92" t="s">
        <v>134</v>
      </c>
      <c r="F7" s="94" t="s">
        <v>92</v>
      </c>
      <c r="G7" s="94" t="s">
        <v>135</v>
      </c>
      <c r="H7" s="93" t="s">
        <v>93</v>
      </c>
    </row>
    <row r="8" spans="1:8" ht="15" x14ac:dyDescent="0.25">
      <c r="A8" s="162"/>
      <c r="B8" s="95" t="s">
        <v>136</v>
      </c>
      <c r="C8" s="96">
        <v>96085.4</v>
      </c>
      <c r="D8" s="97">
        <v>44137</v>
      </c>
      <c r="E8" s="96">
        <v>96143</v>
      </c>
      <c r="F8" s="97">
        <v>44138</v>
      </c>
      <c r="G8" s="98">
        <f>E8-C8</f>
        <v>57.600000000005821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116</v>
      </c>
      <c r="C10" s="417"/>
      <c r="D10" s="418" t="s">
        <v>137</v>
      </c>
      <c r="E10" s="418"/>
      <c r="F10" s="416" t="s">
        <v>138</v>
      </c>
      <c r="G10" s="419"/>
      <c r="H10" s="417"/>
    </row>
    <row r="11" spans="1:8" ht="15" x14ac:dyDescent="0.25">
      <c r="A11" s="102" t="s">
        <v>139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402" t="s">
        <v>140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141</v>
      </c>
      <c r="B13" s="396">
        <f>G8</f>
        <v>57.600000000005821</v>
      </c>
      <c r="C13" s="396"/>
      <c r="D13" s="396">
        <v>8.5</v>
      </c>
      <c r="E13" s="396"/>
      <c r="F13" s="403">
        <f>PRODUCT(D13,B13)</f>
        <v>489.60000000004948</v>
      </c>
      <c r="G13" s="403"/>
      <c r="H13" s="403"/>
    </row>
    <row r="14" spans="1:8" ht="45" customHeight="1" x14ac:dyDescent="0.2">
      <c r="A14" s="400" t="s">
        <v>142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103" t="s">
        <v>143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144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145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146</v>
      </c>
      <c r="B19" s="396">
        <v>0</v>
      </c>
      <c r="C19" s="396"/>
      <c r="D19" s="420">
        <v>0</v>
      </c>
      <c r="E19" s="421"/>
      <c r="F19" s="420">
        <v>0</v>
      </c>
      <c r="G19" s="421"/>
      <c r="H19" s="162"/>
    </row>
    <row r="20" spans="1:8" ht="15" x14ac:dyDescent="0.25">
      <c r="A20" s="103" t="s">
        <v>152</v>
      </c>
      <c r="B20" s="396">
        <f>G8</f>
        <v>57.600000000005821</v>
      </c>
      <c r="C20" s="396"/>
      <c r="D20" s="396">
        <v>2.54</v>
      </c>
      <c r="E20" s="396"/>
      <c r="F20" s="396">
        <f>PRODUCT(D20,B20)</f>
        <v>146.30400000001478</v>
      </c>
      <c r="G20" s="396"/>
      <c r="H20" s="396"/>
    </row>
    <row r="21" spans="1:8" ht="18.75" x14ac:dyDescent="0.3">
      <c r="A21" s="392" t="s">
        <v>147</v>
      </c>
      <c r="B21" s="393"/>
      <c r="C21" s="393"/>
      <c r="D21" s="393"/>
      <c r="E21" s="394"/>
      <c r="F21" s="395">
        <f>SUM(F11+F13+F16+F17+F18+F20)</f>
        <v>658.90400000006423</v>
      </c>
      <c r="G21" s="395"/>
      <c r="H21" s="395"/>
    </row>
    <row r="22" spans="1:8" ht="15" x14ac:dyDescent="0.25">
      <c r="A22" s="381" t="s">
        <v>148</v>
      </c>
      <c r="B22" s="382"/>
      <c r="C22" s="382"/>
      <c r="D22" s="382"/>
      <c r="E22" s="383"/>
      <c r="F22" s="396">
        <f>PRODUCT(F21,0.07)</f>
        <v>46.123280000004499</v>
      </c>
      <c r="G22" s="396"/>
      <c r="H22" s="396"/>
    </row>
    <row r="23" spans="1:8" ht="15" x14ac:dyDescent="0.25">
      <c r="A23" s="397" t="s">
        <v>149</v>
      </c>
      <c r="B23" s="398"/>
      <c r="C23" s="398"/>
      <c r="D23" s="398"/>
      <c r="E23" s="399"/>
      <c r="F23" s="396">
        <v>208.26</v>
      </c>
      <c r="G23" s="396"/>
      <c r="H23" s="396"/>
    </row>
    <row r="24" spans="1:8" ht="15.75" x14ac:dyDescent="0.25">
      <c r="A24" s="381" t="s">
        <v>150</v>
      </c>
      <c r="B24" s="382"/>
      <c r="C24" s="382"/>
      <c r="D24" s="382"/>
      <c r="E24" s="383"/>
      <c r="F24" s="384">
        <f>SUM(F22:H23)</f>
        <v>254.3832800000045</v>
      </c>
      <c r="G24" s="384"/>
      <c r="H24" s="384"/>
    </row>
    <row r="25" spans="1:8" x14ac:dyDescent="0.2">
      <c r="A25" s="385" t="s">
        <v>151</v>
      </c>
      <c r="B25" s="386"/>
      <c r="C25" s="386"/>
      <c r="D25" s="386"/>
      <c r="E25" s="387"/>
      <c r="F25" s="391">
        <f>SUM(F21,F24)</f>
        <v>913.28728000006868</v>
      </c>
      <c r="G25" s="391"/>
      <c r="H25" s="391"/>
    </row>
    <row r="26" spans="1:8" x14ac:dyDescent="0.2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58" t="s">
        <v>153</v>
      </c>
      <c r="C1" s="359"/>
      <c r="D1" s="359"/>
      <c r="E1" s="359"/>
      <c r="F1" s="407" t="s">
        <v>88</v>
      </c>
      <c r="G1" s="408"/>
      <c r="H1" s="409"/>
    </row>
    <row r="2" spans="1:8" ht="15.75" customHeight="1" thickBot="1" x14ac:dyDescent="0.25">
      <c r="A2" s="405"/>
      <c r="B2" s="360"/>
      <c r="C2" s="361"/>
      <c r="D2" s="361"/>
      <c r="E2" s="361"/>
      <c r="F2" s="410"/>
      <c r="G2" s="411"/>
      <c r="H2" s="412"/>
    </row>
    <row r="3" spans="1:8" ht="15" customHeight="1" x14ac:dyDescent="0.2">
      <c r="A3" s="405"/>
      <c r="B3" s="360"/>
      <c r="C3" s="361"/>
      <c r="D3" s="361"/>
      <c r="E3" s="361"/>
      <c r="F3" s="407" t="s">
        <v>89</v>
      </c>
      <c r="G3" s="408"/>
      <c r="H3" s="409"/>
    </row>
    <row r="4" spans="1:8" ht="15.75" customHeight="1" thickBot="1" x14ac:dyDescent="0.25">
      <c r="A4" s="406"/>
      <c r="B4" s="362"/>
      <c r="C4" s="363"/>
      <c r="D4" s="363"/>
      <c r="E4" s="363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132</v>
      </c>
      <c r="C7" s="92" t="s">
        <v>133</v>
      </c>
      <c r="D7" s="94" t="s">
        <v>91</v>
      </c>
      <c r="E7" s="92" t="s">
        <v>134</v>
      </c>
      <c r="F7" s="94" t="s">
        <v>92</v>
      </c>
      <c r="G7" s="94" t="s">
        <v>135</v>
      </c>
      <c r="H7" s="93" t="s">
        <v>93</v>
      </c>
    </row>
    <row r="8" spans="1:8" ht="15" x14ac:dyDescent="0.25">
      <c r="A8" s="162"/>
      <c r="B8" s="95" t="s">
        <v>136</v>
      </c>
      <c r="C8" s="96">
        <v>2559</v>
      </c>
      <c r="D8" s="97">
        <v>44166</v>
      </c>
      <c r="E8" s="96">
        <v>2559</v>
      </c>
      <c r="F8" s="97">
        <v>44197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116</v>
      </c>
      <c r="C10" s="417"/>
      <c r="D10" s="418" t="s">
        <v>137</v>
      </c>
      <c r="E10" s="418"/>
      <c r="F10" s="416" t="s">
        <v>138</v>
      </c>
      <c r="G10" s="419"/>
      <c r="H10" s="417"/>
    </row>
    <row r="11" spans="1:8" ht="15" x14ac:dyDescent="0.25">
      <c r="A11" s="102" t="s">
        <v>139</v>
      </c>
      <c r="B11" s="396"/>
      <c r="C11" s="396"/>
      <c r="D11" s="396"/>
      <c r="E11" s="396"/>
      <c r="F11" s="396">
        <v>15</v>
      </c>
      <c r="G11" s="396"/>
      <c r="H11" s="396"/>
    </row>
    <row r="12" spans="1:8" ht="21" x14ac:dyDescent="0.35">
      <c r="A12" s="402" t="s">
        <v>140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154</v>
      </c>
      <c r="B13" s="396">
        <f>G8</f>
        <v>0</v>
      </c>
      <c r="C13" s="396"/>
      <c r="D13" s="396">
        <v>16.48</v>
      </c>
      <c r="E13" s="396"/>
      <c r="F13" s="403">
        <f>PRODUCT(D13,B13)</f>
        <v>0</v>
      </c>
      <c r="G13" s="403"/>
      <c r="H13" s="403"/>
    </row>
    <row r="14" spans="1:8" ht="15" x14ac:dyDescent="0.25">
      <c r="A14" s="102" t="s">
        <v>155</v>
      </c>
      <c r="B14" s="420"/>
      <c r="C14" s="421"/>
      <c r="D14" s="420"/>
      <c r="E14" s="421"/>
      <c r="F14" s="420"/>
      <c r="G14" s="421"/>
      <c r="H14" s="111"/>
    </row>
    <row r="15" spans="1:8" ht="15" x14ac:dyDescent="0.25">
      <c r="A15" s="102" t="s">
        <v>156</v>
      </c>
      <c r="B15" s="420"/>
      <c r="C15" s="421"/>
      <c r="D15" s="420"/>
      <c r="E15" s="421"/>
      <c r="F15" s="420"/>
      <c r="G15" s="421"/>
      <c r="H15" s="111"/>
    </row>
    <row r="16" spans="1:8" ht="15" x14ac:dyDescent="0.25">
      <c r="A16" s="102" t="s">
        <v>157</v>
      </c>
      <c r="B16" s="420"/>
      <c r="C16" s="421"/>
      <c r="D16" s="420"/>
      <c r="E16" s="421"/>
      <c r="F16" s="420"/>
      <c r="G16" s="421"/>
      <c r="H16" s="111"/>
    </row>
    <row r="17" spans="1:8" ht="15" x14ac:dyDescent="0.25">
      <c r="A17" s="102" t="s">
        <v>158</v>
      </c>
      <c r="B17" s="420"/>
      <c r="C17" s="421"/>
      <c r="D17" s="420"/>
      <c r="E17" s="421"/>
      <c r="F17" s="420"/>
      <c r="G17" s="421"/>
      <c r="H17" s="111"/>
    </row>
    <row r="18" spans="1:8" ht="45" customHeight="1" x14ac:dyDescent="0.2">
      <c r="A18" s="400" t="s">
        <v>142</v>
      </c>
      <c r="B18" s="400"/>
      <c r="C18" s="400"/>
      <c r="D18" s="400"/>
      <c r="E18" s="400"/>
      <c r="F18" s="400"/>
      <c r="G18" s="400"/>
      <c r="H18" s="400"/>
    </row>
    <row r="19" spans="1:8" x14ac:dyDescent="0.2">
      <c r="A19" s="401"/>
      <c r="B19" s="401"/>
      <c r="C19" s="401"/>
      <c r="D19" s="401"/>
      <c r="E19" s="401"/>
      <c r="F19" s="401"/>
      <c r="G19" s="401"/>
      <c r="H19" s="401"/>
    </row>
    <row r="20" spans="1:8" ht="15" x14ac:dyDescent="0.25">
      <c r="A20" s="103" t="s">
        <v>143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 x14ac:dyDescent="0.25">
      <c r="A21" s="103" t="s">
        <v>144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 x14ac:dyDescent="0.25">
      <c r="A22" s="103" t="s">
        <v>145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 x14ac:dyDescent="0.25">
      <c r="A23" s="103" t="s">
        <v>146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 x14ac:dyDescent="0.25">
      <c r="A24" s="103" t="s">
        <v>152</v>
      </c>
      <c r="B24" s="420">
        <v>0</v>
      </c>
      <c r="C24" s="421"/>
      <c r="D24" s="420">
        <v>2.54</v>
      </c>
      <c r="E24" s="421"/>
      <c r="F24" s="420">
        <f>B24*D24</f>
        <v>0</v>
      </c>
      <c r="G24" s="421"/>
      <c r="H24" s="162"/>
    </row>
    <row r="25" spans="1:8" ht="18.75" x14ac:dyDescent="0.3">
      <c r="A25" s="392" t="s">
        <v>147</v>
      </c>
      <c r="B25" s="393"/>
      <c r="C25" s="393"/>
      <c r="D25" s="393"/>
      <c r="E25" s="394"/>
      <c r="F25" s="422">
        <f>SUM(F11+F13+F20+F21+F22+F23)</f>
        <v>15</v>
      </c>
      <c r="G25" s="395"/>
      <c r="H25" s="395"/>
    </row>
    <row r="26" spans="1:8" ht="15" x14ac:dyDescent="0.25">
      <c r="A26" s="381" t="s">
        <v>148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 x14ac:dyDescent="0.25">
      <c r="A27" s="397" t="s">
        <v>149</v>
      </c>
      <c r="B27" s="398"/>
      <c r="C27" s="398"/>
      <c r="D27" s="398"/>
      <c r="E27" s="399"/>
      <c r="F27" s="396">
        <v>2.4300000000000002</v>
      </c>
      <c r="G27" s="396"/>
      <c r="H27" s="396"/>
    </row>
    <row r="28" spans="1:8" ht="15.75" x14ac:dyDescent="0.25">
      <c r="A28" s="381" t="s">
        <v>150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 x14ac:dyDescent="0.2">
      <c r="A29" s="385" t="s">
        <v>151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 x14ac:dyDescent="0.2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C24" sqref="C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3" t="s">
        <v>159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7" spans="2:14" x14ac:dyDescent="0.2">
      <c r="C7" s="105" t="s">
        <v>160</v>
      </c>
      <c r="D7" s="105" t="s">
        <v>161</v>
      </c>
      <c r="E7" s="105" t="s">
        <v>162</v>
      </c>
      <c r="F7" s="105" t="s">
        <v>163</v>
      </c>
      <c r="G7" s="105" t="s">
        <v>164</v>
      </c>
      <c r="H7" s="105" t="s">
        <v>165</v>
      </c>
      <c r="I7" s="105" t="s">
        <v>166</v>
      </c>
      <c r="J7" s="105" t="s">
        <v>167</v>
      </c>
      <c r="K7" s="105" t="s">
        <v>168</v>
      </c>
      <c r="L7" s="105" t="s">
        <v>169</v>
      </c>
      <c r="M7" s="105" t="s">
        <v>170</v>
      </c>
      <c r="N7" s="105" t="s">
        <v>171</v>
      </c>
    </row>
    <row r="8" spans="2:14" ht="32.25" customHeight="1" x14ac:dyDescent="0.2">
      <c r="B8" s="106" t="s">
        <v>172</v>
      </c>
      <c r="C8" s="429"/>
      <c r="D8" s="430"/>
      <c r="E8" s="430"/>
      <c r="F8" s="430"/>
      <c r="G8" s="430"/>
      <c r="H8" s="430"/>
      <c r="I8" s="430"/>
      <c r="J8" s="430"/>
      <c r="K8" s="431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173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174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175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176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8" t="s">
        <v>177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1" t="s">
        <v>178</v>
      </c>
      <c r="C14" s="104">
        <v>239911</v>
      </c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6" t="s">
        <v>179</v>
      </c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428"/>
    </row>
    <row r="17" spans="2:14" x14ac:dyDescent="0.2">
      <c r="C17" s="105" t="s">
        <v>160</v>
      </c>
      <c r="D17" s="105" t="s">
        <v>161</v>
      </c>
      <c r="E17" s="105" t="s">
        <v>162</v>
      </c>
      <c r="F17" s="105" t="s">
        <v>163</v>
      </c>
      <c r="G17" s="105" t="s">
        <v>164</v>
      </c>
      <c r="H17" s="105" t="s">
        <v>165</v>
      </c>
      <c r="I17" s="105" t="s">
        <v>166</v>
      </c>
      <c r="J17" s="105" t="s">
        <v>167</v>
      </c>
      <c r="K17" s="105" t="s">
        <v>168</v>
      </c>
      <c r="L17" s="105" t="s">
        <v>169</v>
      </c>
      <c r="M17" s="105" t="s">
        <v>170</v>
      </c>
      <c r="N17" s="105" t="s">
        <v>171</v>
      </c>
    </row>
    <row r="18" spans="2:14" ht="28.5" customHeight="1" x14ac:dyDescent="0.2">
      <c r="B18" s="106" t="s">
        <v>172</v>
      </c>
      <c r="C18" s="429"/>
      <c r="D18" s="430"/>
      <c r="E18" s="430"/>
      <c r="F18" s="430"/>
      <c r="G18" s="430"/>
      <c r="H18" s="430"/>
      <c r="I18" s="430"/>
      <c r="J18" s="430"/>
      <c r="K18" s="431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173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174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175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176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8" t="s">
        <v>177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51" t="s">
        <v>178</v>
      </c>
      <c r="C24" s="104">
        <v>274561.56439999997</v>
      </c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C24" sqref="C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180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6" spans="2:14" ht="21" customHeight="1" x14ac:dyDescent="0.2"/>
    <row r="7" spans="2:14" x14ac:dyDescent="0.2">
      <c r="C7" s="105" t="s">
        <v>160</v>
      </c>
      <c r="D7" s="105" t="s">
        <v>161</v>
      </c>
      <c r="E7" s="105" t="s">
        <v>162</v>
      </c>
      <c r="F7" s="105" t="s">
        <v>163</v>
      </c>
      <c r="G7" s="105" t="s">
        <v>164</v>
      </c>
      <c r="H7" s="105" t="s">
        <v>165</v>
      </c>
      <c r="I7" s="105" t="s">
        <v>166</v>
      </c>
      <c r="J7" s="105" t="s">
        <v>167</v>
      </c>
      <c r="K7" s="105" t="s">
        <v>168</v>
      </c>
      <c r="L7" s="105" t="s">
        <v>169</v>
      </c>
      <c r="M7" s="105" t="s">
        <v>170</v>
      </c>
      <c r="N7" s="105" t="s">
        <v>171</v>
      </c>
    </row>
    <row r="8" spans="2:14" ht="33" customHeight="1" x14ac:dyDescent="0.2">
      <c r="B8" s="106" t="s">
        <v>172</v>
      </c>
      <c r="C8" s="429"/>
      <c r="D8" s="430"/>
      <c r="E8" s="430"/>
      <c r="F8" s="430"/>
      <c r="G8" s="430"/>
      <c r="H8" s="430"/>
      <c r="I8" s="430"/>
      <c r="J8" s="430"/>
      <c r="K8" s="431"/>
      <c r="L8" s="104"/>
      <c r="M8" s="104">
        <v>3298</v>
      </c>
      <c r="N8" s="104">
        <v>3866</v>
      </c>
    </row>
    <row r="9" spans="2:14" ht="39" customHeight="1" x14ac:dyDescent="0.2">
      <c r="B9" s="107" t="s">
        <v>173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174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175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176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8" t="s">
        <v>177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1" t="s">
        <v>178</v>
      </c>
      <c r="C14" s="104">
        <v>2083.1999999999971</v>
      </c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6" t="s">
        <v>181</v>
      </c>
      <c r="D15" s="434"/>
      <c r="E15" s="434"/>
      <c r="F15" s="434"/>
      <c r="G15" s="434"/>
      <c r="H15" s="434"/>
      <c r="I15" s="434"/>
      <c r="J15" s="434"/>
      <c r="K15" s="434"/>
      <c r="L15" s="434"/>
      <c r="M15" s="434"/>
      <c r="N15" s="435"/>
    </row>
    <row r="17" spans="2:15" ht="18" customHeight="1" x14ac:dyDescent="0.2">
      <c r="C17" s="105" t="s">
        <v>160</v>
      </c>
      <c r="D17" s="105" t="s">
        <v>161</v>
      </c>
      <c r="E17" s="105" t="s">
        <v>162</v>
      </c>
      <c r="F17" s="105" t="s">
        <v>163</v>
      </c>
      <c r="G17" s="105" t="s">
        <v>164</v>
      </c>
      <c r="H17" s="105" t="s">
        <v>165</v>
      </c>
      <c r="I17" s="105" t="s">
        <v>166</v>
      </c>
      <c r="J17" s="105" t="s">
        <v>167</v>
      </c>
      <c r="K17" s="105" t="s">
        <v>168</v>
      </c>
      <c r="L17" s="105" t="s">
        <v>169</v>
      </c>
      <c r="M17" s="105" t="s">
        <v>170</v>
      </c>
      <c r="N17" s="105" t="s">
        <v>171</v>
      </c>
    </row>
    <row r="18" spans="2:15" ht="30" customHeight="1" x14ac:dyDescent="0.2">
      <c r="B18" s="106" t="s">
        <v>172</v>
      </c>
      <c r="C18" s="429"/>
      <c r="D18" s="430"/>
      <c r="E18" s="430"/>
      <c r="F18" s="430"/>
      <c r="G18" s="430"/>
      <c r="H18" s="430"/>
      <c r="I18" s="430"/>
      <c r="J18" s="430"/>
      <c r="K18" s="431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173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174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175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176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8" t="s">
        <v>177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51" t="s">
        <v>178</v>
      </c>
      <c r="C24" s="104">
        <v>23771.479999999963</v>
      </c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C24" sqref="C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182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6" spans="2:14" ht="23.25" customHeight="1" x14ac:dyDescent="0.2"/>
    <row r="7" spans="2:14" x14ac:dyDescent="0.2">
      <c r="C7" s="105" t="s">
        <v>160</v>
      </c>
      <c r="D7" s="105" t="s">
        <v>161</v>
      </c>
      <c r="E7" s="105" t="s">
        <v>162</v>
      </c>
      <c r="F7" s="105" t="s">
        <v>163</v>
      </c>
      <c r="G7" s="105" t="s">
        <v>164</v>
      </c>
      <c r="H7" s="105" t="s">
        <v>165</v>
      </c>
      <c r="I7" s="105" t="s">
        <v>166</v>
      </c>
      <c r="J7" s="105" t="s">
        <v>167</v>
      </c>
      <c r="K7" s="105" t="s">
        <v>168</v>
      </c>
      <c r="L7" s="105" t="s">
        <v>169</v>
      </c>
      <c r="M7" s="105" t="s">
        <v>170</v>
      </c>
      <c r="N7" s="105" t="s">
        <v>171</v>
      </c>
    </row>
    <row r="8" spans="2:14" ht="33.75" customHeight="1" x14ac:dyDescent="0.2">
      <c r="B8" s="106" t="s">
        <v>172</v>
      </c>
      <c r="C8" s="429"/>
      <c r="D8" s="430"/>
      <c r="E8" s="430"/>
      <c r="F8" s="430"/>
      <c r="G8" s="430"/>
      <c r="H8" s="430"/>
      <c r="I8" s="430"/>
      <c r="J8" s="430"/>
      <c r="K8" s="431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173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174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175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176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8" t="s">
        <v>177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1" t="s">
        <v>178</v>
      </c>
      <c r="C14" s="104">
        <v>16222.314</v>
      </c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6" t="s">
        <v>183</v>
      </c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428"/>
    </row>
    <row r="17" spans="2:14" ht="17.25" customHeight="1" x14ac:dyDescent="0.2">
      <c r="C17" s="105" t="s">
        <v>160</v>
      </c>
      <c r="D17" s="105" t="s">
        <v>161</v>
      </c>
      <c r="E17" s="105" t="s">
        <v>162</v>
      </c>
      <c r="F17" s="105" t="s">
        <v>163</v>
      </c>
      <c r="G17" s="105" t="s">
        <v>164</v>
      </c>
      <c r="H17" s="105" t="s">
        <v>165</v>
      </c>
      <c r="I17" s="105" t="s">
        <v>166</v>
      </c>
      <c r="J17" s="105" t="s">
        <v>167</v>
      </c>
      <c r="K17" s="105" t="s">
        <v>168</v>
      </c>
      <c r="L17" s="105" t="s">
        <v>169</v>
      </c>
      <c r="M17" s="105" t="s">
        <v>170</v>
      </c>
      <c r="N17" s="105" t="s">
        <v>171</v>
      </c>
    </row>
    <row r="18" spans="2:14" ht="30" customHeight="1" x14ac:dyDescent="0.2">
      <c r="B18" s="106" t="s">
        <v>172</v>
      </c>
      <c r="C18" s="429"/>
      <c r="D18" s="430"/>
      <c r="E18" s="430"/>
      <c r="F18" s="430"/>
      <c r="G18" s="430"/>
      <c r="H18" s="430"/>
      <c r="I18" s="430"/>
      <c r="J18" s="430"/>
      <c r="K18" s="431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173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174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175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176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8" t="s">
        <v>177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51" t="s">
        <v>178</v>
      </c>
      <c r="C24" s="104">
        <v>175249.65814200003</v>
      </c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2023-02-23T14:58:09Z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