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<sst xmlns="http://schemas.openxmlformats.org/spreadsheetml/2006/main" count="102" uniqueCount="37">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</sst>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M22" sqref="M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10103</v>
      </c>
      <c r="F19" s="24">
        <v>0.11799999999999999</v>
      </c>
      <c r="G19" s="26">
        <f>(('02 - 2020'!E24-'02 - 2020'!E23)+('02 - 2020'!F24-'02 - 2020'!F23)+('02 - 2020'!G24-'02 - 2020'!G23))*1.81</f>
        <v>132.54629999999634</v>
      </c>
      <c r="H19" s="24">
        <v>0.99</v>
      </c>
      <c r="I19" s="26">
        <f>'02 - 2020'!J24-'02 - 2020'!J23</f>
        <v>13320</v>
      </c>
      <c r="J19" s="24">
        <v>8.1000000000000003E-2</v>
      </c>
      <c r="K19" s="26">
        <f>'02 - 2020'!H24-'02 - 2020'!H23</f>
        <v>0</v>
      </c>
      <c r="L19" s="26">
        <f>'02 - 2020'!I24-'02 - 2020'!I23</f>
        <v>122</v>
      </c>
      <c r="M19" s="25">
        <v>4.393629424766913</v>
      </c>
      <c r="N19" s="52">
        <v>102</v>
      </c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9165</v>
      </c>
      <c r="F20" s="24">
        <v>0.11799999999999999</v>
      </c>
      <c r="G20" s="26">
        <f>(('02 - 2020'!E25-'02 - 2020'!E24)+('02 - 2020'!F25-'02 - 2020'!F24)+('02 - 2020'!G25-'02 - 2020'!G24))*1.81</f>
        <v>136.07580000000712</v>
      </c>
      <c r="H20" s="24">
        <v>0.99</v>
      </c>
      <c r="I20" s="26">
        <f>'02 - 2020'!J25-'02 - 2020'!J24</f>
        <v>13071</v>
      </c>
      <c r="J20" s="24">
        <v>8.1000000000000003E-2</v>
      </c>
      <c r="K20" s="26">
        <f>'02 - 2020'!H25-'02 - 2020'!H24</f>
        <v>0</v>
      </c>
      <c r="L20" s="26">
        <f>'02 - 2020'!I25-'02 - 2020'!I24</f>
        <v>125</v>
      </c>
      <c r="M20" s="25">
        <v>4.393629424766913</v>
      </c>
      <c r="N20" s="52">
        <v>96</v>
      </c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10243</v>
      </c>
      <c r="F21" s="24">
        <v>0.11799999999999999</v>
      </c>
      <c r="G21" s="26">
        <f>(('02 - 2020'!E26-'02 - 2020'!E25)+('02 - 2020'!F26-'02 - 2020'!F25)+('02 - 2020'!G26-'02 - 2020'!G25))*1.81</f>
        <v>138.79079999999271</v>
      </c>
      <c r="H21" s="24">
        <v>0.99</v>
      </c>
      <c r="I21" s="26">
        <f>'02 - 2020'!J26-'02 - 2020'!J25</f>
        <v>15328</v>
      </c>
      <c r="J21" s="24">
        <v>8.1000000000000003E-2</v>
      </c>
      <c r="K21" s="26">
        <f>'02 - 2020'!H26-'02 - 2020'!H25</f>
        <v>0</v>
      </c>
      <c r="L21" s="26">
        <f>'02 - 2020'!I26-'02 - 2020'!I25</f>
        <v>124</v>
      </c>
      <c r="M21" s="25">
        <v>4.393629424766913</v>
      </c>
      <c r="N21" s="52">
        <v>98</v>
      </c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v>0</v>
      </c>
      <c r="F22" s="24">
        <v>0.11799999999999999</v>
      </c>
      <c r="G22" s="26">
        <v>0</v>
      </c>
      <c r="H22" s="24">
        <v>0.99</v>
      </c>
      <c r="I22" s="26">
        <v>0</v>
      </c>
      <c r="J22" s="24">
        <v>8.1000000000000003E-2</v>
      </c>
      <c r="K22" s="26">
        <v>0</v>
      </c>
      <c r="L22" s="26"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0</v>
      </c>
      <c r="F23" s="24">
        <v>0.11799999999999999</v>
      </c>
      <c r="G23" s="26">
        <f>(('02 - 2020'!E28-'02 - 2020'!E27)+('02 - 2020'!F28-'02 - 2020'!F27)+('02 - 2020'!G28-'02 - 2020'!G27))*1.81</f>
        <v>0</v>
      </c>
      <c r="H23" s="24">
        <v>0.99</v>
      </c>
      <c r="I23" s="26">
        <f>'02 - 2020'!J28-'02 - 2020'!J27</f>
        <v>0</v>
      </c>
      <c r="J23" s="24">
        <v>8.1000000000000003E-2</v>
      </c>
      <c r="K23" s="26">
        <f>'02 - 2020'!H28-'02 - 2020'!H27</f>
        <v>0</v>
      </c>
      <c r="L23" s="26">
        <f>'02 - 2020'!I28-'02 - 2020'!I27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'02 - 2020'!B29-'02 - 2020'!B28+'02 - 2020'!C29-'02 - 2020'!C28</f>
        <v>0</v>
      </c>
      <c r="F24" s="24">
        <v>0.11799999999999999</v>
      </c>
      <c r="G24" s="26">
        <f>(('02 - 2020'!E29-'02 - 2020'!E28)+('02 - 2020'!F29-'02 - 2020'!F28)+('02 - 2020'!G29-'02 - 2020'!G28))*1.81</f>
        <v>0</v>
      </c>
      <c r="H24" s="24">
        <v>0.99</v>
      </c>
      <c r="I24" s="26">
        <f>'02 - 2020'!J29-'02 - 2020'!J28</f>
        <v>0</v>
      </c>
      <c r="J24" s="24">
        <v>8.1000000000000003E-2</v>
      </c>
      <c r="K24" s="26">
        <f>'02 - 2020'!H29-'02 - 2020'!H28</f>
        <v>0</v>
      </c>
      <c r="L24" s="26">
        <f>'02 - 2020'!I29-'02 - 2020'!I28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3899</v>
      </c>
      <c r="F19" s="26">
        <f>'02 - 2020'!C24-'02 - 2020'!C23</f>
        <v>6204</v>
      </c>
      <c r="G19" s="24">
        <v>0.11799999999999999</v>
      </c>
      <c r="H19" s="26">
        <f>'02 - 2020'!E24-'02 - 2020'!E23</f>
        <v>25.3799999999992</v>
      </c>
      <c r="I19" s="26">
        <f>'02 - 2020'!F24-'02 - 2020'!F23</f>
        <v>4.8199999999999363</v>
      </c>
      <c r="J19" s="26">
        <f>'02 - 2020'!G24-'02 - 2020'!G23</f>
        <v>43.029999999998836</v>
      </c>
      <c r="K19" s="24">
        <v>0.74</v>
      </c>
      <c r="L19" s="6">
        <v>102</v>
      </c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3519</v>
      </c>
      <c r="F20" s="26">
        <f>'02 - 2020'!C25-'02 - 2020'!C24</f>
        <v>5646</v>
      </c>
      <c r="G20" s="24">
        <v>0.11799999999999999</v>
      </c>
      <c r="H20" s="26">
        <f>'02 - 2020'!E25-'02 - 2020'!E24</f>
        <v>24.790000000000873</v>
      </c>
      <c r="I20" s="26">
        <f>'02 - 2020'!F25-'02 - 2020'!F24</f>
        <v>5.3400000000001455</v>
      </c>
      <c r="J20" s="26">
        <f>'02 - 2020'!G25-'02 - 2020'!G24</f>
        <v>45.05000000000291</v>
      </c>
      <c r="K20" s="24">
        <v>0.74</v>
      </c>
      <c r="L20" s="6">
        <v>96</v>
      </c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3867</v>
      </c>
      <c r="F21" s="26">
        <f>'02 - 2020'!C26-'02 - 2020'!C25</f>
        <v>6376</v>
      </c>
      <c r="G21" s="24">
        <v>0.11799999999999999</v>
      </c>
      <c r="H21" s="26">
        <f>'02 - 2020'!E26-'02 - 2020'!E25</f>
        <v>26.299999999999272</v>
      </c>
      <c r="I21" s="26">
        <f>'02 - 2020'!F26-'02 - 2020'!F25</f>
        <v>5.1099999999999</v>
      </c>
      <c r="J21" s="26">
        <f>'02 - 2020'!G26-'02 - 2020'!G25</f>
        <v>45.269999999996799</v>
      </c>
      <c r="K21" s="24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v>0</v>
      </c>
      <c r="F22" s="26">
        <v>0</v>
      </c>
      <c r="G22" s="24">
        <v>0.11799999999999999</v>
      </c>
      <c r="H22" s="26">
        <v>0</v>
      </c>
      <c r="I22" s="26">
        <v>0</v>
      </c>
      <c r="J22" s="26"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0</v>
      </c>
      <c r="F23" s="26">
        <f>'02 - 2020'!C28-'02 - 2020'!C27</f>
        <v>0</v>
      </c>
      <c r="G23" s="24">
        <v>0.11799999999999999</v>
      </c>
      <c r="H23" s="26">
        <f>'02 - 2020'!E28-'02 - 2020'!E27</f>
        <v>0</v>
      </c>
      <c r="I23" s="26">
        <f>'02 - 2020'!F28-'02 - 2020'!F27</f>
        <v>0</v>
      </c>
      <c r="J23" s="26">
        <f>'02 - 2020'!G28-'02 - 2020'!G27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f>'02 - 2020'!B29-'02 - 2020'!B28</f>
        <v>0</v>
      </c>
      <c r="F24" s="26">
        <f>'02 - 2020'!C29-'02 - 2020'!C28</f>
        <v>0</v>
      </c>
      <c r="G24" s="24">
        <v>0.11799999999999999</v>
      </c>
      <c r="H24" s="26">
        <f>'02 - 2020'!E29-'02 - 2020'!E28</f>
        <v>0</v>
      </c>
      <c r="I24" s="26">
        <f>'02 - 2020'!F29-'02 - 2020'!F28</f>
        <v>0</v>
      </c>
      <c r="J24" s="26">
        <f>'02 - 2020'!G29-'02 - 2020'!G28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26" sqref="B26:J2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>
        <v>563900</v>
      </c>
      <c r="C24" s="17">
        <v>553709</v>
      </c>
      <c r="D24" s="28">
        <v>0.62</v>
      </c>
      <c r="E24" s="29">
        <v>9971.32</v>
      </c>
      <c r="F24" s="29">
        <v>1918.84</v>
      </c>
      <c r="G24" s="17">
        <v>17251.099999999999</v>
      </c>
      <c r="H24" s="15">
        <v>14528</v>
      </c>
      <c r="I24" s="15">
        <v>89356</v>
      </c>
      <c r="J24" s="15">
        <v>37817444</v>
      </c>
      <c r="K24" s="27"/>
      <c r="L24" s="34"/>
    </row>
    <row r="25" spans="1:16" ht="12.75" customHeight="1" x14ac:dyDescent="0.25">
      <c r="A25" s="48">
        <v>43880</v>
      </c>
      <c r="B25" s="17">
        <v>567419</v>
      </c>
      <c r="C25" s="17">
        <v>559355</v>
      </c>
      <c r="D25" s="28">
        <v>0.55000000000000004</v>
      </c>
      <c r="E25" s="29">
        <v>9996.11</v>
      </c>
      <c r="F25" s="29">
        <v>1924.18</v>
      </c>
      <c r="G25" s="17">
        <v>17296.150000000001</v>
      </c>
      <c r="H25" s="15">
        <v>14528</v>
      </c>
      <c r="I25" s="15">
        <v>89481</v>
      </c>
      <c r="J25" s="15">
        <v>37830515</v>
      </c>
      <c r="K25" s="27"/>
      <c r="L25" s="34"/>
    </row>
    <row r="26" spans="1:16" ht="12.75" customHeight="1" x14ac:dyDescent="0.25">
      <c r="A26" s="48">
        <v>43881</v>
      </c>
      <c r="B26" s="15">
        <v>571286</v>
      </c>
      <c r="C26" s="15">
        <v>565731</v>
      </c>
      <c r="D26" s="16">
        <v>0.45</v>
      </c>
      <c r="E26" s="29">
        <v>10022.41</v>
      </c>
      <c r="F26" s="29">
        <v>1929.29</v>
      </c>
      <c r="G26" s="17">
        <v>17341.419999999998</v>
      </c>
      <c r="H26" s="15">
        <v>14528</v>
      </c>
      <c r="I26" s="15">
        <v>89605</v>
      </c>
      <c r="J26" s="15">
        <v>37845843</v>
      </c>
      <c r="K26" s="18"/>
      <c r="L26" s="33"/>
    </row>
    <row r="27" spans="1:16" ht="12.75" customHeight="1" x14ac:dyDescent="0.25">
      <c r="A27" s="48">
        <v>43882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</row>
    <row r="28" spans="1:16" ht="12.75" customHeight="1" x14ac:dyDescent="0.25">
      <c r="A28" s="48">
        <v>43852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8150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2020-02-20T05:26:06Z</dcterms:modified>
</cp:coreProperties>
</file>