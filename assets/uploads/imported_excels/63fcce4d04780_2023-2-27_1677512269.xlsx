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64" documentId="8_{9B439D3B-B023-4087-B27B-CB56FE35C246}" xr6:coauthVersionLast="47" xr6:coauthVersionMax="47" xr10:uidLastSave="{54E94F51-03B9-4E89-A9B9-99B8D938020D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V7" i="3"/>
  <c r="AC7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<sst xmlns="http://schemas.openxmlformats.org/spreadsheetml/2006/main" count="91" uniqueCount="53">
  <si>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</si>
  <si>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</si>
  <si>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</si>
  <si>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</si>
  <si>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</si>
  <si>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</si>
  <si>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</si>
  <si>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</si>
  <si>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</si>
  <si>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</si>
  <si>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</si>
  <si>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</si>
  <si>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</si>
  <si>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</si>
  <si>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</si>
  <si>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</si>
  <si>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JANUARY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</si>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</sst>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Alignment="1" applyProtection="1">
      <alignment horizontal="right"/>
      <protection locked="0"/>
    </xf>
    <xf numFmtId="0" fontId="21" fillId="0" borderId="11" xfId="0" applyFont="1" applyBorder="1" applyAlignment="1">
      <alignment horizontal="right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</v>
      </c>
      <c r="D2" s="97">
        <v>2021</v>
      </c>
      <c r="E2" s="99">
        <f>'Localize Daily Bali Jimbaran'!P7</f>
        <v>17199.999999999971</v>
      </c>
      <c r="F2" s="100">
        <f>'Localize Daily Bali Jimbaran'!O7/'Localize Daily Bali Jimbaran'!P7</f>
        <v>1185.5766715116276</v>
      </c>
      <c r="G2" s="99">
        <f>'Localize Daily Bali Jimbaran'!AC7</f>
        <v>48</v>
      </c>
      <c r="H2" s="100">
        <f>'Localize Daily Bali Jimbaran'!AD7/'Localize Daily Bali Jimbaran'!AC7</f>
        <v>11458.333333333334</v>
      </c>
      <c r="I2" s="99">
        <f>'Localize Daily Bali Jimbaran'!AH7</f>
        <v>276.88000000000466</v>
      </c>
      <c r="J2" s="101">
        <f>'Localize Daily Bali Jimbaran'!AI7/'Localize Daily Bali Jimbaran'!AH7</f>
        <v>8600</v>
      </c>
      <c r="K2" s="99">
        <f>'Localize Daily Bali Jimbaran'!Q7</f>
        <v>99</v>
      </c>
      <c r="L2" s="100">
        <f>'Localize Daily Bali Jimbaran'!V7/'Localize Daily Bali Jimbaran'!Q7</f>
        <v>17970.5</v>
      </c>
      <c r="M2" s="99">
        <f>'Localize Daily Bali Jimbaran'!C7</f>
        <v>42</v>
      </c>
      <c r="N2" s="99">
        <v>104</v>
      </c>
    </row>
    <row r="3" spans="1:14" ht="15">
      <c r="A3" s="96" t="s">
        <v>14</v>
      </c>
      <c r="B3" s="97">
        <v>2</v>
      </c>
      <c r="C3" s="98">
        <v>1</v>
      </c>
      <c r="D3" s="97">
        <v>2021</v>
      </c>
      <c r="E3" s="99">
        <f>'Localize Daily Bali Jimbaran'!P8</f>
        <v>16499.999999999996</v>
      </c>
      <c r="F3" s="100">
        <f>'Localize Daily Bali Jimbaran'!O8/'Localize Daily Bali Jimbaran'!P8</f>
        <v>1182.4841127272728</v>
      </c>
      <c r="G3" s="99">
        <f>'Localize Daily Bali Jimbaran'!AC8</f>
        <v>862</v>
      </c>
      <c r="H3" s="100">
        <f>'Localize Daily Bali Jimbaran'!AD8/'Localize Daily Bali Jimbaran'!AC8</f>
        <v>11026.102088167054</v>
      </c>
      <c r="I3" s="99">
        <f>'Localize Daily Bali Jimbaran'!AH8</f>
        <v>349.82000000000698</v>
      </c>
      <c r="J3" s="101">
        <f>'Localize Daily Bali Jimbaran'!AI8/'Localize Daily Bali Jimbaran'!AH8</f>
        <v>8600</v>
      </c>
      <c r="K3" s="99">
        <f>'Localize Daily Bali Jimbaran'!Q8</f>
        <v>96</v>
      </c>
      <c r="L3" s="100">
        <f>'Localize Daily Bali Jimbaran'!V8/'Localize Daily Bali Jimbaran'!Q8</f>
        <v>17970.5</v>
      </c>
      <c r="M3" s="99">
        <f>'Localize Daily Bali Jimbaran'!C8</f>
        <v>37</v>
      </c>
      <c r="N3" s="99">
        <v>94</v>
      </c>
    </row>
    <row r="4" spans="1:14" ht="15">
      <c r="A4" s="96" t="s">
        <v>14</v>
      </c>
      <c r="B4" s="97">
        <v>3</v>
      </c>
      <c r="C4" s="98">
        <v>1</v>
      </c>
      <c r="D4" s="97">
        <v>2021</v>
      </c>
      <c r="E4" s="99">
        <f>'Localize Daily Bali Jimbaran'!P9</f>
        <v>13580.000000000047</v>
      </c>
      <c r="F4" s="100">
        <f>'Localize Daily Bali Jimbaran'!O9/'Localize Daily Bali Jimbaran'!P9</f>
        <v>1125.2094587628869</v>
      </c>
      <c r="G4" s="99">
        <f>'Localize Daily Bali Jimbaran'!AC9</f>
        <v>12</v>
      </c>
      <c r="H4" s="100">
        <f>'Localize Daily Bali Jimbaran'!AD9/'Localize Daily Bali Jimbaran'!AC9</f>
        <v>11458.333333333334</v>
      </c>
      <c r="I4" s="99">
        <f>'Localize Daily Bali Jimbaran'!AH9</f>
        <v>284.97999999999593</v>
      </c>
      <c r="J4" s="101">
        <f>'Localize Daily Bali Jimbaran'!AI9/'Localize Daily Bali Jimbaran'!AH9</f>
        <v>8600</v>
      </c>
      <c r="K4" s="99">
        <f>'Localize Daily Bali Jimbaran'!Q9</f>
        <v>94</v>
      </c>
      <c r="L4" s="100">
        <f>'Localize Daily Bali Jimbaran'!V9/'Localize Daily Bali Jimbaran'!Q9</f>
        <v>17970.5</v>
      </c>
      <c r="M4" s="99">
        <f>'Localize Daily Bali Jimbaran'!C9</f>
        <v>29</v>
      </c>
      <c r="N4" s="99">
        <v>68</v>
      </c>
    </row>
    <row r="5" spans="1:14" ht="15">
      <c r="A5" s="96" t="s">
        <v>14</v>
      </c>
      <c r="B5" s="97">
        <v>4</v>
      </c>
      <c r="C5" s="98">
        <v>1</v>
      </c>
      <c r="D5" s="97">
        <v>2021</v>
      </c>
      <c r="E5" s="99">
        <f>'Localize Daily Bali Jimbaran'!P10</f>
        <v>19119.999999999913</v>
      </c>
      <c r="F5" s="100">
        <f>'Localize Daily Bali Jimbaran'!O10/'Localize Daily Bali Jimbaran'!P10</f>
        <v>1212.7076924686194</v>
      </c>
      <c r="G5" s="99">
        <f>'Localize Daily Bali Jimbaran'!AC10</f>
        <v>24</v>
      </c>
      <c r="H5" s="100">
        <f>'Localize Daily Bali Jimbaran'!AD10/'Localize Daily Bali Jimbaran'!AC10</f>
        <v>11458.333333333334</v>
      </c>
      <c r="I5" s="99">
        <f>'Localize Daily Bali Jimbaran'!AH10</f>
        <v>297.97999999999593</v>
      </c>
      <c r="J5" s="101">
        <f>'Localize Daily Bali Jimbaran'!AI10/'Localize Daily Bali Jimbaran'!AH10</f>
        <v>8600</v>
      </c>
      <c r="K5" s="99">
        <f>'Localize Daily Bali Jimbaran'!Q10</f>
        <v>76</v>
      </c>
      <c r="L5" s="100">
        <f>'Localize Daily Bali Jimbaran'!V10/'Localize Daily Bali Jimbaran'!Q10</f>
        <v>17970.5</v>
      </c>
      <c r="M5" s="99">
        <f>'Localize Daily Bali Jimbaran'!C10</f>
        <v>23</v>
      </c>
      <c r="N5" s="99">
        <v>51</v>
      </c>
    </row>
    <row r="6" spans="1:14" ht="15">
      <c r="A6" s="96" t="s">
        <v>14</v>
      </c>
      <c r="B6" s="97">
        <v>5</v>
      </c>
      <c r="C6" s="98">
        <v>1</v>
      </c>
      <c r="D6" s="97">
        <v>2021</v>
      </c>
      <c r="E6" s="99">
        <f>'Localize Daily Bali Jimbaran'!P11</f>
        <v>14820</v>
      </c>
      <c r="F6" s="100">
        <f>'Localize Daily Bali Jimbaran'!O11/'Localize Daily Bali Jimbaran'!P11</f>
        <v>1182.2359372469641</v>
      </c>
      <c r="G6" s="99">
        <f>'Localize Daily Bali Jimbaran'!AC11</f>
        <v>362</v>
      </c>
      <c r="H6" s="100">
        <f>'Localize Daily Bali Jimbaran'!AD11/'Localize Daily Bali Jimbaran'!AC11</f>
        <v>11034.530386740331</v>
      </c>
      <c r="I6" s="99">
        <f>'Localize Daily Bali Jimbaran'!AH11</f>
        <v>315.86999999999534</v>
      </c>
      <c r="J6" s="101">
        <f>'Localize Daily Bali Jimbaran'!AI11/'Localize Daily Bali Jimbaran'!AH11</f>
        <v>8600</v>
      </c>
      <c r="K6" s="99">
        <f>'Localize Daily Bali Jimbaran'!Q11</f>
        <v>96</v>
      </c>
      <c r="L6" s="100">
        <f>'Localize Daily Bali Jimbaran'!V11/'Localize Daily Bali Jimbaran'!Q11</f>
        <v>17970.5</v>
      </c>
      <c r="M6" s="99">
        <f>'Localize Daily Bali Jimbaran'!C11</f>
        <v>18</v>
      </c>
      <c r="N6" s="99">
        <v>43</v>
      </c>
    </row>
    <row r="7" spans="1:14" ht="15">
      <c r="A7" s="96" t="s">
        <v>14</v>
      </c>
      <c r="B7" s="97">
        <v>6</v>
      </c>
      <c r="C7" s="98">
        <v>1</v>
      </c>
      <c r="D7" s="97">
        <v>2021</v>
      </c>
      <c r="E7" s="99">
        <f>'Localize Daily Bali Jimbaran'!P12</f>
        <v>11119.999999999991</v>
      </c>
      <c r="F7" s="100">
        <f>'Localize Daily Bali Jimbaran'!O12/'Localize Daily Bali Jimbaran'!P12</f>
        <v>1203.9545314748195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330.63000000000466</v>
      </c>
      <c r="J7" s="101">
        <f>'Localize Daily Bali Jimbaran'!AI12/'Localize Daily Bali Jimbaran'!AH12</f>
        <v>8600</v>
      </c>
      <c r="K7" s="99">
        <f>'Localize Daily Bali Jimbaran'!Q12</f>
        <v>711.8</v>
      </c>
      <c r="L7" s="100">
        <f>'Localize Daily Bali Jimbaran'!V12/'Localize Daily Bali Jimbaran'!Q12</f>
        <v>6150.0933183478501</v>
      </c>
      <c r="M7" s="99">
        <f>'Localize Daily Bali Jimbaran'!C12</f>
        <v>14</v>
      </c>
      <c r="N7" s="99">
        <v>32</v>
      </c>
    </row>
    <row r="8" spans="1:14" ht="15">
      <c r="A8" s="96" t="s">
        <v>14</v>
      </c>
      <c r="B8" s="97">
        <v>7</v>
      </c>
      <c r="C8" s="98">
        <v>1</v>
      </c>
      <c r="D8" s="97">
        <v>2021</v>
      </c>
      <c r="E8" s="99">
        <f>'Localize Daily Bali Jimbaran'!P13</f>
        <v>14579.999999999996</v>
      </c>
      <c r="F8" s="100">
        <f>'Localize Daily Bali Jimbaran'!O13/'Localize Daily Bali Jimbaran'!P13</f>
        <v>1179.3186481481482</v>
      </c>
      <c r="G8" s="99">
        <f>'Localize Daily Bali Jimbaran'!AC13</f>
        <v>24</v>
      </c>
      <c r="H8" s="100">
        <f>'Localize Daily Bali Jimbaran'!AD13/'Localize Daily Bali Jimbaran'!AC13</f>
        <v>11458.333333333334</v>
      </c>
      <c r="I8" s="99">
        <f>'Localize Daily Bali Jimbaran'!AH13</f>
        <v>372.74000000001979</v>
      </c>
      <c r="J8" s="101">
        <f>'Localize Daily Bali Jimbaran'!AI13/'Localize Daily Bali Jimbaran'!AH13</f>
        <v>8600</v>
      </c>
      <c r="K8" s="99">
        <f>'Localize Daily Bali Jimbaran'!Q13</f>
        <v>166.60000000000014</v>
      </c>
      <c r="L8" s="100">
        <f>'Localize Daily Bali Jimbaran'!V13/'Localize Daily Bali Jimbaran'!Q13</f>
        <v>11924.622256902756</v>
      </c>
      <c r="M8" s="99">
        <f>'Localize Daily Bali Jimbaran'!C13</f>
        <v>14</v>
      </c>
      <c r="N8" s="99">
        <v>39</v>
      </c>
    </row>
    <row r="9" spans="1:14" ht="15">
      <c r="A9" s="96" t="s">
        <v>14</v>
      </c>
      <c r="B9" s="97">
        <v>8</v>
      </c>
      <c r="C9" s="98">
        <v>1</v>
      </c>
      <c r="D9" s="97">
        <v>2021</v>
      </c>
      <c r="E9" s="99">
        <f>'Localize Daily Bali Jimbaran'!P14</f>
        <v>14040.0000000001</v>
      </c>
      <c r="F9" s="100">
        <f>'Localize Daily Bali Jimbaran'!O14/'Localize Daily Bali Jimbaran'!P14</f>
        <v>1175.1012628205126</v>
      </c>
      <c r="G9" s="99">
        <f>'Localize Daily Bali Jimbaran'!AC14</f>
        <v>24</v>
      </c>
      <c r="H9" s="100">
        <f>'Localize Daily Bali Jimbaran'!AD14/'Localize Daily Bali Jimbaran'!AC14</f>
        <v>11458.333333333334</v>
      </c>
      <c r="I9" s="99">
        <f>'Localize Daily Bali Jimbaran'!AH14</f>
        <v>290.02000000000407</v>
      </c>
      <c r="J9" s="101">
        <f>'Localize Daily Bali Jimbaran'!AI14/'Localize Daily Bali Jimbaran'!AH14</f>
        <v>8600</v>
      </c>
      <c r="K9" s="99">
        <f>'Localize Daily Bali Jimbaran'!Q14</f>
        <v>54</v>
      </c>
      <c r="L9" s="100">
        <f>'Localize Daily Bali Jimbaran'!V14/'Localize Daily Bali Jimbaran'!Q14</f>
        <v>17970.5</v>
      </c>
      <c r="M9" s="99">
        <f>'Localize Daily Bali Jimbaran'!C14</f>
        <v>13</v>
      </c>
      <c r="N9" s="99">
        <v>31</v>
      </c>
    </row>
    <row r="10" spans="1:14" ht="15">
      <c r="A10" s="96" t="s">
        <v>14</v>
      </c>
      <c r="B10" s="97">
        <v>9</v>
      </c>
      <c r="C10" s="98">
        <v>1</v>
      </c>
      <c r="D10" s="97">
        <v>2021</v>
      </c>
      <c r="E10" s="99">
        <f>'Localize Daily Bali Jimbaran'!P15</f>
        <v>13939.999999999889</v>
      </c>
      <c r="F10" s="100">
        <f>'Localize Daily Bali Jimbaran'!O15/'Localize Daily Bali Jimbaran'!P15</f>
        <v>1184.3111492109047</v>
      </c>
      <c r="G10" s="99">
        <f>'Localize Daily Bali Jimbaran'!AC15</f>
        <v>62</v>
      </c>
      <c r="H10" s="100">
        <f>'Localize Daily Bali Jimbaran'!AD15/'Localize Daily Bali Jimbaran'!AC15</f>
        <v>11104.838709677419</v>
      </c>
      <c r="I10" s="99">
        <f>'Localize Daily Bali Jimbaran'!AH15</f>
        <v>296.08000000000175</v>
      </c>
      <c r="J10" s="101">
        <f>'Localize Daily Bali Jimbaran'!AI15/'Localize Daily Bali Jimbaran'!AH15</f>
        <v>8600</v>
      </c>
      <c r="K10" s="99">
        <f>'Localize Daily Bali Jimbaran'!Q15</f>
        <v>63</v>
      </c>
      <c r="L10" s="100">
        <f>'Localize Daily Bali Jimbaran'!V15/'Localize Daily Bali Jimbaran'!Q15</f>
        <v>17970.5</v>
      </c>
      <c r="M10" s="99">
        <f>'Localize Daily Bali Jimbaran'!C15</f>
        <v>11</v>
      </c>
      <c r="N10" s="99">
        <v>27</v>
      </c>
    </row>
    <row r="11" spans="1:14" ht="15">
      <c r="A11" s="96" t="s">
        <v>14</v>
      </c>
      <c r="B11" s="97">
        <v>10</v>
      </c>
      <c r="C11" s="98">
        <v>1</v>
      </c>
      <c r="D11" s="97">
        <v>2021</v>
      </c>
      <c r="E11" s="99">
        <f>'Localize Daily Bali Jimbaran'!P16</f>
        <v>13800.000000000004</v>
      </c>
      <c r="F11" s="100">
        <f>'Localize Daily Bali Jimbaran'!O16/'Localize Daily Bali Jimbaran'!P16</f>
        <v>1178.9878434782604</v>
      </c>
      <c r="G11" s="99">
        <f>'Localize Daily Bali Jimbaran'!AC16</f>
        <v>12</v>
      </c>
      <c r="H11" s="100">
        <f>'Localize Daily Bali Jimbaran'!AD16/'Localize Daily Bali Jimbaran'!AC16</f>
        <v>11458.333333333334</v>
      </c>
      <c r="I11" s="99">
        <f>'Localize Daily Bali Jimbaran'!AH16</f>
        <v>171.01999999998952</v>
      </c>
      <c r="J11" s="101">
        <f>'Localize Daily Bali Jimbaran'!AI16/'Localize Daily Bali Jimbaran'!AH16</f>
        <v>8600</v>
      </c>
      <c r="K11" s="99">
        <f>'Localize Daily Bali Jimbaran'!Q16</f>
        <v>58</v>
      </c>
      <c r="L11" s="100">
        <f>'Localize Daily Bali Jimbaran'!V16/'Localize Daily Bali Jimbaran'!Q16</f>
        <v>17970.5</v>
      </c>
      <c r="M11" s="99">
        <f>'Localize Daily Bali Jimbaran'!C16</f>
        <v>10</v>
      </c>
      <c r="N11" s="99">
        <v>33</v>
      </c>
    </row>
    <row r="12" spans="1:14" ht="15">
      <c r="A12" s="96" t="s">
        <v>14</v>
      </c>
      <c r="B12" s="97">
        <v>11</v>
      </c>
      <c r="C12" s="98">
        <v>1</v>
      </c>
      <c r="D12" s="97">
        <v>2021</v>
      </c>
      <c r="E12" s="99">
        <f>'Localize Daily Bali Jimbaran'!P17</f>
        <v>16880.000000000069</v>
      </c>
      <c r="F12" s="100">
        <f>'Localize Daily Bali Jimbaran'!O17/'Localize Daily Bali Jimbaran'!P17</f>
        <v>1166.8172150473929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251.66999999999825</v>
      </c>
      <c r="J12" s="101">
        <f>'Localize Daily Bali Jimbaran'!AI17/'Localize Daily Bali Jimbaran'!AH17</f>
        <v>8600</v>
      </c>
      <c r="K12" s="99">
        <f>'Localize Daily Bali Jimbaran'!Q17</f>
        <v>62</v>
      </c>
      <c r="L12" s="100">
        <f>'Localize Daily Bali Jimbaran'!V17/'Localize Daily Bali Jimbaran'!Q17</f>
        <v>17970.5</v>
      </c>
      <c r="M12" s="99">
        <f>'Localize Daily Bali Jimbaran'!C17</f>
        <v>11</v>
      </c>
      <c r="N12" s="99">
        <v>36</v>
      </c>
    </row>
    <row r="13" spans="1:14" ht="15">
      <c r="A13" s="96" t="s">
        <v>14</v>
      </c>
      <c r="B13" s="97">
        <v>12</v>
      </c>
      <c r="C13" s="98">
        <v>1</v>
      </c>
      <c r="D13" s="97">
        <v>2021</v>
      </c>
      <c r="E13" s="99">
        <f>'Localize Daily Bali Jimbaran'!P18</f>
        <v>14280.00000000002</v>
      </c>
      <c r="F13" s="100">
        <f>'Localize Daily Bali Jimbaran'!O18/'Localize Daily Bali Jimbaran'!P18</f>
        <v>1182.0077647058822</v>
      </c>
      <c r="G13" s="99">
        <f>'Localize Daily Bali Jimbaran'!AC18</f>
        <v>362</v>
      </c>
      <c r="H13" s="100">
        <f>'Localize Daily Bali Jimbaran'!AD18/'Localize Daily Bali Jimbaran'!AC18</f>
        <v>11034.530386740331</v>
      </c>
      <c r="I13" s="99">
        <f>'Localize Daily Bali Jimbaran'!AH18</f>
        <v>279.53000000001339</v>
      </c>
      <c r="J13" s="101">
        <f>'Localize Daily Bali Jimbaran'!AI18/'Localize Daily Bali Jimbaran'!AH18</f>
        <v>8600</v>
      </c>
      <c r="K13" s="99">
        <f>'Localize Daily Bali Jimbaran'!Q18</f>
        <v>63</v>
      </c>
      <c r="L13" s="100">
        <f>'Localize Daily Bali Jimbaran'!V18/'Localize Daily Bali Jimbaran'!Q18</f>
        <v>17970.5</v>
      </c>
      <c r="M13" s="99">
        <f>'Localize Daily Bali Jimbaran'!C18</f>
        <v>10</v>
      </c>
      <c r="N13" s="99">
        <v>32</v>
      </c>
    </row>
    <row r="14" spans="1:14" ht="15">
      <c r="A14" s="96" t="s">
        <v>14</v>
      </c>
      <c r="B14" s="97">
        <v>13</v>
      </c>
      <c r="C14" s="98">
        <v>1</v>
      </c>
      <c r="D14" s="97">
        <v>2021</v>
      </c>
      <c r="E14" s="99">
        <f>'Localize Daily Bali Jimbaran'!P19</f>
        <v>10599.999999999995</v>
      </c>
      <c r="F14" s="100">
        <f>'Localize Daily Bali Jimbaran'!O19/'Localize Daily Bali Jimbaran'!P19</f>
        <v>1206.5859849056615</v>
      </c>
      <c r="G14" s="99">
        <f>'Localize Daily Bali Jimbaran'!AC19</f>
        <v>12</v>
      </c>
      <c r="H14" s="100">
        <f>'Localize Daily Bali Jimbaran'!AD19/'Localize Daily Bali Jimbaran'!AC19</f>
        <v>11458.333333333334</v>
      </c>
      <c r="I14" s="99">
        <f>'Localize Daily Bali Jimbaran'!AH19</f>
        <v>265.00999999999476</v>
      </c>
      <c r="J14" s="101">
        <f>'Localize Daily Bali Jimbaran'!AI19/'Localize Daily Bali Jimbaran'!AH19</f>
        <v>8600</v>
      </c>
      <c r="K14" s="99">
        <f>'Localize Daily Bali Jimbaran'!Q19</f>
        <v>245</v>
      </c>
      <c r="L14" s="100">
        <f>'Localize Daily Bali Jimbaran'!V19/'Localize Daily Bali Jimbaran'!Q19</f>
        <v>8083.5184081632651</v>
      </c>
      <c r="M14" s="99">
        <f>'Localize Daily Bali Jimbaran'!C19</f>
        <v>10</v>
      </c>
      <c r="N14" s="99">
        <v>28</v>
      </c>
    </row>
    <row r="15" spans="1:14" ht="15">
      <c r="A15" s="96" t="s">
        <v>14</v>
      </c>
      <c r="B15" s="97">
        <v>14</v>
      </c>
      <c r="C15" s="98">
        <v>1</v>
      </c>
      <c r="D15" s="97">
        <v>2021</v>
      </c>
      <c r="E15" s="99">
        <f>'Localize Daily Bali Jimbaran'!P20</f>
        <v>14299.999999999976</v>
      </c>
      <c r="F15" s="100">
        <f>'Localize Daily Bali Jimbaran'!O20/'Localize Daily Bali Jimbaran'!P20</f>
        <v>1187.199446853147</v>
      </c>
      <c r="G15" s="99">
        <f>'Localize Daily Bali Jimbaran'!AC20</f>
        <v>12</v>
      </c>
      <c r="H15" s="100">
        <f>'Localize Daily Bali Jimbaran'!AD20/'Localize Daily Bali Jimbaran'!AC20</f>
        <v>11458.333333333334</v>
      </c>
      <c r="I15" s="99">
        <f>'Localize Daily Bali Jimbaran'!AH20</f>
        <v>203.52999999999827</v>
      </c>
      <c r="J15" s="101">
        <f>'Localize Daily Bali Jimbaran'!AI20/'Localize Daily Bali Jimbaran'!AH20</f>
        <v>8600</v>
      </c>
      <c r="K15" s="99">
        <f>'Localize Daily Bali Jimbaran'!Q20</f>
        <v>115</v>
      </c>
      <c r="L15" s="100">
        <f>'Localize Daily Bali Jimbaran'!V20/'Localize Daily Bali Jimbaran'!Q20</f>
        <v>11425.32304347826</v>
      </c>
      <c r="M15" s="99">
        <f>'Localize Daily Bali Jimbaran'!C20</f>
        <v>9</v>
      </c>
      <c r="N15" s="99">
        <v>26</v>
      </c>
    </row>
    <row r="16" spans="1:14" ht="15">
      <c r="A16" s="96" t="s">
        <v>14</v>
      </c>
      <c r="B16" s="97">
        <v>15</v>
      </c>
      <c r="C16" s="98">
        <v>1</v>
      </c>
      <c r="D16" s="97">
        <v>2021</v>
      </c>
      <c r="E16" s="99">
        <f>'Localize Daily Bali Jimbaran'!P21</f>
        <v>14299.999999999945</v>
      </c>
      <c r="F16" s="100">
        <f>'Localize Daily Bali Jimbaran'!O21/'Localize Daily Bali Jimbaran'!P21</f>
        <v>1175.7913804195809</v>
      </c>
      <c r="G16" s="99">
        <f>'Localize Daily Bali Jimbaran'!AC21</f>
        <v>62</v>
      </c>
      <c r="H16" s="100">
        <f>'Localize Daily Bali Jimbaran'!AD21/'Localize Daily Bali Jimbaran'!AC21</f>
        <v>11104.838709677419</v>
      </c>
      <c r="I16" s="99">
        <f>'Localize Daily Bali Jimbaran'!AH21</f>
        <v>233.23999999998256</v>
      </c>
      <c r="J16" s="101">
        <f>'Localize Daily Bali Jimbaran'!AI21/'Localize Daily Bali Jimbaran'!AH21</f>
        <v>8600</v>
      </c>
      <c r="K16" s="99">
        <f>'Localize Daily Bali Jimbaran'!Q21</f>
        <v>84</v>
      </c>
      <c r="L16" s="100">
        <f>'Localize Daily Bali Jimbaran'!V21/'Localize Daily Bali Jimbaran'!Q21</f>
        <v>14223.315357142857</v>
      </c>
      <c r="M16" s="99">
        <f>'Localize Daily Bali Jimbaran'!C21</f>
        <v>9</v>
      </c>
      <c r="N16" s="99">
        <v>29</v>
      </c>
    </row>
    <row r="17" spans="1:14" ht="15">
      <c r="A17" s="96" t="s">
        <v>14</v>
      </c>
      <c r="B17" s="97">
        <v>16</v>
      </c>
      <c r="C17" s="98">
        <v>1</v>
      </c>
      <c r="D17" s="97">
        <v>2021</v>
      </c>
      <c r="E17" s="99">
        <f>'Localize Daily Bali Jimbaran'!P22</f>
        <v>12999.999999999993</v>
      </c>
      <c r="F17" s="100">
        <f>'Localize Daily Bali Jimbaran'!O22/'Localize Daily Bali Jimbaran'!P22</f>
        <v>1176.2477030769232</v>
      </c>
      <c r="G17" s="99">
        <f>'Localize Daily Bali Jimbaran'!AC22</f>
        <v>24</v>
      </c>
      <c r="H17" s="100">
        <f>'Localize Daily Bali Jimbaran'!AD22/'Localize Daily Bali Jimbaran'!AC22</f>
        <v>11458.333333333334</v>
      </c>
      <c r="I17" s="99">
        <f>'Localize Daily Bali Jimbaran'!AH22</f>
        <v>175.22</v>
      </c>
      <c r="J17" s="101">
        <f>'Localize Daily Bali Jimbaran'!AI22/'Localize Daily Bali Jimbaran'!AH22</f>
        <v>8600</v>
      </c>
      <c r="K17" s="99">
        <f>'Localize Daily Bali Jimbaran'!Q22</f>
        <v>135</v>
      </c>
      <c r="L17" s="100">
        <f>'Localize Daily Bali Jimbaran'!V22/'Localize Daily Bali Jimbaran'!Q22</f>
        <v>10773.009111111111</v>
      </c>
      <c r="M17" s="99">
        <f>'Localize Daily Bali Jimbaran'!C22</f>
        <v>8</v>
      </c>
      <c r="N17" s="99">
        <v>22</v>
      </c>
    </row>
    <row r="18" spans="1:14" ht="15">
      <c r="A18" s="96" t="s">
        <v>14</v>
      </c>
      <c r="B18" s="97">
        <v>17</v>
      </c>
      <c r="C18" s="98">
        <v>1</v>
      </c>
      <c r="D18" s="97">
        <v>2021</v>
      </c>
      <c r="E18" s="99">
        <f>'Localize Daily Bali Jimbaran'!P23</f>
        <v>13340.0000000001</v>
      </c>
      <c r="F18" s="100">
        <f>'Localize Daily Bali Jimbaran'!O23/'Localize Daily Bali Jimbaran'!P23</f>
        <v>1182.955486506746</v>
      </c>
      <c r="G18" s="99">
        <f>'Localize Daily Bali Jimbaran'!AC23</f>
        <v>462</v>
      </c>
      <c r="H18" s="100">
        <f>'Localize Daily Bali Jimbaran'!AD23/'Localize Daily Bali Jimbaran'!AC23</f>
        <v>11031.385281385281</v>
      </c>
      <c r="I18" s="99">
        <f>'Localize Daily Bali Jimbaran'!AH23</f>
        <v>155.83000000000004</v>
      </c>
      <c r="J18" s="101">
        <f>'Localize Daily Bali Jimbaran'!AI23/'Localize Daily Bali Jimbaran'!AH23</f>
        <v>8600</v>
      </c>
      <c r="K18" s="99">
        <f>'Localize Daily Bali Jimbaran'!Q23</f>
        <v>172</v>
      </c>
      <c r="L18" s="100">
        <f>'Localize Daily Bali Jimbaran'!V23/'Localize Daily Bali Jimbaran'!Q23</f>
        <v>8899.9640697674422</v>
      </c>
      <c r="M18" s="99">
        <f>'Localize Daily Bali Jimbaran'!C23</f>
        <v>5</v>
      </c>
      <c r="N18" s="99">
        <v>14</v>
      </c>
    </row>
    <row r="19" spans="1:14" ht="15">
      <c r="A19" s="96" t="s">
        <v>14</v>
      </c>
      <c r="B19" s="97">
        <v>18</v>
      </c>
      <c r="C19" s="98">
        <v>1</v>
      </c>
      <c r="D19" s="97">
        <v>2021</v>
      </c>
      <c r="E19" s="99">
        <f>'Localize Daily Bali Jimbaran'!P24</f>
        <v>16159.999999999987</v>
      </c>
      <c r="F19" s="100">
        <f>'Localize Daily Bali Jimbaran'!O24/'Localize Daily Bali Jimbaran'!P24</f>
        <v>1169.0020748762374</v>
      </c>
      <c r="G19" s="99">
        <f>'Localize Daily Bali Jimbaran'!AC24</f>
        <v>12</v>
      </c>
      <c r="H19" s="100">
        <f>'Localize Daily Bali Jimbaran'!AD24/'Localize Daily Bali Jimbaran'!AC24</f>
        <v>11458.333333333334</v>
      </c>
      <c r="I19" s="99">
        <f>'Localize Daily Bali Jimbaran'!AH24</f>
        <v>241.01999999999998</v>
      </c>
      <c r="J19" s="101">
        <f>'Localize Daily Bali Jimbaran'!AI24/'Localize Daily Bali Jimbaran'!AH24</f>
        <v>8600</v>
      </c>
      <c r="K19" s="99">
        <f>'Localize Daily Bali Jimbaran'!Q24</f>
        <v>535.09999999999991</v>
      </c>
      <c r="L19" s="100">
        <f>'Localize Daily Bali Jimbaran'!V24/'Localize Daily Bali Jimbaran'!Q24</f>
        <v>5947.5277761166144</v>
      </c>
      <c r="M19" s="99">
        <f>'Localize Daily Bali Jimbaran'!C24</f>
        <v>5</v>
      </c>
      <c r="N19" s="99">
        <v>14</v>
      </c>
    </row>
    <row r="20" spans="1:14" ht="15">
      <c r="A20" s="96" t="s">
        <v>14</v>
      </c>
      <c r="B20" s="97">
        <v>19</v>
      </c>
      <c r="C20" s="98">
        <v>1</v>
      </c>
      <c r="D20" s="97">
        <v>2021</v>
      </c>
      <c r="E20" s="99">
        <f>'Localize Daily Bali Jimbaran'!P25</f>
        <v>13059.999999999984</v>
      </c>
      <c r="F20" s="100">
        <f>'Localize Daily Bali Jimbaran'!O25/'Localize Daily Bali Jimbaran'!P25</f>
        <v>1180.0040375191425</v>
      </c>
      <c r="G20" s="99">
        <f>'Localize Daily Bali Jimbaran'!AC25</f>
        <v>12</v>
      </c>
      <c r="H20" s="100">
        <f>'Localize Daily Bali Jimbaran'!AD25/'Localize Daily Bali Jimbaran'!AC25</f>
        <v>11458.333333333334</v>
      </c>
      <c r="I20" s="99">
        <f>'Localize Daily Bali Jimbaran'!AH25</f>
        <v>253.07999999999993</v>
      </c>
      <c r="J20" s="101">
        <f>'Localize Daily Bali Jimbaran'!AI25/'Localize Daily Bali Jimbaran'!AH25</f>
        <v>8600</v>
      </c>
      <c r="K20" s="99">
        <f>'Localize Daily Bali Jimbaran'!Q25</f>
        <v>474.90000000000009</v>
      </c>
      <c r="L20" s="100">
        <f>'Localize Daily Bali Jimbaran'!V25/'Localize Daily Bali Jimbaran'!Q25</f>
        <v>6129.4418130132653</v>
      </c>
      <c r="M20" s="99">
        <f>'Localize Daily Bali Jimbaran'!C25</f>
        <v>4</v>
      </c>
      <c r="N20" s="99">
        <v>12</v>
      </c>
    </row>
    <row r="21" spans="1:14" ht="15">
      <c r="A21" s="96" t="s">
        <v>14</v>
      </c>
      <c r="B21" s="97">
        <v>20</v>
      </c>
      <c r="C21" s="98">
        <v>1</v>
      </c>
      <c r="D21" s="97">
        <v>2021</v>
      </c>
      <c r="E21" s="99">
        <f>'Localize Daily Bali Jimbaran'!P26</f>
        <v>10939.999999999935</v>
      </c>
      <c r="F21" s="100">
        <f>'Localize Daily Bali Jimbaran'!O26/'Localize Daily Bali Jimbaran'!P26</f>
        <v>1208.8518318098731</v>
      </c>
      <c r="G21" s="99">
        <f>'Localize Daily Bali Jimbaran'!AC26</f>
        <v>12</v>
      </c>
      <c r="H21" s="100">
        <f>'Localize Daily Bali Jimbaran'!AD26/'Localize Daily Bali Jimbaran'!AC26</f>
        <v>11458.333333333334</v>
      </c>
      <c r="I21" s="99">
        <f>'Localize Daily Bali Jimbaran'!AH26</f>
        <v>250.40000000000009</v>
      </c>
      <c r="J21" s="101">
        <f>'Localize Daily Bali Jimbaran'!AI26/'Localize Daily Bali Jimbaran'!AH26</f>
        <v>8600</v>
      </c>
      <c r="K21" s="99">
        <f>'Localize Daily Bali Jimbaran'!Q26</f>
        <v>297</v>
      </c>
      <c r="L21" s="100">
        <f>'Localize Daily Bali Jimbaran'!V26/'Localize Daily Bali Jimbaran'!Q26</f>
        <v>7142.0085858585853</v>
      </c>
      <c r="M21" s="99">
        <f>'Localize Daily Bali Jimbaran'!C26</f>
        <v>0</v>
      </c>
      <c r="N21" s="99">
        <v>4</v>
      </c>
    </row>
    <row r="22" spans="1:14" ht="15">
      <c r="A22" s="96" t="s">
        <v>14</v>
      </c>
      <c r="B22" s="97">
        <v>21</v>
      </c>
      <c r="C22" s="98">
        <v>1</v>
      </c>
      <c r="D22" s="97">
        <v>2021</v>
      </c>
      <c r="E22" s="99">
        <f>'Localize Daily Bali Jimbaran'!P27</f>
        <v>13920.000000000058</v>
      </c>
      <c r="F22" s="100">
        <f>'Localize Daily Bali Jimbaran'!O27/'Localize Daily Bali Jimbaran'!P27</f>
        <v>1182.8875474137933</v>
      </c>
      <c r="G22" s="99">
        <f>'Localize Daily Bali Jimbaran'!AC27</f>
        <v>12</v>
      </c>
      <c r="H22" s="100">
        <f>'Localize Daily Bali Jimbaran'!AD27/'Localize Daily Bali Jimbaran'!AC27</f>
        <v>11458.333333333334</v>
      </c>
      <c r="I22" s="99">
        <f>'Localize Daily Bali Jimbaran'!AH27</f>
        <v>85.549999999999955</v>
      </c>
      <c r="J22" s="101">
        <f>'Localize Daily Bali Jimbaran'!AI27/'Localize Daily Bali Jimbaran'!AH27</f>
        <v>8600</v>
      </c>
      <c r="K22" s="99">
        <f>'Localize Daily Bali Jimbaran'!Q27</f>
        <v>329</v>
      </c>
      <c r="L22" s="100">
        <f>'Localize Daily Bali Jimbaran'!V27/'Localize Daily Bali Jimbaran'!Q27</f>
        <v>7321.701458966566</v>
      </c>
      <c r="M22" s="99">
        <f>'Localize Daily Bali Jimbaran'!C27</f>
        <v>2</v>
      </c>
      <c r="N22" s="99">
        <v>8</v>
      </c>
    </row>
    <row r="23" spans="1:14" ht="15">
      <c r="A23" s="96" t="s">
        <v>14</v>
      </c>
      <c r="B23" s="97">
        <v>22</v>
      </c>
      <c r="C23" s="98">
        <v>1</v>
      </c>
      <c r="D23" s="97">
        <v>2021</v>
      </c>
      <c r="E23" s="99">
        <f>'Localize Daily Bali Jimbaran'!P28</f>
        <v>13780.000000000025</v>
      </c>
      <c r="F23" s="100">
        <f>'Localize Daily Bali Jimbaran'!O28/'Localize Daily Bali Jimbaran'!P28</f>
        <v>1173.5958657474591</v>
      </c>
      <c r="G23" s="99">
        <f>'Localize Daily Bali Jimbaran'!AC28</f>
        <v>12</v>
      </c>
      <c r="H23" s="100">
        <f>'Localize Daily Bali Jimbaran'!AD28/'Localize Daily Bali Jimbaran'!AC28</f>
        <v>11458.333333333334</v>
      </c>
      <c r="I23" s="99">
        <f>'Localize Daily Bali Jimbaran'!AH28</f>
        <v>157.48000000001161</v>
      </c>
      <c r="J23" s="101">
        <f>'Localize Daily Bali Jimbaran'!AI28/'Localize Daily Bali Jimbaran'!AH28</f>
        <v>8600</v>
      </c>
      <c r="K23" s="99">
        <f>'Localize Daily Bali Jimbaran'!Q28</f>
        <v>189</v>
      </c>
      <c r="L23" s="100">
        <f>'Localize Daily Bali Jimbaran'!V28/'Localize Daily Bali Jimbaran'!Q28</f>
        <v>7978.0076190476184</v>
      </c>
      <c r="M23" s="99">
        <f>'Localize Daily Bali Jimbaran'!C28</f>
        <v>2</v>
      </c>
      <c r="N23" s="99">
        <v>7</v>
      </c>
    </row>
    <row r="24" spans="1:14" ht="15">
      <c r="A24" s="96" t="s">
        <v>14</v>
      </c>
      <c r="B24" s="97">
        <v>23</v>
      </c>
      <c r="C24" s="98">
        <v>1</v>
      </c>
      <c r="D24" s="97">
        <v>2021</v>
      </c>
      <c r="E24" s="99">
        <f>'Localize Daily Bali Jimbaran'!P29</f>
        <v>11959.999999999955</v>
      </c>
      <c r="F24" s="100">
        <f>'Localize Daily Bali Jimbaran'!O29/'Localize Daily Bali Jimbaran'!P29</f>
        <v>1181.2308787625432</v>
      </c>
      <c r="G24" s="99">
        <f>'Localize Daily Bali Jimbaran'!AC29</f>
        <v>12</v>
      </c>
      <c r="H24" s="100">
        <f>'Localize Daily Bali Jimbaran'!AD29/'Localize Daily Bali Jimbaran'!AC29</f>
        <v>11458.333333333334</v>
      </c>
      <c r="I24" s="99">
        <f>'Localize Daily Bali Jimbaran'!AH29</f>
        <v>134.1400000000001</v>
      </c>
      <c r="J24" s="101">
        <f>'Localize Daily Bali Jimbaran'!AI29/'Localize Daily Bali Jimbaran'!AH29</f>
        <v>8600</v>
      </c>
      <c r="K24" s="99">
        <f>'Localize Daily Bali Jimbaran'!Q29</f>
        <v>104</v>
      </c>
      <c r="L24" s="100">
        <f>'Localize Daily Bali Jimbaran'!V29/'Localize Daily Bali Jimbaran'!Q29</f>
        <v>12443.715961538461</v>
      </c>
      <c r="M24" s="99">
        <f>'Localize Daily Bali Jimbaran'!C29</f>
        <v>0</v>
      </c>
      <c r="N24" s="99">
        <v>3</v>
      </c>
    </row>
    <row r="25" spans="1:14" ht="15">
      <c r="A25" s="96" t="s">
        <v>14</v>
      </c>
      <c r="B25" s="97">
        <v>24</v>
      </c>
      <c r="C25" s="98">
        <v>1</v>
      </c>
      <c r="D25" s="97">
        <v>2021</v>
      </c>
      <c r="E25" s="99">
        <f>'Localize Daily Bali Jimbaran'!P30</f>
        <v>15100.000000000029</v>
      </c>
      <c r="F25" s="100">
        <f>'Localize Daily Bali Jimbaran'!O30/'Localize Daily Bali Jimbaran'!P30</f>
        <v>1166.7958807947018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155.66999999999985</v>
      </c>
      <c r="J25" s="101">
        <f>'Localize Daily Bali Jimbaran'!AI30/'Localize Daily Bali Jimbaran'!AH30</f>
        <v>8600</v>
      </c>
      <c r="K25" s="99">
        <f>'Localize Daily Bali Jimbaran'!Q30</f>
        <v>304</v>
      </c>
      <c r="L25" s="100">
        <f>'Localize Daily Bali Jimbaran'!V30/'Localize Daily Bali Jimbaran'!Q30</f>
        <v>7301.313519736842</v>
      </c>
      <c r="M25" s="99">
        <f>'Localize Daily Bali Jimbaran'!C30</f>
        <v>1</v>
      </c>
      <c r="N25" s="99">
        <v>6</v>
      </c>
    </row>
    <row r="26" spans="1:14" ht="15">
      <c r="A26" s="96" t="s">
        <v>14</v>
      </c>
      <c r="B26" s="97">
        <v>25</v>
      </c>
      <c r="C26" s="98">
        <v>1</v>
      </c>
      <c r="D26" s="97">
        <v>2021</v>
      </c>
      <c r="E26" s="99">
        <f>'Localize Daily Bali Jimbaran'!P31</f>
        <v>12719.999999999958</v>
      </c>
      <c r="F26" s="100">
        <f>'Localize Daily Bali Jimbaran'!O31/'Localize Daily Bali Jimbaran'!P31</f>
        <v>1180.7647712264152</v>
      </c>
      <c r="G26" s="99">
        <f>'Localize Daily Bali Jimbaran'!AC31</f>
        <v>412</v>
      </c>
      <c r="H26" s="100">
        <f>'Localize Daily Bali Jimbaran'!AD31/'Localize Daily Bali Jimbaran'!AC31</f>
        <v>11032.766990291262</v>
      </c>
      <c r="I26" s="99">
        <f>'Localize Daily Bali Jimbaran'!AH31</f>
        <v>165.77999999999997</v>
      </c>
      <c r="J26" s="101">
        <f>'Localize Daily Bali Jimbaran'!AI31/'Localize Daily Bali Jimbaran'!AH31</f>
        <v>8600</v>
      </c>
      <c r="K26" s="99">
        <f>'Localize Daily Bali Jimbaran'!Q31</f>
        <v>211</v>
      </c>
      <c r="L26" s="100">
        <f>'Localize Daily Bali Jimbaran'!V31/'Localize Daily Bali Jimbaran'!Q31</f>
        <v>7787.5469668246451</v>
      </c>
      <c r="M26" s="99">
        <f>'Localize Daily Bali Jimbaran'!C31</f>
        <v>3</v>
      </c>
      <c r="N26" s="99">
        <v>13</v>
      </c>
    </row>
    <row r="27" spans="1:14" ht="15">
      <c r="A27" s="96" t="s">
        <v>14</v>
      </c>
      <c r="B27" s="97">
        <v>26</v>
      </c>
      <c r="C27" s="98">
        <v>1</v>
      </c>
      <c r="D27" s="97">
        <v>2021</v>
      </c>
      <c r="E27" s="99">
        <f>'Localize Daily Bali Jimbaran'!P32</f>
        <v>11059.999999999967</v>
      </c>
      <c r="F27" s="100">
        <f>'Localize Daily Bali Jimbaran'!O32/'Localize Daily Bali Jimbaran'!P32</f>
        <v>1197.7025696202543</v>
      </c>
      <c r="G27" s="99">
        <f>'Localize Daily Bali Jimbaran'!AC32</f>
        <v>12</v>
      </c>
      <c r="H27" s="100">
        <f>'Localize Daily Bali Jimbaran'!AD32/'Localize Daily Bali Jimbaran'!AC32</f>
        <v>11458.333333333334</v>
      </c>
      <c r="I27" s="99">
        <f>'Localize Daily Bali Jimbaran'!AH32</f>
        <v>157.73000000000002</v>
      </c>
      <c r="J27" s="101">
        <f>'Localize Daily Bali Jimbaran'!AI32/'Localize Daily Bali Jimbaran'!AH32</f>
        <v>8600</v>
      </c>
      <c r="K27" s="99">
        <f>'Localize Daily Bali Jimbaran'!Q32</f>
        <v>570.09999999999991</v>
      </c>
      <c r="L27" s="100">
        <f>'Localize Daily Bali Jimbaran'!V32/'Localize Daily Bali Jimbaran'!Q32</f>
        <v>5749.447786353272</v>
      </c>
      <c r="M27" s="99">
        <f>'Localize Daily Bali Jimbaran'!C32</f>
        <v>3</v>
      </c>
      <c r="N27" s="99">
        <v>9</v>
      </c>
    </row>
    <row r="28" spans="1:14" ht="15">
      <c r="A28" s="96" t="s">
        <v>14</v>
      </c>
      <c r="B28" s="97">
        <v>27</v>
      </c>
      <c r="C28" s="98">
        <v>1</v>
      </c>
      <c r="D28" s="97">
        <v>2021</v>
      </c>
      <c r="E28" s="99">
        <f>'Localize Daily Bali Jimbaran'!P33</f>
        <v>13500.000000000102</v>
      </c>
      <c r="F28" s="100">
        <f>'Localize Daily Bali Jimbaran'!O33/'Localize Daily Bali Jimbaran'!P33</f>
        <v>1180.2137666666661</v>
      </c>
      <c r="G28" s="99">
        <f>'Localize Daily Bali Jimbaran'!AC33</f>
        <v>0</v>
      </c>
      <c r="H28" s="100" t="e">
        <f>'Localize Daily Bali Jimbaran'!AD33/'Localize Daily Bali Jimbaran'!AC33</f>
        <v>#DIV/0!</v>
      </c>
      <c r="I28" s="99">
        <f>'Localize Daily Bali Jimbaran'!AH33</f>
        <v>176</v>
      </c>
      <c r="J28" s="101">
        <f>'Localize Daily Bali Jimbaran'!AI33/'Localize Daily Bali Jimbaran'!AH33</f>
        <v>8600</v>
      </c>
      <c r="K28" s="99">
        <f>'Localize Daily Bali Jimbaran'!Q33</f>
        <v>333.90000000000009</v>
      </c>
      <c r="L28" s="100">
        <f>'Localize Daily Bali Jimbaran'!V33/'Localize Daily Bali Jimbaran'!Q33</f>
        <v>6867.2752830188665</v>
      </c>
      <c r="M28" s="99">
        <f>'Localize Daily Bali Jimbaran'!C33</f>
        <v>3</v>
      </c>
      <c r="N28" s="99">
        <v>9</v>
      </c>
    </row>
    <row r="29" spans="1:14" ht="15">
      <c r="A29" s="96" t="s">
        <v>14</v>
      </c>
      <c r="B29" s="97">
        <v>28</v>
      </c>
      <c r="C29" s="98">
        <v>1</v>
      </c>
      <c r="D29" s="97">
        <v>2021</v>
      </c>
      <c r="E29" s="99">
        <f>'Localize Daily Bali Jimbaran'!P34</f>
        <v>16359.999999999847</v>
      </c>
      <c r="F29" s="100">
        <f>'Localize Daily Bali Jimbaran'!O34/'Localize Daily Bali Jimbaran'!P34</f>
        <v>1164.6826943765286</v>
      </c>
      <c r="G29" s="99">
        <f>'Localize Daily Bali Jimbaran'!AC34</f>
        <v>50</v>
      </c>
      <c r="H29" s="100">
        <f>'Localize Daily Bali Jimbaran'!AD34/'Localize Daily Bali Jimbaran'!AC34</f>
        <v>11020</v>
      </c>
      <c r="I29" s="99">
        <f>'Localize Daily Bali Jimbaran'!AH34</f>
        <v>155.97000000000025</v>
      </c>
      <c r="J29" s="101">
        <f>'Localize Daily Bali Jimbaran'!AI34/'Localize Daily Bali Jimbaran'!AH34</f>
        <v>8600</v>
      </c>
      <c r="K29" s="99">
        <f>'Localize Daily Bali Jimbaran'!Q34</f>
        <v>296</v>
      </c>
      <c r="L29" s="100">
        <f>'Localize Daily Bali Jimbaran'!V34/'Localize Daily Bali Jimbaran'!Q34</f>
        <v>7105.4258445945943</v>
      </c>
      <c r="M29" s="99">
        <f>'Localize Daily Bali Jimbaran'!C34</f>
        <v>3</v>
      </c>
      <c r="N29" s="99">
        <v>9</v>
      </c>
    </row>
    <row r="30" spans="1:14" ht="15">
      <c r="A30" s="96" t="s">
        <v>14</v>
      </c>
      <c r="B30" s="97">
        <v>29</v>
      </c>
      <c r="C30" s="98">
        <v>1</v>
      </c>
      <c r="D30" s="97">
        <v>2021</v>
      </c>
      <c r="E30" s="99">
        <f>'Localize Daily Bali Jimbaran'!P35</f>
        <v>11660.000000000022</v>
      </c>
      <c r="F30" s="100">
        <f>'Localize Daily Bali Jimbaran'!O35/'Localize Daily Bali Jimbaran'!P35</f>
        <v>1204.1608739279584</v>
      </c>
      <c r="G30" s="99">
        <f>'Localize Daily Bali Jimbaran'!AC35</f>
        <v>12</v>
      </c>
      <c r="H30" s="100">
        <f>'Localize Daily Bali Jimbaran'!AD35/'Localize Daily Bali Jimbaran'!AC35</f>
        <v>11458.333333333334</v>
      </c>
      <c r="I30" s="99">
        <f>'Localize Daily Bali Jimbaran'!AH35</f>
        <v>156.26999999999998</v>
      </c>
      <c r="J30" s="101">
        <f>'Localize Daily Bali Jimbaran'!AI35/'Localize Daily Bali Jimbaran'!AH35</f>
        <v>8600</v>
      </c>
      <c r="K30" s="99">
        <f>'Localize Daily Bali Jimbaran'!Q35</f>
        <v>280.09999999999991</v>
      </c>
      <c r="L30" s="100">
        <f>'Localize Daily Bali Jimbaran'!V35/'Localize Daily Bali Jimbaran'!Q35</f>
        <v>7558.6744127097481</v>
      </c>
      <c r="M30" s="99">
        <f>'Localize Daily Bali Jimbaran'!C35</f>
        <v>5</v>
      </c>
      <c r="N30" s="99">
        <v>15</v>
      </c>
    </row>
    <row r="31" spans="1:14" ht="15">
      <c r="A31" s="96" t="s">
        <v>14</v>
      </c>
      <c r="B31" s="97">
        <v>30</v>
      </c>
      <c r="C31" s="98">
        <v>1</v>
      </c>
      <c r="D31" s="97">
        <v>2021</v>
      </c>
      <c r="E31" s="99">
        <f>'Localize Daily Bali Jimbaran'!P36</f>
        <v>13480.000000000175</v>
      </c>
      <c r="F31" s="100">
        <f>'Localize Daily Bali Jimbaran'!O36/'Localize Daily Bali Jimbaran'!P36</f>
        <v>1183.5784295252213</v>
      </c>
      <c r="G31" s="99">
        <f>'Localize Daily Bali Jimbaran'!AC36</f>
        <v>0</v>
      </c>
      <c r="H31" s="100" t="e">
        <f>'Localize Daily Bali Jimbaran'!AD36/'Localize Daily Bali Jimbaran'!AC36</f>
        <v>#DIV/0!</v>
      </c>
      <c r="I31" s="99">
        <f>'Localize Daily Bali Jimbaran'!AH36</f>
        <v>24.940000000000055</v>
      </c>
      <c r="J31" s="101">
        <f>'Localize Daily Bali Jimbaran'!AI36/'Localize Daily Bali Jimbaran'!AH36</f>
        <v>8600</v>
      </c>
      <c r="K31" s="99">
        <f>'Localize Daily Bali Jimbaran'!Q36</f>
        <v>345.90000000000009</v>
      </c>
      <c r="L31" s="100">
        <f>'Localize Daily Bali Jimbaran'!V36/'Localize Daily Bali Jimbaran'!Q36</f>
        <v>6856.8242758022543</v>
      </c>
      <c r="M31" s="99">
        <f>'Localize Daily Bali Jimbaran'!C36</f>
        <v>5</v>
      </c>
      <c r="N31" s="99">
        <v>14</v>
      </c>
    </row>
    <row r="32" spans="1:14" ht="15">
      <c r="A32" s="96" t="s">
        <v>14</v>
      </c>
      <c r="B32" s="97">
        <v>31</v>
      </c>
      <c r="C32" s="98">
        <v>1</v>
      </c>
      <c r="D32" s="97">
        <v>2021</v>
      </c>
      <c r="E32" s="99">
        <f>'Localize Daily Bali Jimbaran'!P37</f>
        <v>13959.99999999994</v>
      </c>
      <c r="F32" s="100">
        <f>'Localize Daily Bali Jimbaran'!O37/'Localize Daily Bali Jimbaran'!P37</f>
        <v>1177.9400630372497</v>
      </c>
      <c r="G32" s="99">
        <f>'Localize Daily Bali Jimbaran'!AC37</f>
        <v>0</v>
      </c>
      <c r="H32" s="100" t="e">
        <f>'Localize Daily Bali Jimbaran'!AD37/'Localize Daily Bali Jimbaran'!AC37</f>
        <v>#DIV/0!</v>
      </c>
      <c r="I32" s="99">
        <f>'Localize Daily Bali Jimbaran'!AH37</f>
        <v>195.29999999999973</v>
      </c>
      <c r="J32" s="101">
        <f>'Localize Daily Bali Jimbaran'!AI37/'Localize Daily Bali Jimbaran'!AH37</f>
        <v>8600</v>
      </c>
      <c r="K32" s="99">
        <f>'Localize Daily Bali Jimbaran'!Q37</f>
        <v>297</v>
      </c>
      <c r="L32" s="100">
        <f>'Localize Daily Bali Jimbaran'!V37/'Localize Daily Bali Jimbaran'!Q37</f>
        <v>6865.536464646465</v>
      </c>
      <c r="M32" s="99">
        <f>'Localize Daily Bali Jimbaran'!C37</f>
        <v>4</v>
      </c>
      <c r="N32" s="9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1" t="s">
        <v>16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"/>
    </row>
    <row r="4" spans="1:36" s="83" customFormat="1" ht="15.75" customHeight="1">
      <c r="A4" s="16"/>
      <c r="B4" s="162" t="s">
        <v>17</v>
      </c>
      <c r="C4" s="163" t="s">
        <v>18</v>
      </c>
      <c r="D4" s="164" t="s">
        <v>19</v>
      </c>
      <c r="E4" s="165" t="s">
        <v>20</v>
      </c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6" t="s">
        <v>21</v>
      </c>
      <c r="R4" s="166"/>
      <c r="S4" s="166"/>
      <c r="T4" s="166"/>
      <c r="U4" s="166"/>
      <c r="V4" s="166"/>
      <c r="W4" s="167" t="s">
        <v>22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7"/>
    </row>
    <row r="5" spans="1:36" s="1" customFormat="1" ht="27" customHeight="1">
      <c r="A5" s="83"/>
      <c r="B5" s="162"/>
      <c r="C5" s="163"/>
      <c r="D5" s="164"/>
      <c r="E5" s="168" t="s">
        <v>23</v>
      </c>
      <c r="F5" s="168"/>
      <c r="G5" s="168"/>
      <c r="H5" s="168"/>
      <c r="I5" s="168"/>
      <c r="J5" s="169" t="s">
        <v>24</v>
      </c>
      <c r="K5" s="169"/>
      <c r="L5" s="169"/>
      <c r="M5" s="169"/>
      <c r="N5" s="169"/>
      <c r="O5" s="170" t="s">
        <v>25</v>
      </c>
      <c r="P5" s="172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7" t="s">
        <v>29</v>
      </c>
      <c r="X5" s="167"/>
      <c r="Y5" s="167"/>
      <c r="Z5" s="167"/>
      <c r="AA5" s="167"/>
      <c r="AB5" s="167"/>
      <c r="AC5" s="167"/>
      <c r="AD5" s="167"/>
      <c r="AE5" s="171" t="s">
        <v>30</v>
      </c>
      <c r="AF5" s="171"/>
      <c r="AG5" s="171"/>
      <c r="AH5" s="171"/>
      <c r="AI5" s="171"/>
      <c r="AJ5" s="83"/>
    </row>
    <row r="6" spans="1:36" s="1" customFormat="1" ht="58.5" customHeight="1">
      <c r="A6" s="86"/>
      <c r="B6" s="162"/>
      <c r="C6" s="163"/>
      <c r="D6" s="164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70"/>
      <c r="P6" s="172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42</v>
      </c>
      <c r="D7" s="103">
        <v>423</v>
      </c>
      <c r="E7" s="156">
        <v>12519.999999999982</v>
      </c>
      <c r="F7" s="156">
        <v>13616363.87999998</v>
      </c>
      <c r="G7" s="116">
        <v>2639.9999999999864</v>
      </c>
      <c r="H7" s="157">
        <v>4306773.2399999779</v>
      </c>
      <c r="I7" s="105">
        <f>F7+H7</f>
        <v>17923137.11999996</v>
      </c>
      <c r="J7" s="115">
        <v>1580.0000000000055</v>
      </c>
      <c r="K7" s="115">
        <v>1718359.0200000058</v>
      </c>
      <c r="L7" s="119">
        <v>459.99999999999909</v>
      </c>
      <c r="M7" s="121">
        <v>750422.60999999859</v>
      </c>
      <c r="N7" s="107">
        <f>K7+M7</f>
        <v>2468781.6300000045</v>
      </c>
      <c r="O7" s="105">
        <f>I7+N7</f>
        <v>20391918.749999963</v>
      </c>
      <c r="P7" s="107">
        <f>E7+G7+J7+L7</f>
        <v>17199.999999999971</v>
      </c>
      <c r="Q7" s="123">
        <f>R7+T7</f>
        <v>99</v>
      </c>
      <c r="R7" s="115">
        <v>99</v>
      </c>
      <c r="S7" s="115">
        <v>1779079.5</v>
      </c>
      <c r="T7" s="115">
        <v>0</v>
      </c>
      <c r="U7" s="115">
        <v>0</v>
      </c>
      <c r="V7" s="115">
        <f>S7+U7</f>
        <v>1779079.5</v>
      </c>
      <c r="W7" s="115">
        <v>0</v>
      </c>
      <c r="X7" s="106">
        <v>0</v>
      </c>
      <c r="Y7" s="110">
        <v>0</v>
      </c>
      <c r="Z7" s="108">
        <v>0</v>
      </c>
      <c r="AA7" s="108">
        <v>0</v>
      </c>
      <c r="AB7" s="112">
        <v>48</v>
      </c>
      <c r="AC7" s="123">
        <f>W7+X7+Y7+Z7+AA7+AB7</f>
        <v>48</v>
      </c>
      <c r="AD7" s="104">
        <v>550000</v>
      </c>
      <c r="AE7" s="109"/>
      <c r="AF7" s="128">
        <v>276.88000000000466</v>
      </c>
      <c r="AG7" s="130">
        <v>0</v>
      </c>
      <c r="AH7" s="130">
        <f>AF7+AG7</f>
        <v>276.88000000000466</v>
      </c>
      <c r="AI7" s="132">
        <v>2381168.00000004</v>
      </c>
      <c r="AJ7" s="18"/>
    </row>
    <row r="8" spans="1:36" ht="15">
      <c r="A8" s="19"/>
      <c r="B8" s="64">
        <v>2</v>
      </c>
      <c r="C8" s="159">
        <v>37</v>
      </c>
      <c r="D8" s="159">
        <v>341</v>
      </c>
      <c r="E8" s="124">
        <v>12000</v>
      </c>
      <c r="F8" s="124">
        <v>13050828</v>
      </c>
      <c r="G8" s="111">
        <v>2439.9999999999977</v>
      </c>
      <c r="H8" s="111">
        <v>3980502.5399999968</v>
      </c>
      <c r="I8" s="105">
        <f>F8+H8</f>
        <v>17031330.539999995</v>
      </c>
      <c r="J8" s="158">
        <v>1619.9999999999975</v>
      </c>
      <c r="K8" s="158">
        <v>1761861.7799999972</v>
      </c>
      <c r="L8" s="120">
        <v>440.00000000000125</v>
      </c>
      <c r="M8" s="122">
        <v>717795.54000000213</v>
      </c>
      <c r="N8" s="107">
        <f>K8+M8</f>
        <v>2479657.3199999994</v>
      </c>
      <c r="O8" s="105">
        <f>I8+N8</f>
        <v>19510987.859999996</v>
      </c>
      <c r="P8" s="107">
        <f>E8+G8+J8+L8</f>
        <v>16499.999999999996</v>
      </c>
      <c r="Q8" s="123">
        <f>R8+T8</f>
        <v>96</v>
      </c>
      <c r="R8" s="124">
        <v>96</v>
      </c>
      <c r="S8" s="124">
        <v>1725168</v>
      </c>
      <c r="T8" s="117">
        <v>0</v>
      </c>
      <c r="U8" s="117">
        <v>0</v>
      </c>
      <c r="V8" s="115">
        <f>S8+U8</f>
        <v>1725168</v>
      </c>
      <c r="W8" s="126">
        <v>0</v>
      </c>
      <c r="X8" s="112">
        <v>0</v>
      </c>
      <c r="Y8" s="110">
        <v>850</v>
      </c>
      <c r="Z8" s="112">
        <v>0</v>
      </c>
      <c r="AA8" s="112">
        <v>0</v>
      </c>
      <c r="AB8" s="112">
        <v>12</v>
      </c>
      <c r="AC8" s="123">
        <f>W8+X8+Y8+Z8+AA8+AB8</f>
        <v>862</v>
      </c>
      <c r="AD8" s="110">
        <v>9504500</v>
      </c>
      <c r="AE8" s="113"/>
      <c r="AF8" s="129">
        <v>349.82000000000698</v>
      </c>
      <c r="AG8" s="131">
        <v>0</v>
      </c>
      <c r="AH8" s="130">
        <f>AF8+AG8</f>
        <v>349.82000000000698</v>
      </c>
      <c r="AI8" s="133">
        <v>3008452.0000000601</v>
      </c>
      <c r="AJ8" s="21"/>
    </row>
    <row r="9" spans="1:36" ht="15">
      <c r="A9" s="19"/>
      <c r="B9" s="81">
        <v>3</v>
      </c>
      <c r="C9" s="159">
        <v>29</v>
      </c>
      <c r="D9" s="159">
        <v>252</v>
      </c>
      <c r="E9" s="124">
        <v>10840.000000000033</v>
      </c>
      <c r="F9" s="124">
        <v>11789247.960000034</v>
      </c>
      <c r="G9" s="111">
        <v>480.00000000001819</v>
      </c>
      <c r="H9" s="111">
        <v>783049.68000002974</v>
      </c>
      <c r="I9" s="105">
        <f>F9+H9</f>
        <v>12572297.640000064</v>
      </c>
      <c r="J9" s="158">
        <v>1799.9999999999973</v>
      </c>
      <c r="K9" s="158">
        <v>1957624.1999999972</v>
      </c>
      <c r="L9" s="120">
        <v>459.99999999999909</v>
      </c>
      <c r="M9" s="122">
        <v>750422.60999999859</v>
      </c>
      <c r="N9" s="107">
        <f>K9+M9</f>
        <v>2708046.8099999959</v>
      </c>
      <c r="O9" s="105">
        <f>I9+N9</f>
        <v>15280344.450000059</v>
      </c>
      <c r="P9" s="107">
        <f>E9+G9+J9+L9</f>
        <v>13580.000000000047</v>
      </c>
      <c r="Q9" s="123">
        <f>R9+T9</f>
        <v>94</v>
      </c>
      <c r="R9" s="124">
        <v>94</v>
      </c>
      <c r="S9" s="124">
        <v>1689227</v>
      </c>
      <c r="T9" s="117">
        <v>0</v>
      </c>
      <c r="U9" s="117">
        <v>0</v>
      </c>
      <c r="V9" s="115">
        <f>S9+U9</f>
        <v>1689227</v>
      </c>
      <c r="W9" s="126">
        <v>0</v>
      </c>
      <c r="X9" s="112">
        <v>0</v>
      </c>
      <c r="Y9" s="110">
        <v>0</v>
      </c>
      <c r="Z9" s="112">
        <v>0</v>
      </c>
      <c r="AA9" s="112">
        <v>0</v>
      </c>
      <c r="AB9" s="112">
        <v>12</v>
      </c>
      <c r="AC9" s="123">
        <f>W9+X9+Y9+Z9+AA9+AB9</f>
        <v>12</v>
      </c>
      <c r="AD9" s="110">
        <v>137500</v>
      </c>
      <c r="AE9" s="113"/>
      <c r="AF9" s="129">
        <v>284.97999999999593</v>
      </c>
      <c r="AG9" s="131">
        <v>0</v>
      </c>
      <c r="AH9" s="130">
        <f>AF9+AG9</f>
        <v>284.97999999999593</v>
      </c>
      <c r="AI9" s="133">
        <v>2450827.9999999651</v>
      </c>
      <c r="AJ9" s="21"/>
    </row>
    <row r="10" spans="1:36" ht="15">
      <c r="A10" s="19"/>
      <c r="B10" s="64">
        <v>4</v>
      </c>
      <c r="C10" s="159">
        <v>23</v>
      </c>
      <c r="D10" s="159">
        <v>199</v>
      </c>
      <c r="E10" s="124">
        <v>13079.999999999927</v>
      </c>
      <c r="F10" s="124">
        <v>14225402.519999921</v>
      </c>
      <c r="G10" s="111">
        <v>4079.9999999999841</v>
      </c>
      <c r="H10" s="111">
        <v>6655922.2799999742</v>
      </c>
      <c r="I10" s="105">
        <f>F10+H10</f>
        <v>20881324.799999896</v>
      </c>
      <c r="J10" s="158">
        <v>1640.0000000000005</v>
      </c>
      <c r="K10" s="158">
        <v>1783613.1600000006</v>
      </c>
      <c r="L10" s="120">
        <v>320.00000000000028</v>
      </c>
      <c r="M10" s="122">
        <v>522033.12000000052</v>
      </c>
      <c r="N10" s="107">
        <f>K10+M10</f>
        <v>2305646.2800000012</v>
      </c>
      <c r="O10" s="105">
        <f>I10+N10</f>
        <v>23186971.079999898</v>
      </c>
      <c r="P10" s="107">
        <f>E10+G10+J10+L10</f>
        <v>19119.999999999913</v>
      </c>
      <c r="Q10" s="123">
        <f>R10+T10</f>
        <v>76</v>
      </c>
      <c r="R10" s="124">
        <v>76</v>
      </c>
      <c r="S10" s="124">
        <v>1365758</v>
      </c>
      <c r="T10" s="117">
        <v>0</v>
      </c>
      <c r="U10" s="117">
        <v>0</v>
      </c>
      <c r="V10" s="115">
        <f>S10+U10</f>
        <v>1365758</v>
      </c>
      <c r="W10" s="126">
        <v>0</v>
      </c>
      <c r="X10" s="112">
        <v>0</v>
      </c>
      <c r="Y10" s="110">
        <v>0</v>
      </c>
      <c r="Z10" s="112">
        <v>0</v>
      </c>
      <c r="AA10" s="112">
        <v>0</v>
      </c>
      <c r="AB10" s="112">
        <v>24</v>
      </c>
      <c r="AC10" s="123">
        <f>W10+X10+Y10+Z10+AA10+AB10</f>
        <v>24</v>
      </c>
      <c r="AD10" s="110">
        <v>275000</v>
      </c>
      <c r="AE10" s="113"/>
      <c r="AF10" s="129">
        <v>297.97999999999593</v>
      </c>
      <c r="AG10" s="131">
        <v>0</v>
      </c>
      <c r="AH10" s="130">
        <f>AF10+AG10</f>
        <v>297.97999999999593</v>
      </c>
      <c r="AI10" s="133">
        <v>2562627.9999999651</v>
      </c>
      <c r="AJ10" s="21"/>
    </row>
    <row r="11" spans="1:36" ht="15">
      <c r="A11" s="19"/>
      <c r="B11" s="81">
        <v>5</v>
      </c>
      <c r="C11" s="159">
        <v>18</v>
      </c>
      <c r="D11" s="159">
        <v>137</v>
      </c>
      <c r="E11" s="124">
        <v>10639.999999999985</v>
      </c>
      <c r="F11" s="124">
        <v>11571734.159999983</v>
      </c>
      <c r="G11" s="111">
        <v>2080.0000000000127</v>
      </c>
      <c r="H11" s="111">
        <v>3393215.2800000212</v>
      </c>
      <c r="I11" s="105">
        <f>F11+H11</f>
        <v>14964949.440000005</v>
      </c>
      <c r="J11" s="158">
        <v>1600.0000000000014</v>
      </c>
      <c r="K11" s="158">
        <v>1740110.4000000015</v>
      </c>
      <c r="L11" s="120">
        <v>500</v>
      </c>
      <c r="M11" s="122">
        <v>815676.75</v>
      </c>
      <c r="N11" s="107">
        <f>K11+M11</f>
        <v>2555787.1500000013</v>
      </c>
      <c r="O11" s="105">
        <f>I11+N11</f>
        <v>17520736.590000007</v>
      </c>
      <c r="P11" s="107">
        <f>E11+G11+J11+L11</f>
        <v>14820</v>
      </c>
      <c r="Q11" s="123">
        <f>R11+T11</f>
        <v>96</v>
      </c>
      <c r="R11" s="124">
        <v>96</v>
      </c>
      <c r="S11" s="124">
        <v>1725168</v>
      </c>
      <c r="T11" s="117">
        <v>0</v>
      </c>
      <c r="U11" s="117">
        <v>0</v>
      </c>
      <c r="V11" s="115">
        <f>S11+U11</f>
        <v>1725168</v>
      </c>
      <c r="W11" s="126">
        <v>0</v>
      </c>
      <c r="X11" s="112">
        <v>0</v>
      </c>
      <c r="Y11" s="110">
        <v>350</v>
      </c>
      <c r="Z11" s="112">
        <v>0</v>
      </c>
      <c r="AA11" s="112">
        <v>0</v>
      </c>
      <c r="AB11" s="112">
        <v>12</v>
      </c>
      <c r="AC11" s="123">
        <f>W11+X11+Y11+Z11+AA11+AB11</f>
        <v>362</v>
      </c>
      <c r="AD11" s="110">
        <v>3994500</v>
      </c>
      <c r="AE11" s="113"/>
      <c r="AF11" s="129">
        <v>315.86999999999534</v>
      </c>
      <c r="AG11" s="131">
        <v>0</v>
      </c>
      <c r="AH11" s="130">
        <f>AF11+AG11</f>
        <v>315.86999999999534</v>
      </c>
      <c r="AI11" s="133">
        <v>2716481.99999996</v>
      </c>
      <c r="AJ11" s="21"/>
    </row>
    <row r="12" spans="1:36" ht="15">
      <c r="A12" s="19"/>
      <c r="B12" s="64">
        <v>6</v>
      </c>
      <c r="C12" s="159">
        <v>14</v>
      </c>
      <c r="D12" s="159">
        <v>168</v>
      </c>
      <c r="E12" s="124">
        <v>8000</v>
      </c>
      <c r="F12" s="124">
        <v>8700552</v>
      </c>
      <c r="G12" s="111">
        <v>2199.9999999999886</v>
      </c>
      <c r="H12" s="111">
        <v>3588977.6999999816</v>
      </c>
      <c r="I12" s="105">
        <f>F12+H12</f>
        <v>12289529.699999981</v>
      </c>
      <c r="J12" s="158">
        <v>740.00000000000205</v>
      </c>
      <c r="K12" s="158">
        <v>804801.06000000215</v>
      </c>
      <c r="L12" s="120">
        <v>179.99999999999972</v>
      </c>
      <c r="M12" s="122">
        <v>293643.62999999954</v>
      </c>
      <c r="N12" s="107">
        <f>K12+M12</f>
        <v>1098444.6900000018</v>
      </c>
      <c r="O12" s="105">
        <f>I12+N12</f>
        <v>13387974.389999982</v>
      </c>
      <c r="P12" s="107">
        <f>E12+G12+J12+L12</f>
        <v>11119.999999999991</v>
      </c>
      <c r="Q12" s="123">
        <f>R12+T12</f>
        <v>711.8</v>
      </c>
      <c r="R12" s="124">
        <v>97</v>
      </c>
      <c r="S12" s="124">
        <v>1743138.5</v>
      </c>
      <c r="T12" s="117">
        <v>614.79999999999995</v>
      </c>
      <c r="U12" s="117">
        <v>2634497.9239999996</v>
      </c>
      <c r="V12" s="115">
        <f>S12+U12</f>
        <v>4377636.4239999996</v>
      </c>
      <c r="W12" s="126">
        <v>0</v>
      </c>
      <c r="X12" s="112">
        <v>0</v>
      </c>
      <c r="Y12" s="110">
        <v>0</v>
      </c>
      <c r="Z12" s="112">
        <v>0</v>
      </c>
      <c r="AA12" s="112">
        <v>0</v>
      </c>
      <c r="AB12" s="112">
        <v>0</v>
      </c>
      <c r="AC12" s="123">
        <f>W12+X12+Y12+Z12+AA12+AB12</f>
        <v>0</v>
      </c>
      <c r="AD12" s="110">
        <v>0</v>
      </c>
      <c r="AE12" s="113"/>
      <c r="AF12" s="129">
        <v>330.63000000000466</v>
      </c>
      <c r="AG12" s="131">
        <v>0</v>
      </c>
      <c r="AH12" s="130">
        <f>AF12+AG12</f>
        <v>330.63000000000466</v>
      </c>
      <c r="AI12" s="133">
        <v>2843418.00000004</v>
      </c>
      <c r="AJ12" s="21"/>
    </row>
    <row r="13" spans="1:36" ht="15">
      <c r="A13" s="19"/>
      <c r="B13" s="81">
        <v>7</v>
      </c>
      <c r="C13" s="159">
        <v>14</v>
      </c>
      <c r="D13" s="159">
        <v>131</v>
      </c>
      <c r="E13" s="124">
        <v>10759.999999999991</v>
      </c>
      <c r="F13" s="124">
        <v>11702242.43999999</v>
      </c>
      <c r="G13" s="111">
        <v>2120.0000000000045</v>
      </c>
      <c r="H13" s="111">
        <v>3458469.4200000078</v>
      </c>
      <c r="I13" s="105">
        <f>F13+H13</f>
        <v>15160711.859999998</v>
      </c>
      <c r="J13" s="158">
        <v>1359.9999999999995</v>
      </c>
      <c r="K13" s="158">
        <v>1479093.8399999996</v>
      </c>
      <c r="L13" s="120">
        <v>339.99999999999989</v>
      </c>
      <c r="M13" s="122">
        <v>554660.18999999983</v>
      </c>
      <c r="N13" s="107">
        <f>K13+M13</f>
        <v>2033754.0299999993</v>
      </c>
      <c r="O13" s="105">
        <f>I13+N13</f>
        <v>17194465.889999997</v>
      </c>
      <c r="P13" s="107">
        <f>E13+G13+J13+L13</f>
        <v>14579.999999999996</v>
      </c>
      <c r="Q13" s="123">
        <f>R13+T13</f>
        <v>166.60000000000014</v>
      </c>
      <c r="R13" s="124">
        <v>93</v>
      </c>
      <c r="S13" s="124">
        <v>1671256.5</v>
      </c>
      <c r="T13" s="117">
        <v>73.600000000000136</v>
      </c>
      <c r="U13" s="117">
        <v>315385.56800000061</v>
      </c>
      <c r="V13" s="115">
        <f>S13+U13</f>
        <v>1986642.0680000007</v>
      </c>
      <c r="W13" s="126">
        <v>0</v>
      </c>
      <c r="X13" s="112">
        <v>0</v>
      </c>
      <c r="Y13" s="110">
        <v>0</v>
      </c>
      <c r="Z13" s="112">
        <v>0</v>
      </c>
      <c r="AA13" s="112">
        <v>0</v>
      </c>
      <c r="AB13" s="112">
        <v>24</v>
      </c>
      <c r="AC13" s="123">
        <f>W13+X13+Y13+Z13+AA13+AB13</f>
        <v>24</v>
      </c>
      <c r="AD13" s="110">
        <v>275000</v>
      </c>
      <c r="AE13" s="113"/>
      <c r="AF13" s="129">
        <v>318.94000000000233</v>
      </c>
      <c r="AG13" s="131">
        <v>53.800000000017462</v>
      </c>
      <c r="AH13" s="130">
        <f>AF13+AG13</f>
        <v>372.74000000001979</v>
      </c>
      <c r="AI13" s="133">
        <v>3205564.0000001704</v>
      </c>
      <c r="AJ13" s="21"/>
    </row>
    <row r="14" spans="1:36" ht="15">
      <c r="A14" s="19"/>
      <c r="B14" s="64">
        <v>8</v>
      </c>
      <c r="C14" s="159">
        <v>13</v>
      </c>
      <c r="D14" s="159">
        <v>125</v>
      </c>
      <c r="E14" s="124">
        <v>10520.000000000095</v>
      </c>
      <c r="F14" s="124">
        <v>11441225.880000103</v>
      </c>
      <c r="G14" s="111">
        <v>1960.000000000008</v>
      </c>
      <c r="H14" s="111">
        <v>3197452.8600000129</v>
      </c>
      <c r="I14" s="105">
        <f>F14+H14</f>
        <v>14638678.740000116</v>
      </c>
      <c r="J14" s="158">
        <v>1259.999999999998</v>
      </c>
      <c r="K14" s="158">
        <v>1370336.9399999978</v>
      </c>
      <c r="L14" s="120">
        <v>300.00000000000068</v>
      </c>
      <c r="M14" s="122">
        <v>489406.05000000121</v>
      </c>
      <c r="N14" s="107">
        <f>K14+M14</f>
        <v>1859742.9899999991</v>
      </c>
      <c r="O14" s="105">
        <f>I14+N14</f>
        <v>16498421.730000114</v>
      </c>
      <c r="P14" s="107">
        <f>E14+G14+J14+L14</f>
        <v>14040.0000000001</v>
      </c>
      <c r="Q14" s="123">
        <f>R14+T14</f>
        <v>54</v>
      </c>
      <c r="R14" s="124">
        <v>54</v>
      </c>
      <c r="S14" s="124">
        <v>970407</v>
      </c>
      <c r="T14" s="117">
        <v>0</v>
      </c>
      <c r="U14" s="117">
        <v>0</v>
      </c>
      <c r="V14" s="115">
        <f>S14+U14</f>
        <v>970407</v>
      </c>
      <c r="W14" s="126">
        <v>0</v>
      </c>
      <c r="X14" s="112">
        <v>0</v>
      </c>
      <c r="Y14" s="110">
        <v>0</v>
      </c>
      <c r="Z14" s="112">
        <v>0</v>
      </c>
      <c r="AA14" s="112">
        <v>0</v>
      </c>
      <c r="AB14" s="112">
        <v>24</v>
      </c>
      <c r="AC14" s="123">
        <f>W14+X14+Y14+Z14+AA14+AB14</f>
        <v>24</v>
      </c>
      <c r="AD14" s="110">
        <v>275000</v>
      </c>
      <c r="AE14" s="113"/>
      <c r="AF14" s="129">
        <v>290.02000000000407</v>
      </c>
      <c r="AG14" s="131">
        <v>0</v>
      </c>
      <c r="AH14" s="130">
        <f>AF14+AG14</f>
        <v>290.02000000000407</v>
      </c>
      <c r="AI14" s="133">
        <v>2494172.0000000349</v>
      </c>
      <c r="AJ14" s="21"/>
    </row>
    <row r="15" spans="1:36" ht="15">
      <c r="A15" s="19"/>
      <c r="B15" s="81">
        <v>9</v>
      </c>
      <c r="C15" s="159">
        <v>11</v>
      </c>
      <c r="D15" s="159">
        <v>146</v>
      </c>
      <c r="E15" s="124">
        <v>10239.999999999894</v>
      </c>
      <c r="F15" s="124">
        <v>11136706.559999887</v>
      </c>
      <c r="G15" s="111">
        <v>2159.9999999999964</v>
      </c>
      <c r="H15" s="111">
        <v>3523723.5599999945</v>
      </c>
      <c r="I15" s="105">
        <f>F15+H15</f>
        <v>14660430.119999882</v>
      </c>
      <c r="J15" s="158">
        <v>1219.9999999999989</v>
      </c>
      <c r="K15" s="158">
        <v>1326834.1799999988</v>
      </c>
      <c r="L15" s="120">
        <v>320.00000000000028</v>
      </c>
      <c r="M15" s="122">
        <v>522033.12000000052</v>
      </c>
      <c r="N15" s="107">
        <f>K15+M15</f>
        <v>1848867.2999999993</v>
      </c>
      <c r="O15" s="105">
        <f>I15+N15</f>
        <v>16509297.419999881</v>
      </c>
      <c r="P15" s="107">
        <f>E15+G15+J15+L15</f>
        <v>13939.999999999889</v>
      </c>
      <c r="Q15" s="123">
        <f>R15+T15</f>
        <v>63</v>
      </c>
      <c r="R15" s="124">
        <v>63</v>
      </c>
      <c r="S15" s="124">
        <v>1132141.5</v>
      </c>
      <c r="T15" s="117">
        <v>0</v>
      </c>
      <c r="U15" s="117">
        <v>0</v>
      </c>
      <c r="V15" s="115">
        <f>S15+U15</f>
        <v>1132141.5</v>
      </c>
      <c r="W15" s="126">
        <v>0</v>
      </c>
      <c r="X15" s="112">
        <v>0</v>
      </c>
      <c r="Y15" s="110">
        <v>50</v>
      </c>
      <c r="Z15" s="112">
        <v>0</v>
      </c>
      <c r="AA15" s="112">
        <v>0</v>
      </c>
      <c r="AB15" s="112">
        <v>12</v>
      </c>
      <c r="AC15" s="123">
        <f>W15+X15+Y15+Z15+AA15+AB15</f>
        <v>62</v>
      </c>
      <c r="AD15" s="110">
        <v>688500</v>
      </c>
      <c r="AE15" s="113"/>
      <c r="AF15" s="129">
        <v>296.08000000000175</v>
      </c>
      <c r="AG15" s="131">
        <v>0</v>
      </c>
      <c r="AH15" s="130">
        <f>AF15+AG15</f>
        <v>296.08000000000175</v>
      </c>
      <c r="AI15" s="133">
        <v>2546288.0000000149</v>
      </c>
      <c r="AJ15" s="21"/>
    </row>
    <row r="16" spans="1:36" ht="15">
      <c r="A16" s="19"/>
      <c r="B16" s="64">
        <v>10</v>
      </c>
      <c r="C16" s="159">
        <v>10</v>
      </c>
      <c r="D16" s="159">
        <v>116</v>
      </c>
      <c r="E16" s="124">
        <v>10240.000000000009</v>
      </c>
      <c r="F16" s="124">
        <v>11136706.56000001</v>
      </c>
      <c r="G16" s="111">
        <v>2039.999999999992</v>
      </c>
      <c r="H16" s="111">
        <v>3327961.1399999871</v>
      </c>
      <c r="I16" s="105">
        <f>F16+H16</f>
        <v>14464667.699999997</v>
      </c>
      <c r="J16" s="158">
        <v>1240.000000000002</v>
      </c>
      <c r="K16" s="158">
        <v>1348585.5600000022</v>
      </c>
      <c r="L16" s="120">
        <v>279.99999999999937</v>
      </c>
      <c r="M16" s="122">
        <v>456778.97999999899</v>
      </c>
      <c r="N16" s="107">
        <f>K16+M16</f>
        <v>1805364.5400000012</v>
      </c>
      <c r="O16" s="105">
        <f>I16+N16</f>
        <v>16270032.239999998</v>
      </c>
      <c r="P16" s="107">
        <f>E16+G16+J16+L16</f>
        <v>13800.000000000004</v>
      </c>
      <c r="Q16" s="123">
        <f>R16+T16</f>
        <v>58</v>
      </c>
      <c r="R16" s="124">
        <v>58</v>
      </c>
      <c r="S16" s="124">
        <v>1042289</v>
      </c>
      <c r="T16" s="117">
        <v>0</v>
      </c>
      <c r="U16" s="117">
        <v>0</v>
      </c>
      <c r="V16" s="115">
        <f>S16+U16</f>
        <v>1042289</v>
      </c>
      <c r="W16" s="126">
        <v>0</v>
      </c>
      <c r="X16" s="112">
        <v>0</v>
      </c>
      <c r="Y16" s="110">
        <v>0</v>
      </c>
      <c r="Z16" s="112">
        <v>0</v>
      </c>
      <c r="AA16" s="112">
        <v>0</v>
      </c>
      <c r="AB16" s="112">
        <v>12</v>
      </c>
      <c r="AC16" s="123">
        <f>W16+X16+Y16+Z16+AA16+AB16</f>
        <v>12</v>
      </c>
      <c r="AD16" s="110">
        <v>137500</v>
      </c>
      <c r="AE16" s="113"/>
      <c r="AF16" s="129">
        <v>171.01999999998952</v>
      </c>
      <c r="AG16" s="131">
        <v>0</v>
      </c>
      <c r="AH16" s="130">
        <f>AF16+AG16</f>
        <v>171.01999999998952</v>
      </c>
      <c r="AI16" s="133">
        <v>1470771.9999999099</v>
      </c>
      <c r="AJ16" s="21"/>
    </row>
    <row r="17" spans="1:36" ht="15">
      <c r="A17" s="19"/>
      <c r="B17" s="81">
        <v>11</v>
      </c>
      <c r="C17" s="159">
        <v>11</v>
      </c>
      <c r="D17" s="159">
        <v>79</v>
      </c>
      <c r="E17" s="124">
        <v>12920.000000000073</v>
      </c>
      <c r="F17" s="124">
        <v>14051391.480000079</v>
      </c>
      <c r="G17" s="111">
        <v>2159.9999999999964</v>
      </c>
      <c r="H17" s="111">
        <v>3523723.5599999945</v>
      </c>
      <c r="I17" s="105">
        <f>F17+H17</f>
        <v>17575115.040000074</v>
      </c>
      <c r="J17" s="158">
        <v>1500</v>
      </c>
      <c r="K17" s="158">
        <v>1631353.5</v>
      </c>
      <c r="L17" s="120">
        <v>300.00000000000068</v>
      </c>
      <c r="M17" s="122">
        <v>489406.05000000121</v>
      </c>
      <c r="N17" s="107">
        <f>K17+M17</f>
        <v>2120759.5500000012</v>
      </c>
      <c r="O17" s="105">
        <f>I17+N17</f>
        <v>19695874.590000074</v>
      </c>
      <c r="P17" s="107">
        <f>E17+G17+J17+L17</f>
        <v>16880.000000000069</v>
      </c>
      <c r="Q17" s="123">
        <f>R17+T17</f>
        <v>62</v>
      </c>
      <c r="R17" s="124">
        <v>62</v>
      </c>
      <c r="S17" s="124">
        <v>1114171</v>
      </c>
      <c r="T17" s="117">
        <v>0</v>
      </c>
      <c r="U17" s="117">
        <v>0</v>
      </c>
      <c r="V17" s="115">
        <f>S17+U17</f>
        <v>1114171</v>
      </c>
      <c r="W17" s="126">
        <v>0</v>
      </c>
      <c r="X17" s="112">
        <v>0</v>
      </c>
      <c r="Y17" s="110">
        <v>0</v>
      </c>
      <c r="Z17" s="112">
        <v>0</v>
      </c>
      <c r="AA17" s="112">
        <v>0</v>
      </c>
      <c r="AB17" s="112">
        <v>0</v>
      </c>
      <c r="AC17" s="123">
        <f>W17+X17+Y17+Z17+AA17+AB17</f>
        <v>0</v>
      </c>
      <c r="AD17" s="110">
        <v>0</v>
      </c>
      <c r="AE17" s="113"/>
      <c r="AF17" s="129">
        <v>251.66999999999825</v>
      </c>
      <c r="AG17" s="131">
        <v>0</v>
      </c>
      <c r="AH17" s="130">
        <f>AF17+AG17</f>
        <v>251.66999999999825</v>
      </c>
      <c r="AI17" s="133">
        <v>2164361.9999999851</v>
      </c>
      <c r="AJ17" s="21"/>
    </row>
    <row r="18" spans="1:36" ht="15">
      <c r="A18" s="19"/>
      <c r="B18" s="64">
        <v>12</v>
      </c>
      <c r="C18" s="159">
        <v>10</v>
      </c>
      <c r="D18" s="159">
        <v>85</v>
      </c>
      <c r="E18" s="124">
        <v>10600.000000000022</v>
      </c>
      <c r="F18" s="124">
        <v>11528231.400000025</v>
      </c>
      <c r="G18" s="111">
        <v>2159.9999999999964</v>
      </c>
      <c r="H18" s="111">
        <v>3523723.5599999945</v>
      </c>
      <c r="I18" s="105">
        <f>F18+H18</f>
        <v>15051954.96000002</v>
      </c>
      <c r="J18" s="158">
        <v>1200.0000000000027</v>
      </c>
      <c r="K18" s="158">
        <v>1305082.8000000031</v>
      </c>
      <c r="L18" s="120">
        <v>319.99999999999852</v>
      </c>
      <c r="M18" s="122">
        <v>522033.11999999767</v>
      </c>
      <c r="N18" s="107">
        <f>K18+M18</f>
        <v>1827115.9200000009</v>
      </c>
      <c r="O18" s="105">
        <f>I18+N18</f>
        <v>16879070.880000021</v>
      </c>
      <c r="P18" s="107">
        <f>E18+G18+J18+L18</f>
        <v>14280.00000000002</v>
      </c>
      <c r="Q18" s="123">
        <f>R18+T18</f>
        <v>63</v>
      </c>
      <c r="R18" s="124">
        <v>63</v>
      </c>
      <c r="S18" s="124">
        <v>1132141.5</v>
      </c>
      <c r="T18" s="117">
        <v>0</v>
      </c>
      <c r="U18" s="117">
        <v>0</v>
      </c>
      <c r="V18" s="115">
        <f>S18+U18</f>
        <v>1132141.5</v>
      </c>
      <c r="W18" s="126">
        <v>0</v>
      </c>
      <c r="X18" s="112">
        <v>0</v>
      </c>
      <c r="Y18" s="110">
        <v>350</v>
      </c>
      <c r="Z18" s="112">
        <v>0</v>
      </c>
      <c r="AA18" s="112">
        <v>0</v>
      </c>
      <c r="AB18" s="112">
        <v>12</v>
      </c>
      <c r="AC18" s="123">
        <f>W18+X18+Y18+Z18+AA18+AB18</f>
        <v>362</v>
      </c>
      <c r="AD18" s="110">
        <v>3994500</v>
      </c>
      <c r="AE18" s="113"/>
      <c r="AF18" s="129">
        <v>279.53000000001339</v>
      </c>
      <c r="AG18" s="131">
        <v>0</v>
      </c>
      <c r="AH18" s="130">
        <f>AF18+AG18</f>
        <v>279.53000000001339</v>
      </c>
      <c r="AI18" s="133">
        <v>2403958.000000115</v>
      </c>
      <c r="AJ18" s="21"/>
    </row>
    <row r="19" spans="1:36" ht="15">
      <c r="A19" s="19"/>
      <c r="B19" s="81">
        <v>13</v>
      </c>
      <c r="C19" s="159">
        <v>10</v>
      </c>
      <c r="D19" s="159">
        <v>81</v>
      </c>
      <c r="E19" s="124">
        <v>7399.9999999999773</v>
      </c>
      <c r="F19" s="124">
        <v>8048010.5999999745</v>
      </c>
      <c r="G19" s="111">
        <v>2040.0000000000205</v>
      </c>
      <c r="H19" s="111">
        <v>3327961.1400000337</v>
      </c>
      <c r="I19" s="105">
        <f>F19+H19</f>
        <v>11375971.740000008</v>
      </c>
      <c r="J19" s="158">
        <v>879.99999999999545</v>
      </c>
      <c r="K19" s="158">
        <v>957060.71999999508</v>
      </c>
      <c r="L19" s="120">
        <v>280.00000000000114</v>
      </c>
      <c r="M19" s="122">
        <v>456778.9800000019</v>
      </c>
      <c r="N19" s="107">
        <f>K19+M19</f>
        <v>1413839.6999999969</v>
      </c>
      <c r="O19" s="105">
        <f>I19+N19</f>
        <v>12789811.440000005</v>
      </c>
      <c r="P19" s="107">
        <f>E19+G19+J19+L19</f>
        <v>10599.999999999995</v>
      </c>
      <c r="Q19" s="123">
        <f>R19+T19</f>
        <v>245</v>
      </c>
      <c r="R19" s="124">
        <v>68</v>
      </c>
      <c r="S19" s="124">
        <v>1221994</v>
      </c>
      <c r="T19" s="117">
        <v>177</v>
      </c>
      <c r="U19" s="117">
        <v>758468.01</v>
      </c>
      <c r="V19" s="115">
        <f>S19+U19</f>
        <v>1980462.01</v>
      </c>
      <c r="W19" s="126">
        <v>0</v>
      </c>
      <c r="X19" s="112">
        <v>0</v>
      </c>
      <c r="Y19" s="110">
        <v>0</v>
      </c>
      <c r="Z19" s="112">
        <v>0</v>
      </c>
      <c r="AA19" s="112">
        <v>0</v>
      </c>
      <c r="AB19" s="112">
        <v>12</v>
      </c>
      <c r="AC19" s="123">
        <f>W19+X19+Y19+Z19+AA19+AB19</f>
        <v>12</v>
      </c>
      <c r="AD19" s="110">
        <v>137500</v>
      </c>
      <c r="AE19" s="113"/>
      <c r="AF19" s="129">
        <v>265.00999999999476</v>
      </c>
      <c r="AG19" s="131">
        <v>0</v>
      </c>
      <c r="AH19" s="130">
        <f>AF19+AG19</f>
        <v>265.00999999999476</v>
      </c>
      <c r="AI19" s="133">
        <v>2279085.9999999548</v>
      </c>
      <c r="AJ19" s="21"/>
    </row>
    <row r="20" spans="1:36" ht="15">
      <c r="A20" s="19"/>
      <c r="B20" s="64">
        <v>14</v>
      </c>
      <c r="C20" s="159">
        <v>9</v>
      </c>
      <c r="D20" s="159">
        <v>82</v>
      </c>
      <c r="E20" s="124">
        <v>10519.999999999982</v>
      </c>
      <c r="F20" s="124">
        <v>11441225.87999998</v>
      </c>
      <c r="G20" s="111">
        <v>2319.9999999999932</v>
      </c>
      <c r="H20" s="111">
        <v>3784740.1199999894</v>
      </c>
      <c r="I20" s="105">
        <f>F20+H20</f>
        <v>15225965.99999997</v>
      </c>
      <c r="J20" s="158">
        <v>1160.0000000000036</v>
      </c>
      <c r="K20" s="158">
        <v>1261580.040000004</v>
      </c>
      <c r="L20" s="120">
        <v>299.99999999999892</v>
      </c>
      <c r="M20" s="122">
        <v>489406.0499999983</v>
      </c>
      <c r="N20" s="107">
        <f>K20+M20</f>
        <v>1750986.0900000022</v>
      </c>
      <c r="O20" s="105">
        <f>I20+N20</f>
        <v>16976952.089999974</v>
      </c>
      <c r="P20" s="107">
        <f>E20+G20+J20+L20</f>
        <v>14299.999999999976</v>
      </c>
      <c r="Q20" s="123">
        <f>R20+T20</f>
        <v>115</v>
      </c>
      <c r="R20" s="124">
        <v>60</v>
      </c>
      <c r="S20" s="124">
        <v>1078230</v>
      </c>
      <c r="T20" s="117">
        <v>55</v>
      </c>
      <c r="U20" s="117">
        <v>235682.15</v>
      </c>
      <c r="V20" s="115">
        <f>S20+U20</f>
        <v>1313912.1499999999</v>
      </c>
      <c r="W20" s="126">
        <v>0</v>
      </c>
      <c r="X20" s="112">
        <v>0</v>
      </c>
      <c r="Y20" s="110">
        <v>0</v>
      </c>
      <c r="Z20" s="112">
        <v>0</v>
      </c>
      <c r="AA20" s="112">
        <v>0</v>
      </c>
      <c r="AB20" s="112">
        <v>12</v>
      </c>
      <c r="AC20" s="123">
        <f>W20+X20+Y20+Z20+AA20+AB20</f>
        <v>12</v>
      </c>
      <c r="AD20" s="110">
        <v>137500</v>
      </c>
      <c r="AE20" s="113"/>
      <c r="AF20" s="129">
        <v>203.52999999999827</v>
      </c>
      <c r="AG20" s="131">
        <v>0</v>
      </c>
      <c r="AH20" s="130">
        <f>AF20+AG20</f>
        <v>203.52999999999827</v>
      </c>
      <c r="AI20" s="133">
        <v>1750357.9999999851</v>
      </c>
      <c r="AJ20" s="21"/>
    </row>
    <row r="21" spans="1:36" ht="15">
      <c r="A21" s="19"/>
      <c r="B21" s="81">
        <v>15</v>
      </c>
      <c r="C21" s="160">
        <v>9</v>
      </c>
      <c r="D21" s="160">
        <v>52</v>
      </c>
      <c r="E21" s="117">
        <v>10679.999999999949</v>
      </c>
      <c r="F21" s="117">
        <v>11615236.919999944</v>
      </c>
      <c r="G21" s="114">
        <v>2000</v>
      </c>
      <c r="H21" s="114">
        <v>3262707</v>
      </c>
      <c r="I21" s="105">
        <f>F21+H21</f>
        <v>14877943.919999944</v>
      </c>
      <c r="J21" s="114">
        <v>1299.9999999999973</v>
      </c>
      <c r="K21" s="114">
        <v>1413839.6999999972</v>
      </c>
      <c r="L21" s="114">
        <v>320.00000000000028</v>
      </c>
      <c r="M21" s="117">
        <v>522033.12000000052</v>
      </c>
      <c r="N21" s="107">
        <f>K21+M21</f>
        <v>1935872.8199999977</v>
      </c>
      <c r="O21" s="105">
        <f>I21+N21</f>
        <v>16813816.739999942</v>
      </c>
      <c r="P21" s="107">
        <f>E21+G21+J21+L21</f>
        <v>14299.999999999945</v>
      </c>
      <c r="Q21" s="123">
        <f>R21+T21</f>
        <v>84</v>
      </c>
      <c r="R21" s="124">
        <v>61</v>
      </c>
      <c r="S21" s="124">
        <v>1096200.5</v>
      </c>
      <c r="T21" s="117">
        <v>23</v>
      </c>
      <c r="U21" s="117">
        <v>98557.99</v>
      </c>
      <c r="V21" s="115">
        <f>S21+U21</f>
        <v>1194758.49</v>
      </c>
      <c r="W21" s="126">
        <v>0</v>
      </c>
      <c r="X21" s="112">
        <v>0</v>
      </c>
      <c r="Y21" s="110">
        <v>50</v>
      </c>
      <c r="Z21" s="112">
        <v>0</v>
      </c>
      <c r="AA21" s="112">
        <v>0</v>
      </c>
      <c r="AB21" s="112">
        <v>12</v>
      </c>
      <c r="AC21" s="123">
        <f>W21+X21+Y21+Z21+AA21+AB21</f>
        <v>62</v>
      </c>
      <c r="AD21" s="110">
        <v>688500</v>
      </c>
      <c r="AE21" s="113"/>
      <c r="AF21" s="129">
        <v>184.54000000000002</v>
      </c>
      <c r="AG21" s="131">
        <v>48.699999999982538</v>
      </c>
      <c r="AH21" s="130">
        <f>AF21+AG21</f>
        <v>233.23999999998256</v>
      </c>
      <c r="AI21" s="133">
        <v>2005863.9999998501</v>
      </c>
      <c r="AJ21" s="21"/>
    </row>
    <row r="22" spans="1:36" ht="15">
      <c r="A22" s="19"/>
      <c r="B22" s="64">
        <v>16</v>
      </c>
      <c r="C22" s="160">
        <v>8</v>
      </c>
      <c r="D22" s="160">
        <v>68</v>
      </c>
      <c r="E22" s="117">
        <v>9639.9999999999854</v>
      </c>
      <c r="F22" s="117">
        <v>10484165.159999983</v>
      </c>
      <c r="G22" s="114">
        <v>1840.0000000000034</v>
      </c>
      <c r="H22" s="114">
        <v>3001690.440000006</v>
      </c>
      <c r="I22" s="105">
        <f>F22+H22</f>
        <v>13485855.59999999</v>
      </c>
      <c r="J22" s="114">
        <v>1240.000000000002</v>
      </c>
      <c r="K22" s="114">
        <v>1348585.5600000022</v>
      </c>
      <c r="L22" s="114">
        <v>280.00000000000114</v>
      </c>
      <c r="M22" s="117">
        <v>456778.9800000019</v>
      </c>
      <c r="N22" s="107">
        <f>K22+M22</f>
        <v>1805364.540000004</v>
      </c>
      <c r="O22" s="105">
        <f>I22+N22</f>
        <v>15291220.139999995</v>
      </c>
      <c r="P22" s="107">
        <f>E22+G22+J22+L22</f>
        <v>12999.999999999993</v>
      </c>
      <c r="Q22" s="123">
        <f>R22+T22</f>
        <v>135</v>
      </c>
      <c r="R22" s="124">
        <v>64</v>
      </c>
      <c r="S22" s="124">
        <v>1150112</v>
      </c>
      <c r="T22" s="117">
        <v>71</v>
      </c>
      <c r="U22" s="117">
        <v>304244.23</v>
      </c>
      <c r="V22" s="115">
        <f>S22+U22</f>
        <v>1454356.23</v>
      </c>
      <c r="W22" s="126">
        <v>0</v>
      </c>
      <c r="X22" s="112">
        <v>0</v>
      </c>
      <c r="Y22" s="110">
        <v>0</v>
      </c>
      <c r="Z22" s="112">
        <v>0</v>
      </c>
      <c r="AA22" s="112">
        <v>0</v>
      </c>
      <c r="AB22" s="112">
        <v>24</v>
      </c>
      <c r="AC22" s="123">
        <f>W22+X22+Y22+Z22+AA22+AB22</f>
        <v>24</v>
      </c>
      <c r="AD22" s="110">
        <v>275000</v>
      </c>
      <c r="AE22" s="113"/>
      <c r="AF22" s="129">
        <v>175.22</v>
      </c>
      <c r="AG22" s="131">
        <v>0</v>
      </c>
      <c r="AH22" s="130">
        <f>AF22+AG22</f>
        <v>175.22</v>
      </c>
      <c r="AI22" s="133">
        <v>1506892</v>
      </c>
      <c r="AJ22" s="21"/>
    </row>
    <row r="23" spans="1:36" ht="15">
      <c r="A23" s="19"/>
      <c r="B23" s="81">
        <v>17</v>
      </c>
      <c r="C23" s="160">
        <v>5</v>
      </c>
      <c r="D23" s="160">
        <v>83</v>
      </c>
      <c r="E23" s="117">
        <v>9640.0000000001</v>
      </c>
      <c r="F23" s="117">
        <v>10484165.16000011</v>
      </c>
      <c r="G23" s="114">
        <v>2000</v>
      </c>
      <c r="H23" s="114">
        <v>3262707</v>
      </c>
      <c r="I23" s="105">
        <f>F23+H23</f>
        <v>13746872.16000011</v>
      </c>
      <c r="J23" s="114">
        <v>1359.9999999999995</v>
      </c>
      <c r="K23" s="114">
        <v>1479093.8399999996</v>
      </c>
      <c r="L23" s="114">
        <v>339.99999999999989</v>
      </c>
      <c r="M23" s="117">
        <v>554660.18999999983</v>
      </c>
      <c r="N23" s="107">
        <f>K23+M23</f>
        <v>2033754.0299999993</v>
      </c>
      <c r="O23" s="105">
        <f>I23+N23</f>
        <v>15780626.190000109</v>
      </c>
      <c r="P23" s="107">
        <f>E23+G23+J23+L23</f>
        <v>13340.0000000001</v>
      </c>
      <c r="Q23" s="123">
        <f>R23+T23</f>
        <v>172</v>
      </c>
      <c r="R23" s="124">
        <v>58</v>
      </c>
      <c r="S23" s="124">
        <v>1042289</v>
      </c>
      <c r="T23" s="117">
        <v>114</v>
      </c>
      <c r="U23" s="117">
        <v>488504.82</v>
      </c>
      <c r="V23" s="115">
        <f>S23+U23</f>
        <v>1530793.82</v>
      </c>
      <c r="W23" s="126">
        <v>0</v>
      </c>
      <c r="X23" s="112">
        <v>0</v>
      </c>
      <c r="Y23" s="110">
        <v>450</v>
      </c>
      <c r="Z23" s="112">
        <v>0</v>
      </c>
      <c r="AA23" s="112">
        <v>0</v>
      </c>
      <c r="AB23" s="112">
        <v>12</v>
      </c>
      <c r="AC23" s="123">
        <f>W23+X23+Y23+Z23+AA23+AB23</f>
        <v>462</v>
      </c>
      <c r="AD23" s="110">
        <v>5096500</v>
      </c>
      <c r="AE23" s="113"/>
      <c r="AF23" s="129">
        <v>155.83000000000004</v>
      </c>
      <c r="AG23" s="131">
        <v>0</v>
      </c>
      <c r="AH23" s="130">
        <f>AF23+AG23</f>
        <v>155.83000000000004</v>
      </c>
      <c r="AI23" s="133">
        <v>1340138.0000000005</v>
      </c>
      <c r="AJ23" s="21"/>
    </row>
    <row r="24" spans="1:36" ht="15">
      <c r="A24" s="19"/>
      <c r="B24" s="64">
        <v>18</v>
      </c>
      <c r="C24" s="160">
        <v>5</v>
      </c>
      <c r="D24" s="160">
        <v>63</v>
      </c>
      <c r="E24" s="117">
        <v>11879.999999999996</v>
      </c>
      <c r="F24" s="117">
        <v>12920319.719999997</v>
      </c>
      <c r="G24" s="114">
        <v>2039.999999999992</v>
      </c>
      <c r="H24" s="114">
        <v>3327961.1399999871</v>
      </c>
      <c r="I24" s="105">
        <f>F24+H24</f>
        <v>16248280.859999985</v>
      </c>
      <c r="J24" s="114">
        <v>1859.9999999999995</v>
      </c>
      <c r="K24" s="118">
        <v>2022878.3399999996</v>
      </c>
      <c r="L24" s="114">
        <v>379.99999999999898</v>
      </c>
      <c r="M24" s="117">
        <v>619914.32999999844</v>
      </c>
      <c r="N24" s="107">
        <f>K24+M24</f>
        <v>2642792.6699999981</v>
      </c>
      <c r="O24" s="105">
        <f>I24+N24</f>
        <v>18891073.529999983</v>
      </c>
      <c r="P24" s="107">
        <f>E24+G24+J24+L24</f>
        <v>16159.999999999987</v>
      </c>
      <c r="Q24" s="123">
        <f>R24+T24</f>
        <v>535.09999999999991</v>
      </c>
      <c r="R24" s="124">
        <v>65</v>
      </c>
      <c r="S24" s="124">
        <v>1168082.5</v>
      </c>
      <c r="T24" s="117">
        <v>470.09999999999991</v>
      </c>
      <c r="U24" s="117">
        <v>2014439.6129999997</v>
      </c>
      <c r="V24" s="115">
        <f>S24+U24</f>
        <v>3182522.1129999999</v>
      </c>
      <c r="W24" s="126">
        <v>0</v>
      </c>
      <c r="X24" s="112">
        <v>0</v>
      </c>
      <c r="Y24" s="110">
        <v>0</v>
      </c>
      <c r="Z24" s="112">
        <v>0</v>
      </c>
      <c r="AA24" s="112">
        <v>0</v>
      </c>
      <c r="AB24" s="112">
        <v>12</v>
      </c>
      <c r="AC24" s="123">
        <f>W24+X24+Y24+Z24+AA24+AB24</f>
        <v>12</v>
      </c>
      <c r="AD24" s="110">
        <v>137500</v>
      </c>
      <c r="AE24" s="113"/>
      <c r="AF24" s="129">
        <v>241.01999999999998</v>
      </c>
      <c r="AG24" s="131">
        <v>0</v>
      </c>
      <c r="AH24" s="130">
        <f>AF24+AG24</f>
        <v>241.01999999999998</v>
      </c>
      <c r="AI24" s="133">
        <v>2072771.9999999998</v>
      </c>
      <c r="AJ24" s="21"/>
    </row>
    <row r="25" spans="1:36" ht="15">
      <c r="A25" s="19"/>
      <c r="B25" s="81">
        <v>19</v>
      </c>
      <c r="C25" s="160">
        <v>4</v>
      </c>
      <c r="D25" s="160">
        <v>26</v>
      </c>
      <c r="E25" s="117">
        <v>9759.9999999999909</v>
      </c>
      <c r="F25" s="117">
        <v>10614673.43999999</v>
      </c>
      <c r="G25" s="114">
        <v>1879.9999999999955</v>
      </c>
      <c r="H25" s="114">
        <v>3066944.5799999931</v>
      </c>
      <c r="I25" s="105">
        <f>F25+H25</f>
        <v>13681618.019999983</v>
      </c>
      <c r="J25" s="114">
        <v>1079.9999999999982</v>
      </c>
      <c r="K25" s="114">
        <v>1174574.5199999979</v>
      </c>
      <c r="L25" s="114">
        <v>339.99999999999989</v>
      </c>
      <c r="M25" s="117">
        <v>554660.18999999983</v>
      </c>
      <c r="N25" s="107">
        <f>K25+M25</f>
        <v>1729234.7099999976</v>
      </c>
      <c r="O25" s="105">
        <f>I25+N25</f>
        <v>15410852.72999998</v>
      </c>
      <c r="P25" s="107">
        <f>E25+G25+J25+L25</f>
        <v>13059.999999999984</v>
      </c>
      <c r="Q25" s="123">
        <f>R25+T25</f>
        <v>474.90000000000009</v>
      </c>
      <c r="R25" s="124">
        <v>64</v>
      </c>
      <c r="S25" s="124">
        <v>1150112</v>
      </c>
      <c r="T25" s="117">
        <v>410.90000000000009</v>
      </c>
      <c r="U25" s="117">
        <v>1760759.9170000004</v>
      </c>
      <c r="V25" s="115">
        <f>S25+U25</f>
        <v>2910871.9170000004</v>
      </c>
      <c r="W25" s="126">
        <v>0</v>
      </c>
      <c r="X25" s="112">
        <v>0</v>
      </c>
      <c r="Y25" s="110">
        <v>0</v>
      </c>
      <c r="Z25" s="112">
        <v>0</v>
      </c>
      <c r="AA25" s="112">
        <v>0</v>
      </c>
      <c r="AB25" s="112">
        <v>12</v>
      </c>
      <c r="AC25" s="123">
        <f>W25+X25+Y25+Z25+AA25+AB25</f>
        <v>12</v>
      </c>
      <c r="AD25" s="110">
        <v>137500</v>
      </c>
      <c r="AE25" s="113"/>
      <c r="AF25" s="129">
        <v>253.07999999999993</v>
      </c>
      <c r="AG25" s="131">
        <v>0</v>
      </c>
      <c r="AH25" s="130">
        <f>AF25+AG25</f>
        <v>253.07999999999993</v>
      </c>
      <c r="AI25" s="133">
        <v>2176487.9999999995</v>
      </c>
      <c r="AJ25" s="21"/>
    </row>
    <row r="26" spans="1:36" ht="15">
      <c r="A26" s="19"/>
      <c r="B26" s="64">
        <v>20</v>
      </c>
      <c r="C26" s="160">
        <v>0</v>
      </c>
      <c r="D26" s="160">
        <v>24</v>
      </c>
      <c r="E26" s="117">
        <v>7199.9999999999318</v>
      </c>
      <c r="F26" s="117">
        <v>7830496.7999999262</v>
      </c>
      <c r="G26" s="114">
        <v>2120.0000000000045</v>
      </c>
      <c r="H26" s="114">
        <v>3458469.4200000078</v>
      </c>
      <c r="I26" s="105">
        <f>F26+H26</f>
        <v>11288966.219999934</v>
      </c>
      <c r="J26" s="114">
        <v>1299.9999999999973</v>
      </c>
      <c r="K26" s="114">
        <v>1413839.6999999972</v>
      </c>
      <c r="L26" s="114">
        <v>320.00000000000028</v>
      </c>
      <c r="M26" s="117">
        <v>522033.12000000052</v>
      </c>
      <c r="N26" s="107">
        <f>K26+M26</f>
        <v>1935872.8199999977</v>
      </c>
      <c r="O26" s="105">
        <f>I26+N26</f>
        <v>13224839.039999932</v>
      </c>
      <c r="P26" s="107">
        <f>E26+G26+J26+L26</f>
        <v>10939.999999999935</v>
      </c>
      <c r="Q26" s="123">
        <f>R26+T26</f>
        <v>297</v>
      </c>
      <c r="R26" s="124">
        <v>62</v>
      </c>
      <c r="S26" s="124">
        <v>1114171</v>
      </c>
      <c r="T26" s="117">
        <v>235</v>
      </c>
      <c r="U26" s="117">
        <v>1007005.55</v>
      </c>
      <c r="V26" s="115">
        <f>S26+U26</f>
        <v>2121176.5499999998</v>
      </c>
      <c r="W26" s="126">
        <v>0</v>
      </c>
      <c r="X26" s="112">
        <v>0</v>
      </c>
      <c r="Y26" s="110">
        <v>0</v>
      </c>
      <c r="Z26" s="112">
        <v>0</v>
      </c>
      <c r="AA26" s="112">
        <v>0</v>
      </c>
      <c r="AB26" s="112">
        <v>12</v>
      </c>
      <c r="AC26" s="123">
        <f>W26+X26+Y26+Z26+AA26+AB26</f>
        <v>12</v>
      </c>
      <c r="AD26" s="110">
        <v>137500</v>
      </c>
      <c r="AE26" s="113"/>
      <c r="AF26" s="129">
        <v>250.40000000000009</v>
      </c>
      <c r="AG26" s="131">
        <v>0</v>
      </c>
      <c r="AH26" s="130">
        <f>AF26+AG26</f>
        <v>250.40000000000009</v>
      </c>
      <c r="AI26" s="133">
        <v>2153440.0000000009</v>
      </c>
      <c r="AJ26" s="21"/>
    </row>
    <row r="27" spans="1:36" ht="15">
      <c r="A27" s="19"/>
      <c r="B27" s="81">
        <v>21</v>
      </c>
      <c r="C27" s="159">
        <v>2</v>
      </c>
      <c r="D27" s="159">
        <v>28</v>
      </c>
      <c r="E27" s="124">
        <v>10080.00000000004</v>
      </c>
      <c r="F27" s="124">
        <v>10962695.520000044</v>
      </c>
      <c r="G27" s="111">
        <v>2080.0000000000127</v>
      </c>
      <c r="H27" s="111">
        <v>3393215.2800000212</v>
      </c>
      <c r="I27" s="105">
        <f>F27+H27</f>
        <v>14355910.800000066</v>
      </c>
      <c r="J27" s="158">
        <v>1400.0000000000057</v>
      </c>
      <c r="K27" s="158">
        <v>1522596.6000000061</v>
      </c>
      <c r="L27" s="120">
        <v>359.99999999999943</v>
      </c>
      <c r="M27" s="122">
        <v>587287.25999999908</v>
      </c>
      <c r="N27" s="107">
        <f>K27+M27</f>
        <v>2109883.860000005</v>
      </c>
      <c r="O27" s="105">
        <f>I27+N27</f>
        <v>16465794.660000071</v>
      </c>
      <c r="P27" s="107">
        <f>E27+G27+J27+L27</f>
        <v>13920.000000000058</v>
      </c>
      <c r="Q27" s="123">
        <f>R27+T27</f>
        <v>329</v>
      </c>
      <c r="R27" s="124">
        <v>73</v>
      </c>
      <c r="S27" s="124">
        <v>1311846.5</v>
      </c>
      <c r="T27" s="117">
        <v>256</v>
      </c>
      <c r="U27" s="117">
        <v>1096993.28</v>
      </c>
      <c r="V27" s="115">
        <f>S27+U27</f>
        <v>2408839.7800000003</v>
      </c>
      <c r="W27" s="126">
        <v>0</v>
      </c>
      <c r="X27" s="112">
        <v>0</v>
      </c>
      <c r="Y27" s="110">
        <v>0</v>
      </c>
      <c r="Z27" s="112">
        <v>0</v>
      </c>
      <c r="AA27" s="112">
        <v>0</v>
      </c>
      <c r="AB27" s="112">
        <v>12</v>
      </c>
      <c r="AC27" s="123">
        <f>W27+X27+Y27+Z27+AA27+AB27</f>
        <v>12</v>
      </c>
      <c r="AD27" s="110">
        <v>137500</v>
      </c>
      <c r="AE27" s="113"/>
      <c r="AF27" s="129">
        <v>85.549999999999955</v>
      </c>
      <c r="AG27" s="131">
        <v>0</v>
      </c>
      <c r="AH27" s="130">
        <f>AF27+AG27</f>
        <v>85.549999999999955</v>
      </c>
      <c r="AI27" s="133">
        <v>735729.99999999965</v>
      </c>
      <c r="AJ27" s="21"/>
    </row>
    <row r="28" spans="1:36" ht="15">
      <c r="A28" s="19"/>
      <c r="B28" s="64">
        <v>22</v>
      </c>
      <c r="C28" s="159">
        <v>2</v>
      </c>
      <c r="D28" s="159">
        <v>28</v>
      </c>
      <c r="E28" s="124">
        <v>10200.000000000045</v>
      </c>
      <c r="F28" s="124">
        <v>11093203.800000049</v>
      </c>
      <c r="G28" s="111">
        <v>1839.999999999975</v>
      </c>
      <c r="H28" s="111">
        <v>3001690.4399999594</v>
      </c>
      <c r="I28" s="105">
        <f>F28+H28</f>
        <v>14094894.24000001</v>
      </c>
      <c r="J28" s="158">
        <v>1400.0000000000057</v>
      </c>
      <c r="K28" s="158">
        <v>1522596.6000000061</v>
      </c>
      <c r="L28" s="120">
        <v>339.99999999999989</v>
      </c>
      <c r="M28" s="122">
        <v>554660.18999999983</v>
      </c>
      <c r="N28" s="107">
        <f>K28+M28</f>
        <v>2077256.7900000061</v>
      </c>
      <c r="O28" s="105">
        <f>I28+N28</f>
        <v>16172151.030000016</v>
      </c>
      <c r="P28" s="107">
        <f>E28+G28+J28+L28</f>
        <v>13780.000000000025</v>
      </c>
      <c r="Q28" s="123">
        <f>R28+T28</f>
        <v>189</v>
      </c>
      <c r="R28" s="124">
        <v>51</v>
      </c>
      <c r="S28" s="124">
        <v>916495.5</v>
      </c>
      <c r="T28" s="117">
        <v>138</v>
      </c>
      <c r="U28" s="117">
        <v>591347.94000000006</v>
      </c>
      <c r="V28" s="115">
        <f>S28+U28</f>
        <v>1507843.44</v>
      </c>
      <c r="W28" s="126">
        <v>0</v>
      </c>
      <c r="X28" s="112">
        <v>0</v>
      </c>
      <c r="Y28" s="110">
        <v>0</v>
      </c>
      <c r="Z28" s="112">
        <v>0</v>
      </c>
      <c r="AA28" s="112">
        <v>0</v>
      </c>
      <c r="AB28" s="112">
        <v>12</v>
      </c>
      <c r="AC28" s="123">
        <f>W28+X28+Y28+Z28+AA28+AB28</f>
        <v>12</v>
      </c>
      <c r="AD28" s="110">
        <v>137500</v>
      </c>
      <c r="AE28" s="113"/>
      <c r="AF28" s="129">
        <v>157.27999999999997</v>
      </c>
      <c r="AG28" s="131">
        <v>0.20000000001164153</v>
      </c>
      <c r="AH28" s="130">
        <f>AF28+AG28</f>
        <v>157.48000000001161</v>
      </c>
      <c r="AI28" s="133">
        <v>1354328.0000000999</v>
      </c>
      <c r="AJ28" s="21"/>
    </row>
    <row r="29" spans="1:36" ht="15">
      <c r="A29" s="19"/>
      <c r="B29" s="81">
        <v>23</v>
      </c>
      <c r="C29" s="159">
        <v>0</v>
      </c>
      <c r="D29" s="159">
        <v>28</v>
      </c>
      <c r="E29" s="124">
        <v>8559.9999999999454</v>
      </c>
      <c r="F29" s="124">
        <v>9309590.639999941</v>
      </c>
      <c r="G29" s="111">
        <v>1760.0000000000193</v>
      </c>
      <c r="H29" s="111">
        <v>2871182.1600000318</v>
      </c>
      <c r="I29" s="105">
        <f>F29+H29</f>
        <v>12180772.799999973</v>
      </c>
      <c r="J29" s="158">
        <v>1339.9999999999891</v>
      </c>
      <c r="K29" s="158">
        <v>1457342.4599999881</v>
      </c>
      <c r="L29" s="120">
        <v>300.00000000000068</v>
      </c>
      <c r="M29" s="122">
        <v>489406.05000000121</v>
      </c>
      <c r="N29" s="107">
        <f>K29+M29</f>
        <v>1946748.5099999893</v>
      </c>
      <c r="O29" s="105">
        <f>I29+N29</f>
        <v>14127521.309999961</v>
      </c>
      <c r="P29" s="107">
        <f>E29+G29+J29+L29</f>
        <v>11959.999999999955</v>
      </c>
      <c r="Q29" s="123">
        <f>R29+T29</f>
        <v>104</v>
      </c>
      <c r="R29" s="124">
        <v>62</v>
      </c>
      <c r="S29" s="124">
        <v>1114171</v>
      </c>
      <c r="T29" s="117">
        <v>42</v>
      </c>
      <c r="U29" s="117">
        <v>179975.46</v>
      </c>
      <c r="V29" s="115">
        <f>S29+U29</f>
        <v>1294146.46</v>
      </c>
      <c r="W29" s="126">
        <v>0</v>
      </c>
      <c r="X29" s="112">
        <v>0</v>
      </c>
      <c r="Y29" s="110">
        <v>0</v>
      </c>
      <c r="Z29" s="112">
        <v>0</v>
      </c>
      <c r="AA29" s="112">
        <v>0</v>
      </c>
      <c r="AB29" s="112">
        <v>12</v>
      </c>
      <c r="AC29" s="123">
        <f>W29+X29+Y29+Z29+AA29+AB29</f>
        <v>12</v>
      </c>
      <c r="AD29" s="110">
        <v>137500</v>
      </c>
      <c r="AE29" s="113"/>
      <c r="AF29" s="129">
        <v>134.1400000000001</v>
      </c>
      <c r="AG29" s="131">
        <v>0</v>
      </c>
      <c r="AH29" s="130">
        <f>AF29+AG29</f>
        <v>134.1400000000001</v>
      </c>
      <c r="AI29" s="133">
        <v>1153604.0000000009</v>
      </c>
      <c r="AJ29" s="21"/>
    </row>
    <row r="30" spans="1:36" ht="15">
      <c r="A30" s="19"/>
      <c r="B30" s="64">
        <v>24</v>
      </c>
      <c r="C30" s="159">
        <v>1</v>
      </c>
      <c r="D30" s="159">
        <v>43</v>
      </c>
      <c r="E30" s="124">
        <v>11600.000000000022</v>
      </c>
      <c r="F30" s="124">
        <v>12615800.400000025</v>
      </c>
      <c r="G30" s="111">
        <v>1879.9999999999955</v>
      </c>
      <c r="H30" s="111">
        <v>3066944.5799999931</v>
      </c>
      <c r="I30" s="105">
        <f>F30+H30</f>
        <v>15682744.980000017</v>
      </c>
      <c r="J30" s="158">
        <v>1300.0000000000114</v>
      </c>
      <c r="K30" s="158">
        <v>1413839.7000000123</v>
      </c>
      <c r="L30" s="120">
        <v>320.00000000000028</v>
      </c>
      <c r="M30" s="122">
        <v>522033.12000000052</v>
      </c>
      <c r="N30" s="107">
        <f>K30+M30</f>
        <v>1935872.8200000129</v>
      </c>
      <c r="O30" s="105">
        <f>I30+N30</f>
        <v>17618617.800000031</v>
      </c>
      <c r="P30" s="107">
        <f>E30+G30+J30+L30</f>
        <v>15100.000000000029</v>
      </c>
      <c r="Q30" s="123">
        <f>R30+T30</f>
        <v>304</v>
      </c>
      <c r="R30" s="124">
        <v>67</v>
      </c>
      <c r="S30" s="124">
        <v>1204023.5</v>
      </c>
      <c r="T30" s="117">
        <v>237</v>
      </c>
      <c r="U30" s="117">
        <v>1015575.81</v>
      </c>
      <c r="V30" s="115">
        <f>S30+U30</f>
        <v>2219599.31</v>
      </c>
      <c r="W30" s="126">
        <v>0</v>
      </c>
      <c r="X30" s="112">
        <v>0</v>
      </c>
      <c r="Y30" s="110">
        <v>0</v>
      </c>
      <c r="Z30" s="112">
        <v>0</v>
      </c>
      <c r="AA30" s="112">
        <v>0</v>
      </c>
      <c r="AB30" s="112">
        <v>0</v>
      </c>
      <c r="AC30" s="123">
        <f>W30+X30+Y30+Z30+AA30+AB30</f>
        <v>0</v>
      </c>
      <c r="AD30" s="110">
        <v>0</v>
      </c>
      <c r="AE30" s="113"/>
      <c r="AF30" s="129">
        <v>155.66999999999985</v>
      </c>
      <c r="AG30" s="131">
        <v>0</v>
      </c>
      <c r="AH30" s="130">
        <f>AF30+AG30</f>
        <v>155.66999999999985</v>
      </c>
      <c r="AI30" s="133">
        <v>1338761.9999999986</v>
      </c>
      <c r="AJ30" s="21"/>
    </row>
    <row r="31" spans="1:36" ht="15">
      <c r="A31" s="19"/>
      <c r="B31" s="81">
        <v>25</v>
      </c>
      <c r="C31" s="159">
        <v>3</v>
      </c>
      <c r="D31" s="159">
        <v>25</v>
      </c>
      <c r="E31" s="124">
        <v>9279.9999999999727</v>
      </c>
      <c r="F31" s="124">
        <v>10092640.319999969</v>
      </c>
      <c r="G31" s="111">
        <v>1879.9999999999955</v>
      </c>
      <c r="H31" s="111">
        <v>3066944.5799999931</v>
      </c>
      <c r="I31" s="105">
        <f>F31+H31</f>
        <v>13159584.899999961</v>
      </c>
      <c r="J31" s="158">
        <v>1259.9999999999909</v>
      </c>
      <c r="K31" s="158">
        <v>1370336.9399999902</v>
      </c>
      <c r="L31" s="120">
        <v>300.00000000000068</v>
      </c>
      <c r="M31" s="122">
        <v>489406.05000000121</v>
      </c>
      <c r="N31" s="107">
        <f>K31+M31</f>
        <v>1859742.9899999914</v>
      </c>
      <c r="O31" s="105">
        <f>I31+N31</f>
        <v>15019327.889999952</v>
      </c>
      <c r="P31" s="107">
        <f>E31+G31+J31+L31</f>
        <v>12719.999999999958</v>
      </c>
      <c r="Q31" s="123">
        <f>R31+T31</f>
        <v>211</v>
      </c>
      <c r="R31" s="124">
        <v>54</v>
      </c>
      <c r="S31" s="124">
        <v>970407</v>
      </c>
      <c r="T31" s="117">
        <v>157</v>
      </c>
      <c r="U31" s="117">
        <v>672765.41</v>
      </c>
      <c r="V31" s="115">
        <f>S31+U31</f>
        <v>1643172.4100000001</v>
      </c>
      <c r="W31" s="126">
        <v>0</v>
      </c>
      <c r="X31" s="112">
        <v>0</v>
      </c>
      <c r="Y31" s="110">
        <v>400</v>
      </c>
      <c r="Z31" s="112">
        <v>0</v>
      </c>
      <c r="AA31" s="112">
        <v>0</v>
      </c>
      <c r="AB31" s="112">
        <v>12</v>
      </c>
      <c r="AC31" s="123">
        <f>W31+X31+Y31+Z31+AA31+AB31</f>
        <v>412</v>
      </c>
      <c r="AD31" s="110">
        <v>4545500</v>
      </c>
      <c r="AE31" s="113"/>
      <c r="AF31" s="129">
        <v>165.77999999999997</v>
      </c>
      <c r="AG31" s="131">
        <v>0</v>
      </c>
      <c r="AH31" s="130">
        <f>AF31+AG31</f>
        <v>165.77999999999997</v>
      </c>
      <c r="AI31" s="133">
        <v>1425707.9999999998</v>
      </c>
      <c r="AJ31" s="21"/>
    </row>
    <row r="32" spans="1:36" ht="15">
      <c r="A32" s="19"/>
      <c r="B32" s="64">
        <v>26</v>
      </c>
      <c r="C32" s="159">
        <v>3</v>
      </c>
      <c r="D32" s="159">
        <v>47</v>
      </c>
      <c r="E32" s="124">
        <v>7559.9999999999454</v>
      </c>
      <c r="F32" s="124">
        <v>8222021.6399999401</v>
      </c>
      <c r="G32" s="111">
        <v>1920.0000000000159</v>
      </c>
      <c r="H32" s="111">
        <v>3132198.7200000263</v>
      </c>
      <c r="I32" s="105">
        <f>F32+H32</f>
        <v>11354220.359999966</v>
      </c>
      <c r="J32" s="158">
        <v>1260.000000000005</v>
      </c>
      <c r="K32" s="158">
        <v>1370336.9400000055</v>
      </c>
      <c r="L32" s="120">
        <v>320.00000000000028</v>
      </c>
      <c r="M32" s="122">
        <v>522033.12000000052</v>
      </c>
      <c r="N32" s="107">
        <f>K32+M32</f>
        <v>1892370.0600000061</v>
      </c>
      <c r="O32" s="105">
        <f>I32+N32</f>
        <v>13246590.419999972</v>
      </c>
      <c r="P32" s="107">
        <f>E32+G32+J32+L32</f>
        <v>11059.999999999967</v>
      </c>
      <c r="Q32" s="123">
        <f>R32+T32</f>
        <v>570.09999999999991</v>
      </c>
      <c r="R32" s="124">
        <v>61</v>
      </c>
      <c r="S32" s="124">
        <v>1096200.5</v>
      </c>
      <c r="T32" s="117">
        <v>509.09999999999991</v>
      </c>
      <c r="U32" s="117">
        <v>2181559.6829999997</v>
      </c>
      <c r="V32" s="115">
        <f>S32+U32</f>
        <v>3277760.1829999997</v>
      </c>
      <c r="W32" s="126">
        <v>0</v>
      </c>
      <c r="X32" s="112">
        <v>0</v>
      </c>
      <c r="Y32" s="110">
        <v>0</v>
      </c>
      <c r="Z32" s="112">
        <v>0</v>
      </c>
      <c r="AA32" s="112">
        <v>0</v>
      </c>
      <c r="AB32" s="112">
        <v>12</v>
      </c>
      <c r="AC32" s="123">
        <f>W32+X32+Y32+Z32+AA32+AB32</f>
        <v>12</v>
      </c>
      <c r="AD32" s="110">
        <v>137500</v>
      </c>
      <c r="AE32" s="113"/>
      <c r="AF32" s="129">
        <v>157.73000000000002</v>
      </c>
      <c r="AG32" s="131">
        <v>0</v>
      </c>
      <c r="AH32" s="130">
        <f>AF32+AG32</f>
        <v>157.73000000000002</v>
      </c>
      <c r="AI32" s="133">
        <v>1356478.0000000002</v>
      </c>
      <c r="AJ32" s="21"/>
    </row>
    <row r="33" spans="1:36" ht="15">
      <c r="A33" s="19"/>
      <c r="B33" s="81">
        <v>27</v>
      </c>
      <c r="C33" s="159">
        <v>3</v>
      </c>
      <c r="D33" s="159">
        <v>26</v>
      </c>
      <c r="E33" s="124">
        <v>9880.0000000001091</v>
      </c>
      <c r="F33" s="124">
        <v>10745181.720000118</v>
      </c>
      <c r="G33" s="111">
        <v>2000</v>
      </c>
      <c r="H33" s="111">
        <v>3262707</v>
      </c>
      <c r="I33" s="105">
        <f>F33+H33</f>
        <v>14007888.720000118</v>
      </c>
      <c r="J33" s="158">
        <v>1319.9999999999932</v>
      </c>
      <c r="K33" s="158">
        <v>1435591.0799999926</v>
      </c>
      <c r="L33" s="120">
        <v>300.00000000000068</v>
      </c>
      <c r="M33" s="122">
        <v>489406.05000000121</v>
      </c>
      <c r="N33" s="107">
        <f>K33+M33</f>
        <v>1924997.1299999938</v>
      </c>
      <c r="O33" s="105">
        <f>I33+N33</f>
        <v>15932885.850000111</v>
      </c>
      <c r="P33" s="107">
        <f>E33+G33+J33+L33</f>
        <v>13500.000000000102</v>
      </c>
      <c r="Q33" s="123">
        <f>R33+T33</f>
        <v>333.90000000000009</v>
      </c>
      <c r="R33" s="124">
        <v>63</v>
      </c>
      <c r="S33" s="124">
        <v>1132141.5</v>
      </c>
      <c r="T33" s="117">
        <v>270.90000000000009</v>
      </c>
      <c r="U33" s="117">
        <v>1160841.7170000004</v>
      </c>
      <c r="V33" s="115">
        <f>S33+U33</f>
        <v>2292983.2170000002</v>
      </c>
      <c r="W33" s="126">
        <v>0</v>
      </c>
      <c r="X33" s="112">
        <v>0</v>
      </c>
      <c r="Y33" s="110">
        <v>0</v>
      </c>
      <c r="Z33" s="112">
        <v>0</v>
      </c>
      <c r="AA33" s="112">
        <v>0</v>
      </c>
      <c r="AB33" s="112">
        <v>0</v>
      </c>
      <c r="AC33" s="123">
        <f>W33+X33+Y33+Z33+AA33+AB33</f>
        <v>0</v>
      </c>
      <c r="AD33" s="110">
        <v>0</v>
      </c>
      <c r="AE33" s="113"/>
      <c r="AF33" s="129">
        <v>176</v>
      </c>
      <c r="AG33" s="131">
        <v>0</v>
      </c>
      <c r="AH33" s="130">
        <f>AF33+AG33</f>
        <v>176</v>
      </c>
      <c r="AI33" s="133">
        <v>1513600</v>
      </c>
      <c r="AJ33" s="21"/>
    </row>
    <row r="34" spans="1:36" ht="15">
      <c r="A34" s="19"/>
      <c r="B34" s="64">
        <v>28</v>
      </c>
      <c r="C34" s="159">
        <v>3</v>
      </c>
      <c r="D34" s="159">
        <v>33</v>
      </c>
      <c r="E34" s="124">
        <v>12919.999999999845</v>
      </c>
      <c r="F34" s="124">
        <v>14051391.479999833</v>
      </c>
      <c r="G34" s="111">
        <v>2000</v>
      </c>
      <c r="H34" s="111">
        <v>3262707</v>
      </c>
      <c r="I34" s="105">
        <f>F34+H34</f>
        <v>17314098.479999833</v>
      </c>
      <c r="J34" s="158">
        <v>1120.0000000000045</v>
      </c>
      <c r="K34" s="158">
        <v>1218077.2800000052</v>
      </c>
      <c r="L34" s="120">
        <v>319.9999999999967</v>
      </c>
      <c r="M34" s="122">
        <v>522033.11999999464</v>
      </c>
      <c r="N34" s="107">
        <f>K34+M34</f>
        <v>1740110.4</v>
      </c>
      <c r="O34" s="105">
        <f>I34+N34</f>
        <v>19054208.879999831</v>
      </c>
      <c r="P34" s="107">
        <f>E34+G34+J34+L34</f>
        <v>16359.999999999847</v>
      </c>
      <c r="Q34" s="123">
        <f>R34+T34</f>
        <v>296</v>
      </c>
      <c r="R34" s="124">
        <v>61</v>
      </c>
      <c r="S34" s="124">
        <v>1096200.5</v>
      </c>
      <c r="T34" s="117">
        <v>235</v>
      </c>
      <c r="U34" s="117">
        <v>1007005.55</v>
      </c>
      <c r="V34" s="115">
        <f>S34+U34</f>
        <v>2103206.0499999998</v>
      </c>
      <c r="W34" s="126">
        <v>0</v>
      </c>
      <c r="X34" s="112">
        <v>0</v>
      </c>
      <c r="Y34" s="110">
        <v>50</v>
      </c>
      <c r="Z34" s="112">
        <v>0</v>
      </c>
      <c r="AA34" s="112">
        <v>0</v>
      </c>
      <c r="AB34" s="112">
        <v>0</v>
      </c>
      <c r="AC34" s="123">
        <f>W34+X34+Y34+Z34+AA34+AB34</f>
        <v>50</v>
      </c>
      <c r="AD34" s="110">
        <v>551000</v>
      </c>
      <c r="AE34" s="113"/>
      <c r="AF34" s="129">
        <v>155.97000000000025</v>
      </c>
      <c r="AG34" s="131">
        <v>0</v>
      </c>
      <c r="AH34" s="130">
        <f>AF34+AG34</f>
        <v>155.97000000000025</v>
      </c>
      <c r="AI34" s="133">
        <v>1341342.0000000021</v>
      </c>
      <c r="AJ34" s="21"/>
    </row>
    <row r="35" spans="1:36" ht="15">
      <c r="A35" s="19"/>
      <c r="B35" s="81">
        <v>29</v>
      </c>
      <c r="C35" s="159">
        <v>5</v>
      </c>
      <c r="D35" s="159">
        <v>12</v>
      </c>
      <c r="E35" s="124">
        <v>7720.0000000000273</v>
      </c>
      <c r="F35" s="124">
        <v>8396032.6800000295</v>
      </c>
      <c r="G35" s="111">
        <v>2159.9999999999964</v>
      </c>
      <c r="H35" s="111">
        <v>3523723.5599999945</v>
      </c>
      <c r="I35" s="105">
        <f>F35+H35</f>
        <v>11919756.240000024</v>
      </c>
      <c r="J35" s="158">
        <v>1439.9999999999977</v>
      </c>
      <c r="K35" s="158">
        <v>1566099.3599999975</v>
      </c>
      <c r="L35" s="120">
        <v>339.99999999999989</v>
      </c>
      <c r="M35" s="122">
        <v>554660.18999999983</v>
      </c>
      <c r="N35" s="107">
        <f>K35+M35</f>
        <v>2120759.5499999975</v>
      </c>
      <c r="O35" s="105">
        <f>I35+N35</f>
        <v>14040515.790000021</v>
      </c>
      <c r="P35" s="107">
        <f>E35+G35+J35+L35</f>
        <v>11660.000000000022</v>
      </c>
      <c r="Q35" s="123">
        <f>R35+T35</f>
        <v>280.09999999999991</v>
      </c>
      <c r="R35" s="124">
        <v>67</v>
      </c>
      <c r="S35" s="124">
        <v>1204023.5</v>
      </c>
      <c r="T35" s="117">
        <v>213.09999999999991</v>
      </c>
      <c r="U35" s="117">
        <v>913161.20299999963</v>
      </c>
      <c r="V35" s="115">
        <f>S35+U35</f>
        <v>2117184.7029999997</v>
      </c>
      <c r="W35" s="126">
        <v>0</v>
      </c>
      <c r="X35" s="112">
        <v>0</v>
      </c>
      <c r="Y35" s="110">
        <v>0</v>
      </c>
      <c r="Z35" s="112">
        <v>0</v>
      </c>
      <c r="AA35" s="112">
        <v>0</v>
      </c>
      <c r="AB35" s="112">
        <v>12</v>
      </c>
      <c r="AC35" s="123">
        <f>W35+X35+Y35+Z35+AA35+AB35</f>
        <v>12</v>
      </c>
      <c r="AD35" s="110">
        <v>137500</v>
      </c>
      <c r="AE35" s="113"/>
      <c r="AF35" s="129">
        <v>156.26999999999998</v>
      </c>
      <c r="AG35" s="131">
        <v>0</v>
      </c>
      <c r="AH35" s="130">
        <f>AF35+AG35</f>
        <v>156.26999999999998</v>
      </c>
      <c r="AI35" s="133">
        <v>1343921.9999999998</v>
      </c>
      <c r="AJ35" s="21"/>
    </row>
    <row r="36" spans="1:36" ht="15">
      <c r="A36" s="19"/>
      <c r="B36" s="64">
        <v>30</v>
      </c>
      <c r="C36" s="159">
        <v>5</v>
      </c>
      <c r="D36" s="159">
        <v>56</v>
      </c>
      <c r="E36" s="124">
        <v>9800.0000000001819</v>
      </c>
      <c r="F36" s="124">
        <v>10658176.200000199</v>
      </c>
      <c r="G36" s="111">
        <v>2039.999999999992</v>
      </c>
      <c r="H36" s="111">
        <v>3327961.1399999871</v>
      </c>
      <c r="I36" s="105">
        <f>F36+H36</f>
        <v>13986137.340000186</v>
      </c>
      <c r="J36" s="158">
        <v>1299.9999999999973</v>
      </c>
      <c r="K36" s="158">
        <v>1413839.6999999972</v>
      </c>
      <c r="L36" s="120">
        <v>340.00000000000341</v>
      </c>
      <c r="M36" s="122">
        <v>554660.19000000553</v>
      </c>
      <c r="N36" s="107">
        <f>K36+M36</f>
        <v>1968499.8900000027</v>
      </c>
      <c r="O36" s="105">
        <f>I36+N36</f>
        <v>15954637.230000189</v>
      </c>
      <c r="P36" s="107">
        <f>E36+G36+J36+L36</f>
        <v>13480.000000000175</v>
      </c>
      <c r="Q36" s="123">
        <f>R36+T36</f>
        <v>345.90000000000009</v>
      </c>
      <c r="R36" s="124">
        <v>65</v>
      </c>
      <c r="S36" s="124">
        <v>1168082.5</v>
      </c>
      <c r="T36" s="117">
        <v>280.90000000000009</v>
      </c>
      <c r="U36" s="117">
        <v>1203693.0170000005</v>
      </c>
      <c r="V36" s="115">
        <f>S36+U36</f>
        <v>2371775.5170000005</v>
      </c>
      <c r="W36" s="126">
        <v>0</v>
      </c>
      <c r="X36" s="112">
        <v>0</v>
      </c>
      <c r="Y36" s="110">
        <v>0</v>
      </c>
      <c r="Z36" s="112">
        <v>0</v>
      </c>
      <c r="AA36" s="112">
        <v>0</v>
      </c>
      <c r="AB36" s="112">
        <v>0</v>
      </c>
      <c r="AC36" s="123">
        <f>W36+X36+Y36+Z36+AA36+AB36</f>
        <v>0</v>
      </c>
      <c r="AD36" s="110">
        <v>0</v>
      </c>
      <c r="AE36" s="113"/>
      <c r="AF36" s="129">
        <v>24.940000000000055</v>
      </c>
      <c r="AG36" s="131">
        <v>0</v>
      </c>
      <c r="AH36" s="130">
        <f>AF36+AG36</f>
        <v>24.940000000000055</v>
      </c>
      <c r="AI36" s="133">
        <v>214484.00000000047</v>
      </c>
      <c r="AJ36" s="21"/>
    </row>
    <row r="37" spans="1:36" ht="15">
      <c r="A37" s="19"/>
      <c r="B37" s="81">
        <v>31</v>
      </c>
      <c r="C37" s="159">
        <v>4</v>
      </c>
      <c r="D37" s="159">
        <v>115</v>
      </c>
      <c r="E37" s="124">
        <v>10319.999999999936</v>
      </c>
      <c r="F37" s="124">
        <v>11223712.079999931</v>
      </c>
      <c r="G37" s="111">
        <v>2000</v>
      </c>
      <c r="H37" s="111">
        <v>3262707</v>
      </c>
      <c r="I37" s="105">
        <f>F37+H37</f>
        <v>14486419.079999931</v>
      </c>
      <c r="J37" s="158">
        <v>1320.0000000000073</v>
      </c>
      <c r="K37" s="158">
        <v>1435591.080000008</v>
      </c>
      <c r="L37" s="120">
        <v>319.9999999999967</v>
      </c>
      <c r="M37" s="122">
        <v>522033.11999999464</v>
      </c>
      <c r="N37" s="107">
        <f>K37+M37</f>
        <v>1957624.2000000025</v>
      </c>
      <c r="O37" s="105">
        <f>I37+N37</f>
        <v>16444043.279999934</v>
      </c>
      <c r="P37" s="107">
        <f>E37+G37+J37+L37</f>
        <v>13959.99999999994</v>
      </c>
      <c r="Q37" s="123">
        <f>R37+T37</f>
        <v>297</v>
      </c>
      <c r="R37" s="124">
        <v>56</v>
      </c>
      <c r="S37" s="124">
        <v>1006348</v>
      </c>
      <c r="T37" s="117">
        <v>241</v>
      </c>
      <c r="U37" s="117">
        <v>1032716.3300000001</v>
      </c>
      <c r="V37" s="115">
        <f>S37+U37</f>
        <v>2039064.33</v>
      </c>
      <c r="W37" s="126">
        <v>0</v>
      </c>
      <c r="X37" s="112">
        <v>0</v>
      </c>
      <c r="Y37" s="110">
        <v>0</v>
      </c>
      <c r="Z37" s="112">
        <v>0</v>
      </c>
      <c r="AA37" s="112">
        <v>0</v>
      </c>
      <c r="AB37" s="112">
        <v>0</v>
      </c>
      <c r="AC37" s="123">
        <f>W37+X37+Y37+Z37+AA37+AB37</f>
        <v>0</v>
      </c>
      <c r="AD37" s="110">
        <v>0</v>
      </c>
      <c r="AE37" s="113"/>
      <c r="AF37" s="129">
        <v>143.79999999999973</v>
      </c>
      <c r="AG37" s="131">
        <v>51.5</v>
      </c>
      <c r="AH37" s="130">
        <f>AF37+AG37</f>
        <v>195.29999999999973</v>
      </c>
      <c r="AI37" s="133">
        <v>1679579.9999999977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313</v>
      </c>
      <c r="D43" s="134">
        <f>SUM(D7:D37)</f>
        <v>3122</v>
      </c>
      <c r="E43" s="135">
        <f>SUM(E7:E37)</f>
        <v>316999.99999999994</v>
      </c>
      <c r="F43" s="135">
        <f>SUM(F7:F37)</f>
        <v>344759373.00000006</v>
      </c>
      <c r="G43" s="135">
        <f>SUM(G7:G37)</f>
        <v>64319.999999999993</v>
      </c>
      <c r="H43" s="135">
        <f>SUM(H7:H37)</f>
        <v>104928657.11999997</v>
      </c>
      <c r="I43" s="135">
        <f>SUM(I7:I37)</f>
        <v>449688030.12</v>
      </c>
      <c r="J43" s="135">
        <f>SUM(J7:J37)</f>
        <v>41400.000000000015</v>
      </c>
      <c r="K43" s="135">
        <f>SUM(K7:K37)</f>
        <v>45025356.600000001</v>
      </c>
      <c r="L43" s="135">
        <f>SUM(L7:L37)</f>
        <v>10339.999999999996</v>
      </c>
      <c r="M43" s="135">
        <f>SUM(M7:M37)</f>
        <v>16868195.189999998</v>
      </c>
      <c r="N43" s="135">
        <f>SUM(N7:N37)</f>
        <v>61893551.790000014</v>
      </c>
      <c r="O43" s="136">
        <f>SUM(O7:O37)</f>
        <v>511581581.90999985</v>
      </c>
      <c r="P43" s="137">
        <f>SUM(P7:P37)</f>
        <v>433059.99999999994</v>
      </c>
      <c r="Q43" s="138">
        <f>SUM(Q7:Q37)</f>
        <v>6957.4</v>
      </c>
      <c r="R43" s="135">
        <f>SUM(R7:R37)</f>
        <v>2133</v>
      </c>
      <c r="S43" s="135">
        <f>SUM(S7:S37)</f>
        <v>38331076.5</v>
      </c>
      <c r="T43" s="135">
        <f>SUM(T7:T37)</f>
        <v>4824.3999999999996</v>
      </c>
      <c r="U43" s="135">
        <f>SUM(U7:U37)</f>
        <v>20673181.171999998</v>
      </c>
      <c r="V43" s="139">
        <f>SUM(V7:V37)</f>
        <v>59004257.671999998</v>
      </c>
      <c r="W43" s="140">
        <f>SUM(W7:W37)</f>
        <v>0</v>
      </c>
      <c r="X43" s="135">
        <f>SUM(X7:X37)</f>
        <v>0</v>
      </c>
      <c r="Y43" s="135">
        <f>SUM(Y7:Y37)</f>
        <v>2550</v>
      </c>
      <c r="Z43" s="135">
        <f>SUM(Z7:Z37)</f>
        <v>0</v>
      </c>
      <c r="AA43" s="135">
        <f>SUM(AA7:AA37)</f>
        <v>0</v>
      </c>
      <c r="AB43" s="135">
        <f>SUM(AB7:AB37)</f>
        <v>372</v>
      </c>
      <c r="AC43" s="141">
        <f>SUM(AC7:AC37)</f>
        <v>2922</v>
      </c>
      <c r="AD43" s="141">
        <f>SUM(AD7:AD37)</f>
        <v>32363500</v>
      </c>
      <c r="AE43" s="142">
        <f>SUM(AE8:AE39)</f>
        <v>0</v>
      </c>
      <c r="AF43" s="135">
        <f>SUM(AF7:AF37)</f>
        <v>6705.1800000000057</v>
      </c>
      <c r="AG43" s="135">
        <f>SUM(AG7:AG37)</f>
        <v>154.20000000001164</v>
      </c>
      <c r="AH43" s="143">
        <f>SUM(AH7:AH37)</f>
        <v>6859.3800000000174</v>
      </c>
      <c r="AI43" s="143">
        <f>SUM(AI7:AI37)</f>
        <v>58990668.000000149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1181.3180203897841</v>
      </c>
      <c r="Q45" s="43"/>
      <c r="R45" s="43"/>
      <c r="S45" s="43"/>
      <c r="T45" s="36"/>
      <c r="U45" s="36"/>
      <c r="V45" s="43">
        <f>V43/Q43</f>
        <v>8480.7913404432693</v>
      </c>
      <c r="W45" s="43"/>
      <c r="X45" s="36"/>
      <c r="Y45" s="43"/>
      <c r="Z45" s="43"/>
      <c r="AA45" s="43"/>
      <c r="AB45" s="43"/>
      <c r="AC45" s="36"/>
      <c r="AD45" s="36">
        <f>AD43/AC43</f>
        <v>11075.804243668719</v>
      </c>
      <c r="AE45" s="40"/>
      <c r="AF45" s="40"/>
      <c r="AG45" s="40"/>
      <c r="AH45" s="40"/>
      <c r="AI45" s="43">
        <f>AI43/AH43</f>
        <v>8600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