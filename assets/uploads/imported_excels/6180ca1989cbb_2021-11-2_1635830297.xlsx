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7" i="7" l="1"/>
  <c r="AV8" i="7"/>
  <c r="AV9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R2" i="9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O7" i="7"/>
  <c r="Z38" i="7"/>
  <c r="AR7" i="7"/>
  <c r="AC38" i="7"/>
  <c r="I2" i="9"/>
  <c r="U38" i="7"/>
  <c r="AP7" i="7"/>
  <c r="AA38" i="7"/>
  <c r="AL7" i="7"/>
  <c r="W38" i="7"/>
  <c r="AG7" i="7"/>
  <c r="R38" i="7"/>
  <c r="J2" i="9"/>
  <c r="V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Q38" i="7" s="1"/>
  <c r="AI7" i="7"/>
  <c r="AI38" i="7" s="1"/>
  <c r="L2" i="9"/>
  <c r="Q2" i="9"/>
  <c r="G4" i="5"/>
  <c r="AW25" i="7"/>
  <c r="G22" i="5"/>
  <c r="AD11" i="7"/>
  <c r="AK7" i="7"/>
  <c r="AK38" i="7" s="1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J38" i="7" s="1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R38" i="7" l="1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<sst xmlns="http://schemas.openxmlformats.org/spreadsheetml/2006/main" count="130" uniqueCount="50">
  <si>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</si>
  <si>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</si>
  <si>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</si>
  <si>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</si>
  <si>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</si>
  <si>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</si>
  <si>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</si>
  <si>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</si>
  <si>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</si>
  <si>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</si>
  <si>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</si>
  <si>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</si>
  <si>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</si>
  <si>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</si>
  <si>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</si>
  <si>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</si>
  <si>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</si>
  <si>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</si>
  <si>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</si>
  <si>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</si>
  <si>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</si>
  <si>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</si>
  <si>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</si>
  <si>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</si>
  <si>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</si>
  <si>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</si>
  <si>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</si>
  <si>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</si>
  <si>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</si>
  <si>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</si>
  <si>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</si>
  <si>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</si>
  <si>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</si>
  <si>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</si>
  <si>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</si>
  <si>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</si>
  <si>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</si>
  <si>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</si>
  <si>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</si>
  <si>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</si>
  <si>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</si>
  <si>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</si>
  <si>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</si>
  <si>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</si>
  <si>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</si>
  <si>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</si>
  <si>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</si>
  <si>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</si>
  <si>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</si>
  <si>
    <t xml:space="preserve">340998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</si>
</sst>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65260</v>
      </c>
      <c r="F2" s="11">
        <v>5.0000000000000001E-3</v>
      </c>
      <c r="G2" s="12" t="e">
        <f>Submetering!R2</f>
        <v>#VALUE!</v>
      </c>
      <c r="H2" s="11">
        <v>0.52800000000000002</v>
      </c>
      <c r="I2" s="12">
        <f>Hotel!B7</f>
        <v>70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2021</v>
      </c>
      <c r="E2" s="4">
        <f>Hotel!Q7</f>
        <v>9580</v>
      </c>
      <c r="F2" s="4">
        <f>Hotel!R7</f>
        <v>3610</v>
      </c>
      <c r="G2" s="4">
        <f>Hotel!S7</f>
        <v>1530</v>
      </c>
      <c r="H2" s="4">
        <f>Hotel!T7</f>
        <v>4830</v>
      </c>
      <c r="I2" s="4">
        <f>Hotel!U7</f>
        <v>4280</v>
      </c>
      <c r="J2" s="4">
        <f>Hotel!V7</f>
        <v>4030</v>
      </c>
      <c r="K2" s="4">
        <f>Hotel!W7</f>
        <v>2400</v>
      </c>
      <c r="L2" s="4">
        <f>Hotel!X7</f>
        <v>4600</v>
      </c>
      <c r="M2" s="4">
        <f>Hotel!Y7</f>
        <v>6400</v>
      </c>
      <c r="N2" s="4">
        <f>Hotel!Z7</f>
        <v>2700</v>
      </c>
      <c r="O2" s="4">
        <f>Hotel!AA7</f>
        <v>3260</v>
      </c>
      <c r="P2" s="4">
        <f>Hotel!AB7</f>
        <v>7450</v>
      </c>
      <c r="Q2" s="4">
        <f>Hotel!AC7</f>
        <v>10590</v>
      </c>
      <c r="R2" s="4" t="e">
        <f>Hotel!AV7*0.00378541*100</f>
        <v>#VALUE!</v>
      </c>
      <c r="S2" s="4">
        <f>Hotel!B7</f>
        <v>70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2021</v>
      </c>
      <c r="E3" s="4" t="str">
        <f>Hotel!Q8</f>
        <v>0</v>
      </c>
      <c r="F3" s="4" t="str">
        <f>Hotel!R8</f>
        <v>0</v>
      </c>
      <c r="G3" s="4" t="str">
        <f>Hotel!S8</f>
        <v>0</v>
      </c>
      <c r="H3" s="4" t="str">
        <f>Hotel!T8</f>
        <v>0</v>
      </c>
      <c r="I3" s="4" t="str">
        <f>Hotel!U8</f>
        <v>0</v>
      </c>
      <c r="J3" s="4" t="str">
        <f>Hotel!V8</f>
        <v>0</v>
      </c>
      <c r="K3" s="4" t="str">
        <f>Hotel!W8</f>
        <v>0</v>
      </c>
      <c r="L3" s="4" t="str">
        <f>Hotel!X8</f>
        <v>0</v>
      </c>
      <c r="M3" s="4" t="str">
        <f>Hotel!Y8</f>
        <v>0</v>
      </c>
      <c r="N3" s="4" t="str">
        <f>Hotel!Z8</f>
        <v>0</v>
      </c>
      <c r="O3" s="4" t="str">
        <f>Hotel!AA8</f>
        <v>0</v>
      </c>
      <c r="P3" s="4" t="str">
        <f>Hotel!AB8</f>
        <v>0</v>
      </c>
      <c r="Q3" s="4" t="str">
        <f>Hotel!AC8</f>
        <v>0</v>
      </c>
      <c r="R3" s="4">
        <f>Hotel!AV8*0.00378541*100</f>
        <v>0</v>
      </c>
      <c r="S3" s="4">
        <f>Hotel!B8</f>
        <v>0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2021</v>
      </c>
      <c r="E4" s="4">
        <f>Hotel!Q9</f>
        <v>0</v>
      </c>
      <c r="F4" s="4">
        <f>Hotel!R9</f>
        <v>0</v>
      </c>
      <c r="G4" s="4">
        <f>Hotel!S9</f>
        <v>0</v>
      </c>
      <c r="H4" s="4">
        <f>Hotel!T9</f>
        <v>0</v>
      </c>
      <c r="I4" s="4">
        <f>Hotel!U9</f>
        <v>0</v>
      </c>
      <c r="J4" s="4">
        <f>Hotel!V9</f>
        <v>0</v>
      </c>
      <c r="K4" s="4">
        <f>Hotel!W9</f>
        <v>0</v>
      </c>
      <c r="L4" s="4">
        <f>Hotel!X9</f>
        <v>0</v>
      </c>
      <c r="M4" s="4">
        <f>Hotel!Y9</f>
        <v>0</v>
      </c>
      <c r="N4" s="4">
        <f>Hotel!Z9</f>
        <v>0</v>
      </c>
      <c r="O4" s="4">
        <f>Hotel!AA9</f>
        <v>0</v>
      </c>
      <c r="P4" s="4">
        <f>Hotel!AB9</f>
        <v>0</v>
      </c>
      <c r="Q4" s="4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2021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2021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F17" sqref="F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52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ht="30" x14ac:dyDescent="0.25">
      <c r="A2" s="23">
        <v>44500</v>
      </c>
      <c r="B2" s="40">
        <v>66</v>
      </c>
      <c r="C2" s="24">
        <v>7346180</v>
      </c>
      <c r="D2" s="24">
        <v>17454260</v>
      </c>
      <c r="E2" s="24">
        <v>3102240</v>
      </c>
      <c r="F2" s="24">
        <v>3729400</v>
      </c>
      <c r="G2" s="24">
        <v>11000320</v>
      </c>
      <c r="H2" s="24">
        <v>6032330</v>
      </c>
      <c r="I2" s="24">
        <v>5421080</v>
      </c>
      <c r="J2" s="24">
        <v>6531220</v>
      </c>
      <c r="K2" s="24">
        <v>9963680</v>
      </c>
      <c r="L2" s="24">
        <v>4206390</v>
      </c>
      <c r="M2" s="24">
        <v>8349450</v>
      </c>
      <c r="N2" s="24">
        <v>13067220</v>
      </c>
      <c r="O2" s="24">
        <v>18043070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3" t="s">
        <v>49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ht="3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3" t="s">
        <v>49</v>
      </c>
    </row>
    <row r="7" spans="1:49" x14ac:dyDescent="0.25">
      <c r="A7" s="23">
        <v>44501</v>
      </c>
      <c r="B7" s="40">
        <v>70</v>
      </c>
      <c r="C7" s="24">
        <v>7355760</v>
      </c>
      <c r="D7" s="24">
        <v>17457870</v>
      </c>
      <c r="E7" s="24">
        <v>3103770</v>
      </c>
      <c r="F7" s="24">
        <v>3734230</v>
      </c>
      <c r="G7" s="24">
        <v>11004600</v>
      </c>
      <c r="H7" s="24">
        <v>6036360</v>
      </c>
      <c r="I7" s="24">
        <v>5423480</v>
      </c>
      <c r="J7" s="24">
        <v>6535820</v>
      </c>
      <c r="K7" s="24">
        <v>9970080</v>
      </c>
      <c r="L7" s="24">
        <v>4209090</v>
      </c>
      <c r="M7" s="24">
        <v>8352710</v>
      </c>
      <c r="N7" s="24">
        <v>13074670</v>
      </c>
      <c r="O7" s="24">
        <v>18053660</v>
      </c>
      <c r="Q7" s="37">
        <f>IF((C7-C2&lt;0), "0",C7-C2)</f>
        <v>9580</v>
      </c>
      <c r="R7" s="37">
        <f t="shared" ref="R7:AC7" si="0">IF((D7-D2&lt;0), "0",D7-D2)</f>
        <v>3610</v>
      </c>
      <c r="S7" s="37">
        <f>IF((E7-E2&lt;0), "0",E7-E2)</f>
        <v>1530</v>
      </c>
      <c r="T7" s="37">
        <f t="shared" si="0"/>
        <v>4830</v>
      </c>
      <c r="U7" s="37">
        <f t="shared" si="0"/>
        <v>4280</v>
      </c>
      <c r="V7" s="37">
        <f t="shared" si="0"/>
        <v>4030</v>
      </c>
      <c r="W7" s="37">
        <f t="shared" si="0"/>
        <v>2400</v>
      </c>
      <c r="X7" s="37">
        <f t="shared" si="0"/>
        <v>4600</v>
      </c>
      <c r="Y7" s="37">
        <f t="shared" si="0"/>
        <v>6400</v>
      </c>
      <c r="Z7" s="37">
        <f t="shared" si="0"/>
        <v>2700</v>
      </c>
      <c r="AA7" s="37">
        <f t="shared" si="0"/>
        <v>3260</v>
      </c>
      <c r="AB7" s="37">
        <f t="shared" si="0"/>
        <v>7450</v>
      </c>
      <c r="AC7" s="37">
        <f t="shared" si="0"/>
        <v>10590</v>
      </c>
      <c r="AD7" s="34">
        <f>SUM(Q7:AC7)</f>
        <v>65260</v>
      </c>
      <c r="AF7" s="20">
        <f t="shared" ref="AF7:AF36" si="1">Q7*$D$39</f>
        <v>47.9</v>
      </c>
      <c r="AG7" s="20">
        <f t="shared" ref="AG7:AG36" si="2">R7*$D$39</f>
        <v>18.05</v>
      </c>
      <c r="AH7" s="20">
        <f t="shared" ref="AH7:AH36" si="3">S7*$D$39</f>
        <v>7.65</v>
      </c>
      <c r="AI7" s="20">
        <f t="shared" ref="AI7:AI36" si="4">T7*$D$39</f>
        <v>24.150000000000002</v>
      </c>
      <c r="AJ7" s="20">
        <f t="shared" ref="AJ7:AJ36" si="5">U7*$D$39</f>
        <v>21.400000000000002</v>
      </c>
      <c r="AK7" s="20">
        <f t="shared" ref="AK7:AK36" si="6">V7*$D$39</f>
        <v>20.150000000000002</v>
      </c>
      <c r="AL7" s="20">
        <f t="shared" ref="AL7:AL36" si="7">W7*$D$39</f>
        <v>12</v>
      </c>
      <c r="AM7" s="20">
        <f t="shared" ref="AM7:AM36" si="8">X7*$D$39</f>
        <v>23</v>
      </c>
      <c r="AN7" s="20">
        <f t="shared" ref="AN7:AN36" si="9">Y7*$D$39</f>
        <v>32</v>
      </c>
      <c r="AO7" s="20">
        <f t="shared" ref="AO7:AO36" si="10">Z7*$D$39</f>
        <v>13.5</v>
      </c>
      <c r="AP7" s="20">
        <f t="shared" ref="AP7:AP36" si="11">AA7*$D$39</f>
        <v>16.3</v>
      </c>
      <c r="AQ7" s="20">
        <f t="shared" ref="AQ7:AQ36" si="12">AB7*$D$39</f>
        <v>37.25</v>
      </c>
      <c r="AR7" s="20">
        <f t="shared" ref="AR7:AR36" si="13">AC7*$D$39</f>
        <v>52.95</v>
      </c>
      <c r="AS7" s="35">
        <f>SUM(AF7:AR7)</f>
        <v>326.3</v>
      </c>
      <c r="AU7" s="54">
        <v>342876</v>
      </c>
      <c r="AV7" s="37" t="e">
        <f t="shared" ref="AV7:AV9" si="14">IF((AU7-AU6&lt;0),"0",AU7-AU6)</f>
        <v>#VALUE!</v>
      </c>
      <c r="AW7" s="47">
        <v>0</v>
      </c>
    </row>
    <row r="8" spans="1:49" x14ac:dyDescent="0.25">
      <c r="A8" s="23">
        <v>44502</v>
      </c>
      <c r="B8" s="40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Q8" s="37" t="str">
        <f>IF((C8-C7&lt;0), "0",C8-C7)</f>
        <v>0</v>
      </c>
      <c r="R8" s="37" t="str">
        <f t="shared" ref="R8:AC8" si="15">IF((D8-D7&lt;0), "0",D8-D7)</f>
        <v>0</v>
      </c>
      <c r="S8" s="37" t="str">
        <f t="shared" ref="S8:S35" si="16">IF((E8-E7&lt;0), "0",E8-E7)</f>
        <v>0</v>
      </c>
      <c r="T8" s="37" t="str">
        <f t="shared" si="15"/>
        <v>0</v>
      </c>
      <c r="U8" s="37" t="str">
        <f t="shared" si="15"/>
        <v>0</v>
      </c>
      <c r="V8" s="37" t="str">
        <f t="shared" si="15"/>
        <v>0</v>
      </c>
      <c r="W8" s="37" t="str">
        <f t="shared" si="15"/>
        <v>0</v>
      </c>
      <c r="X8" s="37" t="str">
        <f t="shared" si="15"/>
        <v>0</v>
      </c>
      <c r="Y8" s="37" t="str">
        <f t="shared" si="15"/>
        <v>0</v>
      </c>
      <c r="Z8" s="37" t="str">
        <f t="shared" si="15"/>
        <v>0</v>
      </c>
      <c r="AA8" s="37" t="str">
        <f t="shared" si="15"/>
        <v>0</v>
      </c>
      <c r="AB8" s="37" t="str">
        <f t="shared" si="15"/>
        <v>0</v>
      </c>
      <c r="AC8" s="37" t="str">
        <f t="shared" si="15"/>
        <v>0</v>
      </c>
      <c r="AD8" s="35">
        <f>SUM(Q8:AC8)</f>
        <v>0</v>
      </c>
      <c r="AF8" s="20">
        <f t="shared" si="1"/>
        <v>0</v>
      </c>
      <c r="AG8" s="20">
        <f t="shared" si="2"/>
        <v>0</v>
      </c>
      <c r="AH8" s="20">
        <f t="shared" si="3"/>
        <v>0</v>
      </c>
      <c r="AI8" s="20">
        <f t="shared" si="4"/>
        <v>0</v>
      </c>
      <c r="AJ8" s="20">
        <f t="shared" si="5"/>
        <v>0</v>
      </c>
      <c r="AK8" s="20">
        <f t="shared" si="6"/>
        <v>0</v>
      </c>
      <c r="AL8" s="20">
        <f t="shared" si="7"/>
        <v>0</v>
      </c>
      <c r="AM8" s="20">
        <f t="shared" si="8"/>
        <v>0</v>
      </c>
      <c r="AN8" s="20">
        <f t="shared" si="9"/>
        <v>0</v>
      </c>
      <c r="AO8" s="20">
        <f t="shared" si="10"/>
        <v>0</v>
      </c>
      <c r="AP8" s="20">
        <f t="shared" si="11"/>
        <v>0</v>
      </c>
      <c r="AQ8" s="20">
        <f t="shared" si="12"/>
        <v>0</v>
      </c>
      <c r="AR8" s="20">
        <f t="shared" si="13"/>
        <v>0</v>
      </c>
      <c r="AS8" s="35">
        <f>SUM(AF8:AR8)</f>
        <v>0</v>
      </c>
      <c r="AU8" s="54"/>
      <c r="AV8" s="37" t="str">
        <f t="shared" si="14"/>
        <v>0</v>
      </c>
      <c r="AW8" s="35">
        <v>0</v>
      </c>
    </row>
    <row r="9" spans="1:49" x14ac:dyDescent="0.25">
      <c r="A9" s="23">
        <v>44503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>
        <f t="shared" ref="Q9:Q30" si="17">IF((C9-C8&lt;0), "0",C9-C8)</f>
        <v>0</v>
      </c>
      <c r="R9" s="37">
        <f t="shared" ref="R9:R35" si="18">IF((D9-D8&lt;0), "0",D9-D8)</f>
        <v>0</v>
      </c>
      <c r="S9" s="37">
        <f t="shared" si="16"/>
        <v>0</v>
      </c>
      <c r="T9" s="37">
        <f t="shared" ref="T9:T35" si="19">IF((F9-F8&lt;0), "0",F9-F8)</f>
        <v>0</v>
      </c>
      <c r="U9" s="37">
        <f t="shared" ref="U9:U35" si="20">IF((G9-G8&lt;0), "0",G9-G8)</f>
        <v>0</v>
      </c>
      <c r="V9" s="37">
        <f t="shared" ref="V9:V35" si="21">IF((H9-H8&lt;0), "0",H9-H8)</f>
        <v>0</v>
      </c>
      <c r="W9" s="37">
        <f t="shared" ref="W9:W35" si="22">IF((I9-I8&lt;0), "0",I9-I8)</f>
        <v>0</v>
      </c>
      <c r="X9" s="37">
        <f t="shared" ref="X9:X35" si="23">IF((J9-J8&lt;0), "0",J9-J8)</f>
        <v>0</v>
      </c>
      <c r="Y9" s="37">
        <f t="shared" ref="Y9:Y35" si="24">IF((K9-K8&lt;0), "0",K9-K8)</f>
        <v>0</v>
      </c>
      <c r="Z9" s="37">
        <f t="shared" ref="Z9:Z35" si="25">IF((L9-L8&lt;0), "0",L9-L8)</f>
        <v>0</v>
      </c>
      <c r="AA9" s="37">
        <f t="shared" ref="AA9:AA35" si="26">IF((M9-M8&lt;0), "0",M9-M8)</f>
        <v>0</v>
      </c>
      <c r="AB9" s="37">
        <f t="shared" ref="AB9:AB37" si="27">IF((N9-N8&lt;0), "0",N9-N8)</f>
        <v>0</v>
      </c>
      <c r="AC9" s="37">
        <f t="shared" ref="AC9:AC37" si="28">IF((O9-O8&lt;0), "0",O9-O8)</f>
        <v>0</v>
      </c>
      <c r="AD9" s="35">
        <f t="shared" ref="AD9:AD37" si="29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30">SUM(AF9:AR9)</f>
        <v>0</v>
      </c>
      <c r="AU9" s="54"/>
      <c r="AV9" s="37">
        <f t="shared" si="14"/>
        <v>0</v>
      </c>
      <c r="AW9" s="35">
        <f t="shared" ref="AW9:AW35" si="31">AV9*$D$40</f>
        <v>0</v>
      </c>
    </row>
    <row r="10" spans="1:49" x14ac:dyDescent="0.25">
      <c r="A10" s="23">
        <v>44504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7"/>
        <v>0</v>
      </c>
      <c r="R10" s="37">
        <f t="shared" si="18"/>
        <v>0</v>
      </c>
      <c r="S10" s="37">
        <f t="shared" si="16"/>
        <v>0</v>
      </c>
      <c r="T10" s="37">
        <f t="shared" si="19"/>
        <v>0</v>
      </c>
      <c r="U10" s="37">
        <f t="shared" si="20"/>
        <v>0</v>
      </c>
      <c r="V10" s="37">
        <f t="shared" si="21"/>
        <v>0</v>
      </c>
      <c r="W10" s="37">
        <f t="shared" si="22"/>
        <v>0</v>
      </c>
      <c r="X10" s="37">
        <f t="shared" si="23"/>
        <v>0</v>
      </c>
      <c r="Y10" s="37">
        <f t="shared" si="24"/>
        <v>0</v>
      </c>
      <c r="Z10" s="37">
        <f t="shared" si="25"/>
        <v>0</v>
      </c>
      <c r="AA10" s="37">
        <f t="shared" si="26"/>
        <v>0</v>
      </c>
      <c r="AB10" s="37">
        <f t="shared" si="27"/>
        <v>0</v>
      </c>
      <c r="AC10" s="37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54"/>
      <c r="AV10" s="37">
        <f t="shared" ref="AV10:AV26" si="32">IF((AU10-AU9&lt;0),"0",AU10-AU9)</f>
        <v>0</v>
      </c>
      <c r="AW10" s="35">
        <f t="shared" si="31"/>
        <v>0</v>
      </c>
    </row>
    <row r="11" spans="1:49" x14ac:dyDescent="0.25">
      <c r="A11" s="23">
        <v>44505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54"/>
      <c r="AV11" s="37">
        <f t="shared" si="32"/>
        <v>0</v>
      </c>
      <c r="AW11" s="35">
        <f t="shared" si="31"/>
        <v>0</v>
      </c>
    </row>
    <row r="12" spans="1:49" x14ac:dyDescent="0.25">
      <c r="A12" s="23">
        <v>44506</v>
      </c>
      <c r="B12" s="40"/>
      <c r="C12" s="46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3">IF((F12-F11&lt;0), "0",F12-F11)</f>
        <v>0</v>
      </c>
      <c r="U12" s="37">
        <f t="shared" si="33"/>
        <v>0</v>
      </c>
      <c r="V12" s="37">
        <f t="shared" si="33"/>
        <v>0</v>
      </c>
      <c r="W12" s="37">
        <f t="shared" si="33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54"/>
      <c r="AV12" s="37">
        <f t="shared" si="32"/>
        <v>0</v>
      </c>
      <c r="AW12" s="35">
        <f t="shared" si="31"/>
        <v>0</v>
      </c>
    </row>
    <row r="13" spans="1:49" x14ac:dyDescent="0.25">
      <c r="A13" s="23">
        <v>44507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3"/>
        <v>0</v>
      </c>
      <c r="U13" s="37">
        <f t="shared" si="33"/>
        <v>0</v>
      </c>
      <c r="V13" s="37">
        <f t="shared" si="33"/>
        <v>0</v>
      </c>
      <c r="W13" s="37">
        <f t="shared" si="33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54"/>
      <c r="AV13" s="37">
        <f t="shared" si="32"/>
        <v>0</v>
      </c>
      <c r="AW13" s="35">
        <f t="shared" si="31"/>
        <v>0</v>
      </c>
    </row>
    <row r="14" spans="1:49" x14ac:dyDescent="0.25">
      <c r="A14" s="23">
        <v>44508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1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3"/>
        <v>0</v>
      </c>
      <c r="U14" s="37">
        <f t="shared" si="33"/>
        <v>0</v>
      </c>
      <c r="V14" s="37">
        <f t="shared" si="33"/>
        <v>0</v>
      </c>
      <c r="W14" s="37">
        <f t="shared" si="33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54"/>
      <c r="AV14" s="37">
        <f t="shared" si="32"/>
        <v>0</v>
      </c>
      <c r="AW14" s="35">
        <f t="shared" si="31"/>
        <v>0</v>
      </c>
    </row>
    <row r="15" spans="1:49" x14ac:dyDescent="0.25">
      <c r="A15" s="23">
        <v>44509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4"/>
      <c r="AV15" s="37">
        <f t="shared" si="32"/>
        <v>0</v>
      </c>
      <c r="AW15" s="35">
        <f t="shared" si="31"/>
        <v>0</v>
      </c>
    </row>
    <row r="16" spans="1:49" x14ac:dyDescent="0.25">
      <c r="A16" s="23">
        <v>44510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4"/>
      <c r="AV16" s="37">
        <f t="shared" si="32"/>
        <v>0</v>
      </c>
      <c r="AW16" s="35">
        <f t="shared" si="31"/>
        <v>0</v>
      </c>
    </row>
    <row r="17" spans="1:49" x14ac:dyDescent="0.25">
      <c r="A17" s="23">
        <v>44511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4"/>
      <c r="AV17" s="37">
        <f t="shared" si="32"/>
        <v>0</v>
      </c>
      <c r="AW17" s="35">
        <f t="shared" si="31"/>
        <v>0</v>
      </c>
    </row>
    <row r="18" spans="1:49" x14ac:dyDescent="0.25">
      <c r="A18" s="23">
        <v>44512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4"/>
      <c r="AV18" s="37">
        <f t="shared" si="32"/>
        <v>0</v>
      </c>
      <c r="AW18" s="35">
        <f t="shared" si="31"/>
        <v>0</v>
      </c>
    </row>
    <row r="19" spans="1:49" x14ac:dyDescent="0.25">
      <c r="A19" s="23">
        <v>44513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4"/>
      <c r="AV19" s="37">
        <f t="shared" si="32"/>
        <v>0</v>
      </c>
      <c r="AW19" s="35">
        <f t="shared" si="31"/>
        <v>0</v>
      </c>
    </row>
    <row r="20" spans="1:49" x14ac:dyDescent="0.25">
      <c r="A20" s="23">
        <v>44514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4"/>
      <c r="AV20" s="37">
        <f t="shared" si="32"/>
        <v>0</v>
      </c>
      <c r="AW20" s="35">
        <f t="shared" si="31"/>
        <v>0</v>
      </c>
    </row>
    <row r="21" spans="1:49" x14ac:dyDescent="0.25">
      <c r="A21" s="23">
        <v>44515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4"/>
      <c r="AV21" s="37">
        <f t="shared" si="32"/>
        <v>0</v>
      </c>
      <c r="AW21" s="35">
        <f t="shared" si="31"/>
        <v>0</v>
      </c>
    </row>
    <row r="22" spans="1:49" x14ac:dyDescent="0.25">
      <c r="A22" s="23">
        <v>44516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4"/>
      <c r="AV22" s="37">
        <f t="shared" si="32"/>
        <v>0</v>
      </c>
      <c r="AW22" s="35">
        <f t="shared" si="31"/>
        <v>0</v>
      </c>
    </row>
    <row r="23" spans="1:49" x14ac:dyDescent="0.25">
      <c r="A23" s="23">
        <v>44517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4"/>
      <c r="AV23" s="37">
        <f t="shared" si="32"/>
        <v>0</v>
      </c>
      <c r="AW23" s="35">
        <f t="shared" si="31"/>
        <v>0</v>
      </c>
    </row>
    <row r="24" spans="1:49" x14ac:dyDescent="0.25">
      <c r="A24" s="23">
        <v>44518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4"/>
      <c r="AV24" s="37">
        <f t="shared" si="32"/>
        <v>0</v>
      </c>
      <c r="AW24" s="35">
        <f t="shared" si="31"/>
        <v>0</v>
      </c>
    </row>
    <row r="25" spans="1:49" x14ac:dyDescent="0.25">
      <c r="A25" s="23">
        <v>44519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4">IF((C25-C24&lt;0), "0",C25-C24)</f>
        <v>0</v>
      </c>
      <c r="R25" s="37">
        <f t="shared" si="34"/>
        <v>0</v>
      </c>
      <c r="S25" s="37">
        <f t="shared" si="34"/>
        <v>0</v>
      </c>
      <c r="T25" s="37">
        <f t="shared" si="34"/>
        <v>0</v>
      </c>
      <c r="U25" s="37">
        <f t="shared" si="34"/>
        <v>0</v>
      </c>
      <c r="V25" s="37">
        <f t="shared" si="34"/>
        <v>0</v>
      </c>
      <c r="W25" s="37">
        <f t="shared" si="34"/>
        <v>0</v>
      </c>
      <c r="X25" s="37">
        <f t="shared" si="34"/>
        <v>0</v>
      </c>
      <c r="Y25" s="37">
        <f t="shared" si="34"/>
        <v>0</v>
      </c>
      <c r="Z25" s="37">
        <f t="shared" si="34"/>
        <v>0</v>
      </c>
      <c r="AA25" s="37">
        <f t="shared" si="34"/>
        <v>0</v>
      </c>
      <c r="AB25" s="37">
        <f t="shared" si="34"/>
        <v>0</v>
      </c>
      <c r="AC25" s="37">
        <f t="shared" si="34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4"/>
      <c r="AV25" s="37">
        <f t="shared" si="32"/>
        <v>0</v>
      </c>
      <c r="AW25" s="35">
        <f t="shared" si="31"/>
        <v>0</v>
      </c>
    </row>
    <row r="26" spans="1:49" x14ac:dyDescent="0.25">
      <c r="A26" s="23">
        <v>44520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4"/>
        <v>0</v>
      </c>
      <c r="R26" s="37">
        <f t="shared" si="34"/>
        <v>0</v>
      </c>
      <c r="S26" s="37">
        <f t="shared" si="34"/>
        <v>0</v>
      </c>
      <c r="T26" s="37">
        <f t="shared" si="34"/>
        <v>0</v>
      </c>
      <c r="U26" s="37">
        <f t="shared" si="34"/>
        <v>0</v>
      </c>
      <c r="V26" s="37">
        <f t="shared" si="34"/>
        <v>0</v>
      </c>
      <c r="W26" s="37">
        <f t="shared" si="34"/>
        <v>0</v>
      </c>
      <c r="X26" s="37">
        <f t="shared" si="34"/>
        <v>0</v>
      </c>
      <c r="Y26" s="37">
        <f t="shared" si="34"/>
        <v>0</v>
      </c>
      <c r="Z26" s="37">
        <f t="shared" si="34"/>
        <v>0</v>
      </c>
      <c r="AA26" s="37">
        <f t="shared" si="34"/>
        <v>0</v>
      </c>
      <c r="AB26" s="37">
        <f t="shared" si="34"/>
        <v>0</v>
      </c>
      <c r="AC26" s="37">
        <f t="shared" si="34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4"/>
      <c r="AV26" s="37">
        <f t="shared" si="32"/>
        <v>0</v>
      </c>
      <c r="AW26" s="35">
        <f t="shared" si="31"/>
        <v>0</v>
      </c>
    </row>
    <row r="27" spans="1:49" x14ac:dyDescent="0.25">
      <c r="A27" s="23">
        <v>44521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4"/>
        <v>0</v>
      </c>
      <c r="R27" s="37">
        <f t="shared" si="34"/>
        <v>0</v>
      </c>
      <c r="S27" s="37">
        <f t="shared" si="34"/>
        <v>0</v>
      </c>
      <c r="T27" s="37">
        <f t="shared" si="34"/>
        <v>0</v>
      </c>
      <c r="U27" s="37">
        <f t="shared" si="34"/>
        <v>0</v>
      </c>
      <c r="V27" s="37">
        <f t="shared" si="34"/>
        <v>0</v>
      </c>
      <c r="W27" s="37">
        <f t="shared" si="34"/>
        <v>0</v>
      </c>
      <c r="X27" s="37">
        <f t="shared" si="34"/>
        <v>0</v>
      </c>
      <c r="Y27" s="37">
        <f t="shared" si="34"/>
        <v>0</v>
      </c>
      <c r="Z27" s="37">
        <f t="shared" si="34"/>
        <v>0</v>
      </c>
      <c r="AA27" s="37">
        <f t="shared" si="34"/>
        <v>0</v>
      </c>
      <c r="AB27" s="37">
        <f t="shared" si="34"/>
        <v>0</v>
      </c>
      <c r="AC27" s="37">
        <f t="shared" si="34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4"/>
      <c r="AV27" s="37">
        <f>IF((AU27-AU26&lt;0),"0",AU27-AU26)</f>
        <v>0</v>
      </c>
      <c r="AW27" s="35">
        <f t="shared" si="31"/>
        <v>0</v>
      </c>
    </row>
    <row r="28" spans="1:49" x14ac:dyDescent="0.25">
      <c r="A28" s="23">
        <v>44522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4"/>
      <c r="AV28" s="37">
        <f>IF((AU28-AU27&lt;0),"0",AU28-AU27)</f>
        <v>0</v>
      </c>
      <c r="AW28" s="35">
        <f t="shared" si="31"/>
        <v>0</v>
      </c>
    </row>
    <row r="29" spans="1:49" x14ac:dyDescent="0.25">
      <c r="A29" s="23">
        <v>44523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4"/>
      <c r="AV29" s="37">
        <f t="shared" ref="AV29:AV35" si="35">IF((AU29-AU28&lt;0),"0",AU29-AU28)</f>
        <v>0</v>
      </c>
      <c r="AW29" s="35">
        <f t="shared" si="31"/>
        <v>0</v>
      </c>
    </row>
    <row r="30" spans="1:49" x14ac:dyDescent="0.25">
      <c r="A30" s="23">
        <v>44524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4"/>
      <c r="AV30" s="37">
        <f t="shared" si="35"/>
        <v>0</v>
      </c>
      <c r="AW30" s="35">
        <f t="shared" si="31"/>
        <v>0</v>
      </c>
    </row>
    <row r="31" spans="1:49" x14ac:dyDescent="0.25">
      <c r="A31" s="23">
        <v>44525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4"/>
      <c r="AV31" s="37">
        <f t="shared" si="35"/>
        <v>0</v>
      </c>
      <c r="AW31" s="35">
        <f t="shared" si="31"/>
        <v>0</v>
      </c>
    </row>
    <row r="32" spans="1:49" x14ac:dyDescent="0.25">
      <c r="A32" s="23">
        <v>44526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4"/>
      <c r="AV32" s="37">
        <f t="shared" si="35"/>
        <v>0</v>
      </c>
      <c r="AW32" s="35">
        <f t="shared" si="31"/>
        <v>0</v>
      </c>
    </row>
    <row r="33" spans="1:49" x14ac:dyDescent="0.25">
      <c r="A33" s="23">
        <v>44527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5"/>
        <v>0</v>
      </c>
      <c r="AW33" s="35">
        <f t="shared" si="31"/>
        <v>0</v>
      </c>
    </row>
    <row r="34" spans="1:49" x14ac:dyDescent="0.25">
      <c r="A34" s="23">
        <v>44528</v>
      </c>
      <c r="B34" s="49"/>
      <c r="C34" s="48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4"/>
      <c r="AV34" s="37">
        <f t="shared" si="35"/>
        <v>0</v>
      </c>
      <c r="AW34" s="35">
        <f t="shared" si="31"/>
        <v>0</v>
      </c>
    </row>
    <row r="35" spans="1:49" x14ac:dyDescent="0.25">
      <c r="A35" s="23">
        <v>44529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4"/>
      <c r="AV35" s="37">
        <f t="shared" si="35"/>
        <v>0</v>
      </c>
      <c r="AW35" s="35">
        <f t="shared" si="31"/>
        <v>0</v>
      </c>
    </row>
    <row r="36" spans="1:49" x14ac:dyDescent="0.25">
      <c r="A36" s="23">
        <v>44530</v>
      </c>
      <c r="B36" s="40"/>
      <c r="C36" s="24"/>
      <c r="D36" s="24"/>
      <c r="E36" s="24"/>
      <c r="F36" s="24"/>
      <c r="G36" s="24"/>
      <c r="H36" s="24"/>
      <c r="I36" s="24"/>
      <c r="J36" s="50"/>
      <c r="K36" s="24"/>
      <c r="L36" s="24"/>
      <c r="M36" s="24"/>
      <c r="N36" s="24"/>
      <c r="O36" s="24"/>
      <c r="Q36" s="37">
        <f t="shared" ref="Q36:AA36" si="36">IF((C36-C35&lt;0), "0",C36-C35)</f>
        <v>0</v>
      </c>
      <c r="R36" s="37">
        <f t="shared" si="36"/>
        <v>0</v>
      </c>
      <c r="S36" s="37">
        <f t="shared" si="36"/>
        <v>0</v>
      </c>
      <c r="T36" s="37">
        <f t="shared" si="36"/>
        <v>0</v>
      </c>
      <c r="U36" s="37">
        <f t="shared" si="36"/>
        <v>0</v>
      </c>
      <c r="V36" s="37">
        <f t="shared" si="36"/>
        <v>0</v>
      </c>
      <c r="W36" s="37">
        <f t="shared" si="36"/>
        <v>0</v>
      </c>
      <c r="X36" s="37">
        <f t="shared" si="36"/>
        <v>0</v>
      </c>
      <c r="Y36" s="37">
        <f t="shared" si="36"/>
        <v>0</v>
      </c>
      <c r="Z36" s="37">
        <f t="shared" si="36"/>
        <v>0</v>
      </c>
      <c r="AA36" s="37">
        <f t="shared" si="36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4"/>
      <c r="AV36" s="37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54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9580</v>
      </c>
      <c r="R38" s="38">
        <f t="shared" ref="R38:AD38" si="63">SUM(R7:R37)</f>
        <v>3610</v>
      </c>
      <c r="S38" s="38">
        <f t="shared" si="63"/>
        <v>1530</v>
      </c>
      <c r="T38" s="38">
        <f t="shared" si="63"/>
        <v>4830</v>
      </c>
      <c r="U38" s="38">
        <f t="shared" si="63"/>
        <v>4280</v>
      </c>
      <c r="V38" s="38">
        <f t="shared" si="63"/>
        <v>4030</v>
      </c>
      <c r="W38" s="38">
        <f t="shared" si="63"/>
        <v>2400</v>
      </c>
      <c r="X38" s="38">
        <f t="shared" si="63"/>
        <v>4600</v>
      </c>
      <c r="Y38" s="38">
        <f t="shared" si="63"/>
        <v>6400</v>
      </c>
      <c r="Z38" s="38">
        <f t="shared" si="63"/>
        <v>2700</v>
      </c>
      <c r="AA38" s="38">
        <f t="shared" si="63"/>
        <v>3260</v>
      </c>
      <c r="AB38" s="38">
        <f t="shared" si="63"/>
        <v>7450</v>
      </c>
      <c r="AC38" s="38">
        <f t="shared" si="63"/>
        <v>10590</v>
      </c>
      <c r="AD38" s="38">
        <f t="shared" si="63"/>
        <v>65260</v>
      </c>
      <c r="AF38" s="35">
        <f>SUM(AF7:AF37)</f>
        <v>47.9</v>
      </c>
      <c r="AG38" s="35">
        <f t="shared" ref="AG38:AS38" si="64">SUM(AG7:AG37)</f>
        <v>18.05</v>
      </c>
      <c r="AH38" s="35">
        <f t="shared" si="64"/>
        <v>7.65</v>
      </c>
      <c r="AI38" s="35">
        <f t="shared" si="64"/>
        <v>24.150000000000002</v>
      </c>
      <c r="AJ38" s="35">
        <f t="shared" si="64"/>
        <v>21.400000000000002</v>
      </c>
      <c r="AK38" s="35">
        <f t="shared" si="64"/>
        <v>20.150000000000002</v>
      </c>
      <c r="AL38" s="35">
        <f t="shared" si="64"/>
        <v>12</v>
      </c>
      <c r="AM38" s="35">
        <f t="shared" si="64"/>
        <v>23</v>
      </c>
      <c r="AN38" s="35">
        <f t="shared" si="64"/>
        <v>32</v>
      </c>
      <c r="AO38" s="35">
        <f t="shared" si="64"/>
        <v>13.5</v>
      </c>
      <c r="AP38" s="35">
        <f t="shared" si="64"/>
        <v>16.3</v>
      </c>
      <c r="AQ38" s="35">
        <f t="shared" si="64"/>
        <v>37.25</v>
      </c>
      <c r="AR38" s="35">
        <f t="shared" si="64"/>
        <v>52.95</v>
      </c>
      <c r="AS38" s="35">
        <f t="shared" si="64"/>
        <v>326.3</v>
      </c>
      <c r="AU38" s="55"/>
      <c r="AV38" s="35" t="e">
        <f>SUM(AV7:AV34)</f>
        <v>#VALUE!</v>
      </c>
      <c r="AW38" s="35">
        <f>SUM(AW7:AW34)</f>
        <v>0</v>
      </c>
    </row>
    <row r="39" spans="1:49" x14ac:dyDescent="0.25">
      <c r="D39">
        <v>5.0000000000000001E-3</v>
      </c>
      <c r="AV39" s="36" t="e">
        <f>AV38*0.00378541*1000</f>
        <v>#VALUE!</v>
      </c>
    </row>
    <row r="40" spans="1:49" x14ac:dyDescent="0.25">
      <c r="D40">
        <v>2E-3</v>
      </c>
      <c r="AV40" t="e">
        <f>AV39/31</f>
        <v>#VALUE!</v>
      </c>
    </row>
    <row r="41" spans="1:49" x14ac:dyDescent="0.25">
      <c r="AV41" t="e">
        <f>AV38*0.00378541</f>
        <v>#VALUE!</v>
      </c>
    </row>
    <row r="44" spans="1:49" x14ac:dyDescent="0.25">
      <c r="AU44" s="52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2021-11-02T05:17:42Z</dcterms:modified>
</cp:coreProperties>
</file>