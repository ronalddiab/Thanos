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B7" i="7" l="1"/>
  <c r="AB8" i="7"/>
  <c r="Z7" i="7"/>
  <c r="BH26" i="7" l="1"/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9" i="7"/>
  <c r="AB10" i="7"/>
  <c r="AB11" i="7"/>
  <c r="AB12" i="7"/>
  <c r="AB13" i="7"/>
  <c r="AB14" i="7"/>
  <c r="AB15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<sst xmlns="http://schemas.openxmlformats.org/spreadsheetml/2006/main" count="314" uniqueCount="149">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</sst>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5159.9999999998527</v>
      </c>
      <c r="F2" s="11">
        <v>0.58765030286592534</v>
      </c>
      <c r="G2" s="12">
        <f>(Submetering!AX2+Submetering!AY2+Submetering!AZ2+Submetering!BA2+Submetering!BB2)</f>
        <v>0</v>
      </c>
      <c r="H2" s="11">
        <v>0.99</v>
      </c>
      <c r="I2" s="12">
        <f>'FS Desroches Daily'!CM4</f>
        <v>0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 t="e">
        <f>Submetering!E3+Submetering!F3+Submetering!G3+Submetering!H3+Submetering!J3-Submetering!AV3</f>
        <v>#VALUE!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0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0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18" sqref="E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2020</v>
      </c>
      <c r="E2" s="31">
        <f>'FS Desroches Daily'!D4</f>
        <v>1199.9999999998679</v>
      </c>
      <c r="F2" s="32">
        <f>'FS Desroches Daily'!F4</f>
        <v>900.0000000001229</v>
      </c>
      <c r="G2" s="31">
        <f>'FS Desroches Daily'!H4</f>
        <v>1999.9999999997797</v>
      </c>
      <c r="H2" s="32">
        <f>'FS Desroches Daily'!J4</f>
        <v>1000.0000000001119</v>
      </c>
      <c r="I2" s="31">
        <f>'FS Desroches Daily'!L4</f>
        <v>2099.9999999999909</v>
      </c>
      <c r="J2" s="32">
        <f>'FS Desroches Daily'!N4</f>
        <v>599.99999999993395</v>
      </c>
      <c r="K2" s="13">
        <f>'FS Desroches Daily'!P4</f>
        <v>1</v>
      </c>
      <c r="L2" s="31">
        <f>'FS Desroches Daily'!R4</f>
        <v>4</v>
      </c>
      <c r="M2" s="31">
        <f>'FS Desroches Daily'!T4</f>
        <v>391.79999999993015</v>
      </c>
      <c r="N2" s="31">
        <f>'FS Desroches Daily'!V4</f>
        <v>216.5</v>
      </c>
      <c r="O2" s="31">
        <f>'FS Desroches Daily'!X4</f>
        <v>230.00000000001819</v>
      </c>
      <c r="P2" s="31">
        <f>'FS Desroches Daily'!Z4</f>
        <v>599.99999999993395</v>
      </c>
      <c r="Q2" s="31">
        <f>'FS Desroches Daily'!AB4</f>
        <v>210.00000000003638</v>
      </c>
      <c r="R2" s="31">
        <f>'FS Desroches Daily'!AD4</f>
        <v>160.00000000002501</v>
      </c>
      <c r="S2" s="31">
        <f>'FS Desroches Daily'!AF4</f>
        <v>159.99999999996817</v>
      </c>
      <c r="T2" s="31">
        <f>'FS Desroches Daily'!AH4</f>
        <v>1.2999999999999545</v>
      </c>
      <c r="U2" s="35">
        <f>'FS Desroches Daily'!AJ4</f>
        <v>259.99999999999091</v>
      </c>
      <c r="V2" s="35">
        <f>'FS Desroches Daily'!AL4</f>
        <v>199.99999999998863</v>
      </c>
      <c r="W2" s="35">
        <f>'FS Desroches Daily'!AN4</f>
        <v>200.00000000001705</v>
      </c>
      <c r="X2" s="35">
        <f>'FS Desroches Daily'!AP4</f>
        <v>180.00000000000682</v>
      </c>
      <c r="Y2" s="35">
        <f>'FS Desroches Daily'!AR4</f>
        <v>129.99999999999545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139.99999999998636</v>
      </c>
      <c r="AC2" s="35">
        <f>'FS Desroches Daily'!AZ4</f>
        <v>120.00000000000455</v>
      </c>
      <c r="AD2" s="35">
        <f>'FS Desroches Daily'!BB4</f>
        <v>149.99999999997726</v>
      </c>
      <c r="AE2" s="35">
        <f>'FS Desroches Daily'!BD4</f>
        <v>30.000000000001137</v>
      </c>
      <c r="AF2" s="31">
        <f>'FS Desroches Daily'!BF4</f>
        <v>19</v>
      </c>
      <c r="AG2" s="32">
        <f>'FS Desroches Daily'!BH4</f>
        <v>9.9999999999909051</v>
      </c>
      <c r="AH2" s="32">
        <f>'FS Desroches Daily'!BJ4</f>
        <v>19.99999999998181</v>
      </c>
      <c r="AI2" s="32">
        <f>'FS Desroches Daily'!BL4</f>
        <v>9.9999999999909051</v>
      </c>
      <c r="AJ2" s="32">
        <f>'FS Desroches Daily'!BN4</f>
        <v>20.000000000010232</v>
      </c>
      <c r="AK2" s="32">
        <f>'FS Desroches Daily'!BP4</f>
        <v>19.99999999998181</v>
      </c>
      <c r="AL2" s="32">
        <f>'FS Desroches Daily'!BR4</f>
        <v>15</v>
      </c>
      <c r="AM2" s="32">
        <f>'FS Desroches Daily'!BT4</f>
        <v>9.9999999999909051</v>
      </c>
      <c r="AN2" s="32" t="str">
        <f>'FS Desroches Daily'!BV4</f>
        <v/>
      </c>
      <c r="AO2" s="32">
        <f>'FS Desroches Daily'!BX4</f>
        <v>19.99999999998181</v>
      </c>
      <c r="AP2" s="32">
        <f>'FS Desroches Daily'!BZ4</f>
        <v>39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46.299999999995634</v>
      </c>
      <c r="AU2" s="31">
        <f>'FS Desroches Daily'!CJ4</f>
        <v>234</v>
      </c>
      <c r="AV2" s="31">
        <f>'FS Desroches Daily'!CL4</f>
        <v>539.99999999996362</v>
      </c>
      <c r="AW2" s="31">
        <f>'FS Desroches Daily'!CM4</f>
        <v>0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 t="str">
        <f>IF(LPG!Q9-LPG!Q8&lt;0,"0",(LPG!Q9-LPG!Q8)*1.8315)</f>
        <v>0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2020</v>
      </c>
      <c r="E3" s="31" t="str">
        <f>'FS Desroches Daily'!D5</f>
        <v>0</v>
      </c>
      <c r="F3" s="32" t="str">
        <f>'FS Desroches Daily'!F5</f>
        <v>0</v>
      </c>
      <c r="G3" s="31" t="str">
        <f>'FS Desroches Daily'!H5</f>
        <v>0</v>
      </c>
      <c r="H3" s="32" t="str">
        <f>'FS Desroches Daily'!J5</f>
        <v>0</v>
      </c>
      <c r="I3" s="31" t="str">
        <f>'FS Desroches Daily'!L5</f>
        <v>0</v>
      </c>
      <c r="J3" s="32" t="str">
        <f>'FS Desroches Daily'!N5</f>
        <v/>
      </c>
      <c r="K3" s="13" t="str">
        <f>'FS Desroches Daily'!P5</f>
        <v/>
      </c>
      <c r="L3" s="31" t="str">
        <f>'FS Desroches Daily'!R5</f>
        <v/>
      </c>
      <c r="M3" s="31" t="str">
        <f>'FS Desroches Daily'!T5</f>
        <v/>
      </c>
      <c r="N3" s="31" t="str">
        <f>'FS Desroches Daily'!V5</f>
        <v/>
      </c>
      <c r="O3" s="31">
        <f>'FS Desroches Daily'!X6</f>
        <v>0</v>
      </c>
      <c r="P3" s="31" t="str">
        <f>'FS Desroches Daily'!Z5</f>
        <v/>
      </c>
      <c r="Q3" s="31" t="str">
        <f>'FS Desroches Daily'!AB5</f>
        <v/>
      </c>
      <c r="R3" s="31" t="str">
        <f>'FS Desroches Daily'!AD5</f>
        <v/>
      </c>
      <c r="S3" s="31" t="str">
        <f>'FS Desroches Daily'!AF5</f>
        <v/>
      </c>
      <c r="T3" s="31" t="str">
        <f>'FS Desroches Daily'!AH5</f>
        <v/>
      </c>
      <c r="U3" s="35" t="str">
        <f>'FS Desroches Daily'!AJ5</f>
        <v/>
      </c>
      <c r="V3" s="35" t="str">
        <f>'FS Desroches Daily'!AL5</f>
        <v/>
      </c>
      <c r="W3" s="35" t="str">
        <f>'FS Desroches Daily'!AN5</f>
        <v/>
      </c>
      <c r="X3" s="35" t="str">
        <f>'FS Desroches Daily'!AP5</f>
        <v/>
      </c>
      <c r="Y3" s="35" t="str">
        <f>'FS Desroches Daily'!AR5</f>
        <v/>
      </c>
      <c r="Z3" s="35" t="str">
        <f>'FS Desroches Daily'!AT5</f>
        <v/>
      </c>
      <c r="AA3" s="35" t="str">
        <f>'FS Desroches Daily'!AT5</f>
        <v/>
      </c>
      <c r="AB3" s="35" t="str">
        <f>'FS Desroches Daily'!AV5</f>
        <v/>
      </c>
      <c r="AC3" s="35" t="str">
        <f>'FS Desroches Daily'!AZ5</f>
        <v/>
      </c>
      <c r="AD3" s="35" t="str">
        <f>'FS Desroches Daily'!BB5</f>
        <v/>
      </c>
      <c r="AE3" s="35" t="str">
        <f>'FS Desroches Daily'!BD5</f>
        <v/>
      </c>
      <c r="AF3" s="31" t="str">
        <f>'FS Desroches Daily'!BF5</f>
        <v/>
      </c>
      <c r="AG3" s="32" t="str">
        <f>'FS Desroches Daily'!BH5</f>
        <v/>
      </c>
      <c r="AH3" s="32" t="str">
        <f>'FS Desroches Daily'!BJ5</f>
        <v/>
      </c>
      <c r="AI3" s="32" t="str">
        <f>'FS Desroches Daily'!BL5</f>
        <v/>
      </c>
      <c r="AJ3" s="32" t="str">
        <f>'FS Desroches Daily'!BN5</f>
        <v/>
      </c>
      <c r="AK3" s="32" t="str">
        <f>'FS Desroches Daily'!BP5</f>
        <v/>
      </c>
      <c r="AL3" s="32" t="str">
        <f>'FS Desroches Daily'!BR5</f>
        <v/>
      </c>
      <c r="AM3" s="32" t="str">
        <f>'FS Desroches Daily'!BT5</f>
        <v/>
      </c>
      <c r="AN3" s="32" t="str">
        <f>'FS Desroches Daily'!BV5</f>
        <v/>
      </c>
      <c r="AO3" s="32" t="str">
        <f>'FS Desroches Daily'!BX5</f>
        <v/>
      </c>
      <c r="AP3" s="32" t="str">
        <f>'FS Desroches Daily'!BZ5</f>
        <v/>
      </c>
      <c r="AQ3" s="31" t="str">
        <f>'FS Desroches Daily'!CB5</f>
        <v/>
      </c>
      <c r="AR3" s="31" t="str">
        <f>'FS Desroches Daily'!CD5</f>
        <v/>
      </c>
      <c r="AS3" s="31" t="str">
        <f>'FS Desroches Daily'!CF5</f>
        <v/>
      </c>
      <c r="AT3" s="31" t="str">
        <f>'FS Desroches Daily'!CH5</f>
        <v/>
      </c>
      <c r="AU3" s="31" t="str">
        <f>'FS Desroches Daily'!CJ5</f>
        <v/>
      </c>
      <c r="AV3" s="31" t="str">
        <f>'FS Desroches Daily'!CL5</f>
        <v/>
      </c>
      <c r="AW3" s="31">
        <f>'FS Desroches Daily'!CM5</f>
        <v>0</v>
      </c>
      <c r="AX3" s="31" t="str">
        <f>IF(LPG!F10-LPG!F9&lt;0,"0",(LPG!F10-LPG!F9)*1.8315)</f>
        <v>0</v>
      </c>
      <c r="AY3" s="31" t="str">
        <f>IF(LPG!H10-LPG!H9&lt;0,"0",(LPG!H10-LPG!H9)*1.8315)</f>
        <v>0</v>
      </c>
      <c r="AZ3" s="31" t="str">
        <f>IF(LPG!J10-LPG!J9&lt;0,"0",(LPG!J10-LPG!J9)*1.8315)</f>
        <v>0</v>
      </c>
      <c r="BA3" s="31" t="str">
        <f>IF(LPG!M10-LPG!M9&lt;0,"0",(LPG!M10-LPG!M9)*1.8315)</f>
        <v>0</v>
      </c>
      <c r="BB3" s="31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2020</v>
      </c>
      <c r="E4" s="31">
        <f>'FS Desroches Daily'!D6</f>
        <v>0</v>
      </c>
      <c r="F4" s="32">
        <f>'FS Desroches Daily'!F6</f>
        <v>0</v>
      </c>
      <c r="G4" s="31">
        <f>'FS Desroches Daily'!H6</f>
        <v>0</v>
      </c>
      <c r="H4" s="32">
        <f>'FS Desroches Daily'!J6</f>
        <v>0</v>
      </c>
      <c r="I4" s="31">
        <f>'FS Desroches Daily'!L6</f>
        <v>0</v>
      </c>
      <c r="J4" s="32">
        <f>'FS Desroches Daily'!N6</f>
        <v>0</v>
      </c>
      <c r="K4" s="13">
        <f>'FS Desroches Daily'!P6</f>
        <v>0</v>
      </c>
      <c r="L4" s="31">
        <f>'FS Desroches Daily'!R6</f>
        <v>0</v>
      </c>
      <c r="M4" s="31">
        <f>'FS Desroches Daily'!T6</f>
        <v>0</v>
      </c>
      <c r="N4" s="31">
        <f>'FS Desroches Daily'!V6</f>
        <v>0</v>
      </c>
      <c r="O4" s="31">
        <f>'FS Desroches Daily'!X7</f>
        <v>0</v>
      </c>
      <c r="P4" s="31">
        <f>'FS Desroches Daily'!Z6</f>
        <v>0</v>
      </c>
      <c r="Q4" s="31">
        <f>'FS Desroches Daily'!AB6</f>
        <v>0</v>
      </c>
      <c r="R4" s="31">
        <f>'FS Desroches Daily'!AD6</f>
        <v>0</v>
      </c>
      <c r="S4" s="31">
        <f>'FS Desroches Daily'!AF6</f>
        <v>0</v>
      </c>
      <c r="T4" s="31">
        <f>'FS Desroches Daily'!AH6</f>
        <v>0</v>
      </c>
      <c r="U4" s="35">
        <f>'FS Desroches Daily'!AJ6</f>
        <v>0</v>
      </c>
      <c r="V4" s="35">
        <f>'FS Desroches Daily'!AL6</f>
        <v>0</v>
      </c>
      <c r="W4" s="35">
        <f>'FS Desroches Daily'!AN6</f>
        <v>0</v>
      </c>
      <c r="X4" s="35">
        <f>'FS Desroches Daily'!AP6</f>
        <v>0</v>
      </c>
      <c r="Y4" s="35">
        <f>'FS Desroches Daily'!AR6</f>
        <v>0</v>
      </c>
      <c r="Z4" s="35">
        <f>'FS Desroches Daily'!AT6</f>
        <v>0</v>
      </c>
      <c r="AA4" s="35">
        <f>'FS Desroches Daily'!AT6</f>
        <v>0</v>
      </c>
      <c r="AB4" s="35">
        <f>'FS Desroches Daily'!AV6</f>
        <v>0</v>
      </c>
      <c r="AC4" s="35">
        <f>'FS Desroches Daily'!AZ6</f>
        <v>0</v>
      </c>
      <c r="AD4" s="35">
        <f>'FS Desroches Daily'!BB6</f>
        <v>0</v>
      </c>
      <c r="AE4" s="35">
        <f>'FS Desroches Daily'!BD6</f>
        <v>0</v>
      </c>
      <c r="AF4" s="31">
        <f>'FS Desroches Daily'!BF6</f>
        <v>0</v>
      </c>
      <c r="AG4" s="32">
        <f>'FS Desroches Daily'!BH6</f>
        <v>0</v>
      </c>
      <c r="AH4" s="32">
        <f>'FS Desroches Daily'!BJ6</f>
        <v>0</v>
      </c>
      <c r="AI4" s="32">
        <f>'FS Desroches Daily'!BL6</f>
        <v>0</v>
      </c>
      <c r="AJ4" s="32">
        <f>'FS Desroches Daily'!BN6</f>
        <v>0</v>
      </c>
      <c r="AK4" s="32">
        <f>'FS Desroches Daily'!BP6</f>
        <v>0</v>
      </c>
      <c r="AL4" s="32">
        <f>'FS Desroches Daily'!BR6</f>
        <v>0</v>
      </c>
      <c r="AM4" s="32">
        <f>'FS Desroches Daily'!BT6</f>
        <v>0</v>
      </c>
      <c r="AN4" s="32">
        <f>'FS Desroches Daily'!BV6</f>
        <v>0</v>
      </c>
      <c r="AO4" s="32">
        <f>'FS Desroches Daily'!BX6</f>
        <v>0</v>
      </c>
      <c r="AP4" s="32">
        <f>'FS Desroches Daily'!BZ6</f>
        <v>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0</v>
      </c>
      <c r="AV4" s="31">
        <f>'FS Desroches Daily'!CL6</f>
        <v>0</v>
      </c>
      <c r="AW4" s="31">
        <f>'FS Desroches Daily'!CM6</f>
        <v>0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2020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2020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2020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367.67</v>
      </c>
      <c r="AD20" s="35">
        <f>'FS Desroches Daily'!BB22</f>
        <v>233.95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51904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 t="str">
        <f>'FS Desroches Daily'!BZ33</f>
        <v/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1199.9999999998679</v>
      </c>
      <c r="F33" s="17">
        <f t="shared" ref="F33:BC33" si="1">SUM(F2:F32)</f>
        <v>900.0000000001229</v>
      </c>
      <c r="G33" s="17">
        <f t="shared" si="1"/>
        <v>1999.9999999997797</v>
      </c>
      <c r="H33" s="17">
        <f t="shared" si="1"/>
        <v>1000.0000000001119</v>
      </c>
      <c r="I33" s="17">
        <f t="shared" si="1"/>
        <v>2099.9999999999909</v>
      </c>
      <c r="J33" s="17">
        <f t="shared" si="1"/>
        <v>599.99999999993395</v>
      </c>
      <c r="K33" s="17">
        <f t="shared" si="1"/>
        <v>1</v>
      </c>
      <c r="L33" s="17">
        <f t="shared" si="1"/>
        <v>4</v>
      </c>
      <c r="M33" s="17">
        <f t="shared" si="1"/>
        <v>391.79999999993015</v>
      </c>
      <c r="N33" s="17">
        <f t="shared" si="1"/>
        <v>216.5</v>
      </c>
      <c r="O33" s="17">
        <f t="shared" si="1"/>
        <v>230.00000000001819</v>
      </c>
      <c r="P33" s="17">
        <f t="shared" si="1"/>
        <v>599.99999999993395</v>
      </c>
      <c r="Q33" s="17">
        <f t="shared" si="1"/>
        <v>210.00000000003638</v>
      </c>
      <c r="R33" s="17">
        <f t="shared" si="1"/>
        <v>160.00000000002501</v>
      </c>
      <c r="S33" s="17">
        <f t="shared" si="1"/>
        <v>159.99999999996817</v>
      </c>
      <c r="T33" s="17">
        <f t="shared" si="1"/>
        <v>1.2999999999999545</v>
      </c>
      <c r="U33" s="35">
        <f t="shared" si="1"/>
        <v>259.99999999999091</v>
      </c>
      <c r="V33" s="35">
        <f t="shared" si="1"/>
        <v>199.99999999998863</v>
      </c>
      <c r="W33" s="35">
        <f t="shared" si="1"/>
        <v>200.00000000001705</v>
      </c>
      <c r="X33" s="35">
        <f t="shared" si="1"/>
        <v>180.00000000000682</v>
      </c>
      <c r="Y33" s="35">
        <f t="shared" si="1"/>
        <v>129.99999999999545</v>
      </c>
      <c r="Z33" s="35">
        <f t="shared" si="1"/>
        <v>129.99999999999545</v>
      </c>
      <c r="AA33" s="35">
        <f t="shared" si="1"/>
        <v>129.99999999999545</v>
      </c>
      <c r="AB33" s="35">
        <f t="shared" si="1"/>
        <v>139.99999999998636</v>
      </c>
      <c r="AC33" s="35">
        <f t="shared" si="1"/>
        <v>487.67000000000456</v>
      </c>
      <c r="AD33" s="35">
        <f t="shared" si="1"/>
        <v>383.94999999997725</v>
      </c>
      <c r="AE33" s="35">
        <f t="shared" si="1"/>
        <v>30.000000000001137</v>
      </c>
      <c r="AF33" s="17">
        <f t="shared" si="1"/>
        <v>19</v>
      </c>
      <c r="AG33" s="32">
        <f t="shared" si="1"/>
        <v>9.9999999999909051</v>
      </c>
      <c r="AH33" s="32">
        <f t="shared" si="1"/>
        <v>19.99999999998181</v>
      </c>
      <c r="AI33" s="32">
        <f t="shared" si="1"/>
        <v>9.9999999999909051</v>
      </c>
      <c r="AJ33" s="32">
        <f t="shared" si="1"/>
        <v>20.000000000010232</v>
      </c>
      <c r="AK33" s="32">
        <f t="shared" si="1"/>
        <v>19.99999999998181</v>
      </c>
      <c r="AL33" s="32">
        <f t="shared" si="1"/>
        <v>15</v>
      </c>
      <c r="AM33" s="32">
        <f t="shared" si="1"/>
        <v>9.9999999999909051</v>
      </c>
      <c r="AN33" s="32">
        <f t="shared" si="1"/>
        <v>0</v>
      </c>
      <c r="AO33" s="32">
        <f t="shared" si="1"/>
        <v>19.99999999998181</v>
      </c>
      <c r="AP33" s="32">
        <f t="shared" si="1"/>
        <v>51943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46.299999999995634</v>
      </c>
      <c r="AU33" s="17">
        <f t="shared" si="1"/>
        <v>234</v>
      </c>
      <c r="AV33" s="17">
        <f t="shared" si="1"/>
        <v>539.99999999996362</v>
      </c>
      <c r="AW33" s="17">
        <f t="shared" si="1"/>
        <v>0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0</v>
      </c>
      <c r="BC33" s="17">
        <f t="shared" si="1"/>
        <v>0</v>
      </c>
    </row>
    <row r="35" spans="5:55" x14ac:dyDescent="0.25">
      <c r="E35" s="38">
        <f>E33/E37</f>
        <v>-0.37950664136616008</v>
      </c>
      <c r="G35" s="29">
        <f>G33-M36</f>
        <v>1391.6999999998495</v>
      </c>
      <c r="AE35" s="35">
        <f>SUM(U33:AE33)</f>
        <v>2271.619999999959</v>
      </c>
      <c r="AG35" s="32">
        <f>SUM(AG33:AP33)</f>
        <v>52067.999999999927</v>
      </c>
    </row>
    <row r="36" spans="5:55" x14ac:dyDescent="0.25">
      <c r="G36" s="29">
        <f>G35-633*14</f>
        <v>-7470.3000000001502</v>
      </c>
      <c r="M36" s="29">
        <f>M33+N33</f>
        <v>608.29999999993015</v>
      </c>
    </row>
    <row r="37" spans="5:55" x14ac:dyDescent="0.25">
      <c r="E37" s="17">
        <f>E33+F33+G33+H33+J33-633*14</f>
        <v>-3162.0000000001837</v>
      </c>
      <c r="G37" s="37">
        <f>M36/E37</f>
        <v>-0.19237824161919506</v>
      </c>
      <c r="M37" s="35">
        <f>AE35</f>
        <v>2271.619999999959</v>
      </c>
    </row>
    <row r="38" spans="5:55" x14ac:dyDescent="0.25">
      <c r="L38" s="27">
        <f>M38/E37</f>
        <v>-16.466793168879477</v>
      </c>
      <c r="M38" s="29">
        <f>AG35</f>
        <v>52067.999999999927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R1" zoomScale="85" zoomScaleNormal="85" workbookViewId="0">
      <pane ySplit="1" topLeftCell="A2" activePane="bottomLeft" state="frozen"/>
      <selection pane="bottomLeft" activeCell="BE8" sqref="BE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44165</v>
      </c>
      <c r="B3" s="68"/>
      <c r="C3" s="58">
        <v>1.919</v>
      </c>
      <c r="D3" s="64">
        <v>1700</v>
      </c>
      <c r="E3" s="58">
        <v>2.8184999999999998</v>
      </c>
      <c r="F3" s="64">
        <v>1000</v>
      </c>
      <c r="G3" s="58">
        <v>2.8370000000000002</v>
      </c>
      <c r="H3" s="64">
        <v>1900</v>
      </c>
      <c r="I3" s="58">
        <v>1.38</v>
      </c>
      <c r="J3" s="64">
        <v>1000</v>
      </c>
      <c r="K3" s="58">
        <v>2.2119</v>
      </c>
      <c r="L3" s="64">
        <v>2000</v>
      </c>
      <c r="M3" s="58">
        <v>1.2887</v>
      </c>
      <c r="N3" s="64">
        <v>600</v>
      </c>
      <c r="O3" s="58">
        <v>12709</v>
      </c>
      <c r="P3" s="67">
        <v>1</v>
      </c>
      <c r="Q3" s="58">
        <v>6031</v>
      </c>
      <c r="R3" s="67">
        <v>2</v>
      </c>
      <c r="S3" s="58">
        <v>869425.4</v>
      </c>
      <c r="T3" s="67">
        <v>288</v>
      </c>
      <c r="U3" s="58">
        <v>356854.3</v>
      </c>
      <c r="V3" s="67">
        <v>157</v>
      </c>
      <c r="W3" s="58">
        <v>348.53</v>
      </c>
      <c r="X3" s="65">
        <v>160</v>
      </c>
      <c r="Y3" s="58">
        <v>2.4643999999999999</v>
      </c>
      <c r="Z3" s="65">
        <v>700</v>
      </c>
      <c r="AA3" s="58">
        <v>341.03</v>
      </c>
      <c r="AB3" s="65">
        <v>140</v>
      </c>
      <c r="AC3" s="58">
        <v>330.4</v>
      </c>
      <c r="AD3" s="65">
        <v>160</v>
      </c>
      <c r="AE3" s="58">
        <v>514.72</v>
      </c>
      <c r="AF3" s="65">
        <v>210</v>
      </c>
      <c r="AG3" s="58">
        <v>1455</v>
      </c>
      <c r="AH3" s="67">
        <v>1</v>
      </c>
      <c r="AI3" s="58">
        <v>491.72</v>
      </c>
      <c r="AJ3" s="65">
        <v>250</v>
      </c>
      <c r="AK3" s="58">
        <v>172.71</v>
      </c>
      <c r="AL3" s="65">
        <v>190</v>
      </c>
      <c r="AM3" s="58">
        <v>171.2</v>
      </c>
      <c r="AN3" s="65">
        <v>180</v>
      </c>
      <c r="AO3" s="58">
        <v>164.68</v>
      </c>
      <c r="AP3" s="65">
        <v>170</v>
      </c>
      <c r="AQ3" s="58">
        <v>224.38</v>
      </c>
      <c r="AR3" s="65">
        <v>130</v>
      </c>
      <c r="AS3" s="58">
        <v>349.72</v>
      </c>
      <c r="AT3" s="65">
        <v>120</v>
      </c>
      <c r="AU3" s="58">
        <v>269.92</v>
      </c>
      <c r="AV3" s="65">
        <v>130</v>
      </c>
      <c r="AW3" s="58">
        <v>297.35000000000002</v>
      </c>
      <c r="AX3" s="65">
        <v>130</v>
      </c>
      <c r="AY3" s="58">
        <v>348.65</v>
      </c>
      <c r="AZ3" s="65">
        <v>110</v>
      </c>
      <c r="BA3" s="58">
        <v>368.67</v>
      </c>
      <c r="BB3" s="65">
        <v>120</v>
      </c>
      <c r="BC3" s="58">
        <v>234.15</v>
      </c>
      <c r="BD3" s="65">
        <v>30</v>
      </c>
      <c r="BE3" s="59">
        <v>33310</v>
      </c>
      <c r="BF3" s="67">
        <v>20</v>
      </c>
      <c r="BG3" s="60">
        <v>226.87</v>
      </c>
      <c r="BH3" s="65">
        <v>20</v>
      </c>
      <c r="BI3" s="60">
        <v>285.06</v>
      </c>
      <c r="BJ3" s="65">
        <v>30</v>
      </c>
      <c r="BK3" s="60">
        <v>231.86</v>
      </c>
      <c r="BL3" s="65">
        <v>10</v>
      </c>
      <c r="BM3" s="60">
        <v>216.78</v>
      </c>
      <c r="BN3" s="65">
        <v>20</v>
      </c>
      <c r="BO3" s="60">
        <v>281.91000000000003</v>
      </c>
      <c r="BP3" s="65">
        <v>20</v>
      </c>
      <c r="BQ3" s="60">
        <v>40715</v>
      </c>
      <c r="BR3" s="65">
        <v>13</v>
      </c>
      <c r="BS3" s="60">
        <v>195.19</v>
      </c>
      <c r="BT3" s="65">
        <v>10</v>
      </c>
      <c r="BU3" s="60">
        <v>33730</v>
      </c>
      <c r="BV3" s="65">
        <v>26</v>
      </c>
      <c r="BW3" s="60">
        <v>226.68</v>
      </c>
      <c r="BX3" s="65">
        <v>20</v>
      </c>
      <c r="BY3" s="60">
        <v>51930</v>
      </c>
      <c r="BZ3" s="67">
        <v>26</v>
      </c>
      <c r="CA3" s="60">
        <v>27515.599999999999</v>
      </c>
      <c r="CB3" s="67">
        <v>0</v>
      </c>
      <c r="CC3" s="60">
        <v>11255.6</v>
      </c>
      <c r="CD3" s="67">
        <v>0</v>
      </c>
      <c r="CE3" s="60">
        <v>50954.2</v>
      </c>
      <c r="CF3" s="67">
        <v>0</v>
      </c>
      <c r="CG3" s="60">
        <v>51649.8</v>
      </c>
      <c r="CH3" s="67">
        <v>47</v>
      </c>
      <c r="CI3" s="60">
        <v>892903</v>
      </c>
      <c r="CJ3" s="67">
        <v>226</v>
      </c>
      <c r="CK3" s="60">
        <v>640.12</v>
      </c>
      <c r="CL3" s="64">
        <v>470</v>
      </c>
      <c r="CM3" s="65"/>
      <c r="CN3" s="62">
        <v>0</v>
      </c>
      <c r="CO3" s="62">
        <v>0</v>
      </c>
      <c r="CP3" s="68">
        <v>1867</v>
      </c>
      <c r="CQ3" s="68">
        <v>23</v>
      </c>
      <c r="CR3" s="68">
        <v>11084</v>
      </c>
      <c r="CS3" s="68">
        <v>13</v>
      </c>
      <c r="CT3" s="68">
        <v>3806</v>
      </c>
      <c r="CU3" s="68">
        <v>11</v>
      </c>
      <c r="CV3" s="75">
        <v>10404</v>
      </c>
      <c r="CW3" s="75">
        <v>19</v>
      </c>
      <c r="CX3" s="76"/>
    </row>
    <row r="4" spans="1:102" ht="25.5" customHeight="1" thickBot="1" x14ac:dyDescent="0.45">
      <c r="A4" s="63">
        <v>44166</v>
      </c>
      <c r="B4" s="68"/>
      <c r="C4" s="58">
        <v>1.9201999999999999</v>
      </c>
      <c r="D4" s="64">
        <f t="shared" ref="D4:D34" si="0">IF((C4-C3&lt;0), "0",(C4-C3)*1000000)</f>
        <v>1199.9999999998679</v>
      </c>
      <c r="E4" s="58">
        <v>2.8193999999999999</v>
      </c>
      <c r="F4" s="64">
        <f t="shared" ref="F4:F34" si="1">IF((E4-E3&lt;0), "0",(E4-E3)*1000000)</f>
        <v>900.0000000001229</v>
      </c>
      <c r="G4" s="58">
        <v>2.839</v>
      </c>
      <c r="H4" s="64">
        <f t="shared" ref="H4:H34" si="2">IF((G4-G3&lt;0), "0",(G4-G3)*1000000)</f>
        <v>1999.9999999997797</v>
      </c>
      <c r="I4" s="58">
        <v>1.381</v>
      </c>
      <c r="J4" s="64">
        <f t="shared" ref="J4:J34" si="3">IF((I4-I3&lt;0), "0",(I4-I3)*1000000)</f>
        <v>1000.0000000001119</v>
      </c>
      <c r="K4" s="58">
        <v>2.214</v>
      </c>
      <c r="L4" s="64">
        <f t="shared" ref="L4:L34" si="4">IF((K4-K3&lt;0), "0",(K4-K3)*1000000)</f>
        <v>2099.9999999999909</v>
      </c>
      <c r="M4" s="58">
        <v>1.2892999999999999</v>
      </c>
      <c r="N4" s="64">
        <f t="shared" ref="N4:N34" si="5">IF((M4-M3&lt;0), "",(M4-M3)*1000000)</f>
        <v>599.99999999993395</v>
      </c>
      <c r="O4" s="58">
        <v>12710</v>
      </c>
      <c r="P4" s="67">
        <f>IF((O4-O3&lt;0), "",O4-O3)</f>
        <v>1</v>
      </c>
      <c r="Q4" s="58">
        <v>6035</v>
      </c>
      <c r="R4" s="67">
        <f t="shared" ref="R4:R34" si="6">IF((Q4-Q3&lt;0), "",Q4-Q3)</f>
        <v>4</v>
      </c>
      <c r="S4" s="58">
        <v>869817.2</v>
      </c>
      <c r="T4" s="67">
        <f t="shared" ref="T4:T34" si="7">IF((S4-S3&lt;0), "",S4-S3)</f>
        <v>391.79999999993015</v>
      </c>
      <c r="U4" s="58">
        <v>357070.8</v>
      </c>
      <c r="V4" s="67">
        <f t="shared" ref="V4:V34" si="8">IF((U4-U3&lt;0), "",U4-U3)</f>
        <v>216.5</v>
      </c>
      <c r="W4" s="58">
        <v>348.76</v>
      </c>
      <c r="X4" s="65">
        <f t="shared" ref="X4:X34" si="9">IF((W4-W3&lt;0), "",(W4-W3)*1000)</f>
        <v>230.00000000001819</v>
      </c>
      <c r="Y4" s="58">
        <v>2.4649999999999999</v>
      </c>
      <c r="Z4" s="65">
        <f t="shared" ref="Z4:Z34" si="10">IF((Y4-Y3&lt;0), "",(Y4-Y3)*1000000)</f>
        <v>599.99999999993395</v>
      </c>
      <c r="AA4" s="58">
        <v>341.24</v>
      </c>
      <c r="AB4" s="65">
        <f t="shared" ref="AB4:AB34" si="11">IF((AA4-AA3&lt;0), "",(AA4-AA3)*1000)</f>
        <v>210.00000000003638</v>
      </c>
      <c r="AC4" s="58">
        <v>330.56</v>
      </c>
      <c r="AD4" s="65">
        <f t="shared" ref="AD4:AD34" si="12">IF((AC4-AC3&lt;0), "",(AC4-AC3)*1000)</f>
        <v>160.00000000002501</v>
      </c>
      <c r="AE4" s="58">
        <v>514.88</v>
      </c>
      <c r="AF4" s="65">
        <f t="shared" ref="AF4:AF34" si="13">IF((AE4-AE3&lt;0), "",(AE4-AE3)*1000)</f>
        <v>159.99999999996817</v>
      </c>
      <c r="AG4" s="58">
        <v>1456.3</v>
      </c>
      <c r="AH4" s="67">
        <f t="shared" ref="AH4:AH34" si="14">IF((AG4-AG3&lt;0), "",AG4-AG3)</f>
        <v>1.2999999999999545</v>
      </c>
      <c r="AI4" s="58">
        <v>491.98</v>
      </c>
      <c r="AJ4" s="65">
        <f t="shared" ref="AJ4:AP34" si="15">IF((AI4-AI3&lt;0), "",(AI4-AI3)*1000)</f>
        <v>259.99999999999091</v>
      </c>
      <c r="AK4" s="58">
        <v>172.91</v>
      </c>
      <c r="AL4" s="65">
        <f t="shared" si="15"/>
        <v>199.99999999998863</v>
      </c>
      <c r="AM4" s="58">
        <v>171.4</v>
      </c>
      <c r="AN4" s="65">
        <f t="shared" si="15"/>
        <v>200.00000000001705</v>
      </c>
      <c r="AO4" s="58">
        <v>164.86</v>
      </c>
      <c r="AP4" s="65">
        <f t="shared" si="15"/>
        <v>180.00000000000682</v>
      </c>
      <c r="AQ4" s="58">
        <v>224.51</v>
      </c>
      <c r="AR4" s="65">
        <f t="shared" ref="AR4:AR34" si="16">IF((AQ4-AQ3&lt;0), "",(AQ4-AQ3)*1000)</f>
        <v>129.99999999999545</v>
      </c>
      <c r="AS4" s="58">
        <v>349.85</v>
      </c>
      <c r="AT4" s="65">
        <f t="shared" ref="AT4:AT34" si="17">IF((AS4-AS3&lt;0), "",(AS4-AS3)*1000)</f>
        <v>129.99999999999545</v>
      </c>
      <c r="AU4" s="58">
        <v>270.06</v>
      </c>
      <c r="AV4" s="65">
        <f t="shared" ref="AV4:AV34" si="18">IF((AU4-AU3&lt;0), "",(AU4-AU3)*1000)</f>
        <v>139.99999999998636</v>
      </c>
      <c r="AW4" s="58">
        <v>297.5</v>
      </c>
      <c r="AX4" s="65">
        <f t="shared" ref="AX4:AX34" si="19">IF((AW4-AW3&lt;0), "",(AW4-AW3)*1000)</f>
        <v>149.99999999997726</v>
      </c>
      <c r="AY4" s="58">
        <v>348.77</v>
      </c>
      <c r="AZ4" s="65">
        <f t="shared" ref="AZ4:AZ34" si="20">IF((AY4-AY3&lt;0), "",(AY4-AY3)*1000)</f>
        <v>120.00000000000455</v>
      </c>
      <c r="BA4" s="58">
        <v>368.82</v>
      </c>
      <c r="BB4" s="65">
        <f t="shared" ref="BB4:BB34" si="21">IF((BA4-BA3&lt;0), "",(BA4-BA3)*1000)</f>
        <v>149.99999999997726</v>
      </c>
      <c r="BC4" s="58">
        <v>234.18</v>
      </c>
      <c r="BD4" s="65">
        <f t="shared" ref="BD4:BD34" si="22">IF((BC4-BC3&lt;0), "",(BC4-BC3)*1000)</f>
        <v>30.000000000001137</v>
      </c>
      <c r="BE4" s="59">
        <v>33329</v>
      </c>
      <c r="BF4" s="67">
        <f>IF((BE4-BE3&lt;0), "",BE4-BE3)</f>
        <v>19</v>
      </c>
      <c r="BG4" s="60">
        <v>226.88</v>
      </c>
      <c r="BH4" s="65">
        <f t="shared" ref="BH4:BH34" si="23">IF((BG4-BG3&lt;0), "",(BG4-BG3)*1000)</f>
        <v>9.9999999999909051</v>
      </c>
      <c r="BI4" s="60">
        <v>285.08</v>
      </c>
      <c r="BJ4" s="65">
        <f>IF((BI4-BI3&lt;0), "",(BI4-BI3)*1000)</f>
        <v>19.99999999998181</v>
      </c>
      <c r="BK4" s="60">
        <v>231.87</v>
      </c>
      <c r="BL4" s="65">
        <f t="shared" ref="BL4:BL34" si="24">IF((BK4-BK3&lt;0), "",(BK4-BK3)*1000)</f>
        <v>9.9999999999909051</v>
      </c>
      <c r="BM4" s="60">
        <v>216.8</v>
      </c>
      <c r="BN4" s="65">
        <f t="shared" ref="BN4:BN33" si="25">IF((BM4-BM3&lt;0), "",(BM4-BM3)*1000)</f>
        <v>20.000000000010232</v>
      </c>
      <c r="BO4" s="60">
        <v>281.93</v>
      </c>
      <c r="BP4" s="65">
        <f t="shared" ref="BP4:BP34" si="26">IF((BO4-BO3&lt;0), "",(BO4-BO3)*1000)</f>
        <v>19.99999999998181</v>
      </c>
      <c r="BQ4" s="60">
        <v>40730</v>
      </c>
      <c r="BR4" s="65">
        <f t="shared" ref="BR4:BR34" si="27">IF((BQ4-BQ3&lt;0), "",BQ4-BQ3)</f>
        <v>15</v>
      </c>
      <c r="BS4" s="60">
        <v>195.2</v>
      </c>
      <c r="BT4" s="65">
        <f t="shared" ref="BT4" si="28">IF((BS4-BS3&lt;0), "",(BS4-BS3)*1000)</f>
        <v>9.9999999999909051</v>
      </c>
      <c r="BU4" s="60">
        <v>337.58</v>
      </c>
      <c r="BV4" s="65" t="str">
        <f t="shared" ref="BV4:BV35" si="29">IF((BU4-BU3&lt;0), "",BU4-BU3)</f>
        <v/>
      </c>
      <c r="BW4" s="60">
        <v>226.7</v>
      </c>
      <c r="BX4" s="65">
        <f t="shared" ref="BX4:BX34" si="30">IF((BW4-BW3&lt;0), "",(BW4-BW3)*1000)</f>
        <v>19.99999999998181</v>
      </c>
      <c r="BY4" s="60">
        <v>51969</v>
      </c>
      <c r="BZ4" s="67">
        <f t="shared" ref="BZ4:BZ34" si="31">IF((BY4-BY3&lt;0), "",BY4-BY3)</f>
        <v>39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0" si="34">IF((CE4-CE3&lt;0), "",CE4-CE3)</f>
        <v>0</v>
      </c>
      <c r="CG4" s="60">
        <v>51696.1</v>
      </c>
      <c r="CH4" s="67">
        <f t="shared" ref="CH4:CH34" si="35">IF((CG4-CG3&lt;0), "",CG4-CG3)</f>
        <v>46.299999999995634</v>
      </c>
      <c r="CI4" s="60">
        <v>893137</v>
      </c>
      <c r="CJ4" s="67">
        <f t="shared" ref="CJ4:CJ34" si="36">IF((CI4-CI3&lt;0), "",CI4-CI3)</f>
        <v>234</v>
      </c>
      <c r="CK4" s="60">
        <v>640.66</v>
      </c>
      <c r="CL4" s="64">
        <f t="shared" ref="CL4:CL34" si="37">IF((CK4-CK3&lt;0), "",(CK4-CK3)*1000)</f>
        <v>539.99999999996362</v>
      </c>
      <c r="CM4" s="65"/>
      <c r="CN4" s="62">
        <v>0</v>
      </c>
      <c r="CO4" s="62">
        <v>0</v>
      </c>
      <c r="CP4" s="68">
        <v>1918.8</v>
      </c>
      <c r="CQ4" s="67">
        <f t="shared" ref="CQ4:CW34" si="38">IF((CP4-CP3&lt;0), "",CP4-CP3)</f>
        <v>51.799999999999955</v>
      </c>
      <c r="CR4" s="68">
        <v>11094</v>
      </c>
      <c r="CS4" s="67">
        <f t="shared" si="38"/>
        <v>10</v>
      </c>
      <c r="CT4" s="75">
        <v>3819</v>
      </c>
      <c r="CU4" s="67">
        <f t="shared" si="38"/>
        <v>13</v>
      </c>
      <c r="CV4" s="68">
        <v>10432</v>
      </c>
      <c r="CW4" s="67">
        <f t="shared" si="38"/>
        <v>28</v>
      </c>
    </row>
    <row r="5" spans="1:102" ht="25.5" customHeight="1" thickBot="1" x14ac:dyDescent="0.45">
      <c r="A5" s="63">
        <v>44167</v>
      </c>
      <c r="B5" s="44"/>
      <c r="C5" s="58"/>
      <c r="D5" s="64" t="str">
        <f t="shared" si="0"/>
        <v>0</v>
      </c>
      <c r="E5" s="58"/>
      <c r="F5" s="64" t="str">
        <f t="shared" si="1"/>
        <v>0</v>
      </c>
      <c r="G5" s="58"/>
      <c r="H5" s="64" t="str">
        <f t="shared" si="2"/>
        <v>0</v>
      </c>
      <c r="I5" s="58"/>
      <c r="J5" s="64" t="str">
        <f t="shared" si="3"/>
        <v>0</v>
      </c>
      <c r="K5" s="58"/>
      <c r="L5" s="64" t="str">
        <f t="shared" si="4"/>
        <v>0</v>
      </c>
      <c r="M5" s="58"/>
      <c r="N5" s="64" t="str">
        <f t="shared" si="5"/>
        <v/>
      </c>
      <c r="O5" s="58"/>
      <c r="P5" s="67" t="str">
        <f>IF((O5-O4&lt;0), "",O5-O4)</f>
        <v/>
      </c>
      <c r="Q5" s="58"/>
      <c r="R5" s="67" t="str">
        <f t="shared" si="6"/>
        <v/>
      </c>
      <c r="S5" s="58"/>
      <c r="T5" s="67" t="str">
        <f t="shared" si="7"/>
        <v/>
      </c>
      <c r="U5" s="58"/>
      <c r="V5" s="67" t="str">
        <f t="shared" si="8"/>
        <v/>
      </c>
      <c r="W5" s="58"/>
      <c r="X5" s="65" t="str">
        <f t="shared" si="9"/>
        <v/>
      </c>
      <c r="Y5" s="58"/>
      <c r="Z5" s="65" t="str">
        <f t="shared" si="10"/>
        <v/>
      </c>
      <c r="AA5" s="58"/>
      <c r="AB5" s="65" t="str">
        <f t="shared" si="11"/>
        <v/>
      </c>
      <c r="AC5" s="58"/>
      <c r="AD5" s="65" t="str">
        <f t="shared" si="12"/>
        <v/>
      </c>
      <c r="AE5" s="58"/>
      <c r="AF5" s="65" t="str">
        <f t="shared" si="13"/>
        <v/>
      </c>
      <c r="AG5" s="58"/>
      <c r="AH5" s="67" t="str">
        <f t="shared" si="14"/>
        <v/>
      </c>
      <c r="AI5" s="58"/>
      <c r="AJ5" s="65" t="str">
        <f t="shared" si="15"/>
        <v/>
      </c>
      <c r="AK5" s="58"/>
      <c r="AL5" s="65" t="str">
        <f t="shared" si="15"/>
        <v/>
      </c>
      <c r="AM5" s="58"/>
      <c r="AN5" s="65" t="str">
        <f t="shared" si="15"/>
        <v/>
      </c>
      <c r="AO5" s="58"/>
      <c r="AP5" s="65" t="str">
        <f t="shared" si="15"/>
        <v/>
      </c>
      <c r="AQ5" s="58"/>
      <c r="AR5" s="65" t="str">
        <f t="shared" si="16"/>
        <v/>
      </c>
      <c r="AS5" s="58"/>
      <c r="AT5" s="65" t="str">
        <f t="shared" si="17"/>
        <v/>
      </c>
      <c r="AU5" s="58"/>
      <c r="AV5" s="65" t="str">
        <f t="shared" si="18"/>
        <v/>
      </c>
      <c r="AW5" s="58"/>
      <c r="AX5" s="65" t="str">
        <f t="shared" si="19"/>
        <v/>
      </c>
      <c r="AY5" s="58"/>
      <c r="AZ5" s="65" t="str">
        <f t="shared" si="20"/>
        <v/>
      </c>
      <c r="BA5" s="58"/>
      <c r="BB5" s="65" t="str">
        <f t="shared" si="21"/>
        <v/>
      </c>
      <c r="BC5" s="58"/>
      <c r="BD5" s="65" t="str">
        <f t="shared" si="22"/>
        <v/>
      </c>
      <c r="BE5" s="59"/>
      <c r="BF5" s="67" t="str">
        <f t="shared" ref="BF5:BF34" si="39">IF((BE5-BE4&lt;0), "",BE5-BE4)</f>
        <v/>
      </c>
      <c r="BG5" s="60"/>
      <c r="BH5" s="65" t="str">
        <f t="shared" si="23"/>
        <v/>
      </c>
      <c r="BI5" s="60"/>
      <c r="BJ5" s="65" t="str">
        <f t="shared" ref="BJ5:BJ34" si="40">IF((BI5-BI4&lt;0), "",(BI5-BI4)*1000)</f>
        <v/>
      </c>
      <c r="BK5" s="60"/>
      <c r="BL5" s="65" t="str">
        <f t="shared" si="24"/>
        <v/>
      </c>
      <c r="BM5" s="60"/>
      <c r="BN5" s="65" t="str">
        <f t="shared" si="25"/>
        <v/>
      </c>
      <c r="BO5" s="60"/>
      <c r="BP5" s="65" t="str">
        <f t="shared" si="26"/>
        <v/>
      </c>
      <c r="BQ5" s="60"/>
      <c r="BR5" s="65" t="str">
        <f t="shared" si="27"/>
        <v/>
      </c>
      <c r="BS5" s="60"/>
      <c r="BT5" s="65" t="str">
        <f>IF((BS5-BS4&lt;0), "",(BS5-BS4)*1000)</f>
        <v/>
      </c>
      <c r="BU5" s="60"/>
      <c r="BV5" s="65" t="str">
        <f t="shared" si="29"/>
        <v/>
      </c>
      <c r="BW5" s="60"/>
      <c r="BX5" s="65" t="str">
        <f t="shared" si="30"/>
        <v/>
      </c>
      <c r="BY5" s="60"/>
      <c r="BZ5" s="67" t="str">
        <f t="shared" si="31"/>
        <v/>
      </c>
      <c r="CA5" s="60"/>
      <c r="CB5" s="67" t="str">
        <f t="shared" si="32"/>
        <v/>
      </c>
      <c r="CC5" s="60"/>
      <c r="CD5" s="67" t="str">
        <f t="shared" si="33"/>
        <v/>
      </c>
      <c r="CE5" s="60"/>
      <c r="CF5" s="67" t="str">
        <f t="shared" si="34"/>
        <v/>
      </c>
      <c r="CG5" s="60"/>
      <c r="CH5" s="67" t="str">
        <f t="shared" si="35"/>
        <v/>
      </c>
      <c r="CI5" s="60"/>
      <c r="CJ5" s="67" t="str">
        <f t="shared" si="36"/>
        <v/>
      </c>
      <c r="CK5" s="60"/>
      <c r="CL5" s="64" t="str">
        <f t="shared" si="37"/>
        <v/>
      </c>
      <c r="CM5" s="65"/>
      <c r="CN5" s="62">
        <v>0</v>
      </c>
      <c r="CO5" s="62">
        <v>0</v>
      </c>
      <c r="CP5" s="68"/>
      <c r="CQ5" s="67" t="str">
        <f t="shared" si="38"/>
        <v/>
      </c>
      <c r="CR5" s="68"/>
      <c r="CS5" s="67" t="str">
        <f t="shared" si="38"/>
        <v/>
      </c>
      <c r="CT5" s="75"/>
      <c r="CU5" s="67" t="str">
        <f t="shared" si="38"/>
        <v/>
      </c>
      <c r="CV5" s="68"/>
      <c r="CW5" s="67" t="str">
        <f t="shared" si="38"/>
        <v/>
      </c>
    </row>
    <row r="6" spans="1:102" ht="24.75" customHeight="1" thickBot="1" x14ac:dyDescent="0.45">
      <c r="A6" s="63">
        <v>44168</v>
      </c>
      <c r="B6" s="44"/>
      <c r="C6" s="58"/>
      <c r="D6" s="64">
        <f t="shared" si="0"/>
        <v>0</v>
      </c>
      <c r="E6" s="58"/>
      <c r="F6" s="64">
        <f t="shared" si="1"/>
        <v>0</v>
      </c>
      <c r="G6" s="58"/>
      <c r="H6" s="64">
        <f t="shared" si="2"/>
        <v>0</v>
      </c>
      <c r="I6" s="58"/>
      <c r="J6" s="64">
        <f t="shared" si="3"/>
        <v>0</v>
      </c>
      <c r="K6" s="58"/>
      <c r="L6" s="64">
        <f t="shared" si="4"/>
        <v>0</v>
      </c>
      <c r="M6" s="58"/>
      <c r="N6" s="64">
        <f t="shared" si="5"/>
        <v>0</v>
      </c>
      <c r="O6" s="58"/>
      <c r="P6" s="67">
        <f>IF((O6-O5&lt;0), "",O6-O5)</f>
        <v>0</v>
      </c>
      <c r="Q6" s="58"/>
      <c r="R6" s="67">
        <f t="shared" si="6"/>
        <v>0</v>
      </c>
      <c r="S6" s="58"/>
      <c r="T6" s="67">
        <f t="shared" si="7"/>
        <v>0</v>
      </c>
      <c r="U6" s="58"/>
      <c r="V6" s="67">
        <f t="shared" si="8"/>
        <v>0</v>
      </c>
      <c r="W6" s="58"/>
      <c r="X6" s="65">
        <f t="shared" si="9"/>
        <v>0</v>
      </c>
      <c r="Y6" s="58"/>
      <c r="Z6" s="65">
        <f t="shared" si="10"/>
        <v>0</v>
      </c>
      <c r="AA6" s="58"/>
      <c r="AB6" s="65">
        <f t="shared" si="11"/>
        <v>0</v>
      </c>
      <c r="AC6" s="58"/>
      <c r="AD6" s="65">
        <f t="shared" si="12"/>
        <v>0</v>
      </c>
      <c r="AE6" s="58"/>
      <c r="AF6" s="65">
        <f t="shared" si="13"/>
        <v>0</v>
      </c>
      <c r="AG6" s="58"/>
      <c r="AH6" s="67">
        <f t="shared" si="14"/>
        <v>0</v>
      </c>
      <c r="AI6" s="58"/>
      <c r="AJ6" s="65">
        <f t="shared" si="15"/>
        <v>0</v>
      </c>
      <c r="AK6" s="58"/>
      <c r="AL6" s="65">
        <f t="shared" si="15"/>
        <v>0</v>
      </c>
      <c r="AM6" s="58"/>
      <c r="AN6" s="65">
        <f t="shared" si="15"/>
        <v>0</v>
      </c>
      <c r="AO6" s="58"/>
      <c r="AP6" s="65">
        <f t="shared" si="15"/>
        <v>0</v>
      </c>
      <c r="AQ6" s="58"/>
      <c r="AR6" s="65">
        <f t="shared" si="16"/>
        <v>0</v>
      </c>
      <c r="AS6" s="58"/>
      <c r="AT6" s="65">
        <f t="shared" si="17"/>
        <v>0</v>
      </c>
      <c r="AU6" s="58"/>
      <c r="AV6" s="65">
        <f t="shared" si="18"/>
        <v>0</v>
      </c>
      <c r="AW6" s="58"/>
      <c r="AX6" s="65">
        <f t="shared" si="19"/>
        <v>0</v>
      </c>
      <c r="AY6" s="58"/>
      <c r="AZ6" s="65">
        <f t="shared" si="20"/>
        <v>0</v>
      </c>
      <c r="BA6" s="58"/>
      <c r="BB6" s="65">
        <f t="shared" si="21"/>
        <v>0</v>
      </c>
      <c r="BC6" s="58"/>
      <c r="BD6" s="65">
        <f t="shared" si="22"/>
        <v>0</v>
      </c>
      <c r="BE6" s="59"/>
      <c r="BF6" s="67">
        <f t="shared" si="39"/>
        <v>0</v>
      </c>
      <c r="BG6" s="60"/>
      <c r="BH6" s="65">
        <f t="shared" si="23"/>
        <v>0</v>
      </c>
      <c r="BI6" s="60"/>
      <c r="BJ6" s="65">
        <f t="shared" si="40"/>
        <v>0</v>
      </c>
      <c r="BK6" s="60"/>
      <c r="BL6" s="65">
        <f t="shared" si="24"/>
        <v>0</v>
      </c>
      <c r="BM6" s="60"/>
      <c r="BN6" s="65">
        <f t="shared" si="25"/>
        <v>0</v>
      </c>
      <c r="BO6" s="60"/>
      <c r="BP6" s="65">
        <f t="shared" si="26"/>
        <v>0</v>
      </c>
      <c r="BQ6" s="60"/>
      <c r="BR6" s="65">
        <f t="shared" si="27"/>
        <v>0</v>
      </c>
      <c r="BS6" s="60"/>
      <c r="BT6" s="65">
        <f t="shared" ref="BT6:BT35" si="41">IF((BS6-BS5&lt;0), "",(BS6-BS5)*1000)</f>
        <v>0</v>
      </c>
      <c r="BU6" s="60"/>
      <c r="BV6" s="65">
        <f t="shared" si="29"/>
        <v>0</v>
      </c>
      <c r="BW6" s="60"/>
      <c r="BX6" s="65">
        <f t="shared" si="30"/>
        <v>0</v>
      </c>
      <c r="BY6" s="60"/>
      <c r="BZ6" s="67">
        <f t="shared" si="31"/>
        <v>0</v>
      </c>
      <c r="CA6" s="60"/>
      <c r="CB6" s="67">
        <f t="shared" si="32"/>
        <v>0</v>
      </c>
      <c r="CC6" s="60"/>
      <c r="CD6" s="67">
        <f t="shared" si="33"/>
        <v>0</v>
      </c>
      <c r="CE6" s="60"/>
      <c r="CF6" s="67">
        <f t="shared" si="34"/>
        <v>0</v>
      </c>
      <c r="CG6" s="60"/>
      <c r="CH6" s="67">
        <f t="shared" si="35"/>
        <v>0</v>
      </c>
      <c r="CI6" s="60"/>
      <c r="CJ6" s="67">
        <f t="shared" si="36"/>
        <v>0</v>
      </c>
      <c r="CK6" s="60"/>
      <c r="CL6" s="64">
        <f t="shared" si="37"/>
        <v>0</v>
      </c>
      <c r="CM6" s="65"/>
      <c r="CN6" s="62">
        <v>0</v>
      </c>
      <c r="CO6" s="62">
        <v>0</v>
      </c>
      <c r="CP6" s="68"/>
      <c r="CQ6" s="67">
        <f t="shared" si="38"/>
        <v>0</v>
      </c>
      <c r="CR6" s="68"/>
      <c r="CS6" s="67">
        <f t="shared" si="38"/>
        <v>0</v>
      </c>
      <c r="CT6" s="75"/>
      <c r="CU6" s="67">
        <f t="shared" si="38"/>
        <v>0</v>
      </c>
      <c r="CV6" s="68"/>
      <c r="CW6" s="67">
        <f t="shared" si="38"/>
        <v>0</v>
      </c>
    </row>
    <row r="7" spans="1:102" ht="25.5" customHeight="1" thickBot="1" x14ac:dyDescent="0.45">
      <c r="A7" s="63">
        <v>44169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4"/>
        <v>0</v>
      </c>
      <c r="M7" s="58"/>
      <c r="N7" s="64">
        <f t="shared" si="5"/>
        <v>0</v>
      </c>
      <c r="O7" s="58"/>
      <c r="P7" s="67">
        <f t="shared" ref="P7:P10" si="42">IF((O7-O6&lt;0), "",O7-O6)</f>
        <v>0</v>
      </c>
      <c r="Q7" s="58"/>
      <c r="R7" s="67">
        <f t="shared" si="6"/>
        <v>0</v>
      </c>
      <c r="S7" s="58"/>
      <c r="T7" s="67">
        <f t="shared" si="7"/>
        <v>0</v>
      </c>
      <c r="U7" s="58"/>
      <c r="V7" s="67">
        <f t="shared" si="8"/>
        <v>0</v>
      </c>
      <c r="W7" s="58"/>
      <c r="X7" s="65">
        <f t="shared" si="9"/>
        <v>0</v>
      </c>
      <c r="Y7" s="58"/>
      <c r="Z7" s="65">
        <f t="shared" si="10"/>
        <v>0</v>
      </c>
      <c r="AA7" s="58"/>
      <c r="AB7" s="65">
        <f t="shared" si="11"/>
        <v>0</v>
      </c>
      <c r="AC7" s="58"/>
      <c r="AD7" s="65"/>
      <c r="AE7" s="58"/>
      <c r="AF7" s="65">
        <f t="shared" si="13"/>
        <v>0</v>
      </c>
      <c r="AG7" s="58"/>
      <c r="AH7" s="67">
        <f t="shared" si="14"/>
        <v>0</v>
      </c>
      <c r="AI7" s="58"/>
      <c r="AJ7" s="65">
        <f t="shared" si="15"/>
        <v>0</v>
      </c>
      <c r="AK7" s="58"/>
      <c r="AL7" s="65">
        <f t="shared" si="15"/>
        <v>0</v>
      </c>
      <c r="AM7" s="58"/>
      <c r="AN7" s="65">
        <f t="shared" si="15"/>
        <v>0</v>
      </c>
      <c r="AO7" s="58"/>
      <c r="AP7" s="65">
        <f t="shared" si="15"/>
        <v>0</v>
      </c>
      <c r="AQ7" s="58"/>
      <c r="AR7" s="65">
        <f t="shared" si="16"/>
        <v>0</v>
      </c>
      <c r="AS7" s="58"/>
      <c r="AT7" s="65">
        <f t="shared" si="17"/>
        <v>0</v>
      </c>
      <c r="AU7" s="58"/>
      <c r="AV7" s="65">
        <f t="shared" si="18"/>
        <v>0</v>
      </c>
      <c r="AW7" s="58"/>
      <c r="AX7" s="65">
        <f t="shared" si="19"/>
        <v>0</v>
      </c>
      <c r="AY7" s="58"/>
      <c r="AZ7" s="65">
        <f t="shared" si="20"/>
        <v>0</v>
      </c>
      <c r="BA7" s="58"/>
      <c r="BB7" s="65">
        <f t="shared" si="21"/>
        <v>0</v>
      </c>
      <c r="BC7" s="58"/>
      <c r="BD7" s="65">
        <f t="shared" si="22"/>
        <v>0</v>
      </c>
      <c r="BE7" s="59"/>
      <c r="BF7" s="67">
        <f t="shared" si="39"/>
        <v>0</v>
      </c>
      <c r="BG7" s="60"/>
      <c r="BH7" s="65">
        <f t="shared" si="23"/>
        <v>0</v>
      </c>
      <c r="BI7" s="60"/>
      <c r="BJ7" s="65">
        <f t="shared" si="40"/>
        <v>0</v>
      </c>
      <c r="BK7" s="60"/>
      <c r="BL7" s="65">
        <f t="shared" si="24"/>
        <v>0</v>
      </c>
      <c r="BM7" s="60"/>
      <c r="BN7" s="65">
        <f t="shared" si="25"/>
        <v>0</v>
      </c>
      <c r="BO7" s="60"/>
      <c r="BP7" s="65">
        <f t="shared" si="26"/>
        <v>0</v>
      </c>
      <c r="BQ7" s="60"/>
      <c r="BR7" s="65">
        <f t="shared" si="27"/>
        <v>0</v>
      </c>
      <c r="BS7" s="60"/>
      <c r="BT7" s="65">
        <f t="shared" si="41"/>
        <v>0</v>
      </c>
      <c r="BU7" s="60"/>
      <c r="BV7" s="65">
        <f t="shared" si="29"/>
        <v>0</v>
      </c>
      <c r="BW7" s="60"/>
      <c r="BX7" s="65">
        <f t="shared" si="30"/>
        <v>0</v>
      </c>
      <c r="BY7" s="60"/>
      <c r="BZ7" s="67">
        <f t="shared" si="31"/>
        <v>0</v>
      </c>
      <c r="CA7" s="60"/>
      <c r="CB7" s="67">
        <f t="shared" si="32"/>
        <v>0</v>
      </c>
      <c r="CC7" s="60"/>
      <c r="CD7" s="67">
        <f t="shared" si="33"/>
        <v>0</v>
      </c>
      <c r="CE7" s="60"/>
      <c r="CF7" s="67">
        <f t="shared" si="34"/>
        <v>0</v>
      </c>
      <c r="CG7" s="60"/>
      <c r="CH7" s="67">
        <f t="shared" si="35"/>
        <v>0</v>
      </c>
      <c r="CI7" s="60"/>
      <c r="CJ7" s="67">
        <f t="shared" si="36"/>
        <v>0</v>
      </c>
      <c r="CK7" s="60"/>
      <c r="CL7" s="64">
        <f t="shared" si="37"/>
        <v>0</v>
      </c>
      <c r="CM7" s="65"/>
      <c r="CN7" s="62">
        <v>0</v>
      </c>
      <c r="CO7" s="62">
        <v>0</v>
      </c>
      <c r="CP7" s="68"/>
      <c r="CQ7" s="67">
        <f t="shared" si="38"/>
        <v>0</v>
      </c>
      <c r="CR7" s="68"/>
      <c r="CS7" s="67">
        <f t="shared" si="38"/>
        <v>0</v>
      </c>
      <c r="CT7" s="75"/>
      <c r="CU7" s="67">
        <f t="shared" si="38"/>
        <v>0</v>
      </c>
      <c r="CV7" s="68"/>
      <c r="CW7" s="67">
        <f t="shared" si="38"/>
        <v>0</v>
      </c>
    </row>
    <row r="8" spans="1:102" ht="25.5" customHeight="1" thickBot="1" x14ac:dyDescent="0.45">
      <c r="A8" s="63">
        <v>44170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42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39"/>
        <v>0</v>
      </c>
      <c r="BG8" s="60"/>
      <c r="BH8" s="65">
        <f t="shared" si="23"/>
        <v>0</v>
      </c>
      <c r="BI8" s="60"/>
      <c r="BJ8" s="65">
        <f t="shared" si="40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1"/>
        <v>0</v>
      </c>
      <c r="BU8" s="60"/>
      <c r="BV8" s="65">
        <f t="shared" si="29"/>
        <v>0</v>
      </c>
      <c r="BW8" s="60"/>
      <c r="BX8" s="65">
        <f t="shared" si="30"/>
        <v>0</v>
      </c>
      <c r="BY8" s="60"/>
      <c r="BZ8" s="67">
        <f t="shared" si="31"/>
        <v>0</v>
      </c>
      <c r="CA8" s="60"/>
      <c r="CB8" s="67">
        <f t="shared" si="32"/>
        <v>0</v>
      </c>
      <c r="CC8" s="60"/>
      <c r="CD8" s="67">
        <f t="shared" si="33"/>
        <v>0</v>
      </c>
      <c r="CE8" s="60"/>
      <c r="CF8" s="67">
        <f t="shared" si="34"/>
        <v>0</v>
      </c>
      <c r="CG8" s="60"/>
      <c r="CH8" s="67">
        <f t="shared" si="35"/>
        <v>0</v>
      </c>
      <c r="CI8" s="60"/>
      <c r="CJ8" s="67">
        <f t="shared" si="36"/>
        <v>0</v>
      </c>
      <c r="CK8" s="60"/>
      <c r="CL8" s="64">
        <f t="shared" si="37"/>
        <v>0</v>
      </c>
      <c r="CM8" s="65"/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44171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2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1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/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44172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2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1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/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44173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3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1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/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44174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1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/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44175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1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/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44176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3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1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/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44177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1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/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44178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1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/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2" ht="25.5" customHeight="1" thickBot="1" x14ac:dyDescent="0.45">
      <c r="A17" s="63">
        <v>44179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1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/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2" ht="25.5" customHeight="1" thickBot="1" x14ac:dyDescent="0.45">
      <c r="A18" s="63">
        <v>44180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1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/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2" ht="25.5" customHeight="1" thickBot="1" x14ac:dyDescent="0.45">
      <c r="A19" s="63">
        <v>44181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1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/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2" ht="25.5" customHeight="1" thickBot="1" x14ac:dyDescent="0.45">
      <c r="A20" s="63">
        <v>44182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1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/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2" ht="25.5" customHeight="1" thickBot="1" x14ac:dyDescent="0.45">
      <c r="A21" s="63">
        <v>44183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1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/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2" ht="25.5" customHeight="1" thickBot="1" x14ac:dyDescent="0.45">
      <c r="A22" s="63">
        <v>44184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v>367.67</v>
      </c>
      <c r="BA22" s="58"/>
      <c r="BB22" s="65">
        <v>233.95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1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/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2" ht="25.5" customHeight="1" thickBot="1" x14ac:dyDescent="0.45">
      <c r="A23" s="63">
        <v>44185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1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/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2" ht="25.5" customHeight="1" thickBot="1" x14ac:dyDescent="0.45">
      <c r="A24" s="63">
        <v>44186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1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/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2" ht="25.5" customHeight="1" thickBot="1" x14ac:dyDescent="0.45">
      <c r="A25" s="63">
        <v>44187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1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/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  <c r="CX25" s="57" t="s">
        <v>148</v>
      </c>
    </row>
    <row r="26" spans="1:102" ht="25.5" customHeight="1" thickBot="1" x14ac:dyDescent="0.45">
      <c r="A26" s="63">
        <v>44188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1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/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2" ht="25.5" customHeight="1" thickBot="1" x14ac:dyDescent="0.45">
      <c r="A27" s="63">
        <v>44189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1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/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2" ht="25.5" customHeight="1" thickBot="1" x14ac:dyDescent="0.45">
      <c r="A28" s="63">
        <v>44190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1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/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2" ht="25.5" customHeight="1" thickBot="1" x14ac:dyDescent="0.45">
      <c r="A29" s="63">
        <v>44191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1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/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2" ht="25.5" customHeight="1" thickBot="1" x14ac:dyDescent="0.45">
      <c r="A30" s="63">
        <v>44192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/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1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/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2" ht="25.5" customHeight="1" thickBot="1" x14ac:dyDescent="0.45">
      <c r="A31" s="63">
        <v>44193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1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>IF((CE31-CE30&lt;0), "",CE31-CE30)</f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/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2" ht="25.5" customHeight="1" thickBot="1" x14ac:dyDescent="0.45">
      <c r="A32" s="63">
        <v>44194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1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>
        <v>51904</v>
      </c>
      <c r="BZ32" s="67">
        <f t="shared" si="31"/>
        <v>51904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>IF((CE32-CE31&lt;0), "",CE32-CE31)</f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/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44195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1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 t="str">
        <f t="shared" si="31"/>
        <v/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>IF((CE33-CE32&lt;0), "",CE33-CE32)</f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/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44196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1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4">IF((CA34-CA33&lt;0), "",CA34-CA33)</f>
        <v>0</v>
      </c>
      <c r="CC34" s="60"/>
      <c r="CD34" s="67">
        <f t="shared" si="33"/>
        <v>0</v>
      </c>
      <c r="CE34" s="60"/>
      <c r="CF34" s="67">
        <f t="shared" ref="CF34" si="45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/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6">IF((BI35-BI34&lt;0), "",(BI35-BI34)*1000)</f>
        <v>0</v>
      </c>
      <c r="BL35" s="65">
        <f>IF((BK35-BK34&lt;0), "",(BK35-BK34)*1000)</f>
        <v>0</v>
      </c>
      <c r="BT35" s="65">
        <f t="shared" si="41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3" zoomScaleNormal="100" workbookViewId="0">
      <selection activeCell="R7" sqref="R7:S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44165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1</v>
      </c>
      <c r="O7" s="39">
        <v>60</v>
      </c>
      <c r="P7" s="39">
        <v>83</v>
      </c>
      <c r="Q7" s="39">
        <v>3033</v>
      </c>
      <c r="R7" s="78">
        <v>83</v>
      </c>
      <c r="S7" s="78">
        <v>196</v>
      </c>
    </row>
    <row r="8" spans="1:20" x14ac:dyDescent="0.25">
      <c r="A8" s="73">
        <v>44166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1</v>
      </c>
      <c r="O8" s="39">
        <v>54</v>
      </c>
      <c r="P8" s="39">
        <v>83</v>
      </c>
      <c r="Q8" s="39">
        <v>3037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44167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/>
      <c r="O9" s="39"/>
      <c r="P9" s="39"/>
      <c r="Q9" s="39"/>
      <c r="R9" s="78"/>
      <c r="S9" s="78"/>
      <c r="T9">
        <f t="shared" ref="T9:T39" si="0">S9-S8</f>
        <v>-196</v>
      </c>
    </row>
    <row r="10" spans="1:20" x14ac:dyDescent="0.25">
      <c r="A10" s="73">
        <v>44168</v>
      </c>
      <c r="B10" s="40">
        <v>0</v>
      </c>
      <c r="C10" s="40">
        <v>0</v>
      </c>
      <c r="D10" s="40">
        <v>0</v>
      </c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8"/>
      <c r="S10" s="78"/>
      <c r="T10">
        <f t="shared" si="0"/>
        <v>0</v>
      </c>
    </row>
    <row r="11" spans="1:20" x14ac:dyDescent="0.25">
      <c r="A11" s="73">
        <v>44169</v>
      </c>
      <c r="B11" s="40">
        <v>0</v>
      </c>
      <c r="C11" s="40">
        <v>0</v>
      </c>
      <c r="D11" s="40">
        <v>0</v>
      </c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0"/>
        <v>0</v>
      </c>
    </row>
    <row r="12" spans="1:20" x14ac:dyDescent="0.25">
      <c r="A12" s="73">
        <v>44170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0</v>
      </c>
    </row>
    <row r="13" spans="1:20" x14ac:dyDescent="0.25">
      <c r="A13" s="73">
        <v>44171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44172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44173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44174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44175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44176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44177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44178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44179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44180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44181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44182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44183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44184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44185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44186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44187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44188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44189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44190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44191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44192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44193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44194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44195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44196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44197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2020-12-02T13:07:54Z</dcterms:modified>
</cp:coreProperties>
</file>