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27" i="7" l="1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<sst xmlns="http://schemas.openxmlformats.org/spreadsheetml/2006/main" count="313" uniqueCount="148">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</sst>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4080.000000000131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23.699999999999818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3709.9999999994943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13.200000000000273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4710.0000000004084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24.099999999999909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4039.9999999996899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26.699999999999818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4740.0000000001583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21.300000000000182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4540.000000000302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19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4309.9999999999063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19.699999999999818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4170.0000000001755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21.400000000000091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3559.999999999794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22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4420.0000000003301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24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4519.999999999276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27.800000000000182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4170.0000000004311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4470.0000000000637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30.550000000000182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4659.999999999719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20.099999999999454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700.00000000014495</v>
      </c>
      <c r="F14" s="32">
        <f>'FS Desroches Daily'!F16</f>
        <v>600.00000000037801</v>
      </c>
      <c r="G14" s="31">
        <f>'FS Desroches Daily'!H16</f>
        <v>1799.9999999998017</v>
      </c>
      <c r="H14" s="32">
        <f>'FS Desroches Daily'!J16</f>
        <v>799.99999999991189</v>
      </c>
      <c r="I14" s="31">
        <f>'FS Desroches Daily'!L16</f>
        <v>2099.9999999999909</v>
      </c>
      <c r="J14" s="32">
        <f>'FS Desroches Daily'!N16</f>
        <v>499.99999999994492</v>
      </c>
      <c r="K14" s="13">
        <f>'FS Desroches Daily'!P16</f>
        <v>0</v>
      </c>
      <c r="L14" s="31">
        <f>'FS Desroches Daily'!R16</f>
        <v>5</v>
      </c>
      <c r="M14" s="31">
        <f>'FS Desroches Daily'!T16</f>
        <v>288.40000000002328</v>
      </c>
      <c r="N14" s="31">
        <f>'FS Desroches Daily'!V16</f>
        <v>229.70000000001164</v>
      </c>
      <c r="O14" s="31">
        <f>'FS Desroches Daily'!X16</f>
        <v>99.999999999965894</v>
      </c>
      <c r="P14" s="31">
        <f>'FS Desroches Daily'!Z16</f>
        <v>500.00000000016701</v>
      </c>
      <c r="Q14" s="31">
        <f>'FS Desroches Daily'!AB16</f>
        <v>100.00000000002274</v>
      </c>
      <c r="R14" s="31">
        <f>'FS Desroches Daily'!AD16</f>
        <v>150.00000000003411</v>
      </c>
      <c r="S14" s="31">
        <f>'FS Desroches Daily'!AF16</f>
        <v>189.99999999994088</v>
      </c>
      <c r="T14" s="31">
        <f>'FS Desroches Daily'!AH16</f>
        <v>1.5999999999999091</v>
      </c>
      <c r="U14" s="35">
        <f>'FS Desroches Daily'!AJ16</f>
        <v>250</v>
      </c>
      <c r="V14" s="35">
        <f>'FS Desroches Daily'!AL16</f>
        <v>30.000000000001137</v>
      </c>
      <c r="W14" s="35">
        <f>'FS Desroches Daily'!AN16</f>
        <v>20.000000000010232</v>
      </c>
      <c r="X14" s="35">
        <f>'FS Desroches Daily'!AP16</f>
        <v>20.000000000010232</v>
      </c>
      <c r="Y14" s="35">
        <f>'FS Desroches Daily'!AR16</f>
        <v>9.9999999999909051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26</v>
      </c>
      <c r="AG14" s="32">
        <f>'FS Desroches Daily'!BH16</f>
        <v>19.99999999998181</v>
      </c>
      <c r="AH14" s="32">
        <f>'FS Desroches Daily'!BJ16</f>
        <v>39.99999999996362</v>
      </c>
      <c r="AI14" s="32">
        <f>'FS Desroches Daily'!BL16</f>
        <v>0</v>
      </c>
      <c r="AJ14" s="32">
        <f>'FS Desroches Daily'!BN16</f>
        <v>30.000000000001137</v>
      </c>
      <c r="AK14" s="32">
        <f>'FS Desroches Daily'!BP16</f>
        <v>9.9999999999909051</v>
      </c>
      <c r="AL14" s="32">
        <f>'FS Desroches Daily'!BR16</f>
        <v>8</v>
      </c>
      <c r="AM14" s="32">
        <f>'FS Desroches Daily'!BT16</f>
        <v>9.9999999999909051</v>
      </c>
      <c r="AN14" s="32">
        <f>'FS Desroches Daily'!BV16</f>
        <v>13</v>
      </c>
      <c r="AO14" s="32">
        <f>'FS Desroches Daily'!BX16</f>
        <v>20.000000000010232</v>
      </c>
      <c r="AP14" s="32">
        <f>'FS Desroches Daily'!BZ16</f>
        <v>16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27.900000000001455</v>
      </c>
      <c r="AU14" s="31">
        <f>'FS Desroches Daily'!CJ16</f>
        <v>170</v>
      </c>
      <c r="AV14" s="31">
        <f>'FS Desroches Daily'!CL16</f>
        <v>320.00000000005002</v>
      </c>
      <c r="AW14" s="31">
        <f>'FS Desroches Daily'!CM16</f>
        <v>23.699999999999818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599.99999999993395</v>
      </c>
      <c r="F15" s="32">
        <f>'FS Desroches Daily'!F17</f>
        <v>699.99999999970089</v>
      </c>
      <c r="G15" s="31">
        <f>'FS Desroches Daily'!H17</f>
        <v>1500.0000000000568</v>
      </c>
      <c r="H15" s="32">
        <f>'FS Desroches Daily'!J17</f>
        <v>899.99999999990087</v>
      </c>
      <c r="I15" s="31">
        <f>'FS Desroches Daily'!L17</f>
        <v>2099.9999999999909</v>
      </c>
      <c r="J15" s="32">
        <f>'FS Desroches Daily'!N17</f>
        <v>599.99999999993395</v>
      </c>
      <c r="K15" s="13">
        <f>'FS Desroches Daily'!P17</f>
        <v>0</v>
      </c>
      <c r="L15" s="31">
        <f>'FS Desroches Daily'!R17</f>
        <v>6</v>
      </c>
      <c r="M15" s="31">
        <f>'FS Desroches Daily'!T17</f>
        <v>91.399999999906868</v>
      </c>
      <c r="N15" s="31">
        <f>'FS Desroches Daily'!V17</f>
        <v>68.699999999953434</v>
      </c>
      <c r="O15" s="31">
        <f>'FS Desroches Daily'!X17</f>
        <v>100.00000000002274</v>
      </c>
      <c r="P15" s="31">
        <f>'FS Desroches Daily'!Z17</f>
        <v>500.00000000016701</v>
      </c>
      <c r="Q15" s="31">
        <f>'FS Desroches Daily'!AB17</f>
        <v>129.99999999999545</v>
      </c>
      <c r="R15" s="31">
        <f>'FS Desroches Daily'!AD17</f>
        <v>159.99999999996817</v>
      </c>
      <c r="S15" s="31">
        <f>'FS Desroches Daily'!AF17</f>
        <v>190.00000000005457</v>
      </c>
      <c r="T15" s="31">
        <f>'FS Desroches Daily'!AH17</f>
        <v>1.5999999999999091</v>
      </c>
      <c r="U15" s="35">
        <f>'FS Desroches Daily'!AJ17</f>
        <v>269.99999999998181</v>
      </c>
      <c r="V15" s="35">
        <f>'FS Desroches Daily'!AL17</f>
        <v>20.000000000010232</v>
      </c>
      <c r="W15" s="35">
        <f>'FS Desroches Daily'!AN17</f>
        <v>9.9999999999909051</v>
      </c>
      <c r="X15" s="35">
        <f>'FS Desroches Daily'!AP17</f>
        <v>9.9999999999909051</v>
      </c>
      <c r="Y15" s="35">
        <f>'FS Desroches Daily'!AR17</f>
        <v>10.000000000019327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10.000000000047748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10.000000000019327</v>
      </c>
      <c r="AF15" s="31">
        <f>'FS Desroches Daily'!BF17</f>
        <v>28</v>
      </c>
      <c r="AG15" s="32">
        <f>'FS Desroches Daily'!BH17</f>
        <v>30.000000000001137</v>
      </c>
      <c r="AH15" s="32">
        <f>'FS Desroches Daily'!BJ17</f>
        <v>40.000000000020464</v>
      </c>
      <c r="AI15" s="32">
        <f>'FS Desroches Daily'!BL17</f>
        <v>10.000000000019327</v>
      </c>
      <c r="AJ15" s="32">
        <f>'FS Desroches Daily'!BN17</f>
        <v>20.000000000010232</v>
      </c>
      <c r="AK15" s="32">
        <f>'FS Desroches Daily'!BP17</f>
        <v>19.99999999998181</v>
      </c>
      <c r="AL15" s="32">
        <f>'FS Desroches Daily'!BR17</f>
        <v>10</v>
      </c>
      <c r="AM15" s="32">
        <f>'FS Desroches Daily'!BT17</f>
        <v>9.9999999999909051</v>
      </c>
      <c r="AN15" s="32">
        <f>'FS Desroches Daily'!BV17</f>
        <v>22</v>
      </c>
      <c r="AO15" s="32">
        <f>'FS Desroches Daily'!BX17</f>
        <v>19.99999999998181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28.799999999995634</v>
      </c>
      <c r="AU15" s="31">
        <f>'FS Desroches Daily'!CJ17</f>
        <v>174</v>
      </c>
      <c r="AV15" s="31">
        <f>'FS Desroches Daily'!CL17</f>
        <v>590.00000000003183</v>
      </c>
      <c r="AW15" s="31">
        <f>'FS Desroches Daily'!CM17</f>
        <v>13.200000000000273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700.00000000014495</v>
      </c>
      <c r="F16" s="32">
        <f>'FS Desroches Daily'!F18</f>
        <v>799.99999999991189</v>
      </c>
      <c r="G16" s="31">
        <f>'FS Desroches Daily'!H18</f>
        <v>1900.0000000000127</v>
      </c>
      <c r="H16" s="32">
        <f>'FS Desroches Daily'!J18</f>
        <v>900.0000000001229</v>
      </c>
      <c r="I16" s="31">
        <f>'FS Desroches Daily'!L18</f>
        <v>2099.9999999999909</v>
      </c>
      <c r="J16" s="32">
        <f>'FS Desroches Daily'!N18</f>
        <v>600.00000000015598</v>
      </c>
      <c r="K16" s="13">
        <f>'FS Desroches Daily'!P18</f>
        <v>0</v>
      </c>
      <c r="L16" s="31">
        <f>'FS Desroches Daily'!R18</f>
        <v>6</v>
      </c>
      <c r="M16" s="31">
        <f>'FS Desroches Daily'!T18</f>
        <v>327.20000000006985</v>
      </c>
      <c r="N16" s="31">
        <f>'FS Desroches Daily'!V18</f>
        <v>233.10000000003492</v>
      </c>
      <c r="O16" s="31">
        <f>'FS Desroches Daily'!X18</f>
        <v>120.00000000000455</v>
      </c>
      <c r="P16" s="31">
        <f>'FS Desroches Daily'!Z18</f>
        <v>499.99999999972289</v>
      </c>
      <c r="Q16" s="31">
        <f>'FS Desroches Daily'!AB18</f>
        <v>99.999999999965894</v>
      </c>
      <c r="R16" s="31">
        <f>'FS Desroches Daily'!AD18</f>
        <v>160.00000000002501</v>
      </c>
      <c r="S16" s="31">
        <f>'FS Desroches Daily'!AF18</f>
        <v>240.00000000000909</v>
      </c>
      <c r="T16" s="31">
        <f>'FS Desroches Daily'!AH18</f>
        <v>1.6000000000001364</v>
      </c>
      <c r="U16" s="35">
        <f>'FS Desroches Daily'!AJ18</f>
        <v>250</v>
      </c>
      <c r="V16" s="35">
        <f>'FS Desroches Daily'!AL18</f>
        <v>39.999999999992042</v>
      </c>
      <c r="W16" s="35">
        <f>'FS Desroches Daily'!AN18</f>
        <v>20.000000000010232</v>
      </c>
      <c r="X16" s="35">
        <f>'FS Desroches Daily'!AP18</f>
        <v>30.000000000001137</v>
      </c>
      <c r="Y16" s="35">
        <f>'FS Desroches Daily'!AR18</f>
        <v>19.99999999998181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19.99999999998181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9.9999999999909051</v>
      </c>
      <c r="AF16" s="31">
        <f>'FS Desroches Daily'!BF18</f>
        <v>29</v>
      </c>
      <c r="AG16" s="32">
        <f>'FS Desroches Daily'!BH18</f>
        <v>20.000000000010232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30.000000000001137</v>
      </c>
      <c r="AK16" s="32">
        <f>'FS Desroches Daily'!BP18</f>
        <v>20.000000000038654</v>
      </c>
      <c r="AL16" s="32">
        <f>'FS Desroches Daily'!BR18</f>
        <v>9</v>
      </c>
      <c r="AM16" s="32">
        <f>'FS Desroches Daily'!BT18</f>
        <v>10.000000000019327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33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32.400000000001455</v>
      </c>
      <c r="AU16" s="31">
        <f>'FS Desroches Daily'!CJ18</f>
        <v>172</v>
      </c>
      <c r="AV16" s="31">
        <f>'FS Desroches Daily'!CL18</f>
        <v>189.99999999994088</v>
      </c>
      <c r="AW16" s="31">
        <f>'FS Desroches Daily'!CM18</f>
        <v>24.099999999999909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599.99999999993395</v>
      </c>
      <c r="F17" s="32">
        <f>'FS Desroches Daily'!F19</f>
        <v>700.00000000014495</v>
      </c>
      <c r="G17" s="31">
        <f>'FS Desroches Daily'!H19</f>
        <v>1799.9999999998017</v>
      </c>
      <c r="H17" s="32">
        <f>'FS Desroches Daily'!J19</f>
        <v>799.99999999991189</v>
      </c>
      <c r="I17" s="31">
        <f>'FS Desroches Daily'!L19</f>
        <v>2099.9999999999909</v>
      </c>
      <c r="J17" s="32">
        <f>'FS Desroches Daily'!N19</f>
        <v>599.99999999993395</v>
      </c>
      <c r="K17" s="13">
        <f>'FS Desroches Daily'!P19</f>
        <v>0</v>
      </c>
      <c r="L17" s="31">
        <f>'FS Desroches Daily'!R19</f>
        <v>7</v>
      </c>
      <c r="M17" s="31">
        <f>'FS Desroches Daily'!T19</f>
        <v>311.19999999995343</v>
      </c>
      <c r="N17" s="31">
        <f>'FS Desroches Daily'!V19</f>
        <v>250.70000000001164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120.00000000000455</v>
      </c>
      <c r="R17" s="31">
        <f>'FS Desroches Daily'!AD19</f>
        <v>169.99999999995907</v>
      </c>
      <c r="S17" s="31">
        <f>'FS Desroches Daily'!AF19</f>
        <v>189.99999999994088</v>
      </c>
      <c r="T17" s="31" t="str">
        <f>'FS Desroches Daily'!AH19</f>
        <v/>
      </c>
      <c r="U17" s="35">
        <f>'FS Desroches Daily'!AJ19</f>
        <v>250</v>
      </c>
      <c r="V17" s="35">
        <f>'FS Desroches Daily'!AL19</f>
        <v>50.000000000011369</v>
      </c>
      <c r="W17" s="35">
        <f>'FS Desroches Daily'!AN19</f>
        <v>30.000000000001137</v>
      </c>
      <c r="X17" s="35">
        <f>'FS Desroches Daily'!AP19</f>
        <v>9.9999999999909051</v>
      </c>
      <c r="Y17" s="35">
        <f>'FS Desroches Daily'!AR19</f>
        <v>20.000000000010232</v>
      </c>
      <c r="Z17" s="35">
        <f>'FS Desroches Daily'!AU20</f>
        <v>275.83</v>
      </c>
      <c r="AA17" s="35">
        <f>'FS Desroches Daily'!AU20</f>
        <v>275.83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20.000000000038654</v>
      </c>
      <c r="AE17" s="35">
        <f>'FS Desroches Daily'!BD19</f>
        <v>9.9999999999909051</v>
      </c>
      <c r="AF17" s="31">
        <f>'FS Desroches Daily'!BF19</f>
        <v>31</v>
      </c>
      <c r="AG17" s="32">
        <f>'FS Desroches Daily'!BH19</f>
        <v>9.9999999999909051</v>
      </c>
      <c r="AH17" s="32">
        <f>'FS Desroches Daily'!BJ19</f>
        <v>39.99999999996362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9.9999999999909051</v>
      </c>
      <c r="AN17" s="32">
        <f>'FS Desroches Daily'!BV19</f>
        <v>18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32.200000000004366</v>
      </c>
      <c r="AU17" s="31">
        <f>'FS Desroches Daily'!CJ19</f>
        <v>193</v>
      </c>
      <c r="AV17" s="31">
        <f>'FS Desroches Daily'!CL19</f>
        <v>460.00000000003638</v>
      </c>
      <c r="AW17" s="31">
        <f>'FS Desroches Daily'!CM19</f>
        <v>26.699999999999818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799.99999999991189</v>
      </c>
      <c r="F18" s="32">
        <f>'FS Desroches Daily'!F20</f>
        <v>799.99999999991189</v>
      </c>
      <c r="G18" s="31">
        <f>'FS Desroches Daily'!H20</f>
        <v>1800.0000000002458</v>
      </c>
      <c r="H18" s="32">
        <f>'FS Desroches Daily'!J20</f>
        <v>900.0000000001229</v>
      </c>
      <c r="I18" s="31">
        <f>'FS Desroches Daily'!L20</f>
        <v>2099.9999999999909</v>
      </c>
      <c r="J18" s="32">
        <f>'FS Desroches Daily'!N20</f>
        <v>599.99999999993395</v>
      </c>
      <c r="K18" s="13">
        <f>'FS Desroches Daily'!P20</f>
        <v>0</v>
      </c>
      <c r="L18" s="31">
        <f>'FS Desroches Daily'!R20</f>
        <v>6</v>
      </c>
      <c r="M18" s="31">
        <f>'FS Desroches Daily'!T20</f>
        <v>287.59999999997672</v>
      </c>
      <c r="N18" s="31">
        <f>'FS Desroches Daily'!V20</f>
        <v>241.79999999998836</v>
      </c>
      <c r="O18" s="31">
        <f>'FS Desroches Daily'!X20</f>
        <v>120.00000000000455</v>
      </c>
      <c r="P18" s="31">
        <f>'FS Desroches Daily'!Z20</f>
        <v>599.99999999993395</v>
      </c>
      <c r="Q18" s="31">
        <f>'FS Desroches Daily'!AB20</f>
        <v>120.00000000000455</v>
      </c>
      <c r="R18" s="31">
        <f>'FS Desroches Daily'!AD20</f>
        <v>180.00000000000682</v>
      </c>
      <c r="S18" s="31">
        <f>'FS Desroches Daily'!AF20</f>
        <v>190.00000000005457</v>
      </c>
      <c r="T18" s="31">
        <f>'FS Desroches Daily'!AH20</f>
        <v>31</v>
      </c>
      <c r="U18" s="35">
        <f>'FS Desroches Daily'!AJ20</f>
        <v>269.99999999998181</v>
      </c>
      <c r="V18" s="35">
        <f>'FS Desroches Daily'!AL20</f>
        <v>49.999999999982947</v>
      </c>
      <c r="W18" s="35">
        <f>'FS Desroches Daily'!AN20</f>
        <v>20.000000000010232</v>
      </c>
      <c r="X18" s="35">
        <f>'FS Desroches Daily'!AP20</f>
        <v>30.000000000001137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39.99999999996362</v>
      </c>
      <c r="AE18" s="35">
        <f>'FS Desroches Daily'!BD20</f>
        <v>10.000000000019327</v>
      </c>
      <c r="AF18" s="31">
        <f>'FS Desroches Daily'!BF20</f>
        <v>35</v>
      </c>
      <c r="AG18" s="32">
        <f>'FS Desroches Daily'!BH20</f>
        <v>20.000000000010232</v>
      </c>
      <c r="AH18" s="32">
        <f>'FS Desroches Daily'!BJ20</f>
        <v>40.000000000020464</v>
      </c>
      <c r="AI18" s="32">
        <f>'FS Desroches Daily'!BL20</f>
        <v>10.000000000019327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4</v>
      </c>
      <c r="AM18" s="32">
        <f>'FS Desroches Daily'!BT20</f>
        <v>20.000000000010232</v>
      </c>
      <c r="AN18" s="32">
        <f>'FS Desroches Daily'!BV20</f>
        <v>17</v>
      </c>
      <c r="AO18" s="32">
        <f>'FS Desroches Daily'!BX20</f>
        <v>19.99999999998181</v>
      </c>
      <c r="AP18" s="32">
        <f>'FS Desroches Daily'!BZ20</f>
        <v>22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25.599999999998545</v>
      </c>
      <c r="AU18" s="31">
        <f>'FS Desroches Daily'!CJ20</f>
        <v>175</v>
      </c>
      <c r="AV18" s="31">
        <f>'FS Desroches Daily'!CL20</f>
        <v>159.99999999996817</v>
      </c>
      <c r="AW18" s="31">
        <f>'FS Desroches Daily'!CM20</f>
        <v>21.300000000000182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799.99999999991189</v>
      </c>
      <c r="F19" s="32">
        <f>'FS Desroches Daily'!F21</f>
        <v>1000.000000000334</v>
      </c>
      <c r="G19" s="31">
        <f>'FS Desroches Daily'!H21</f>
        <v>1700.0000000000348</v>
      </c>
      <c r="H19" s="32">
        <f>'FS Desroches Daily'!J21</f>
        <v>899.99999999990087</v>
      </c>
      <c r="I19" s="31">
        <f>'FS Desroches Daily'!L21</f>
        <v>2000.0000000002237</v>
      </c>
      <c r="J19" s="32">
        <f>'FS Desroches Daily'!N21</f>
        <v>600.00000000015598</v>
      </c>
      <c r="K19" s="13">
        <f>'FS Desroches Daily'!P21</f>
        <v>0</v>
      </c>
      <c r="L19" s="31">
        <f>'FS Desroches Daily'!R21</f>
        <v>7</v>
      </c>
      <c r="M19" s="31">
        <f>'FS Desroches Daily'!T21</f>
        <v>217.20000000006985</v>
      </c>
      <c r="N19" s="31">
        <f>'FS Desroches Daily'!V21</f>
        <v>161.5</v>
      </c>
      <c r="O19" s="31">
        <f>'FS Desroches Daily'!X21</f>
        <v>129.99999999999545</v>
      </c>
      <c r="P19" s="31">
        <f>'FS Desroches Daily'!Z21</f>
        <v>799.99999999991189</v>
      </c>
      <c r="Q19" s="31">
        <f>'FS Desroches Daily'!AB21</f>
        <v>110.00000000001364</v>
      </c>
      <c r="R19" s="31">
        <f>'FS Desroches Daily'!AD21</f>
        <v>189.99999999999773</v>
      </c>
      <c r="S19" s="31">
        <f>'FS Desroches Daily'!AF21</f>
        <v>209.99999999992269</v>
      </c>
      <c r="T19" s="31">
        <f>'FS Desroches Daily'!AH21</f>
        <v>34</v>
      </c>
      <c r="U19" s="35">
        <f>'FS Desroches Daily'!AJ21</f>
        <v>340.00000000003183</v>
      </c>
      <c r="V19" s="35">
        <f>'FS Desroches Daily'!AL21</f>
        <v>39.999999999992042</v>
      </c>
      <c r="W19" s="35">
        <f>'FS Desroches Daily'!AN21</f>
        <v>19.99999999998181</v>
      </c>
      <c r="X19" s="35">
        <f>'FS Desroches Daily'!AP21</f>
        <v>10.000000000019327</v>
      </c>
      <c r="Y19" s="35">
        <f>'FS Desroches Daily'!AR21</f>
        <v>19.99999999998181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20.000000000038654</v>
      </c>
      <c r="AC19" s="35">
        <f>'FS Desroches Daily'!AZ21</f>
        <v>0</v>
      </c>
      <c r="AD19" s="35">
        <f>'FS Desroches Daily'!BB21</f>
        <v>20.000000000038654</v>
      </c>
      <c r="AE19" s="35">
        <f>'FS Desroches Daily'!BD21</f>
        <v>9.9999999999909051</v>
      </c>
      <c r="AF19" s="31">
        <f>'FS Desroches Daily'!BF21</f>
        <v>34</v>
      </c>
      <c r="AG19" s="32">
        <f>'FS Desroches Daily'!BH21</f>
        <v>19.99999999998181</v>
      </c>
      <c r="AH19" s="32">
        <f>'FS Desroches Daily'!BJ21</f>
        <v>39.99999999996362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19.99999999998181</v>
      </c>
      <c r="AL19" s="32">
        <f>'FS Desroches Daily'!BR21</f>
        <v>2</v>
      </c>
      <c r="AM19" s="32">
        <f>'FS Desroches Daily'!BT21</f>
        <v>30.000000000001137</v>
      </c>
      <c r="AN19" s="32">
        <f>'FS Desroches Daily'!BV21</f>
        <v>4</v>
      </c>
      <c r="AO19" s="32">
        <f>'FS Desroches Daily'!BX21</f>
        <v>20.000000000010232</v>
      </c>
      <c r="AP19" s="32">
        <f>'FS Desroches Daily'!BZ21</f>
        <v>22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30.19999999999709</v>
      </c>
      <c r="AU19" s="31">
        <f>'FS Desroches Daily'!CJ21</f>
        <v>182</v>
      </c>
      <c r="AV19" s="31">
        <f>'FS Desroches Daily'!CL21</f>
        <v>460.00000000003638</v>
      </c>
      <c r="AW19" s="31">
        <f>'FS Desroches Daily'!CM21</f>
        <v>19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700.00000000014495</v>
      </c>
      <c r="F20" s="32">
        <f>'FS Desroches Daily'!F22</f>
        <v>799.99999999991189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1999.9999999997797</v>
      </c>
      <c r="J20" s="32">
        <f>'FS Desroches Daily'!N22</f>
        <v>699.99999999992292</v>
      </c>
      <c r="K20" s="13">
        <f>'FS Desroches Daily'!P22</f>
        <v>0</v>
      </c>
      <c r="L20" s="31">
        <f>'FS Desroches Daily'!R22</f>
        <v>7</v>
      </c>
      <c r="M20" s="31">
        <f>'FS Desroches Daily'!T22</f>
        <v>214.40000000002328</v>
      </c>
      <c r="N20" s="31">
        <f>'FS Desroches Daily'!V22</f>
        <v>155.5</v>
      </c>
      <c r="O20" s="31">
        <f>'FS Desroches Daily'!X22</f>
        <v>120.00000000000455</v>
      </c>
      <c r="P20" s="31">
        <f>'FS Desroches Daily'!Z22</f>
        <v>599.99999999993395</v>
      </c>
      <c r="Q20" s="31">
        <f>'FS Desroches Daily'!AB22</f>
        <v>139.99999999998636</v>
      </c>
      <c r="R20" s="31">
        <f>'FS Desroches Daily'!AD22</f>
        <v>210.00000000003638</v>
      </c>
      <c r="S20" s="31">
        <f>'FS Desroches Daily'!AF22</f>
        <v>250</v>
      </c>
      <c r="T20" s="31">
        <f>'FS Desroches Daily'!AH22</f>
        <v>34</v>
      </c>
      <c r="U20" s="35">
        <f>'FS Desroches Daily'!AJ22</f>
        <v>269.99999999998181</v>
      </c>
      <c r="V20" s="35">
        <f>'FS Desroches Daily'!AL22</f>
        <v>50.000000000011369</v>
      </c>
      <c r="W20" s="35">
        <f>'FS Desroches Daily'!AN22</f>
        <v>30.000000000001137</v>
      </c>
      <c r="X20" s="35">
        <f>'FS Desroches Daily'!AP22</f>
        <v>39.999999999992042</v>
      </c>
      <c r="Y20" s="35">
        <f>'FS Desroches Daily'!AR22</f>
        <v>20.000000000010232</v>
      </c>
      <c r="Z20" s="35">
        <f>'FS Desroches Daily'!AT22</f>
        <v>20.000000000038654</v>
      </c>
      <c r="AA20" s="35">
        <f>'FS Desroches Daily'!AT22</f>
        <v>20.000000000038654</v>
      </c>
      <c r="AB20" s="35">
        <f>'FS Desroches Daily'!AV22</f>
        <v>9.9999999999909051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9.9999999999909051</v>
      </c>
      <c r="AF20" s="31">
        <f>'FS Desroches Daily'!BF22</f>
        <v>30</v>
      </c>
      <c r="AG20" s="32">
        <f>'FS Desroches Daily'!BH22</f>
        <v>10.000000000019327</v>
      </c>
      <c r="AH20" s="32">
        <f>'FS Desroches Daily'!BJ22</f>
        <v>40.000000000020464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</v>
      </c>
      <c r="AM20" s="32">
        <f>'FS Desroches Daily'!BT22</f>
        <v>19.99999999998181</v>
      </c>
      <c r="AN20" s="32">
        <f>'FS Desroches Daily'!BV22</f>
        <v>7</v>
      </c>
      <c r="AO20" s="32">
        <f>'FS Desroches Daily'!BX22</f>
        <v>20.000000000010232</v>
      </c>
      <c r="AP20" s="32">
        <f>'FS Desroches Daily'!BZ22</f>
        <v>24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35.80000000000291</v>
      </c>
      <c r="AU20" s="31">
        <f>'FS Desroches Daily'!CJ22</f>
        <v>177</v>
      </c>
      <c r="AV20" s="31">
        <f>'FS Desroches Daily'!CL22</f>
        <v>490.00000000000909</v>
      </c>
      <c r="AW20" s="31">
        <f>'FS Desroches Daily'!CM22</f>
        <v>19.699999999999818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700.00000000014495</v>
      </c>
      <c r="F21" s="32">
        <f>'FS Desroches Daily'!F23</f>
        <v>799.99999999991189</v>
      </c>
      <c r="G21" s="31">
        <f>'FS Desroches Daily'!H23</f>
        <v>1800.0000000002458</v>
      </c>
      <c r="H21" s="32">
        <f>'FS Desroches Daily'!J23</f>
        <v>799.99999999991189</v>
      </c>
      <c r="I21" s="31">
        <f>'FS Desroches Daily'!L23</f>
        <v>1900.0000000000127</v>
      </c>
      <c r="J21" s="32">
        <f>'FS Desroches Daily'!N23</f>
        <v>599.99999999993395</v>
      </c>
      <c r="K21" s="13">
        <f>'FS Desroches Daily'!P23</f>
        <v>0</v>
      </c>
      <c r="L21" s="31">
        <f>'FS Desroches Daily'!R23</f>
        <v>6</v>
      </c>
      <c r="M21" s="31">
        <f>'FS Desroches Daily'!T23</f>
        <v>251.39999999990687</v>
      </c>
      <c r="N21" s="31">
        <f>'FS Desroches Daily'!V23</f>
        <v>198.09999999997672</v>
      </c>
      <c r="O21" s="31">
        <f>'FS Desroches Daily'!X23</f>
        <v>99.999999999965894</v>
      </c>
      <c r="P21" s="31">
        <f>'FS Desroches Daily'!Z23</f>
        <v>500.00000000016701</v>
      </c>
      <c r="Q21" s="31">
        <f>'FS Desroches Daily'!AB23</f>
        <v>129.99999999999545</v>
      </c>
      <c r="R21" s="31">
        <f>'FS Desroches Daily'!AD23</f>
        <v>159.99999999996817</v>
      </c>
      <c r="S21" s="31">
        <f>'FS Desroches Daily'!AF23</f>
        <v>190.00000000005457</v>
      </c>
      <c r="T21" s="31">
        <f>'FS Desroches Daily'!AH23</f>
        <v>27</v>
      </c>
      <c r="U21" s="35">
        <f>'FS Desroches Daily'!AJ23</f>
        <v>259.99999999999091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20.000000000010232</v>
      </c>
      <c r="Y21" s="35">
        <f>'FS Desroches Daily'!AR23</f>
        <v>9.9999999999909051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19.99999999998181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10.000000000019327</v>
      </c>
      <c r="AF21" s="31">
        <f>'FS Desroches Daily'!BF23</f>
        <v>30</v>
      </c>
      <c r="AG21" s="32">
        <f>'FS Desroches Daily'!BH23</f>
        <v>9.9999999999909051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30.000000000001137</v>
      </c>
      <c r="AK21" s="32">
        <f>'FS Desroches Daily'!BP23</f>
        <v>9.9999999999909051</v>
      </c>
      <c r="AL21" s="32">
        <f>'FS Desroches Daily'!BR23</f>
        <v>2</v>
      </c>
      <c r="AM21" s="32">
        <f>'FS Desroches Daily'!BT23</f>
        <v>20.000000000010232</v>
      </c>
      <c r="AN21" s="32">
        <f>'FS Desroches Daily'!BV23</f>
        <v>5</v>
      </c>
      <c r="AO21" s="32">
        <f>'FS Desroches Daily'!BX23</f>
        <v>19.99999999998181</v>
      </c>
      <c r="AP21" s="32">
        <f>'FS Desroches Daily'!BZ23</f>
        <v>16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42.5</v>
      </c>
      <c r="AU21" s="31">
        <f>'FS Desroches Daily'!CJ23</f>
        <v>174</v>
      </c>
      <c r="AV21" s="31">
        <f>'FS Desroches Daily'!CL23</f>
        <v>529.99999999997272</v>
      </c>
      <c r="AW21" s="31">
        <f>'FS Desroches Daily'!CM23</f>
        <v>21.400000000000091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499.99999999972289</v>
      </c>
      <c r="F22" s="32">
        <f>'FS Desroches Daily'!F24</f>
        <v>599.99999999993395</v>
      </c>
      <c r="G22" s="31">
        <f>'FS Desroches Daily'!H24</f>
        <v>1500.0000000000568</v>
      </c>
      <c r="H22" s="32">
        <f>'FS Desroches Daily'!J24</f>
        <v>699.99999999992292</v>
      </c>
      <c r="I22" s="31">
        <f>'FS Desroches Daily'!L24</f>
        <v>1799.9999999998017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8</v>
      </c>
      <c r="M22" s="31">
        <f>'FS Desroches Daily'!T24</f>
        <v>110.80000000004657</v>
      </c>
      <c r="N22" s="31">
        <f>'FS Desroches Daily'!V24</f>
        <v>70.900000000023283</v>
      </c>
      <c r="O22" s="31">
        <f>'FS Desroches Daily'!X24</f>
        <v>110.00000000001364</v>
      </c>
      <c r="P22" s="31">
        <f>'FS Desroches Daily'!Z24</f>
        <v>500.00000000016701</v>
      </c>
      <c r="Q22" s="31">
        <f>'FS Desroches Daily'!AB24</f>
        <v>110.00000000001364</v>
      </c>
      <c r="R22" s="31">
        <f>'FS Desroches Daily'!AD24</f>
        <v>150.00000000003411</v>
      </c>
      <c r="S22" s="31">
        <f>'FS Desroches Daily'!AF24</f>
        <v>159.99999999996817</v>
      </c>
      <c r="T22" s="31">
        <f>'FS Desroches Daily'!AH24</f>
        <v>33</v>
      </c>
      <c r="U22" s="35">
        <f>'FS Desroches Daily'!AJ24</f>
        <v>280.0000000000864</v>
      </c>
      <c r="V22" s="35">
        <f>'FS Desroches Daily'!AL24</f>
        <v>20.000000000010232</v>
      </c>
      <c r="W22" s="35">
        <f>'FS Desroches Daily'!AN24</f>
        <v>10.000000000019327</v>
      </c>
      <c r="X22" s="35">
        <f>'FS Desroches Daily'!AP24</f>
        <v>9.9999999999909051</v>
      </c>
      <c r="Y22" s="35">
        <f>'FS Desroches Daily'!AR24</f>
        <v>10.000000000019327</v>
      </c>
      <c r="Z22" s="35">
        <f>'FS Desroches Daily'!AT24</f>
        <v>19.99999999998181</v>
      </c>
      <c r="AA22" s="35">
        <f>'FS Desroches Daily'!AT24</f>
        <v>19.99999999998181</v>
      </c>
      <c r="AB22" s="35">
        <f>'FS Desroches Daily'!AV24</f>
        <v>9.9999999999909051</v>
      </c>
      <c r="AC22" s="35">
        <f>'FS Desroches Daily'!AZ24</f>
        <v>20.000000000038654</v>
      </c>
      <c r="AD22" s="35">
        <f>'FS Desroches Daily'!BB24</f>
        <v>20.000000000038654</v>
      </c>
      <c r="AE22" s="35">
        <f>'FS Desroches Daily'!BD24</f>
        <v>9.9999999999909051</v>
      </c>
      <c r="AF22" s="31">
        <f>'FS Desroches Daily'!BF24</f>
        <v>20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2</v>
      </c>
      <c r="AM22" s="32">
        <f>'FS Desroches Daily'!BT24</f>
        <v>20.000000000010232</v>
      </c>
      <c r="AN22" s="32">
        <f>'FS Desroches Daily'!BV24</f>
        <v>10</v>
      </c>
      <c r="AO22" s="32">
        <f>'FS Desroches Daily'!BX24</f>
        <v>10.000000000019327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31.299999999995634</v>
      </c>
      <c r="AU22" s="31">
        <f>'FS Desroches Daily'!CJ24</f>
        <v>173</v>
      </c>
      <c r="AV22" s="31">
        <f>'FS Desroches Daily'!CL24</f>
        <v>240.00000000000909</v>
      </c>
      <c r="AW22" s="31">
        <f>'FS Desroches Daily'!CM24</f>
        <v>22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800.00000000035595</v>
      </c>
      <c r="F23" s="32">
        <f>'FS Desroches Daily'!F25</f>
        <v>799.99999999991189</v>
      </c>
      <c r="G23" s="31">
        <f>'FS Desroches Daily'!H25</f>
        <v>1900.0000000000127</v>
      </c>
      <c r="H23" s="32">
        <f>'FS Desroches Daily'!J25</f>
        <v>800.00000000013392</v>
      </c>
      <c r="I23" s="31">
        <f>'FS Desroches Daily'!L25</f>
        <v>1800.0000000002458</v>
      </c>
      <c r="J23" s="32">
        <f>'FS Desroches Daily'!N25</f>
        <v>599.99999999993395</v>
      </c>
      <c r="K23" s="13">
        <f>'FS Desroches Daily'!P25</f>
        <v>0</v>
      </c>
      <c r="L23" s="31">
        <f>'FS Desroches Daily'!R25</f>
        <v>7</v>
      </c>
      <c r="M23" s="31">
        <f>'FS Desroches Daily'!T25</f>
        <v>290.59999999997672</v>
      </c>
      <c r="N23" s="31">
        <f>'FS Desroches Daily'!V25</f>
        <v>210.70000000001164</v>
      </c>
      <c r="O23" s="31">
        <f>'FS Desroches Daily'!X25</f>
        <v>110.00000000001364</v>
      </c>
      <c r="P23" s="31">
        <f>'FS Desroches Daily'!Z25</f>
        <v>599.99999999993395</v>
      </c>
      <c r="Q23" s="31">
        <f>'FS Desroches Daily'!AB25</f>
        <v>110.00000000001364</v>
      </c>
      <c r="R23" s="31">
        <f>'FS Desroches Daily'!AD25</f>
        <v>169.99999999995907</v>
      </c>
      <c r="S23" s="31">
        <f>'FS Desroches Daily'!AF25</f>
        <v>250</v>
      </c>
      <c r="T23" s="31">
        <f>'FS Desroches Daily'!AH25</f>
        <v>30</v>
      </c>
      <c r="U23" s="35">
        <f>'FS Desroches Daily'!AJ25</f>
        <v>250</v>
      </c>
      <c r="V23" s="35">
        <f>'FS Desroches Daily'!AL25</f>
        <v>49.999999999982947</v>
      </c>
      <c r="W23" s="35">
        <f>'FS Desroches Daily'!AN25</f>
        <v>30.000000000001137</v>
      </c>
      <c r="X23" s="35">
        <f>'FS Desroches Daily'!AP25</f>
        <v>30.000000000001137</v>
      </c>
      <c r="Y23" s="35">
        <f>'FS Desroches Daily'!AR25</f>
        <v>19.99999999998181</v>
      </c>
      <c r="Z23" s="35">
        <f>'FS Desroches Daily'!AT25</f>
        <v>20.000000000038654</v>
      </c>
      <c r="AA23" s="35">
        <f>'FS Desroches Daily'!AT25</f>
        <v>20.000000000038654</v>
      </c>
      <c r="AB23" s="35">
        <f>'FS Desroches Daily'!AV25</f>
        <v>9.9999999999909051</v>
      </c>
      <c r="AC23" s="35">
        <f>'FS Desroches Daily'!AZ25</f>
        <v>19.99999999998181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31</v>
      </c>
      <c r="AG23" s="32">
        <f>'FS Desroches Daily'!BH25</f>
        <v>9.9999999999909051</v>
      </c>
      <c r="AH23" s="32">
        <f>'FS Desroches Daily'!BJ25</f>
        <v>30.000000000029559</v>
      </c>
      <c r="AI23" s="32">
        <f>'FS Desroches Daily'!BL25</f>
        <v>0</v>
      </c>
      <c r="AJ23" s="32">
        <f>'FS Desroches Daily'!BN25</f>
        <v>30.000000000001137</v>
      </c>
      <c r="AK23" s="32">
        <f>'FS Desroches Daily'!BP25</f>
        <v>9.9999999999909051</v>
      </c>
      <c r="AL23" s="32">
        <f>'FS Desroches Daily'!BR25</f>
        <v>2</v>
      </c>
      <c r="AM23" s="32">
        <f>'FS Desroches Daily'!BT25</f>
        <v>19.99999999998181</v>
      </c>
      <c r="AN23" s="32">
        <f>'FS Desroches Daily'!BV25</f>
        <v>5</v>
      </c>
      <c r="AO23" s="32">
        <f>'FS Desroches Daily'!BX25</f>
        <v>19.99999999998181</v>
      </c>
      <c r="AP23" s="32">
        <f>'FS Desroches Daily'!BZ25</f>
        <v>17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24.700000000004366</v>
      </c>
      <c r="AU23" s="31">
        <f>'FS Desroches Daily'!CJ25</f>
        <v>172</v>
      </c>
      <c r="AV23" s="31">
        <f>'FS Desroches Daily'!CL25</f>
        <v>480.00000000001819</v>
      </c>
      <c r="AW23" s="31">
        <f>'FS Desroches Daily'!CM25</f>
        <v>24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699.99999999970089</v>
      </c>
      <c r="F24" s="32">
        <f>'FS Desroches Daily'!F26</f>
        <v>799.99999999991189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0</v>
      </c>
      <c r="M24" s="31">
        <f>'FS Desroches Daily'!T26</f>
        <v>341.20000000006985</v>
      </c>
      <c r="N24" s="31">
        <f>'FS Desroches Daily'!V26</f>
        <v>243.09999999997672</v>
      </c>
      <c r="O24" s="31">
        <f>'FS Desroches Daily'!X26</f>
        <v>110.00000000001364</v>
      </c>
      <c r="P24" s="31">
        <f>'FS Desroches Daily'!Z26</f>
        <v>599.99999999993395</v>
      </c>
      <c r="Q24" s="31">
        <f>'FS Desroches Daily'!AB26</f>
        <v>120.00000000000455</v>
      </c>
      <c r="R24" s="31">
        <f>'FS Desroches Daily'!AD26</f>
        <v>160.00000000002501</v>
      </c>
      <c r="S24" s="31">
        <f>'FS Desroches Daily'!AF26</f>
        <v>159.99999999996817</v>
      </c>
      <c r="T24" s="31">
        <f>'FS Desroches Daily'!AH26</f>
        <v>31</v>
      </c>
      <c r="U24" s="35">
        <f>'FS Desroches Daily'!AJ26</f>
        <v>259.99999999999091</v>
      </c>
      <c r="V24" s="35">
        <f>'FS Desroches Daily'!AL26</f>
        <v>40.000000000020464</v>
      </c>
      <c r="W24" s="35">
        <f>'FS Desroches Daily'!AN26</f>
        <v>19.99999999998181</v>
      </c>
      <c r="X24" s="35">
        <f>'FS Desroches Daily'!AP26</f>
        <v>9.9999999999909051</v>
      </c>
      <c r="Y24" s="35">
        <f>'FS Desroches Daily'!AR26</f>
        <v>20.000000000010232</v>
      </c>
      <c r="Z24" s="35">
        <f>'FS Desroches Daily'!AT26</f>
        <v>59.99999999994543</v>
      </c>
      <c r="AA24" s="35">
        <f>'FS Desroches Daily'!AT26</f>
        <v>59.99999999994543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19.99999999998181</v>
      </c>
      <c r="AE24" s="35">
        <f>'FS Desroches Daily'!BD26</f>
        <v>0</v>
      </c>
      <c r="AF24" s="31">
        <f>'FS Desroches Daily'!BF26</f>
        <v>36</v>
      </c>
      <c r="AG24" s="32">
        <f>'FS Desroches Daily'!BH26</f>
        <v>20.000000000010232</v>
      </c>
      <c r="AH24" s="32">
        <f>'FS Desroches Daily'!BJ26</f>
        <v>39.99999999996362</v>
      </c>
      <c r="AI24" s="32">
        <f>'FS Desroches Daily'!BL26</f>
        <v>10.000000000019327</v>
      </c>
      <c r="AJ24" s="32">
        <f>'FS Desroches Daily'!BN26</f>
        <v>30.000000000001137</v>
      </c>
      <c r="AK24" s="32">
        <f>'FS Desroches Daily'!BP26</f>
        <v>20.000000000038654</v>
      </c>
      <c r="AL24" s="32">
        <f>'FS Desroches Daily'!BR26</f>
        <v>2</v>
      </c>
      <c r="AM24" s="32">
        <f>'FS Desroches Daily'!BT26</f>
        <v>20.000000000010232</v>
      </c>
      <c r="AN24" s="32">
        <f>'FS Desroches Daily'!BV26</f>
        <v>6</v>
      </c>
      <c r="AO24" s="32">
        <f>'FS Desroches Daily'!BX26</f>
        <v>20.000000000010232</v>
      </c>
      <c r="AP24" s="32">
        <f>'FS Desroches Daily'!BZ26</f>
        <v>21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30.299999999995634</v>
      </c>
      <c r="AU24" s="31">
        <f>'FS Desroches Daily'!CJ26</f>
        <v>184</v>
      </c>
      <c r="AV24" s="31">
        <f>'FS Desroches Daily'!CL26</f>
        <v>279.99999999997272</v>
      </c>
      <c r="AW24" s="31">
        <f>'FS Desroches Daily'!CM26</f>
        <v>27.800000000000182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700.00000000014495</v>
      </c>
      <c r="F25" s="32">
        <f>'FS Desroches Daily'!F27</f>
        <v>900.0000000001229</v>
      </c>
      <c r="G25" s="31">
        <f>'FS Desroches Daily'!H27</f>
        <v>1700.0000000000348</v>
      </c>
      <c r="H25" s="32">
        <f>'FS Desroches Daily'!J27</f>
        <v>800.00000000013392</v>
      </c>
      <c r="I25" s="31">
        <f>'FS Desroches Daily'!L27</f>
        <v>1900.0000000000127</v>
      </c>
      <c r="J25" s="32">
        <f>'FS Desroches Daily'!N27</f>
        <v>499.99999999994492</v>
      </c>
      <c r="K25" s="13">
        <f>'FS Desroches Daily'!P27</f>
        <v>0</v>
      </c>
      <c r="L25" s="31">
        <f>'FS Desroches Daily'!R27</f>
        <v>17</v>
      </c>
      <c r="M25" s="31">
        <f>'FS Desroches Daily'!T27</f>
        <v>294</v>
      </c>
      <c r="N25" s="31">
        <f>'FS Desroches Daily'!V27</f>
        <v>222.09999999997672</v>
      </c>
      <c r="O25" s="31">
        <f>'FS Desroches Daily'!X27</f>
        <v>109.9999999999568</v>
      </c>
      <c r="P25" s="31">
        <f>'FS Desroches Daily'!Z27</f>
        <v>700.00000000014495</v>
      </c>
      <c r="Q25" s="31">
        <f>'FS Desroches Daily'!AB27</f>
        <v>109.9999999999568</v>
      </c>
      <c r="R25" s="31">
        <f>'FS Desroches Daily'!AD27</f>
        <v>149.99999999997726</v>
      </c>
      <c r="S25" s="31">
        <f>'FS Desroches Daily'!AF27</f>
        <v>180.00000000006366</v>
      </c>
      <c r="T25" s="31">
        <f>'FS Desroches Daily'!AH27</f>
        <v>29</v>
      </c>
      <c r="U25" s="35">
        <f>'FS Desroches Daily'!AJ27</f>
        <v>269.99999999998181</v>
      </c>
      <c r="V25" s="35">
        <f>'FS Desroches Daily'!AL27</f>
        <v>30.000000000001137</v>
      </c>
      <c r="W25" s="35">
        <f>'FS Desroches Daily'!AN27</f>
        <v>20.000000000010232</v>
      </c>
      <c r="X25" s="35">
        <f>'FS Desroches Daily'!AP27</f>
        <v>20.000000000010232</v>
      </c>
      <c r="Y25" s="35">
        <f>'FS Desroches Daily'!AR27</f>
        <v>20.000000000010232</v>
      </c>
      <c r="Z25" s="35">
        <f>'FS Desroches Daily'!AT27</f>
        <v>50.000000000011369</v>
      </c>
      <c r="AA25" s="35">
        <f>'FS Desroches Daily'!AT27</f>
        <v>50.000000000011369</v>
      </c>
      <c r="AB25" s="35">
        <f>'FS Desroches Daily'!AV27</f>
        <v>9.9999999999909051</v>
      </c>
      <c r="AC25" s="35">
        <f>'FS Desroches Daily'!AZ27</f>
        <v>20.000000000038654</v>
      </c>
      <c r="AD25" s="35">
        <f>'FS Desroches Daily'!BB27</f>
        <v>20.000000000038654</v>
      </c>
      <c r="AE25" s="35">
        <f>'FS Desroches Daily'!BD27</f>
        <v>9.9999999999909051</v>
      </c>
      <c r="AF25" s="31">
        <f>'FS Desroches Daily'!BF27</f>
        <v>27</v>
      </c>
      <c r="AG25" s="32">
        <f>'FS Desroches Daily'!BH27</f>
        <v>9.9999999999909051</v>
      </c>
      <c r="AH25" s="32">
        <f>'FS Desroches Daily'!BJ27</f>
        <v>30.000000000029559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2</v>
      </c>
      <c r="AM25" s="32">
        <f>'FS Desroches Daily'!BT27</f>
        <v>30.000000000001137</v>
      </c>
      <c r="AN25" s="32">
        <f>'FS Desroches Daily'!BV27</f>
        <v>6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38.100000000005821</v>
      </c>
      <c r="AU25" s="31">
        <f>'FS Desroches Daily'!CJ27</f>
        <v>175</v>
      </c>
      <c r="AV25" s="31">
        <f>'FS Desroches Daily'!CL27</f>
        <v>429.99999999994998</v>
      </c>
      <c r="AW25" s="31">
        <f>'FS Desroches Daily'!CM27</f>
        <v>19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700.00000000014495</v>
      </c>
      <c r="F26" s="32">
        <f>'FS Desroches Daily'!F28</f>
        <v>900.0000000001229</v>
      </c>
      <c r="G26" s="31">
        <f>'FS Desroches Daily'!H28</f>
        <v>1799.9999999998017</v>
      </c>
      <c r="H26" s="32">
        <f>'FS Desroches Daily'!J28</f>
        <v>899.99999999990087</v>
      </c>
      <c r="I26" s="31">
        <f>'FS Desroches Daily'!L28</f>
        <v>1999.9999999997797</v>
      </c>
      <c r="J26" s="32">
        <f>'FS Desroches Daily'!N28</f>
        <v>600.00000000015598</v>
      </c>
      <c r="K26" s="13">
        <f>'FS Desroches Daily'!P28</f>
        <v>0</v>
      </c>
      <c r="L26" s="31">
        <f>'FS Desroches Daily'!R28</f>
        <v>6</v>
      </c>
      <c r="M26" s="31">
        <f>'FS Desroches Daily'!T28</f>
        <v>352.59999999997672</v>
      </c>
      <c r="N26" s="31">
        <f>'FS Desroches Daily'!V28</f>
        <v>257.60000000003492</v>
      </c>
      <c r="O26" s="31">
        <f>'FS Desroches Daily'!X28</f>
        <v>130.0000000000523</v>
      </c>
      <c r="P26" s="31">
        <f>'FS Desroches Daily'!Z28</f>
        <v>699.99999999970089</v>
      </c>
      <c r="Q26" s="31">
        <f>'FS Desroches Daily'!AB28</f>
        <v>140.0000000000432</v>
      </c>
      <c r="R26" s="31">
        <f>'FS Desroches Daily'!AD28</f>
        <v>160.00000000002501</v>
      </c>
      <c r="S26" s="31">
        <f>'FS Desroches Daily'!AF28</f>
        <v>189.99999999994088</v>
      </c>
      <c r="T26" s="31">
        <f>'FS Desroches Daily'!AH28</f>
        <v>31</v>
      </c>
      <c r="U26" s="35">
        <f>'FS Desroches Daily'!AJ28</f>
        <v>250</v>
      </c>
      <c r="V26" s="35">
        <f>'FS Desroches Daily'!AL28</f>
        <v>49.999999999982947</v>
      </c>
      <c r="W26" s="35">
        <f>'FS Desroches Daily'!AN28</f>
        <v>20.000000000010232</v>
      </c>
      <c r="X26" s="35">
        <f>'FS Desroches Daily'!AP28</f>
        <v>19.99999999998181</v>
      </c>
      <c r="Y26" s="35">
        <f>'FS Desroches Daily'!AR28</f>
        <v>19.99999999998181</v>
      </c>
      <c r="Z26" s="35">
        <f>'FS Desroches Daily'!AT28</f>
        <v>50.000000000011369</v>
      </c>
      <c r="AA26" s="35">
        <f>'FS Desroches Daily'!AT28</f>
        <v>50.000000000011369</v>
      </c>
      <c r="AB26" s="35">
        <f>'FS Desroches Daily'!AV28</f>
        <v>9.9999999999909051</v>
      </c>
      <c r="AC26" s="35">
        <f>'FS Desroches Daily'!AZ28</f>
        <v>9.9999999999909051</v>
      </c>
      <c r="AD26" s="35">
        <f>'FS Desroches Daily'!BB28</f>
        <v>19.99999999998181</v>
      </c>
      <c r="AE26" s="35">
        <f>'FS Desroches Daily'!BD28</f>
        <v>10.000000000019327</v>
      </c>
      <c r="AF26" s="31">
        <f>'FS Desroches Daily'!BF28</f>
        <v>32</v>
      </c>
      <c r="AG26" s="32">
        <f>'FS Desroches Daily'!BH28</f>
        <v>20.000000000010232</v>
      </c>
      <c r="AH26" s="32">
        <f>'FS Desroches Daily'!BJ28</f>
        <v>29.999999999972715</v>
      </c>
      <c r="AI26" s="32">
        <f>'FS Desroches Daily'!BL28</f>
        <v>9.9999999999909051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3</v>
      </c>
      <c r="AM26" s="32">
        <f>'FS Desroches Daily'!BT28</f>
        <v>20.000000000010232</v>
      </c>
      <c r="AN26" s="32">
        <f>'FS Desroches Daily'!BV28</f>
        <v>6</v>
      </c>
      <c r="AO26" s="32">
        <f>'FS Desroches Daily'!BX28</f>
        <v>20.000000000010232</v>
      </c>
      <c r="AP26" s="32">
        <f>'FS Desroches Daily'!BZ28</f>
        <v>20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34.5</v>
      </c>
      <c r="AU26" s="31">
        <f>'FS Desroches Daily'!CJ28</f>
        <v>177</v>
      </c>
      <c r="AV26" s="31">
        <f>'FS Desroches Daily'!CL28</f>
        <v>430.00000000006366</v>
      </c>
      <c r="AW26" s="31">
        <f>'FS Desroches Daily'!CM28</f>
        <v>30.550000000000182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599.99999999993395</v>
      </c>
      <c r="F27" s="32">
        <f>'FS Desroches Daily'!F29</f>
        <v>999.99999999988984</v>
      </c>
      <c r="G27" s="31">
        <f>'FS Desroches Daily'!H29</f>
        <v>1900.0000000000127</v>
      </c>
      <c r="H27" s="32">
        <f>'FS Desroches Daily'!J29</f>
        <v>899.99999999990087</v>
      </c>
      <c r="I27" s="31">
        <f>'FS Desroches Daily'!L29</f>
        <v>1800.0000000002458</v>
      </c>
      <c r="J27" s="32">
        <f>'FS Desroches Daily'!N29</f>
        <v>699.99999999992292</v>
      </c>
      <c r="K27" s="13">
        <f>'FS Desroches Daily'!P29</f>
        <v>0</v>
      </c>
      <c r="L27" s="31">
        <f>'FS Desroches Daily'!R29</f>
        <v>4</v>
      </c>
      <c r="M27" s="31">
        <f>'FS Desroches Daily'!T29</f>
        <v>324.40000000002328</v>
      </c>
      <c r="N27" s="31">
        <f>'FS Desroches Daily'!V29</f>
        <v>257.70000000001164</v>
      </c>
      <c r="O27" s="31">
        <f>'FS Desroches Daily'!X29</f>
        <v>159.99999999996817</v>
      </c>
      <c r="P27" s="31">
        <f>'FS Desroches Daily'!Z29</f>
        <v>700.00000000014495</v>
      </c>
      <c r="Q27" s="31">
        <f>'FS Desroches Daily'!AB29</f>
        <v>149.99999999997726</v>
      </c>
      <c r="R27" s="31">
        <f>'FS Desroches Daily'!AD29</f>
        <v>159.99999999996817</v>
      </c>
      <c r="S27" s="31">
        <f>'FS Desroches Daily'!AF29</f>
        <v>240.00000000000909</v>
      </c>
      <c r="T27" s="31">
        <f>'FS Desroches Daily'!AH29</f>
        <v>29</v>
      </c>
      <c r="U27" s="35">
        <f>'FS Desroches Daily'!AJ29</f>
        <v>259.99999999999091</v>
      </c>
      <c r="V27" s="35">
        <f>'FS Desroches Daily'!AL29</f>
        <v>30.000000000001137</v>
      </c>
      <c r="W27" s="35">
        <f>'FS Desroches Daily'!AN29</f>
        <v>19.99999999998181</v>
      </c>
      <c r="X27" s="35">
        <f>'FS Desroches Daily'!AP29</f>
        <v>30.000000000001137</v>
      </c>
      <c r="Y27" s="35">
        <f>'FS Desroches Daily'!AR29</f>
        <v>9.9999999999909051</v>
      </c>
      <c r="Z27" s="35">
        <f>'FS Desroches Daily'!AT29</f>
        <v>50.000000000011369</v>
      </c>
      <c r="AA27" s="35">
        <f>'FS Desroches Daily'!AT29</f>
        <v>50.000000000011369</v>
      </c>
      <c r="AB27" s="35">
        <f>'FS Desroches Daily'!AV29</f>
        <v>19.99999999998181</v>
      </c>
      <c r="AC27" s="35">
        <f>'FS Desroches Daily'!AZ29</f>
        <v>19.99999999998181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32</v>
      </c>
      <c r="AG27" s="32">
        <f>'FS Desroches Daily'!BH29</f>
        <v>20.000000000010232</v>
      </c>
      <c r="AH27" s="32">
        <f>'FS Desroches Daily'!BJ29</f>
        <v>40.000000000020464</v>
      </c>
      <c r="AI27" s="32">
        <f>'FS Desroches Daily'!BL29</f>
        <v>10.000000000019327</v>
      </c>
      <c r="AJ27" s="32">
        <f>'FS Desroches Daily'!BN29</f>
        <v>30.000000000001137</v>
      </c>
      <c r="AK27" s="32">
        <f>'FS Desroches Daily'!BP29</f>
        <v>20.000000000038654</v>
      </c>
      <c r="AL27" s="32">
        <f>'FS Desroches Daily'!BR29</f>
        <v>2</v>
      </c>
      <c r="AM27" s="32">
        <f>'FS Desroches Daily'!BT29</f>
        <v>29.999999999972715</v>
      </c>
      <c r="AN27" s="32">
        <f>'FS Desroches Daily'!BV29</f>
        <v>22</v>
      </c>
      <c r="AO27" s="32">
        <f>'FS Desroches Daily'!BX29</f>
        <v>20.000000000010232</v>
      </c>
      <c r="AP27" s="32">
        <f>'FS Desroches Daily'!BZ29</f>
        <v>34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39.299999999995634</v>
      </c>
      <c r="AU27" s="31">
        <f>'FS Desroches Daily'!CJ29</f>
        <v>176</v>
      </c>
      <c r="AV27" s="31">
        <f>'FS Desroches Daily'!CL29</f>
        <v>439.99999999994088</v>
      </c>
      <c r="AW27" s="31">
        <f>'FS Desroches Daily'!CM29</f>
        <v>20.099999999999454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>
        <f>'FS Desroches Daily'!BF30</f>
        <v>0</v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20399.999999999982</v>
      </c>
      <c r="F33" s="17">
        <f t="shared" ref="F33:BC33" si="1">SUM(F2:F32)</f>
        <v>19400.000000000095</v>
      </c>
      <c r="G33" s="17">
        <f t="shared" si="1"/>
        <v>44699.99999999976</v>
      </c>
      <c r="H33" s="17">
        <f t="shared" si="1"/>
        <v>21599.999999999854</v>
      </c>
      <c r="I33" s="17">
        <f t="shared" si="1"/>
        <v>49900.00000000008</v>
      </c>
      <c r="J33" s="17">
        <f t="shared" si="1"/>
        <v>14599.999999999951</v>
      </c>
      <c r="K33" s="17">
        <f t="shared" si="1"/>
        <v>4</v>
      </c>
      <c r="L33" s="17">
        <f t="shared" si="1"/>
        <v>132</v>
      </c>
      <c r="M33" s="17">
        <f t="shared" si="1"/>
        <v>6765</v>
      </c>
      <c r="N33" s="17">
        <f t="shared" si="1"/>
        <v>4842.9000000000233</v>
      </c>
      <c r="O33" s="17">
        <f t="shared" si="1"/>
        <v>3060.0000000000023</v>
      </c>
      <c r="P33" s="17">
        <f t="shared" si="1"/>
        <v>13799.999999999818</v>
      </c>
      <c r="Q33" s="17">
        <f t="shared" si="1"/>
        <v>2689.9999999999977</v>
      </c>
      <c r="R33" s="17">
        <f t="shared" si="1"/>
        <v>3919.9999999999591</v>
      </c>
      <c r="S33" s="17">
        <f t="shared" si="1"/>
        <v>5189.9999999999409</v>
      </c>
      <c r="T33" s="17">
        <f t="shared" si="1"/>
        <v>334.79999999999995</v>
      </c>
      <c r="U33" s="35">
        <f t="shared" si="1"/>
        <v>6629.9999999999955</v>
      </c>
      <c r="V33" s="35">
        <f t="shared" si="1"/>
        <v>889.99999999998636</v>
      </c>
      <c r="W33" s="35">
        <f t="shared" si="1"/>
        <v>519.99999999998181</v>
      </c>
      <c r="X33" s="35">
        <f t="shared" si="1"/>
        <v>530.00000000000114</v>
      </c>
      <c r="Y33" s="35">
        <f t="shared" si="1"/>
        <v>439.99999999999773</v>
      </c>
      <c r="Z33" s="35">
        <f t="shared" si="1"/>
        <v>965.8300000000545</v>
      </c>
      <c r="AA33" s="35">
        <f t="shared" si="1"/>
        <v>965.8300000000545</v>
      </c>
      <c r="AB33" s="35">
        <f t="shared" si="1"/>
        <v>409.99999999996817</v>
      </c>
      <c r="AC33" s="35">
        <f t="shared" si="1"/>
        <v>479.99999999996135</v>
      </c>
      <c r="AD33" s="35">
        <f t="shared" si="1"/>
        <v>579.99999999998408</v>
      </c>
      <c r="AE33" s="35">
        <f t="shared" si="1"/>
        <v>259.99999999999091</v>
      </c>
      <c r="AF33" s="17">
        <f t="shared" si="1"/>
        <v>761</v>
      </c>
      <c r="AG33" s="32">
        <f t="shared" si="1"/>
        <v>460.00000000000796</v>
      </c>
      <c r="AH33" s="32">
        <f t="shared" si="1"/>
        <v>920.00000000001592</v>
      </c>
      <c r="AI33" s="32">
        <f t="shared" si="1"/>
        <v>200.00000000001705</v>
      </c>
      <c r="AJ33" s="32">
        <f t="shared" si="1"/>
        <v>629.99999999999545</v>
      </c>
      <c r="AK33" s="32">
        <f t="shared" si="1"/>
        <v>410.00000000002501</v>
      </c>
      <c r="AL33" s="32">
        <f t="shared" si="1"/>
        <v>136</v>
      </c>
      <c r="AM33" s="32">
        <f t="shared" si="1"/>
        <v>399.99999999997726</v>
      </c>
      <c r="AN33" s="32">
        <f t="shared" si="1"/>
        <v>279</v>
      </c>
      <c r="AO33" s="32">
        <f t="shared" si="1"/>
        <v>460.00000000000796</v>
      </c>
      <c r="AP33" s="32">
        <f t="shared" si="1"/>
        <v>508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920.29999999999563</v>
      </c>
      <c r="AU33" s="17">
        <f t="shared" si="1"/>
        <v>5000</v>
      </c>
      <c r="AV33" s="17">
        <f t="shared" si="1"/>
        <v>10419.99999999996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0.18240669539870213</v>
      </c>
      <c r="G35" s="29">
        <f>G33-M36</f>
        <v>33092.099999999737</v>
      </c>
      <c r="AE35" s="35">
        <f>SUM(U33:AE33)</f>
        <v>12671.659999999976</v>
      </c>
      <c r="AG35" s="32">
        <f>SUM(AG33:AP33)</f>
        <v>4403.0000000000464</v>
      </c>
    </row>
    <row r="36" spans="5:55" x14ac:dyDescent="0.25">
      <c r="G36" s="29">
        <f>G35-633*14</f>
        <v>24230.099999999737</v>
      </c>
      <c r="M36" s="29">
        <f>M33+N33</f>
        <v>11607.900000000023</v>
      </c>
    </row>
    <row r="37" spans="5:55" x14ac:dyDescent="0.25">
      <c r="E37" s="17">
        <f>E33+F33+G33+H33+J33-633*14</f>
        <v>111837.99999999964</v>
      </c>
      <c r="G37" s="37">
        <f>M36/E37</f>
        <v>0.10379209213326474</v>
      </c>
      <c r="M37" s="35">
        <f>AE35</f>
        <v>12671.659999999976</v>
      </c>
    </row>
    <row r="38" spans="5:55" x14ac:dyDescent="0.25">
      <c r="L38" s="27">
        <f>M38/E37</f>
        <v>3.9369445090220327E-2</v>
      </c>
      <c r="M38" s="29">
        <f>AG35</f>
        <v>4403.0000000000464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D1" zoomScale="87" zoomScaleNormal="87" workbookViewId="0">
      <pane ySplit="1" topLeftCell="A17" activePane="bottomLeft" state="frozen"/>
      <selection pane="bottomLeft" activeCell="CW30" sqref="CW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>
        <v>2.0545</v>
      </c>
      <c r="D16" s="64">
        <f t="shared" si="0"/>
        <v>700.00000000014495</v>
      </c>
      <c r="E16" s="58">
        <v>2.9216000000000002</v>
      </c>
      <c r="F16" s="64">
        <f t="shared" si="1"/>
        <v>600.00000000037801</v>
      </c>
      <c r="G16" s="58">
        <v>2.9883999999999999</v>
      </c>
      <c r="H16" s="64">
        <f t="shared" si="2"/>
        <v>1799.9999999998017</v>
      </c>
      <c r="I16" s="58">
        <v>1.4617</v>
      </c>
      <c r="J16" s="64">
        <f t="shared" si="3"/>
        <v>799.99999999991189</v>
      </c>
      <c r="K16" s="58">
        <v>2.3626</v>
      </c>
      <c r="L16" s="64">
        <f t="shared" si="39"/>
        <v>2099.9999999999909</v>
      </c>
      <c r="M16" s="58">
        <v>1.3391</v>
      </c>
      <c r="N16" s="64">
        <f t="shared" si="4"/>
        <v>499.99999999994492</v>
      </c>
      <c r="O16" s="58">
        <v>12740</v>
      </c>
      <c r="P16" s="67">
        <f t="shared" si="43"/>
        <v>0</v>
      </c>
      <c r="Q16" s="58">
        <v>307</v>
      </c>
      <c r="R16" s="67">
        <f t="shared" si="6"/>
        <v>5</v>
      </c>
      <c r="S16" s="58">
        <v>899465.8</v>
      </c>
      <c r="T16" s="67">
        <f t="shared" si="7"/>
        <v>288.40000000002328</v>
      </c>
      <c r="U16" s="58">
        <v>372938.9</v>
      </c>
      <c r="V16" s="67">
        <f t="shared" si="8"/>
        <v>229.70000000001164</v>
      </c>
      <c r="W16" s="58">
        <v>362.03</v>
      </c>
      <c r="X16" s="65">
        <f t="shared" si="9"/>
        <v>99.999999999965894</v>
      </c>
      <c r="Y16" s="58">
        <v>2.5484</v>
      </c>
      <c r="Z16" s="65">
        <f t="shared" si="10"/>
        <v>500.00000000016701</v>
      </c>
      <c r="AA16" s="58">
        <v>356.16</v>
      </c>
      <c r="AB16" s="65">
        <f t="shared" si="11"/>
        <v>100.00000000002274</v>
      </c>
      <c r="AC16" s="58">
        <v>342.35</v>
      </c>
      <c r="AD16" s="65">
        <f t="shared" si="12"/>
        <v>150.00000000003411</v>
      </c>
      <c r="AE16" s="58">
        <v>530.03</v>
      </c>
      <c r="AF16" s="65">
        <f t="shared" si="13"/>
        <v>189.99999999994088</v>
      </c>
      <c r="AG16" s="58">
        <v>1574.5</v>
      </c>
      <c r="AH16" s="67">
        <f t="shared" si="14"/>
        <v>1.5999999999999091</v>
      </c>
      <c r="AI16" s="58">
        <v>530.5</v>
      </c>
      <c r="AJ16" s="65">
        <f t="shared" si="15"/>
        <v>250</v>
      </c>
      <c r="AK16" s="58">
        <v>181.69</v>
      </c>
      <c r="AL16" s="65">
        <f t="shared" si="15"/>
        <v>30.000000000001137</v>
      </c>
      <c r="AM16" s="58">
        <v>179.53</v>
      </c>
      <c r="AN16" s="65">
        <f t="shared" si="15"/>
        <v>20.000000000010232</v>
      </c>
      <c r="AO16" s="58">
        <v>171.18</v>
      </c>
      <c r="AP16" s="65">
        <f t="shared" si="15"/>
        <v>20.000000000010232</v>
      </c>
      <c r="AQ16" s="58">
        <v>229.42</v>
      </c>
      <c r="AR16" s="65">
        <f t="shared" si="16"/>
        <v>9.9999999999909051</v>
      </c>
      <c r="AS16" s="58">
        <v>357.02</v>
      </c>
      <c r="AT16" s="65">
        <f t="shared" si="17"/>
        <v>19.99999999998181</v>
      </c>
      <c r="AU16" s="58">
        <v>275.77999999999997</v>
      </c>
      <c r="AV16" s="65">
        <f t="shared" si="18"/>
        <v>19.99999999998181</v>
      </c>
      <c r="AW16" s="58">
        <v>311.98</v>
      </c>
      <c r="AX16" s="65">
        <f t="shared" si="19"/>
        <v>40.000000000020464</v>
      </c>
      <c r="AY16" s="58">
        <v>356.96</v>
      </c>
      <c r="AZ16" s="65">
        <f t="shared" si="20"/>
        <v>19.99999999998181</v>
      </c>
      <c r="BA16" s="58">
        <v>378.24</v>
      </c>
      <c r="BB16" s="65">
        <f t="shared" si="21"/>
        <v>19.99999999998181</v>
      </c>
      <c r="BC16" s="58">
        <v>236.79</v>
      </c>
      <c r="BD16" s="65">
        <f t="shared" si="22"/>
        <v>9.9999999999909051</v>
      </c>
      <c r="BE16" s="59">
        <v>35473</v>
      </c>
      <c r="BF16" s="67">
        <f t="shared" si="40"/>
        <v>26</v>
      </c>
      <c r="BG16" s="60">
        <v>229.07</v>
      </c>
      <c r="BH16" s="65">
        <f t="shared" si="23"/>
        <v>19.99999999998181</v>
      </c>
      <c r="BI16" s="60">
        <v>288.14</v>
      </c>
      <c r="BJ16" s="65">
        <f t="shared" si="41"/>
        <v>39.99999999996362</v>
      </c>
      <c r="BK16" s="60">
        <v>233.07</v>
      </c>
      <c r="BL16" s="65">
        <f t="shared" si="24"/>
        <v>0</v>
      </c>
      <c r="BM16" s="60">
        <v>218.53</v>
      </c>
      <c r="BN16" s="65">
        <f t="shared" si="25"/>
        <v>30.000000000001137</v>
      </c>
      <c r="BO16" s="60">
        <v>283.69</v>
      </c>
      <c r="BP16" s="65">
        <f t="shared" si="26"/>
        <v>9.9999999999909051</v>
      </c>
      <c r="BQ16" s="60">
        <v>41875</v>
      </c>
      <c r="BR16" s="65">
        <f t="shared" si="27"/>
        <v>8</v>
      </c>
      <c r="BS16" s="60">
        <v>196.88</v>
      </c>
      <c r="BT16" s="65">
        <f t="shared" si="42"/>
        <v>9.9999999999909051</v>
      </c>
      <c r="BU16" s="60">
        <v>35428</v>
      </c>
      <c r="BV16" s="65">
        <f t="shared" si="28"/>
        <v>13</v>
      </c>
      <c r="BW16" s="60">
        <v>228.43</v>
      </c>
      <c r="BX16" s="65">
        <f t="shared" si="29"/>
        <v>20.000000000010232</v>
      </c>
      <c r="BY16" s="60">
        <v>54130</v>
      </c>
      <c r="BZ16" s="67">
        <f t="shared" si="30"/>
        <v>16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55008.9</v>
      </c>
      <c r="CH16" s="67">
        <f t="shared" si="34"/>
        <v>27.900000000001455</v>
      </c>
      <c r="CI16" s="60">
        <v>911616</v>
      </c>
      <c r="CJ16" s="67">
        <f t="shared" si="35"/>
        <v>170</v>
      </c>
      <c r="CK16" s="60">
        <v>678.73</v>
      </c>
      <c r="CL16" s="64">
        <f t="shared" si="36"/>
        <v>320.00000000005002</v>
      </c>
      <c r="CM16" s="65">
        <f t="shared" si="37"/>
        <v>23.699999999999818</v>
      </c>
      <c r="CN16" s="62">
        <v>0</v>
      </c>
      <c r="CO16" s="62">
        <v>0</v>
      </c>
      <c r="CP16" s="68">
        <v>3940.6</v>
      </c>
      <c r="CQ16" s="67">
        <f t="shared" si="38"/>
        <v>15.699999999999818</v>
      </c>
      <c r="CR16" s="68">
        <v>11979</v>
      </c>
      <c r="CS16" s="67">
        <f t="shared" si="38"/>
        <v>8</v>
      </c>
      <c r="CT16" s="75">
        <v>4736</v>
      </c>
      <c r="CU16" s="67">
        <f t="shared" si="38"/>
        <v>12</v>
      </c>
      <c r="CV16" s="68">
        <v>12226</v>
      </c>
      <c r="CW16" s="67">
        <f t="shared" si="38"/>
        <v>28</v>
      </c>
    </row>
    <row r="17" spans="1:101" ht="25.5" customHeight="1" thickBot="1" x14ac:dyDescent="0.45">
      <c r="A17" s="63">
        <v>44241</v>
      </c>
      <c r="B17" s="44"/>
      <c r="C17" s="58">
        <v>2.0550999999999999</v>
      </c>
      <c r="D17" s="64">
        <f t="shared" si="0"/>
        <v>599.99999999993395</v>
      </c>
      <c r="E17" s="58">
        <v>2.9222999999999999</v>
      </c>
      <c r="F17" s="64">
        <f t="shared" si="1"/>
        <v>699.99999999970089</v>
      </c>
      <c r="G17" s="58">
        <v>2.9899</v>
      </c>
      <c r="H17" s="64">
        <f t="shared" si="2"/>
        <v>1500.0000000000568</v>
      </c>
      <c r="I17" s="58">
        <v>1.4625999999999999</v>
      </c>
      <c r="J17" s="64">
        <f t="shared" si="3"/>
        <v>899.99999999990087</v>
      </c>
      <c r="K17" s="58">
        <v>2.3647</v>
      </c>
      <c r="L17" s="64">
        <f t="shared" si="39"/>
        <v>2099.9999999999909</v>
      </c>
      <c r="M17" s="58">
        <v>1.3396999999999999</v>
      </c>
      <c r="N17" s="64">
        <f t="shared" si="4"/>
        <v>599.99999999993395</v>
      </c>
      <c r="O17" s="58">
        <v>12740</v>
      </c>
      <c r="P17" s="67">
        <f t="shared" si="43"/>
        <v>0</v>
      </c>
      <c r="Q17" s="58">
        <v>313</v>
      </c>
      <c r="R17" s="67">
        <f t="shared" si="6"/>
        <v>6</v>
      </c>
      <c r="S17" s="58">
        <v>899557.2</v>
      </c>
      <c r="T17" s="67">
        <f t="shared" si="7"/>
        <v>91.399999999906868</v>
      </c>
      <c r="U17" s="58">
        <v>373007.6</v>
      </c>
      <c r="V17" s="67">
        <f t="shared" si="8"/>
        <v>68.699999999953434</v>
      </c>
      <c r="W17" s="58">
        <v>362.13</v>
      </c>
      <c r="X17" s="65">
        <f t="shared" si="9"/>
        <v>100.00000000002274</v>
      </c>
      <c r="Y17" s="58">
        <v>2.5489000000000002</v>
      </c>
      <c r="Z17" s="65">
        <f t="shared" si="10"/>
        <v>500.00000000016701</v>
      </c>
      <c r="AA17" s="58">
        <v>356.29</v>
      </c>
      <c r="AB17" s="65">
        <f t="shared" si="11"/>
        <v>129.99999999999545</v>
      </c>
      <c r="AC17" s="58">
        <v>342.51</v>
      </c>
      <c r="AD17" s="65">
        <f t="shared" si="12"/>
        <v>159.99999999996817</v>
      </c>
      <c r="AE17" s="58">
        <v>530.22</v>
      </c>
      <c r="AF17" s="65">
        <f t="shared" si="13"/>
        <v>190.00000000005457</v>
      </c>
      <c r="AG17" s="58">
        <v>1576.1</v>
      </c>
      <c r="AH17" s="67">
        <f t="shared" si="14"/>
        <v>1.5999999999999091</v>
      </c>
      <c r="AI17" s="58">
        <v>530.77</v>
      </c>
      <c r="AJ17" s="65">
        <f t="shared" si="15"/>
        <v>269.99999999998181</v>
      </c>
      <c r="AK17" s="58">
        <v>181.71</v>
      </c>
      <c r="AL17" s="65">
        <f t="shared" si="15"/>
        <v>20.000000000010232</v>
      </c>
      <c r="AM17" s="58">
        <v>179.54</v>
      </c>
      <c r="AN17" s="65">
        <f t="shared" si="15"/>
        <v>9.9999999999909051</v>
      </c>
      <c r="AO17" s="58">
        <v>171.19</v>
      </c>
      <c r="AP17" s="65">
        <f t="shared" si="15"/>
        <v>9.9999999999909051</v>
      </c>
      <c r="AQ17" s="58">
        <v>229.43</v>
      </c>
      <c r="AR17" s="65">
        <f t="shared" si="16"/>
        <v>10.000000000019327</v>
      </c>
      <c r="AS17" s="58">
        <v>357.04</v>
      </c>
      <c r="AT17" s="65">
        <f t="shared" si="17"/>
        <v>20.000000000038654</v>
      </c>
      <c r="AU17" s="58">
        <v>275.79000000000002</v>
      </c>
      <c r="AV17" s="65">
        <f t="shared" si="18"/>
        <v>10.000000000047748</v>
      </c>
      <c r="AW17" s="58">
        <v>311.98</v>
      </c>
      <c r="AX17" s="65">
        <f t="shared" si="19"/>
        <v>0</v>
      </c>
      <c r="AY17" s="58">
        <v>356.98</v>
      </c>
      <c r="AZ17" s="65">
        <f t="shared" si="20"/>
        <v>20.000000000038654</v>
      </c>
      <c r="BA17" s="58">
        <v>378.26</v>
      </c>
      <c r="BB17" s="65">
        <f t="shared" si="21"/>
        <v>19.99999999998181</v>
      </c>
      <c r="BC17" s="58">
        <v>236.8</v>
      </c>
      <c r="BD17" s="65">
        <f t="shared" si="22"/>
        <v>10.000000000019327</v>
      </c>
      <c r="BE17" s="59">
        <v>35501</v>
      </c>
      <c r="BF17" s="67">
        <f t="shared" si="40"/>
        <v>28</v>
      </c>
      <c r="BG17" s="60">
        <v>229.1</v>
      </c>
      <c r="BH17" s="65">
        <f t="shared" si="23"/>
        <v>30.000000000001137</v>
      </c>
      <c r="BI17" s="60">
        <v>288.18</v>
      </c>
      <c r="BJ17" s="65">
        <f t="shared" si="41"/>
        <v>40.000000000020464</v>
      </c>
      <c r="BK17" s="60">
        <v>233.08</v>
      </c>
      <c r="BL17" s="65">
        <f t="shared" si="24"/>
        <v>10.000000000019327</v>
      </c>
      <c r="BM17" s="60">
        <v>218.55</v>
      </c>
      <c r="BN17" s="65">
        <f t="shared" si="25"/>
        <v>20.000000000010232</v>
      </c>
      <c r="BO17" s="60">
        <v>283.70999999999998</v>
      </c>
      <c r="BP17" s="65">
        <f t="shared" si="26"/>
        <v>19.99999999998181</v>
      </c>
      <c r="BQ17" s="60">
        <v>41885</v>
      </c>
      <c r="BR17" s="65">
        <f t="shared" si="27"/>
        <v>10</v>
      </c>
      <c r="BS17" s="60">
        <v>196.89</v>
      </c>
      <c r="BT17" s="65">
        <f t="shared" si="42"/>
        <v>9.9999999999909051</v>
      </c>
      <c r="BU17" s="60">
        <v>35450</v>
      </c>
      <c r="BV17" s="65">
        <f t="shared" si="28"/>
        <v>22</v>
      </c>
      <c r="BW17" s="60">
        <v>228.45</v>
      </c>
      <c r="BX17" s="65">
        <f t="shared" si="29"/>
        <v>19.99999999998181</v>
      </c>
      <c r="BY17" s="60">
        <v>54152</v>
      </c>
      <c r="BZ17" s="67">
        <f t="shared" si="30"/>
        <v>22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55037.7</v>
      </c>
      <c r="CH17" s="67">
        <f t="shared" si="34"/>
        <v>28.799999999995634</v>
      </c>
      <c r="CI17" s="60">
        <v>911790</v>
      </c>
      <c r="CJ17" s="67">
        <f t="shared" si="35"/>
        <v>174</v>
      </c>
      <c r="CK17" s="60">
        <v>679.32</v>
      </c>
      <c r="CL17" s="64">
        <f t="shared" si="36"/>
        <v>590.00000000003183</v>
      </c>
      <c r="CM17" s="65">
        <f t="shared" si="37"/>
        <v>13.200000000000273</v>
      </c>
      <c r="CN17" s="62">
        <v>0</v>
      </c>
      <c r="CO17" s="62">
        <v>0</v>
      </c>
      <c r="CP17" s="68">
        <v>3948.8</v>
      </c>
      <c r="CQ17" s="67">
        <f t="shared" si="38"/>
        <v>8.2000000000002728</v>
      </c>
      <c r="CR17" s="68">
        <v>11984</v>
      </c>
      <c r="CS17" s="67">
        <f t="shared" si="38"/>
        <v>5</v>
      </c>
      <c r="CT17" s="75">
        <v>4750</v>
      </c>
      <c r="CU17" s="67">
        <f t="shared" si="38"/>
        <v>14</v>
      </c>
      <c r="CV17" s="68">
        <v>12248</v>
      </c>
      <c r="CW17" s="67">
        <f t="shared" si="38"/>
        <v>22</v>
      </c>
    </row>
    <row r="18" spans="1:101" ht="25.5" customHeight="1" thickBot="1" x14ac:dyDescent="0.45">
      <c r="A18" s="63">
        <v>44242</v>
      </c>
      <c r="B18" s="44"/>
      <c r="C18" s="58">
        <v>2.0558000000000001</v>
      </c>
      <c r="D18" s="64">
        <f t="shared" si="0"/>
        <v>700.00000000014495</v>
      </c>
      <c r="E18" s="58">
        <v>2.9230999999999998</v>
      </c>
      <c r="F18" s="64">
        <f t="shared" si="1"/>
        <v>799.99999999991189</v>
      </c>
      <c r="G18" s="58">
        <v>2.9918</v>
      </c>
      <c r="H18" s="64">
        <f t="shared" si="2"/>
        <v>1900.0000000000127</v>
      </c>
      <c r="I18" s="58">
        <v>1.4635</v>
      </c>
      <c r="J18" s="64">
        <f t="shared" si="3"/>
        <v>900.0000000001229</v>
      </c>
      <c r="K18" s="58">
        <v>2.3668</v>
      </c>
      <c r="L18" s="64">
        <f t="shared" si="39"/>
        <v>2099.9999999999909</v>
      </c>
      <c r="M18" s="58">
        <v>1.3403</v>
      </c>
      <c r="N18" s="64">
        <f t="shared" si="4"/>
        <v>600.00000000015598</v>
      </c>
      <c r="O18" s="58">
        <v>12740</v>
      </c>
      <c r="P18" s="67">
        <f t="shared" si="43"/>
        <v>0</v>
      </c>
      <c r="Q18" s="58">
        <v>319</v>
      </c>
      <c r="R18" s="67">
        <f t="shared" si="6"/>
        <v>6</v>
      </c>
      <c r="S18" s="58">
        <v>899884.4</v>
      </c>
      <c r="T18" s="67">
        <f t="shared" si="7"/>
        <v>327.20000000006985</v>
      </c>
      <c r="U18" s="58">
        <v>373240.7</v>
      </c>
      <c r="V18" s="67">
        <f t="shared" si="8"/>
        <v>233.10000000003492</v>
      </c>
      <c r="W18" s="58">
        <v>362.25</v>
      </c>
      <c r="X18" s="65">
        <f t="shared" si="9"/>
        <v>120.00000000000455</v>
      </c>
      <c r="Y18" s="58">
        <v>2.5493999999999999</v>
      </c>
      <c r="Z18" s="65">
        <f t="shared" si="10"/>
        <v>499.99999999972289</v>
      </c>
      <c r="AA18" s="58">
        <v>356.39</v>
      </c>
      <c r="AB18" s="65">
        <f t="shared" si="11"/>
        <v>99.999999999965894</v>
      </c>
      <c r="AC18" s="58">
        <v>342.67</v>
      </c>
      <c r="AD18" s="65">
        <f t="shared" si="12"/>
        <v>160.00000000002501</v>
      </c>
      <c r="AE18" s="58">
        <v>530.46</v>
      </c>
      <c r="AF18" s="65">
        <f t="shared" si="13"/>
        <v>240.00000000000909</v>
      </c>
      <c r="AG18" s="58">
        <v>1577.7</v>
      </c>
      <c r="AH18" s="67">
        <f t="shared" si="14"/>
        <v>1.6000000000001364</v>
      </c>
      <c r="AI18" s="58">
        <v>531.02</v>
      </c>
      <c r="AJ18" s="65">
        <f t="shared" si="15"/>
        <v>250</v>
      </c>
      <c r="AK18" s="58">
        <v>181.75</v>
      </c>
      <c r="AL18" s="65">
        <f t="shared" si="15"/>
        <v>39.999999999992042</v>
      </c>
      <c r="AM18" s="58">
        <v>179.56</v>
      </c>
      <c r="AN18" s="65">
        <f t="shared" si="15"/>
        <v>20.000000000010232</v>
      </c>
      <c r="AO18" s="58">
        <v>171.22</v>
      </c>
      <c r="AP18" s="65">
        <f t="shared" si="15"/>
        <v>30.000000000001137</v>
      </c>
      <c r="AQ18" s="58">
        <v>229.45</v>
      </c>
      <c r="AR18" s="65">
        <f t="shared" si="16"/>
        <v>19.99999999998181</v>
      </c>
      <c r="AS18" s="58">
        <v>357.06</v>
      </c>
      <c r="AT18" s="65">
        <f t="shared" si="17"/>
        <v>19.99999999998181</v>
      </c>
      <c r="AU18" s="58">
        <v>275.81</v>
      </c>
      <c r="AV18" s="65">
        <f t="shared" si="18"/>
        <v>19.99999999998181</v>
      </c>
      <c r="AW18" s="58">
        <v>311.99</v>
      </c>
      <c r="AX18" s="65">
        <f t="shared" si="19"/>
        <v>9.9999999999909051</v>
      </c>
      <c r="AY18" s="58">
        <v>357</v>
      </c>
      <c r="AZ18" s="65">
        <f t="shared" si="20"/>
        <v>19.99999999998181</v>
      </c>
      <c r="BA18" s="58">
        <v>378.28</v>
      </c>
      <c r="BB18" s="65">
        <f t="shared" si="21"/>
        <v>19.99999999998181</v>
      </c>
      <c r="BC18" s="58">
        <v>236.81</v>
      </c>
      <c r="BD18" s="65">
        <f t="shared" si="22"/>
        <v>9.9999999999909051</v>
      </c>
      <c r="BE18" s="59">
        <v>35530</v>
      </c>
      <c r="BF18" s="67">
        <f t="shared" si="40"/>
        <v>29</v>
      </c>
      <c r="BG18" s="60">
        <v>229.12</v>
      </c>
      <c r="BH18" s="65">
        <f t="shared" si="23"/>
        <v>20.000000000010232</v>
      </c>
      <c r="BI18" s="60">
        <v>288.22000000000003</v>
      </c>
      <c r="BJ18" s="65">
        <f t="shared" si="41"/>
        <v>40.000000000020464</v>
      </c>
      <c r="BK18" s="60">
        <v>233.09</v>
      </c>
      <c r="BL18" s="65">
        <f t="shared" si="24"/>
        <v>9.9999999999909051</v>
      </c>
      <c r="BM18" s="60">
        <v>218.58</v>
      </c>
      <c r="BN18" s="65">
        <f t="shared" si="25"/>
        <v>30.000000000001137</v>
      </c>
      <c r="BO18" s="60">
        <v>283.73</v>
      </c>
      <c r="BP18" s="65">
        <f t="shared" si="26"/>
        <v>20.000000000038654</v>
      </c>
      <c r="BQ18" s="60">
        <v>41894</v>
      </c>
      <c r="BR18" s="65">
        <f t="shared" si="27"/>
        <v>9</v>
      </c>
      <c r="BS18" s="60">
        <v>196.9</v>
      </c>
      <c r="BT18" s="65">
        <f t="shared" si="42"/>
        <v>10.000000000019327</v>
      </c>
      <c r="BU18" s="60">
        <v>35464</v>
      </c>
      <c r="BV18" s="65">
        <f t="shared" si="28"/>
        <v>14</v>
      </c>
      <c r="BW18" s="60">
        <v>228.47</v>
      </c>
      <c r="BX18" s="65">
        <f t="shared" si="29"/>
        <v>20.000000000010232</v>
      </c>
      <c r="BY18" s="60">
        <v>54185</v>
      </c>
      <c r="BZ18" s="67">
        <f t="shared" si="30"/>
        <v>33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55070.1</v>
      </c>
      <c r="CH18" s="67">
        <f t="shared" si="34"/>
        <v>32.400000000001455</v>
      </c>
      <c r="CI18" s="60">
        <v>911962</v>
      </c>
      <c r="CJ18" s="67">
        <f t="shared" si="35"/>
        <v>172</v>
      </c>
      <c r="CK18" s="60">
        <v>679.51</v>
      </c>
      <c r="CL18" s="64">
        <f t="shared" si="36"/>
        <v>189.99999999994088</v>
      </c>
      <c r="CM18" s="65">
        <f t="shared" si="37"/>
        <v>24.099999999999909</v>
      </c>
      <c r="CN18" s="62">
        <v>0</v>
      </c>
      <c r="CO18" s="62">
        <v>0</v>
      </c>
      <c r="CP18" s="68">
        <v>3963.9</v>
      </c>
      <c r="CQ18" s="67">
        <f t="shared" si="38"/>
        <v>15.099999999999909</v>
      </c>
      <c r="CR18" s="68">
        <v>11993</v>
      </c>
      <c r="CS18" s="67">
        <f t="shared" si="38"/>
        <v>9</v>
      </c>
      <c r="CT18" s="75">
        <v>4760</v>
      </c>
      <c r="CU18" s="67">
        <f t="shared" si="38"/>
        <v>10</v>
      </c>
      <c r="CV18" s="68">
        <v>12267</v>
      </c>
      <c r="CW18" s="67">
        <f t="shared" si="38"/>
        <v>19</v>
      </c>
    </row>
    <row r="19" spans="1:101" ht="25.5" customHeight="1" thickBot="1" x14ac:dyDescent="0.45">
      <c r="A19" s="63">
        <v>44243</v>
      </c>
      <c r="B19" s="44"/>
      <c r="C19" s="58">
        <v>2.0564</v>
      </c>
      <c r="D19" s="64">
        <f t="shared" si="0"/>
        <v>599.99999999993395</v>
      </c>
      <c r="E19" s="58">
        <v>2.9238</v>
      </c>
      <c r="F19" s="64">
        <f t="shared" si="1"/>
        <v>700.00000000014495</v>
      </c>
      <c r="G19" s="58">
        <v>2.9935999999999998</v>
      </c>
      <c r="H19" s="64">
        <f t="shared" si="2"/>
        <v>1799.9999999998017</v>
      </c>
      <c r="I19" s="58">
        <v>1.4642999999999999</v>
      </c>
      <c r="J19" s="64">
        <f t="shared" si="3"/>
        <v>799.99999999991189</v>
      </c>
      <c r="K19" s="58">
        <v>2.3689</v>
      </c>
      <c r="L19" s="64">
        <f t="shared" si="39"/>
        <v>2099.9999999999909</v>
      </c>
      <c r="M19" s="58">
        <v>1.3409</v>
      </c>
      <c r="N19" s="64">
        <f t="shared" si="4"/>
        <v>599.99999999993395</v>
      </c>
      <c r="O19" s="58">
        <v>12740</v>
      </c>
      <c r="P19" s="67">
        <f t="shared" si="43"/>
        <v>0</v>
      </c>
      <c r="Q19" s="58">
        <v>326</v>
      </c>
      <c r="R19" s="67">
        <f t="shared" si="6"/>
        <v>7</v>
      </c>
      <c r="S19" s="58">
        <v>900195.6</v>
      </c>
      <c r="T19" s="67">
        <f t="shared" si="7"/>
        <v>311.19999999995343</v>
      </c>
      <c r="U19" s="58">
        <v>373491.4</v>
      </c>
      <c r="V19" s="67">
        <f t="shared" si="8"/>
        <v>250.70000000001164</v>
      </c>
      <c r="W19" s="58">
        <v>362.37</v>
      </c>
      <c r="X19" s="65">
        <f t="shared" si="9"/>
        <v>120.00000000000455</v>
      </c>
      <c r="Y19" s="58">
        <v>2.5499000000000001</v>
      </c>
      <c r="Z19" s="65">
        <f t="shared" si="10"/>
        <v>500.00000000016701</v>
      </c>
      <c r="AA19" s="58">
        <v>356.51</v>
      </c>
      <c r="AB19" s="65">
        <f t="shared" si="11"/>
        <v>120.00000000000455</v>
      </c>
      <c r="AC19" s="58">
        <v>342.84</v>
      </c>
      <c r="AD19" s="65">
        <f t="shared" si="12"/>
        <v>169.99999999995907</v>
      </c>
      <c r="AE19" s="58">
        <v>530.65</v>
      </c>
      <c r="AF19" s="65">
        <f t="shared" si="13"/>
        <v>189.99999999994088</v>
      </c>
      <c r="AG19" s="58">
        <v>28</v>
      </c>
      <c r="AH19" s="67" t="str">
        <f t="shared" si="14"/>
        <v/>
      </c>
      <c r="AI19" s="58">
        <v>531.27</v>
      </c>
      <c r="AJ19" s="65">
        <f t="shared" si="15"/>
        <v>250</v>
      </c>
      <c r="AK19" s="58">
        <v>181.8</v>
      </c>
      <c r="AL19" s="65">
        <f t="shared" si="15"/>
        <v>50.000000000011369</v>
      </c>
      <c r="AM19" s="58">
        <v>179.59</v>
      </c>
      <c r="AN19" s="65">
        <f t="shared" si="15"/>
        <v>30.000000000001137</v>
      </c>
      <c r="AO19" s="58">
        <v>171.23</v>
      </c>
      <c r="AP19" s="65">
        <f t="shared" si="15"/>
        <v>9.9999999999909051</v>
      </c>
      <c r="AQ19" s="58">
        <v>229.47</v>
      </c>
      <c r="AR19" s="65">
        <f t="shared" si="16"/>
        <v>20.000000000010232</v>
      </c>
      <c r="AS19" s="58">
        <v>357.09</v>
      </c>
      <c r="AT19" s="65">
        <f t="shared" si="17"/>
        <v>29.999999999972715</v>
      </c>
      <c r="AU19" s="58">
        <v>275.82</v>
      </c>
      <c r="AV19" s="65">
        <f t="shared" si="18"/>
        <v>9.9999999999909051</v>
      </c>
      <c r="AW19" s="58">
        <v>312.01</v>
      </c>
      <c r="AX19" s="65">
        <f t="shared" si="19"/>
        <v>19.99999999998181</v>
      </c>
      <c r="AY19" s="58">
        <v>357.02</v>
      </c>
      <c r="AZ19" s="65">
        <f t="shared" si="20"/>
        <v>19.99999999998181</v>
      </c>
      <c r="BA19" s="58">
        <v>378.3</v>
      </c>
      <c r="BB19" s="65">
        <f t="shared" si="21"/>
        <v>20.000000000038654</v>
      </c>
      <c r="BC19" s="58">
        <v>236.82</v>
      </c>
      <c r="BD19" s="65">
        <f t="shared" si="22"/>
        <v>9.9999999999909051</v>
      </c>
      <c r="BE19" s="59">
        <v>35561</v>
      </c>
      <c r="BF19" s="67">
        <f t="shared" si="40"/>
        <v>31</v>
      </c>
      <c r="BG19" s="60">
        <v>229.13</v>
      </c>
      <c r="BH19" s="65">
        <f t="shared" si="23"/>
        <v>9.9999999999909051</v>
      </c>
      <c r="BI19" s="60">
        <v>288.26</v>
      </c>
      <c r="BJ19" s="65">
        <f t="shared" si="41"/>
        <v>39.99999999996362</v>
      </c>
      <c r="BK19" s="60">
        <v>233.1</v>
      </c>
      <c r="BL19" s="65">
        <f t="shared" si="24"/>
        <v>9.9999999999909051</v>
      </c>
      <c r="BM19" s="60">
        <v>218.6</v>
      </c>
      <c r="BN19" s="65">
        <f t="shared" si="25"/>
        <v>19.99999999998181</v>
      </c>
      <c r="BO19" s="60">
        <v>283.74</v>
      </c>
      <c r="BP19" s="65">
        <f t="shared" si="26"/>
        <v>9.9999999999909051</v>
      </c>
      <c r="BQ19" s="60">
        <v>41903</v>
      </c>
      <c r="BR19" s="65">
        <f t="shared" si="27"/>
        <v>9</v>
      </c>
      <c r="BS19" s="60">
        <v>196.91</v>
      </c>
      <c r="BT19" s="65">
        <f t="shared" si="42"/>
        <v>9.9999999999909051</v>
      </c>
      <c r="BU19" s="60">
        <v>35482</v>
      </c>
      <c r="BV19" s="65">
        <f t="shared" si="28"/>
        <v>18</v>
      </c>
      <c r="BW19" s="60">
        <v>228.49</v>
      </c>
      <c r="BX19" s="65">
        <f t="shared" si="29"/>
        <v>20.000000000010232</v>
      </c>
      <c r="BY19" s="60">
        <v>54206</v>
      </c>
      <c r="BZ19" s="67">
        <f t="shared" si="30"/>
        <v>21</v>
      </c>
      <c r="CA19" s="60">
        <v>28616.400000000001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55102.3</v>
      </c>
      <c r="CH19" s="67">
        <f t="shared" si="34"/>
        <v>32.200000000004366</v>
      </c>
      <c r="CI19" s="60">
        <v>912155</v>
      </c>
      <c r="CJ19" s="67">
        <f t="shared" si="35"/>
        <v>193</v>
      </c>
      <c r="CK19" s="60">
        <v>679.97</v>
      </c>
      <c r="CL19" s="64">
        <f t="shared" si="36"/>
        <v>460.00000000003638</v>
      </c>
      <c r="CM19" s="65">
        <f t="shared" si="37"/>
        <v>26.699999999999818</v>
      </c>
      <c r="CN19" s="62">
        <v>0</v>
      </c>
      <c r="CO19" s="62">
        <v>0</v>
      </c>
      <c r="CP19" s="68">
        <v>3980.6</v>
      </c>
      <c r="CQ19" s="67">
        <f t="shared" si="38"/>
        <v>16.699999999999818</v>
      </c>
      <c r="CR19" s="68">
        <v>12003</v>
      </c>
      <c r="CS19" s="67">
        <f t="shared" si="38"/>
        <v>10</v>
      </c>
      <c r="CT19" s="75">
        <v>4771</v>
      </c>
      <c r="CU19" s="67">
        <f t="shared" si="38"/>
        <v>11</v>
      </c>
      <c r="CV19" s="68">
        <v>12290</v>
      </c>
      <c r="CW19" s="67">
        <f t="shared" si="38"/>
        <v>23</v>
      </c>
    </row>
    <row r="20" spans="1:101" ht="25.5" customHeight="1" thickBot="1" x14ac:dyDescent="0.45">
      <c r="A20" s="63">
        <v>44244</v>
      </c>
      <c r="B20" s="44"/>
      <c r="C20" s="58">
        <v>2.0571999999999999</v>
      </c>
      <c r="D20" s="64">
        <f t="shared" si="0"/>
        <v>799.99999999991189</v>
      </c>
      <c r="E20" s="58">
        <v>2.9245999999999999</v>
      </c>
      <c r="F20" s="64">
        <f t="shared" si="1"/>
        <v>799.99999999991189</v>
      </c>
      <c r="G20" s="58">
        <v>2.9954000000000001</v>
      </c>
      <c r="H20" s="64">
        <f t="shared" si="2"/>
        <v>1800.0000000002458</v>
      </c>
      <c r="I20" s="58">
        <v>1.4652000000000001</v>
      </c>
      <c r="J20" s="64">
        <f t="shared" si="3"/>
        <v>900.0000000001229</v>
      </c>
      <c r="K20" s="58">
        <v>2.371</v>
      </c>
      <c r="L20" s="64">
        <f t="shared" si="39"/>
        <v>2099.9999999999909</v>
      </c>
      <c r="M20" s="58">
        <v>1.3414999999999999</v>
      </c>
      <c r="N20" s="64">
        <f t="shared" si="4"/>
        <v>599.99999999993395</v>
      </c>
      <c r="O20" s="58">
        <v>12740</v>
      </c>
      <c r="P20" s="67">
        <f t="shared" si="43"/>
        <v>0</v>
      </c>
      <c r="Q20" s="58">
        <v>332</v>
      </c>
      <c r="R20" s="67">
        <f t="shared" si="6"/>
        <v>6</v>
      </c>
      <c r="S20" s="58">
        <v>900483.2</v>
      </c>
      <c r="T20" s="67">
        <f t="shared" si="7"/>
        <v>287.59999999997672</v>
      </c>
      <c r="U20" s="58">
        <v>373733.2</v>
      </c>
      <c r="V20" s="67">
        <f t="shared" si="8"/>
        <v>241.79999999998836</v>
      </c>
      <c r="W20" s="58">
        <v>362.49</v>
      </c>
      <c r="X20" s="65">
        <f t="shared" si="9"/>
        <v>120.00000000000455</v>
      </c>
      <c r="Y20" s="58">
        <v>2.5505</v>
      </c>
      <c r="Z20" s="65">
        <f t="shared" si="10"/>
        <v>599.99999999993395</v>
      </c>
      <c r="AA20" s="58">
        <v>356.63</v>
      </c>
      <c r="AB20" s="65">
        <f t="shared" si="11"/>
        <v>120.00000000000455</v>
      </c>
      <c r="AC20" s="58">
        <v>343.02</v>
      </c>
      <c r="AD20" s="65">
        <f t="shared" si="12"/>
        <v>180.00000000000682</v>
      </c>
      <c r="AE20" s="58">
        <v>530.84</v>
      </c>
      <c r="AF20" s="65">
        <f t="shared" si="13"/>
        <v>190.00000000005457</v>
      </c>
      <c r="AG20" s="58">
        <v>59</v>
      </c>
      <c r="AH20" s="67">
        <f t="shared" si="14"/>
        <v>31</v>
      </c>
      <c r="AI20" s="58">
        <v>531.54</v>
      </c>
      <c r="AJ20" s="65">
        <f t="shared" si="15"/>
        <v>269.99999999998181</v>
      </c>
      <c r="AK20" s="58">
        <v>181.85</v>
      </c>
      <c r="AL20" s="65">
        <f t="shared" si="15"/>
        <v>49.999999999982947</v>
      </c>
      <c r="AM20" s="58">
        <v>179.61</v>
      </c>
      <c r="AN20" s="65">
        <f t="shared" si="15"/>
        <v>20.000000000010232</v>
      </c>
      <c r="AO20" s="58">
        <v>171.26</v>
      </c>
      <c r="AP20" s="65">
        <f t="shared" si="15"/>
        <v>30.000000000001137</v>
      </c>
      <c r="AQ20" s="58">
        <v>229.49</v>
      </c>
      <c r="AR20" s="65">
        <f t="shared" si="16"/>
        <v>20.000000000010232</v>
      </c>
      <c r="AS20" s="58">
        <v>357.11</v>
      </c>
      <c r="AT20" s="65">
        <f t="shared" si="17"/>
        <v>20.000000000038654</v>
      </c>
      <c r="AU20" s="58">
        <v>275.83</v>
      </c>
      <c r="AV20" s="65">
        <f t="shared" si="18"/>
        <v>9.9999999999909051</v>
      </c>
      <c r="AW20" s="58">
        <v>312.02</v>
      </c>
      <c r="AX20" s="65">
        <f t="shared" si="19"/>
        <v>9.9999999999909051</v>
      </c>
      <c r="AY20" s="58">
        <v>357.04</v>
      </c>
      <c r="AZ20" s="65">
        <f t="shared" si="20"/>
        <v>20.000000000038654</v>
      </c>
      <c r="BA20" s="58">
        <v>378.34</v>
      </c>
      <c r="BB20" s="65">
        <f t="shared" si="21"/>
        <v>39.99999999996362</v>
      </c>
      <c r="BC20" s="58">
        <v>236.83</v>
      </c>
      <c r="BD20" s="65">
        <f t="shared" si="22"/>
        <v>10.000000000019327</v>
      </c>
      <c r="BE20" s="59">
        <v>35596</v>
      </c>
      <c r="BF20" s="67">
        <f t="shared" si="40"/>
        <v>35</v>
      </c>
      <c r="BG20" s="60">
        <v>229.15</v>
      </c>
      <c r="BH20" s="65">
        <f t="shared" si="23"/>
        <v>20.000000000010232</v>
      </c>
      <c r="BI20" s="60">
        <v>288.3</v>
      </c>
      <c r="BJ20" s="65">
        <f t="shared" si="41"/>
        <v>40.000000000020464</v>
      </c>
      <c r="BK20" s="60">
        <v>233.11</v>
      </c>
      <c r="BL20" s="65">
        <f t="shared" si="24"/>
        <v>10.000000000019327</v>
      </c>
      <c r="BM20" s="60">
        <v>218.63</v>
      </c>
      <c r="BN20" s="65">
        <f t="shared" si="25"/>
        <v>30.000000000001137</v>
      </c>
      <c r="BO20" s="60">
        <v>283.76</v>
      </c>
      <c r="BP20" s="65">
        <f t="shared" si="26"/>
        <v>19.99999999998181</v>
      </c>
      <c r="BQ20" s="60">
        <v>41907</v>
      </c>
      <c r="BR20" s="65">
        <f t="shared" si="27"/>
        <v>4</v>
      </c>
      <c r="BS20" s="60">
        <v>196.93</v>
      </c>
      <c r="BT20" s="65">
        <f t="shared" si="42"/>
        <v>20.000000000010232</v>
      </c>
      <c r="BU20" s="60">
        <v>35499</v>
      </c>
      <c r="BV20" s="65">
        <f t="shared" si="28"/>
        <v>17</v>
      </c>
      <c r="BW20" s="60">
        <v>228.51</v>
      </c>
      <c r="BX20" s="65">
        <f t="shared" si="29"/>
        <v>19.99999999998181</v>
      </c>
      <c r="BY20" s="60">
        <v>54228</v>
      </c>
      <c r="BZ20" s="67">
        <f t="shared" si="30"/>
        <v>22</v>
      </c>
      <c r="CA20" s="60">
        <v>28616.400000000001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55127.9</v>
      </c>
      <c r="CH20" s="67">
        <f t="shared" si="34"/>
        <v>25.599999999998545</v>
      </c>
      <c r="CI20" s="60">
        <v>912330</v>
      </c>
      <c r="CJ20" s="67">
        <f t="shared" si="35"/>
        <v>175</v>
      </c>
      <c r="CK20" s="60">
        <v>680.13</v>
      </c>
      <c r="CL20" s="64">
        <f t="shared" si="36"/>
        <v>159.99999999996817</v>
      </c>
      <c r="CM20" s="65">
        <f t="shared" si="37"/>
        <v>21.300000000000182</v>
      </c>
      <c r="CN20" s="62">
        <v>0</v>
      </c>
      <c r="CO20" s="62">
        <v>0</v>
      </c>
      <c r="CP20" s="68">
        <v>3994.9</v>
      </c>
      <c r="CQ20" s="67">
        <f t="shared" si="38"/>
        <v>14.300000000000182</v>
      </c>
      <c r="CR20" s="68">
        <v>12010</v>
      </c>
      <c r="CS20" s="67">
        <f t="shared" si="38"/>
        <v>7</v>
      </c>
      <c r="CT20" s="75">
        <v>4785</v>
      </c>
      <c r="CU20" s="67">
        <f t="shared" si="38"/>
        <v>14</v>
      </c>
      <c r="CV20" s="68">
        <v>12314</v>
      </c>
      <c r="CW20" s="67">
        <f t="shared" si="38"/>
        <v>24</v>
      </c>
    </row>
    <row r="21" spans="1:101" ht="25.5" customHeight="1" thickBot="1" x14ac:dyDescent="0.45">
      <c r="A21" s="63">
        <v>44245</v>
      </c>
      <c r="B21" s="44"/>
      <c r="C21" s="58">
        <v>2.0579999999999998</v>
      </c>
      <c r="D21" s="64">
        <f t="shared" si="0"/>
        <v>799.99999999991189</v>
      </c>
      <c r="E21" s="58">
        <v>2.9256000000000002</v>
      </c>
      <c r="F21" s="64">
        <f t="shared" si="1"/>
        <v>1000.000000000334</v>
      </c>
      <c r="G21" s="58">
        <v>2.9971000000000001</v>
      </c>
      <c r="H21" s="64">
        <f t="shared" si="2"/>
        <v>1700.0000000000348</v>
      </c>
      <c r="I21" s="58">
        <v>1.4661</v>
      </c>
      <c r="J21" s="64">
        <f t="shared" si="3"/>
        <v>899.99999999990087</v>
      </c>
      <c r="K21" s="58">
        <v>2.3730000000000002</v>
      </c>
      <c r="L21" s="64">
        <f t="shared" si="39"/>
        <v>2000.0000000002237</v>
      </c>
      <c r="M21" s="58">
        <v>1.3421000000000001</v>
      </c>
      <c r="N21" s="64">
        <f t="shared" si="4"/>
        <v>600.00000000015598</v>
      </c>
      <c r="O21" s="58">
        <v>12740</v>
      </c>
      <c r="P21" s="67">
        <f t="shared" si="43"/>
        <v>0</v>
      </c>
      <c r="Q21" s="58">
        <v>339</v>
      </c>
      <c r="R21" s="67">
        <f t="shared" si="6"/>
        <v>7</v>
      </c>
      <c r="S21" s="58">
        <v>900700.4</v>
      </c>
      <c r="T21" s="67">
        <f t="shared" si="7"/>
        <v>217.20000000006985</v>
      </c>
      <c r="U21" s="58">
        <v>373894.7</v>
      </c>
      <c r="V21" s="67">
        <f t="shared" si="8"/>
        <v>161.5</v>
      </c>
      <c r="W21" s="58">
        <v>362.62</v>
      </c>
      <c r="X21" s="65">
        <f t="shared" si="9"/>
        <v>129.99999999999545</v>
      </c>
      <c r="Y21" s="58">
        <v>2.5512999999999999</v>
      </c>
      <c r="Z21" s="65">
        <f t="shared" si="10"/>
        <v>799.99999999991189</v>
      </c>
      <c r="AA21" s="58">
        <v>356.74</v>
      </c>
      <c r="AB21" s="65">
        <f t="shared" si="11"/>
        <v>110.00000000001364</v>
      </c>
      <c r="AC21" s="58">
        <v>343.21</v>
      </c>
      <c r="AD21" s="65">
        <f t="shared" si="12"/>
        <v>189.99999999999773</v>
      </c>
      <c r="AE21" s="58">
        <v>531.04999999999995</v>
      </c>
      <c r="AF21" s="65">
        <f t="shared" si="13"/>
        <v>209.99999999992269</v>
      </c>
      <c r="AG21" s="58">
        <v>93</v>
      </c>
      <c r="AH21" s="67">
        <f t="shared" si="14"/>
        <v>34</v>
      </c>
      <c r="AI21" s="58">
        <v>531.88</v>
      </c>
      <c r="AJ21" s="65">
        <f t="shared" si="15"/>
        <v>340.00000000003183</v>
      </c>
      <c r="AK21" s="58">
        <v>181.89</v>
      </c>
      <c r="AL21" s="65">
        <f t="shared" si="15"/>
        <v>39.999999999992042</v>
      </c>
      <c r="AM21" s="58">
        <v>179.63</v>
      </c>
      <c r="AN21" s="65">
        <f t="shared" si="15"/>
        <v>19.99999999998181</v>
      </c>
      <c r="AO21" s="58">
        <v>171.27</v>
      </c>
      <c r="AP21" s="65">
        <f t="shared" si="15"/>
        <v>10.000000000019327</v>
      </c>
      <c r="AQ21" s="58">
        <v>229.51</v>
      </c>
      <c r="AR21" s="65">
        <f t="shared" si="16"/>
        <v>19.99999999998181</v>
      </c>
      <c r="AS21" s="58">
        <v>357.14</v>
      </c>
      <c r="AT21" s="65">
        <f t="shared" si="17"/>
        <v>29.999999999972715</v>
      </c>
      <c r="AU21" s="58">
        <v>275.85000000000002</v>
      </c>
      <c r="AV21" s="65">
        <f t="shared" si="18"/>
        <v>20.000000000038654</v>
      </c>
      <c r="AW21" s="58">
        <v>312.04000000000002</v>
      </c>
      <c r="AX21" s="65">
        <f t="shared" si="19"/>
        <v>20.000000000038654</v>
      </c>
      <c r="AY21" s="58">
        <v>357.04</v>
      </c>
      <c r="AZ21" s="65">
        <f t="shared" si="20"/>
        <v>0</v>
      </c>
      <c r="BA21" s="58">
        <v>378.36</v>
      </c>
      <c r="BB21" s="65">
        <f t="shared" si="21"/>
        <v>20.000000000038654</v>
      </c>
      <c r="BC21" s="58">
        <v>236.84</v>
      </c>
      <c r="BD21" s="65">
        <f t="shared" si="22"/>
        <v>9.9999999999909051</v>
      </c>
      <c r="BE21" s="59">
        <v>35630</v>
      </c>
      <c r="BF21" s="67">
        <f t="shared" si="40"/>
        <v>34</v>
      </c>
      <c r="BG21" s="60">
        <v>229.17</v>
      </c>
      <c r="BH21" s="65">
        <f t="shared" si="23"/>
        <v>19.99999999998181</v>
      </c>
      <c r="BI21" s="60">
        <v>288.33999999999997</v>
      </c>
      <c r="BJ21" s="65">
        <f t="shared" si="41"/>
        <v>39.99999999996362</v>
      </c>
      <c r="BK21" s="60">
        <v>233.11</v>
      </c>
      <c r="BL21" s="65">
        <f t="shared" si="24"/>
        <v>0</v>
      </c>
      <c r="BM21" s="60">
        <v>218.66</v>
      </c>
      <c r="BN21" s="65">
        <f t="shared" si="25"/>
        <v>30.000000000001137</v>
      </c>
      <c r="BO21" s="60">
        <v>283.77999999999997</v>
      </c>
      <c r="BP21" s="65">
        <f t="shared" si="26"/>
        <v>19.99999999998181</v>
      </c>
      <c r="BQ21" s="60">
        <v>41909</v>
      </c>
      <c r="BR21" s="65">
        <f t="shared" si="27"/>
        <v>2</v>
      </c>
      <c r="BS21" s="60">
        <v>196.96</v>
      </c>
      <c r="BT21" s="65">
        <f t="shared" si="42"/>
        <v>30.000000000001137</v>
      </c>
      <c r="BU21" s="60">
        <v>35503</v>
      </c>
      <c r="BV21" s="65">
        <f t="shared" si="28"/>
        <v>4</v>
      </c>
      <c r="BW21" s="60">
        <v>228.53</v>
      </c>
      <c r="BX21" s="65">
        <f t="shared" si="29"/>
        <v>20.000000000010232</v>
      </c>
      <c r="BY21" s="60">
        <v>54250</v>
      </c>
      <c r="BZ21" s="67">
        <f t="shared" si="30"/>
        <v>22</v>
      </c>
      <c r="CA21" s="60">
        <v>28616.400000000001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55158.1</v>
      </c>
      <c r="CH21" s="67">
        <f t="shared" si="34"/>
        <v>30.19999999999709</v>
      </c>
      <c r="CI21" s="60">
        <v>912512</v>
      </c>
      <c r="CJ21" s="67">
        <f t="shared" si="35"/>
        <v>182</v>
      </c>
      <c r="CK21" s="60">
        <v>680.59</v>
      </c>
      <c r="CL21" s="64">
        <f t="shared" si="36"/>
        <v>460.00000000003638</v>
      </c>
      <c r="CM21" s="65">
        <f t="shared" si="37"/>
        <v>19</v>
      </c>
      <c r="CN21" s="62">
        <v>0</v>
      </c>
      <c r="CO21" s="62">
        <v>0</v>
      </c>
      <c r="CP21" s="68">
        <v>4007.9</v>
      </c>
      <c r="CQ21" s="67">
        <f t="shared" si="38"/>
        <v>13</v>
      </c>
      <c r="CR21" s="68">
        <v>12016</v>
      </c>
      <c r="CS21" s="67">
        <f t="shared" si="38"/>
        <v>6</v>
      </c>
      <c r="CT21" s="75">
        <v>4797</v>
      </c>
      <c r="CU21" s="67">
        <f t="shared" si="38"/>
        <v>12</v>
      </c>
      <c r="CV21" s="68">
        <v>12330</v>
      </c>
      <c r="CW21" s="67">
        <f t="shared" si="38"/>
        <v>16</v>
      </c>
    </row>
    <row r="22" spans="1:101" ht="25.5" customHeight="1" thickBot="1" x14ac:dyDescent="0.45">
      <c r="A22" s="63">
        <v>44246</v>
      </c>
      <c r="B22" s="44"/>
      <c r="C22" s="58">
        <v>2.0587</v>
      </c>
      <c r="D22" s="64">
        <f t="shared" si="0"/>
        <v>700.00000000014495</v>
      </c>
      <c r="E22" s="58">
        <v>2.9264000000000001</v>
      </c>
      <c r="F22" s="64">
        <f t="shared" si="1"/>
        <v>799.99999999991189</v>
      </c>
      <c r="G22" s="58">
        <v>2.9988999999999999</v>
      </c>
      <c r="H22" s="64">
        <f t="shared" si="2"/>
        <v>1799.9999999998017</v>
      </c>
      <c r="I22" s="58">
        <v>1.4669000000000001</v>
      </c>
      <c r="J22" s="64">
        <f t="shared" si="3"/>
        <v>800.00000000013392</v>
      </c>
      <c r="K22" s="58">
        <v>2.375</v>
      </c>
      <c r="L22" s="64">
        <f t="shared" si="39"/>
        <v>1999.9999999997797</v>
      </c>
      <c r="M22" s="58">
        <v>1.3428</v>
      </c>
      <c r="N22" s="64">
        <f t="shared" si="4"/>
        <v>699.99999999992292</v>
      </c>
      <c r="O22" s="58">
        <v>12740</v>
      </c>
      <c r="P22" s="67">
        <f t="shared" si="43"/>
        <v>0</v>
      </c>
      <c r="Q22" s="58">
        <v>346</v>
      </c>
      <c r="R22" s="67">
        <f t="shared" si="6"/>
        <v>7</v>
      </c>
      <c r="S22" s="58">
        <v>900914.8</v>
      </c>
      <c r="T22" s="67">
        <f t="shared" si="7"/>
        <v>214.40000000002328</v>
      </c>
      <c r="U22" s="58">
        <v>374050.2</v>
      </c>
      <c r="V22" s="67">
        <f t="shared" si="8"/>
        <v>155.5</v>
      </c>
      <c r="W22" s="58">
        <v>362.74</v>
      </c>
      <c r="X22" s="65">
        <f t="shared" si="9"/>
        <v>120.00000000000455</v>
      </c>
      <c r="Y22" s="58">
        <v>2.5518999999999998</v>
      </c>
      <c r="Z22" s="65">
        <f t="shared" si="10"/>
        <v>599.99999999993395</v>
      </c>
      <c r="AA22" s="58">
        <v>356.88</v>
      </c>
      <c r="AB22" s="65">
        <f t="shared" si="11"/>
        <v>139.99999999998636</v>
      </c>
      <c r="AC22" s="58">
        <v>343.42</v>
      </c>
      <c r="AD22" s="65">
        <f t="shared" si="12"/>
        <v>210.00000000003638</v>
      </c>
      <c r="AE22" s="58">
        <v>531.29999999999995</v>
      </c>
      <c r="AF22" s="65">
        <f t="shared" si="13"/>
        <v>250</v>
      </c>
      <c r="AG22" s="58">
        <v>127</v>
      </c>
      <c r="AH22" s="67">
        <f t="shared" si="14"/>
        <v>34</v>
      </c>
      <c r="AI22" s="58">
        <v>532.15</v>
      </c>
      <c r="AJ22" s="65">
        <f t="shared" si="15"/>
        <v>269.99999999998181</v>
      </c>
      <c r="AK22" s="58">
        <v>181.94</v>
      </c>
      <c r="AL22" s="65">
        <f t="shared" si="15"/>
        <v>50.000000000011369</v>
      </c>
      <c r="AM22" s="58">
        <v>179.66</v>
      </c>
      <c r="AN22" s="65">
        <f t="shared" si="15"/>
        <v>30.000000000001137</v>
      </c>
      <c r="AO22" s="58">
        <v>171.31</v>
      </c>
      <c r="AP22" s="65">
        <f t="shared" si="15"/>
        <v>39.999999999992042</v>
      </c>
      <c r="AQ22" s="58">
        <v>229.53</v>
      </c>
      <c r="AR22" s="65">
        <f t="shared" si="16"/>
        <v>20.000000000010232</v>
      </c>
      <c r="AS22" s="58">
        <v>357.16</v>
      </c>
      <c r="AT22" s="65">
        <f t="shared" si="17"/>
        <v>20.000000000038654</v>
      </c>
      <c r="AU22" s="58">
        <v>275.86</v>
      </c>
      <c r="AV22" s="65">
        <f t="shared" si="18"/>
        <v>9.9999999999909051</v>
      </c>
      <c r="AW22" s="58">
        <v>312.05</v>
      </c>
      <c r="AX22" s="65">
        <f t="shared" si="19"/>
        <v>9.9999999999909051</v>
      </c>
      <c r="AY22" s="58">
        <v>357.08</v>
      </c>
      <c r="AZ22" s="65">
        <f t="shared" si="20"/>
        <v>39.99999999996362</v>
      </c>
      <c r="BA22" s="58">
        <v>378.38</v>
      </c>
      <c r="BB22" s="65">
        <f t="shared" si="21"/>
        <v>19.99999999998181</v>
      </c>
      <c r="BC22" s="58">
        <v>236.85</v>
      </c>
      <c r="BD22" s="65">
        <f t="shared" si="22"/>
        <v>9.9999999999909051</v>
      </c>
      <c r="BE22" s="59">
        <v>35660</v>
      </c>
      <c r="BF22" s="67">
        <f t="shared" si="40"/>
        <v>30</v>
      </c>
      <c r="BG22" s="60">
        <v>229.18</v>
      </c>
      <c r="BH22" s="65">
        <f t="shared" si="23"/>
        <v>10.000000000019327</v>
      </c>
      <c r="BI22" s="60">
        <v>288.38</v>
      </c>
      <c r="BJ22" s="65">
        <f t="shared" si="41"/>
        <v>40.000000000020464</v>
      </c>
      <c r="BK22" s="60">
        <v>233.12</v>
      </c>
      <c r="BL22" s="65">
        <f t="shared" si="24"/>
        <v>9.9999999999909051</v>
      </c>
      <c r="BM22" s="60">
        <v>218.68</v>
      </c>
      <c r="BN22" s="65">
        <f t="shared" si="25"/>
        <v>20.000000000010232</v>
      </c>
      <c r="BO22" s="60">
        <v>283.8</v>
      </c>
      <c r="BP22" s="65">
        <f t="shared" si="26"/>
        <v>20.000000000038654</v>
      </c>
      <c r="BQ22" s="60">
        <v>41910</v>
      </c>
      <c r="BR22" s="65">
        <f t="shared" si="27"/>
        <v>1</v>
      </c>
      <c r="BS22" s="60">
        <v>196.98</v>
      </c>
      <c r="BT22" s="65">
        <f t="shared" si="42"/>
        <v>19.99999999998181</v>
      </c>
      <c r="BU22" s="60">
        <v>35510</v>
      </c>
      <c r="BV22" s="65">
        <f t="shared" si="28"/>
        <v>7</v>
      </c>
      <c r="BW22" s="60">
        <v>228.55</v>
      </c>
      <c r="BX22" s="65">
        <f t="shared" si="29"/>
        <v>20.000000000010232</v>
      </c>
      <c r="BY22" s="60">
        <v>54274</v>
      </c>
      <c r="BZ22" s="67">
        <f t="shared" si="30"/>
        <v>24</v>
      </c>
      <c r="CA22" s="60">
        <v>28616.400000000001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55193.9</v>
      </c>
      <c r="CH22" s="67">
        <f t="shared" si="34"/>
        <v>35.80000000000291</v>
      </c>
      <c r="CI22" s="60">
        <v>912689</v>
      </c>
      <c r="CJ22" s="67">
        <f t="shared" si="35"/>
        <v>177</v>
      </c>
      <c r="CK22" s="60">
        <v>681.08</v>
      </c>
      <c r="CL22" s="64">
        <f t="shared" si="36"/>
        <v>490.00000000000909</v>
      </c>
      <c r="CM22" s="65">
        <f t="shared" si="37"/>
        <v>19.699999999999818</v>
      </c>
      <c r="CN22" s="62">
        <v>0</v>
      </c>
      <c r="CO22" s="62">
        <v>0</v>
      </c>
      <c r="CP22" s="68">
        <v>4020.6</v>
      </c>
      <c r="CQ22" s="67">
        <f t="shared" si="38"/>
        <v>12.699999999999818</v>
      </c>
      <c r="CR22" s="68">
        <v>12023</v>
      </c>
      <c r="CS22" s="67">
        <f t="shared" si="38"/>
        <v>7</v>
      </c>
      <c r="CT22" s="75">
        <v>4809</v>
      </c>
      <c r="CU22" s="67">
        <f t="shared" si="38"/>
        <v>12</v>
      </c>
      <c r="CV22" s="68">
        <v>12346</v>
      </c>
      <c r="CW22" s="67">
        <f t="shared" si="38"/>
        <v>16</v>
      </c>
    </row>
    <row r="23" spans="1:101" ht="25.5" customHeight="1" thickBot="1" x14ac:dyDescent="0.45">
      <c r="A23" s="63">
        <v>44247</v>
      </c>
      <c r="B23" s="44"/>
      <c r="C23" s="58">
        <v>2.0594000000000001</v>
      </c>
      <c r="D23" s="64">
        <f t="shared" si="0"/>
        <v>700.00000000014495</v>
      </c>
      <c r="E23" s="58">
        <v>2.9272</v>
      </c>
      <c r="F23" s="64">
        <f t="shared" si="1"/>
        <v>799.99999999991189</v>
      </c>
      <c r="G23" s="58">
        <v>3.0007000000000001</v>
      </c>
      <c r="H23" s="64">
        <f t="shared" si="2"/>
        <v>1800.0000000002458</v>
      </c>
      <c r="I23" s="58">
        <v>1.4677</v>
      </c>
      <c r="J23" s="64">
        <f t="shared" si="3"/>
        <v>799.99999999991189</v>
      </c>
      <c r="K23" s="58">
        <v>2.3769</v>
      </c>
      <c r="L23" s="64">
        <f t="shared" si="39"/>
        <v>1900.0000000000127</v>
      </c>
      <c r="M23" s="58">
        <v>1.3433999999999999</v>
      </c>
      <c r="N23" s="64">
        <f t="shared" si="4"/>
        <v>599.99999999993395</v>
      </c>
      <c r="O23" s="58">
        <v>12740</v>
      </c>
      <c r="P23" s="67">
        <f t="shared" si="43"/>
        <v>0</v>
      </c>
      <c r="Q23" s="58">
        <v>352</v>
      </c>
      <c r="R23" s="67">
        <f t="shared" si="6"/>
        <v>6</v>
      </c>
      <c r="S23" s="58">
        <v>901166.2</v>
      </c>
      <c r="T23" s="67">
        <f t="shared" si="7"/>
        <v>251.39999999990687</v>
      </c>
      <c r="U23" s="58">
        <v>374248.3</v>
      </c>
      <c r="V23" s="67">
        <f t="shared" si="8"/>
        <v>198.09999999997672</v>
      </c>
      <c r="W23" s="58">
        <v>362.84</v>
      </c>
      <c r="X23" s="65">
        <f t="shared" si="9"/>
        <v>99.999999999965894</v>
      </c>
      <c r="Y23" s="58">
        <v>2.5524</v>
      </c>
      <c r="Z23" s="65">
        <f t="shared" si="10"/>
        <v>500.00000000016701</v>
      </c>
      <c r="AA23" s="58">
        <v>357.01</v>
      </c>
      <c r="AB23" s="65">
        <f t="shared" si="11"/>
        <v>129.99999999999545</v>
      </c>
      <c r="AC23" s="58">
        <v>343.58</v>
      </c>
      <c r="AD23" s="65">
        <f t="shared" si="12"/>
        <v>159.99999999996817</v>
      </c>
      <c r="AE23" s="58">
        <v>531.49</v>
      </c>
      <c r="AF23" s="65">
        <f t="shared" si="13"/>
        <v>190.00000000005457</v>
      </c>
      <c r="AG23" s="58">
        <v>154</v>
      </c>
      <c r="AH23" s="67">
        <f t="shared" si="14"/>
        <v>27</v>
      </c>
      <c r="AI23" s="58">
        <v>532.41</v>
      </c>
      <c r="AJ23" s="65">
        <f t="shared" si="15"/>
        <v>259.99999999999091</v>
      </c>
      <c r="AK23" s="58">
        <v>181.97</v>
      </c>
      <c r="AL23" s="65">
        <f t="shared" si="15"/>
        <v>30.000000000001137</v>
      </c>
      <c r="AM23" s="58">
        <v>179.67</v>
      </c>
      <c r="AN23" s="65">
        <f t="shared" si="15"/>
        <v>9.9999999999909051</v>
      </c>
      <c r="AO23" s="58">
        <v>171.33</v>
      </c>
      <c r="AP23" s="65">
        <f t="shared" si="15"/>
        <v>20.000000000010232</v>
      </c>
      <c r="AQ23" s="58">
        <v>229.54</v>
      </c>
      <c r="AR23" s="65">
        <f t="shared" si="16"/>
        <v>9.9999999999909051</v>
      </c>
      <c r="AS23" s="58">
        <v>357.18</v>
      </c>
      <c r="AT23" s="65">
        <f t="shared" si="17"/>
        <v>19.99999999998181</v>
      </c>
      <c r="AU23" s="58">
        <v>275.88</v>
      </c>
      <c r="AV23" s="65">
        <f t="shared" si="18"/>
        <v>19.99999999998181</v>
      </c>
      <c r="AW23" s="58">
        <v>312.06</v>
      </c>
      <c r="AX23" s="65">
        <f t="shared" si="19"/>
        <v>9.9999999999909051</v>
      </c>
      <c r="AY23" s="58">
        <v>357.09</v>
      </c>
      <c r="AZ23" s="65">
        <f t="shared" si="20"/>
        <v>9.9999999999909051</v>
      </c>
      <c r="BA23" s="58">
        <v>378.39</v>
      </c>
      <c r="BB23" s="65">
        <f t="shared" si="21"/>
        <v>9.9999999999909051</v>
      </c>
      <c r="BC23" s="58">
        <v>236.86</v>
      </c>
      <c r="BD23" s="65">
        <f t="shared" si="22"/>
        <v>10.000000000019327</v>
      </c>
      <c r="BE23" s="59">
        <v>35690</v>
      </c>
      <c r="BF23" s="67">
        <f t="shared" si="40"/>
        <v>30</v>
      </c>
      <c r="BG23" s="60">
        <v>229.19</v>
      </c>
      <c r="BH23" s="65">
        <f t="shared" si="23"/>
        <v>9.9999999999909051</v>
      </c>
      <c r="BI23" s="60">
        <v>288.42</v>
      </c>
      <c r="BJ23" s="65">
        <f t="shared" si="41"/>
        <v>40.000000000020464</v>
      </c>
      <c r="BK23" s="60">
        <v>233.13</v>
      </c>
      <c r="BL23" s="65">
        <f t="shared" si="24"/>
        <v>9.9999999999909051</v>
      </c>
      <c r="BM23" s="60">
        <v>218.71</v>
      </c>
      <c r="BN23" s="65">
        <f t="shared" si="25"/>
        <v>30.000000000001137</v>
      </c>
      <c r="BO23" s="60">
        <v>283.81</v>
      </c>
      <c r="BP23" s="65">
        <f t="shared" si="26"/>
        <v>9.9999999999909051</v>
      </c>
      <c r="BQ23" s="60">
        <v>41912</v>
      </c>
      <c r="BR23" s="65">
        <f t="shared" si="27"/>
        <v>2</v>
      </c>
      <c r="BS23" s="60">
        <v>197</v>
      </c>
      <c r="BT23" s="65">
        <f t="shared" si="42"/>
        <v>20.000000000010232</v>
      </c>
      <c r="BU23" s="60">
        <v>35515</v>
      </c>
      <c r="BV23" s="65">
        <f t="shared" si="28"/>
        <v>5</v>
      </c>
      <c r="BW23" s="60">
        <v>228.57</v>
      </c>
      <c r="BX23" s="65">
        <f t="shared" si="29"/>
        <v>19.99999999998181</v>
      </c>
      <c r="BY23" s="60">
        <v>54290</v>
      </c>
      <c r="BZ23" s="67">
        <f t="shared" si="30"/>
        <v>16</v>
      </c>
      <c r="CA23" s="60">
        <v>28616.400000000001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55236.4</v>
      </c>
      <c r="CH23" s="67">
        <f t="shared" si="34"/>
        <v>42.5</v>
      </c>
      <c r="CI23" s="60">
        <v>912863</v>
      </c>
      <c r="CJ23" s="67">
        <f t="shared" si="35"/>
        <v>174</v>
      </c>
      <c r="CK23" s="60">
        <v>681.61</v>
      </c>
      <c r="CL23" s="64">
        <f t="shared" si="36"/>
        <v>529.99999999997272</v>
      </c>
      <c r="CM23" s="65">
        <f t="shared" si="37"/>
        <v>21.400000000000091</v>
      </c>
      <c r="CN23" s="62">
        <v>0</v>
      </c>
      <c r="CO23" s="62">
        <v>0</v>
      </c>
      <c r="CP23" s="68">
        <v>4034</v>
      </c>
      <c r="CQ23" s="67">
        <f t="shared" si="38"/>
        <v>13.400000000000091</v>
      </c>
      <c r="CR23" s="68">
        <v>12031</v>
      </c>
      <c r="CS23" s="67">
        <f t="shared" si="38"/>
        <v>8</v>
      </c>
      <c r="CT23" s="75">
        <v>4820</v>
      </c>
      <c r="CU23" s="67">
        <f t="shared" si="38"/>
        <v>11</v>
      </c>
      <c r="CV23" s="68">
        <v>12398</v>
      </c>
      <c r="CW23" s="67">
        <f t="shared" si="38"/>
        <v>52</v>
      </c>
    </row>
    <row r="24" spans="1:101" ht="25.5" customHeight="1" thickBot="1" x14ac:dyDescent="0.45">
      <c r="A24" s="63">
        <v>44248</v>
      </c>
      <c r="B24" s="44"/>
      <c r="C24" s="58">
        <v>2.0598999999999998</v>
      </c>
      <c r="D24" s="64">
        <f t="shared" si="0"/>
        <v>499.99999999972289</v>
      </c>
      <c r="E24" s="58">
        <v>2.9278</v>
      </c>
      <c r="F24" s="64">
        <f t="shared" si="1"/>
        <v>599.99999999993395</v>
      </c>
      <c r="G24" s="58">
        <v>3.0022000000000002</v>
      </c>
      <c r="H24" s="64">
        <f t="shared" si="2"/>
        <v>1500.0000000000568</v>
      </c>
      <c r="I24" s="58">
        <v>1.4683999999999999</v>
      </c>
      <c r="J24" s="64">
        <f t="shared" si="3"/>
        <v>699.99999999992292</v>
      </c>
      <c r="K24" s="58">
        <v>2.3786999999999998</v>
      </c>
      <c r="L24" s="64">
        <f t="shared" si="39"/>
        <v>1799.9999999998017</v>
      </c>
      <c r="M24" s="58">
        <v>1.3439000000000001</v>
      </c>
      <c r="N24" s="64">
        <f t="shared" si="4"/>
        <v>500.00000000016701</v>
      </c>
      <c r="O24" s="58">
        <v>12740</v>
      </c>
      <c r="P24" s="67">
        <f t="shared" si="43"/>
        <v>0</v>
      </c>
      <c r="Q24" s="58">
        <v>360</v>
      </c>
      <c r="R24" s="67">
        <f t="shared" si="6"/>
        <v>8</v>
      </c>
      <c r="S24" s="58">
        <v>901277</v>
      </c>
      <c r="T24" s="67">
        <f t="shared" si="7"/>
        <v>110.80000000004657</v>
      </c>
      <c r="U24" s="58">
        <v>374319.2</v>
      </c>
      <c r="V24" s="67">
        <f t="shared" si="8"/>
        <v>70.900000000023283</v>
      </c>
      <c r="W24" s="58">
        <v>362.95</v>
      </c>
      <c r="X24" s="65">
        <f t="shared" si="9"/>
        <v>110.00000000001364</v>
      </c>
      <c r="Y24" s="58">
        <v>2.5529000000000002</v>
      </c>
      <c r="Z24" s="65">
        <f t="shared" si="10"/>
        <v>500.00000000016701</v>
      </c>
      <c r="AA24" s="58">
        <v>357.12</v>
      </c>
      <c r="AB24" s="65">
        <f t="shared" si="11"/>
        <v>110.00000000001364</v>
      </c>
      <c r="AC24" s="58">
        <v>343.73</v>
      </c>
      <c r="AD24" s="65">
        <f t="shared" si="12"/>
        <v>150.00000000003411</v>
      </c>
      <c r="AE24" s="58">
        <v>531.65</v>
      </c>
      <c r="AF24" s="65">
        <f t="shared" si="13"/>
        <v>159.99999999996817</v>
      </c>
      <c r="AG24" s="58">
        <v>187</v>
      </c>
      <c r="AH24" s="67">
        <f t="shared" si="14"/>
        <v>33</v>
      </c>
      <c r="AI24" s="58">
        <v>532.69000000000005</v>
      </c>
      <c r="AJ24" s="65">
        <f t="shared" si="15"/>
        <v>280.0000000000864</v>
      </c>
      <c r="AK24" s="58">
        <v>181.99</v>
      </c>
      <c r="AL24" s="65">
        <f t="shared" si="15"/>
        <v>20.000000000010232</v>
      </c>
      <c r="AM24" s="58">
        <v>179.68</v>
      </c>
      <c r="AN24" s="65">
        <f t="shared" si="15"/>
        <v>10.000000000019327</v>
      </c>
      <c r="AO24" s="58">
        <v>171.34</v>
      </c>
      <c r="AP24" s="65">
        <f t="shared" si="15"/>
        <v>9.9999999999909051</v>
      </c>
      <c r="AQ24" s="58">
        <v>229.55</v>
      </c>
      <c r="AR24" s="65">
        <f t="shared" si="16"/>
        <v>10.000000000019327</v>
      </c>
      <c r="AS24" s="58">
        <v>357.2</v>
      </c>
      <c r="AT24" s="65">
        <f t="shared" si="17"/>
        <v>19.99999999998181</v>
      </c>
      <c r="AU24" s="58">
        <v>275.89</v>
      </c>
      <c r="AV24" s="65">
        <f t="shared" si="18"/>
        <v>9.9999999999909051</v>
      </c>
      <c r="AW24" s="58">
        <v>312.08</v>
      </c>
      <c r="AX24" s="65">
        <f t="shared" si="19"/>
        <v>19.99999999998181</v>
      </c>
      <c r="AY24" s="58">
        <v>357.11</v>
      </c>
      <c r="AZ24" s="65">
        <f t="shared" si="20"/>
        <v>20.000000000038654</v>
      </c>
      <c r="BA24" s="58">
        <v>378.41</v>
      </c>
      <c r="BB24" s="65">
        <f t="shared" si="21"/>
        <v>20.000000000038654</v>
      </c>
      <c r="BC24" s="58">
        <v>236.87</v>
      </c>
      <c r="BD24" s="65">
        <f t="shared" si="22"/>
        <v>9.9999999999909051</v>
      </c>
      <c r="BE24" s="59">
        <v>35710</v>
      </c>
      <c r="BF24" s="67">
        <f t="shared" si="40"/>
        <v>20</v>
      </c>
      <c r="BG24" s="60">
        <v>229.22</v>
      </c>
      <c r="BH24" s="65">
        <f t="shared" si="23"/>
        <v>30.000000000001137</v>
      </c>
      <c r="BI24" s="60">
        <v>288.45</v>
      </c>
      <c r="BJ24" s="65">
        <f t="shared" si="41"/>
        <v>29.999999999972715</v>
      </c>
      <c r="BK24" s="60">
        <v>233.14</v>
      </c>
      <c r="BL24" s="65">
        <f t="shared" si="24"/>
        <v>9.9999999999909051</v>
      </c>
      <c r="BM24" s="60">
        <v>218.73</v>
      </c>
      <c r="BN24" s="65">
        <f t="shared" si="25"/>
        <v>19.99999999998181</v>
      </c>
      <c r="BO24" s="60">
        <v>283.83</v>
      </c>
      <c r="BP24" s="65">
        <f t="shared" si="26"/>
        <v>19.99999999998181</v>
      </c>
      <c r="BQ24" s="60">
        <v>41914</v>
      </c>
      <c r="BR24" s="65">
        <f t="shared" si="27"/>
        <v>2</v>
      </c>
      <c r="BS24" s="60">
        <v>197.02</v>
      </c>
      <c r="BT24" s="65">
        <f t="shared" si="42"/>
        <v>20.000000000010232</v>
      </c>
      <c r="BU24" s="60">
        <v>35525</v>
      </c>
      <c r="BV24" s="65">
        <f t="shared" si="28"/>
        <v>10</v>
      </c>
      <c r="BW24" s="60">
        <v>228.58</v>
      </c>
      <c r="BX24" s="65">
        <f t="shared" si="29"/>
        <v>10.000000000019327</v>
      </c>
      <c r="BY24" s="60">
        <v>54308</v>
      </c>
      <c r="BZ24" s="67">
        <f t="shared" si="30"/>
        <v>18</v>
      </c>
      <c r="CA24" s="60">
        <v>28616.400000000001</v>
      </c>
      <c r="CB24" s="67">
        <f>IF((CA25-CA23&lt;0), "",CA25-CA23)</f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55267.7</v>
      </c>
      <c r="CH24" s="67">
        <f t="shared" si="34"/>
        <v>31.299999999995634</v>
      </c>
      <c r="CI24" s="60">
        <v>913036</v>
      </c>
      <c r="CJ24" s="67">
        <f t="shared" si="35"/>
        <v>173</v>
      </c>
      <c r="CK24" s="60">
        <v>681.85</v>
      </c>
      <c r="CL24" s="64">
        <f t="shared" si="36"/>
        <v>240.00000000000909</v>
      </c>
      <c r="CM24" s="65">
        <f t="shared" si="37"/>
        <v>22</v>
      </c>
      <c r="CN24" s="62">
        <v>0</v>
      </c>
      <c r="CO24" s="62">
        <v>0</v>
      </c>
      <c r="CP24" s="68">
        <v>4050</v>
      </c>
      <c r="CQ24" s="67">
        <f t="shared" si="38"/>
        <v>16</v>
      </c>
      <c r="CR24" s="68">
        <v>12037</v>
      </c>
      <c r="CS24" s="67">
        <f t="shared" si="38"/>
        <v>6</v>
      </c>
      <c r="CT24" s="75">
        <v>4832</v>
      </c>
      <c r="CU24" s="67">
        <f t="shared" si="38"/>
        <v>12</v>
      </c>
      <c r="CV24" s="68">
        <v>12398</v>
      </c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>
        <v>2.0607000000000002</v>
      </c>
      <c r="D25" s="64">
        <f t="shared" si="0"/>
        <v>800.00000000035595</v>
      </c>
      <c r="E25" s="58">
        <v>2.9285999999999999</v>
      </c>
      <c r="F25" s="64">
        <f t="shared" si="1"/>
        <v>799.99999999991189</v>
      </c>
      <c r="G25" s="58">
        <v>3.0041000000000002</v>
      </c>
      <c r="H25" s="64">
        <f t="shared" si="2"/>
        <v>1900.0000000000127</v>
      </c>
      <c r="I25" s="58">
        <v>1.4692000000000001</v>
      </c>
      <c r="J25" s="64">
        <f t="shared" si="3"/>
        <v>800.00000000013392</v>
      </c>
      <c r="K25" s="58">
        <v>2.3805000000000001</v>
      </c>
      <c r="L25" s="64">
        <f t="shared" si="39"/>
        <v>1800.0000000002458</v>
      </c>
      <c r="M25" s="58">
        <v>1.3445</v>
      </c>
      <c r="N25" s="64">
        <f t="shared" si="4"/>
        <v>599.99999999993395</v>
      </c>
      <c r="O25" s="58">
        <v>12740</v>
      </c>
      <c r="P25" s="67">
        <f t="shared" si="43"/>
        <v>0</v>
      </c>
      <c r="Q25" s="58">
        <v>367</v>
      </c>
      <c r="R25" s="67">
        <f t="shared" si="6"/>
        <v>7</v>
      </c>
      <c r="S25" s="58">
        <v>901567.6</v>
      </c>
      <c r="T25" s="67">
        <f t="shared" si="7"/>
        <v>290.59999999997672</v>
      </c>
      <c r="U25" s="58">
        <v>374529.9</v>
      </c>
      <c r="V25" s="67">
        <f t="shared" si="8"/>
        <v>210.70000000001164</v>
      </c>
      <c r="W25" s="58">
        <v>363.06</v>
      </c>
      <c r="X25" s="65">
        <f t="shared" si="9"/>
        <v>110.00000000001364</v>
      </c>
      <c r="Y25" s="58">
        <v>2.5535000000000001</v>
      </c>
      <c r="Z25" s="65">
        <f t="shared" si="10"/>
        <v>599.99999999993395</v>
      </c>
      <c r="AA25" s="58">
        <v>357.23</v>
      </c>
      <c r="AB25" s="65">
        <f t="shared" si="11"/>
        <v>110.00000000001364</v>
      </c>
      <c r="AC25" s="58">
        <v>343.9</v>
      </c>
      <c r="AD25" s="65">
        <f t="shared" si="12"/>
        <v>169.99999999995907</v>
      </c>
      <c r="AE25" s="58">
        <v>531.9</v>
      </c>
      <c r="AF25" s="65">
        <f t="shared" si="13"/>
        <v>250</v>
      </c>
      <c r="AG25" s="58">
        <v>217</v>
      </c>
      <c r="AH25" s="67">
        <f t="shared" si="14"/>
        <v>30</v>
      </c>
      <c r="AI25" s="58">
        <v>532.94000000000005</v>
      </c>
      <c r="AJ25" s="65">
        <f t="shared" si="15"/>
        <v>250</v>
      </c>
      <c r="AK25" s="58">
        <v>182.04</v>
      </c>
      <c r="AL25" s="65">
        <f t="shared" si="15"/>
        <v>49.999999999982947</v>
      </c>
      <c r="AM25" s="58">
        <v>179.71</v>
      </c>
      <c r="AN25" s="65">
        <f t="shared" si="15"/>
        <v>30.000000000001137</v>
      </c>
      <c r="AO25" s="58">
        <v>171.37</v>
      </c>
      <c r="AP25" s="65">
        <f t="shared" si="15"/>
        <v>30.000000000001137</v>
      </c>
      <c r="AQ25" s="58">
        <v>229.57</v>
      </c>
      <c r="AR25" s="65">
        <f t="shared" si="16"/>
        <v>19.99999999998181</v>
      </c>
      <c r="AS25" s="58">
        <v>357.22</v>
      </c>
      <c r="AT25" s="65">
        <f t="shared" si="17"/>
        <v>20.000000000038654</v>
      </c>
      <c r="AU25" s="58">
        <v>275.89999999999998</v>
      </c>
      <c r="AV25" s="65">
        <f t="shared" si="18"/>
        <v>9.9999999999909051</v>
      </c>
      <c r="AW25" s="58">
        <v>312.08999999999997</v>
      </c>
      <c r="AX25" s="65">
        <f t="shared" si="19"/>
        <v>9.9999999999909051</v>
      </c>
      <c r="AY25" s="58">
        <v>357.13</v>
      </c>
      <c r="AZ25" s="65">
        <f t="shared" si="20"/>
        <v>19.99999999998181</v>
      </c>
      <c r="BA25" s="58">
        <v>378.43</v>
      </c>
      <c r="BB25" s="65">
        <f t="shared" si="21"/>
        <v>19.99999999998181</v>
      </c>
      <c r="BC25" s="58">
        <v>236.88</v>
      </c>
      <c r="BD25" s="65">
        <f t="shared" si="22"/>
        <v>9.9999999999909051</v>
      </c>
      <c r="BE25" s="59">
        <v>35741</v>
      </c>
      <c r="BF25" s="67">
        <f t="shared" si="40"/>
        <v>31</v>
      </c>
      <c r="BG25" s="60">
        <v>229.23</v>
      </c>
      <c r="BH25" s="65">
        <f t="shared" si="23"/>
        <v>9.9999999999909051</v>
      </c>
      <c r="BI25" s="60">
        <v>288.48</v>
      </c>
      <c r="BJ25" s="65">
        <f t="shared" si="41"/>
        <v>30.000000000029559</v>
      </c>
      <c r="BK25" s="60">
        <v>233.14</v>
      </c>
      <c r="BL25" s="65">
        <f t="shared" si="24"/>
        <v>0</v>
      </c>
      <c r="BM25" s="60">
        <v>218.76</v>
      </c>
      <c r="BN25" s="65">
        <f t="shared" si="25"/>
        <v>30.000000000001137</v>
      </c>
      <c r="BO25" s="60">
        <v>283.83999999999997</v>
      </c>
      <c r="BP25" s="65">
        <f t="shared" si="26"/>
        <v>9.9999999999909051</v>
      </c>
      <c r="BQ25" s="60">
        <v>41916</v>
      </c>
      <c r="BR25" s="65">
        <f t="shared" si="27"/>
        <v>2</v>
      </c>
      <c r="BS25" s="60">
        <v>197.04</v>
      </c>
      <c r="BT25" s="65">
        <f t="shared" si="42"/>
        <v>19.99999999998181</v>
      </c>
      <c r="BU25" s="60">
        <v>35530</v>
      </c>
      <c r="BV25" s="65">
        <f t="shared" si="28"/>
        <v>5</v>
      </c>
      <c r="BW25" s="60">
        <v>228.6</v>
      </c>
      <c r="BX25" s="65">
        <f t="shared" si="29"/>
        <v>19.99999999998181</v>
      </c>
      <c r="BY25" s="60">
        <v>54325</v>
      </c>
      <c r="BZ25" s="67">
        <f t="shared" si="30"/>
        <v>17</v>
      </c>
      <c r="CA25" s="60">
        <v>28616.400000000001</v>
      </c>
      <c r="CB25" s="67">
        <f>IF((CA26-CA25&lt;0), "",CA26-CA25)</f>
        <v>0</v>
      </c>
      <c r="CC25" s="60">
        <v>11255.6</v>
      </c>
      <c r="CD25" s="67">
        <f t="shared" si="32"/>
        <v>0</v>
      </c>
      <c r="CE25" s="60">
        <v>5623</v>
      </c>
      <c r="CF25" s="67">
        <f t="shared" si="33"/>
        <v>0</v>
      </c>
      <c r="CG25" s="60">
        <v>55292.4</v>
      </c>
      <c r="CH25" s="67">
        <f t="shared" si="34"/>
        <v>24.700000000004366</v>
      </c>
      <c r="CI25" s="60">
        <v>913208</v>
      </c>
      <c r="CJ25" s="67">
        <f t="shared" si="35"/>
        <v>172</v>
      </c>
      <c r="CK25" s="60">
        <v>682.33</v>
      </c>
      <c r="CL25" s="64">
        <f t="shared" si="36"/>
        <v>480.00000000001819</v>
      </c>
      <c r="CM25" s="65">
        <f t="shared" si="37"/>
        <v>24</v>
      </c>
      <c r="CN25" s="62">
        <v>0</v>
      </c>
      <c r="CO25" s="62">
        <v>0</v>
      </c>
      <c r="CP25" s="68">
        <v>4064</v>
      </c>
      <c r="CQ25" s="67">
        <f t="shared" si="38"/>
        <v>14</v>
      </c>
      <c r="CR25" s="68">
        <v>12047</v>
      </c>
      <c r="CS25" s="67">
        <f t="shared" si="38"/>
        <v>10</v>
      </c>
      <c r="CT25" s="75">
        <v>4845</v>
      </c>
      <c r="CU25" s="67">
        <f t="shared" si="38"/>
        <v>13</v>
      </c>
      <c r="CV25" s="68">
        <v>12416</v>
      </c>
      <c r="CW25" s="67">
        <f t="shared" si="38"/>
        <v>18</v>
      </c>
    </row>
    <row r="26" spans="1:101" ht="25.5" customHeight="1" thickBot="1" x14ac:dyDescent="0.45">
      <c r="A26" s="63">
        <v>44250</v>
      </c>
      <c r="B26" s="44"/>
      <c r="C26" s="58">
        <v>2.0613999999999999</v>
      </c>
      <c r="D26" s="64">
        <f t="shared" si="0"/>
        <v>699.99999999970089</v>
      </c>
      <c r="E26" s="58">
        <v>2.9293999999999998</v>
      </c>
      <c r="F26" s="64">
        <f t="shared" si="1"/>
        <v>799.99999999991189</v>
      </c>
      <c r="G26" s="58">
        <v>3.0059</v>
      </c>
      <c r="H26" s="64">
        <f t="shared" si="2"/>
        <v>1799.9999999998017</v>
      </c>
      <c r="I26" s="58">
        <v>1.4701</v>
      </c>
      <c r="J26" s="64">
        <f t="shared" si="3"/>
        <v>899.99999999990087</v>
      </c>
      <c r="K26" s="58">
        <v>2.3824000000000001</v>
      </c>
      <c r="L26" s="64">
        <f t="shared" si="39"/>
        <v>1900.0000000000127</v>
      </c>
      <c r="M26" s="58">
        <v>1.3451</v>
      </c>
      <c r="N26" s="64">
        <f t="shared" si="4"/>
        <v>599.99999999993395</v>
      </c>
      <c r="O26" s="58">
        <v>12740</v>
      </c>
      <c r="P26" s="67">
        <f t="shared" si="43"/>
        <v>0</v>
      </c>
      <c r="Q26" s="58">
        <v>367</v>
      </c>
      <c r="R26" s="67">
        <f t="shared" si="6"/>
        <v>0</v>
      </c>
      <c r="S26" s="58">
        <v>901908.8</v>
      </c>
      <c r="T26" s="67">
        <f t="shared" si="7"/>
        <v>341.20000000006985</v>
      </c>
      <c r="U26" s="58">
        <v>374773</v>
      </c>
      <c r="V26" s="67">
        <f t="shared" si="8"/>
        <v>243.09999999997672</v>
      </c>
      <c r="W26" s="58">
        <v>363.17</v>
      </c>
      <c r="X26" s="65">
        <f t="shared" si="9"/>
        <v>110.00000000001364</v>
      </c>
      <c r="Y26" s="58">
        <v>2.5541</v>
      </c>
      <c r="Z26" s="65">
        <f t="shared" si="10"/>
        <v>599.99999999993395</v>
      </c>
      <c r="AA26" s="58">
        <v>357.35</v>
      </c>
      <c r="AB26" s="65">
        <f t="shared" si="11"/>
        <v>120.00000000000455</v>
      </c>
      <c r="AC26" s="58">
        <v>344.06</v>
      </c>
      <c r="AD26" s="65">
        <f t="shared" si="12"/>
        <v>160.00000000002501</v>
      </c>
      <c r="AE26" s="58">
        <v>532.05999999999995</v>
      </c>
      <c r="AF26" s="65">
        <f t="shared" si="13"/>
        <v>159.99999999996817</v>
      </c>
      <c r="AG26" s="58">
        <v>248</v>
      </c>
      <c r="AH26" s="67">
        <f t="shared" si="14"/>
        <v>31</v>
      </c>
      <c r="AI26" s="58">
        <v>533.20000000000005</v>
      </c>
      <c r="AJ26" s="65">
        <f t="shared" si="15"/>
        <v>259.99999999999091</v>
      </c>
      <c r="AK26" s="58">
        <v>182.08</v>
      </c>
      <c r="AL26" s="65">
        <f t="shared" si="15"/>
        <v>40.000000000020464</v>
      </c>
      <c r="AM26" s="58">
        <v>179.73</v>
      </c>
      <c r="AN26" s="65">
        <f t="shared" si="15"/>
        <v>19.99999999998181</v>
      </c>
      <c r="AO26" s="58">
        <v>171.38</v>
      </c>
      <c r="AP26" s="65">
        <f t="shared" si="15"/>
        <v>9.9999999999909051</v>
      </c>
      <c r="AQ26" s="58">
        <v>229.59</v>
      </c>
      <c r="AR26" s="65">
        <f t="shared" si="16"/>
        <v>20.000000000010232</v>
      </c>
      <c r="AS26" s="58">
        <v>357.28</v>
      </c>
      <c r="AT26" s="65">
        <f t="shared" si="17"/>
        <v>59.99999999994543</v>
      </c>
      <c r="AU26" s="58">
        <v>275.92</v>
      </c>
      <c r="AV26" s="65">
        <f t="shared" si="18"/>
        <v>20.000000000038654</v>
      </c>
      <c r="AW26" s="58">
        <v>312.11</v>
      </c>
      <c r="AX26" s="65">
        <f t="shared" si="19"/>
        <v>20.000000000038654</v>
      </c>
      <c r="AY26" s="58">
        <v>357.15</v>
      </c>
      <c r="AZ26" s="65">
        <f t="shared" si="20"/>
        <v>19.99999999998181</v>
      </c>
      <c r="BA26" s="58">
        <v>378.45</v>
      </c>
      <c r="BB26" s="65">
        <f t="shared" si="21"/>
        <v>19.99999999998181</v>
      </c>
      <c r="BC26" s="58">
        <v>236.88</v>
      </c>
      <c r="BD26" s="65">
        <f t="shared" si="22"/>
        <v>0</v>
      </c>
      <c r="BE26" s="59">
        <v>35777</v>
      </c>
      <c r="BF26" s="67">
        <f t="shared" si="40"/>
        <v>36</v>
      </c>
      <c r="BG26" s="60">
        <v>229.25</v>
      </c>
      <c r="BH26" s="65">
        <f t="shared" si="23"/>
        <v>20.000000000010232</v>
      </c>
      <c r="BI26" s="60">
        <v>288.52</v>
      </c>
      <c r="BJ26" s="65">
        <f t="shared" si="41"/>
        <v>39.99999999996362</v>
      </c>
      <c r="BK26" s="60">
        <v>233.15</v>
      </c>
      <c r="BL26" s="65">
        <f t="shared" si="24"/>
        <v>10.000000000019327</v>
      </c>
      <c r="BM26" s="60">
        <v>218.79</v>
      </c>
      <c r="BN26" s="65">
        <f t="shared" si="25"/>
        <v>30.000000000001137</v>
      </c>
      <c r="BO26" s="60">
        <v>283.86</v>
      </c>
      <c r="BP26" s="65">
        <f t="shared" si="26"/>
        <v>20.000000000038654</v>
      </c>
      <c r="BQ26" s="60">
        <v>41918</v>
      </c>
      <c r="BR26" s="65">
        <f t="shared" si="27"/>
        <v>2</v>
      </c>
      <c r="BS26" s="60">
        <v>197.06</v>
      </c>
      <c r="BT26" s="65">
        <f t="shared" si="42"/>
        <v>20.000000000010232</v>
      </c>
      <c r="BU26" s="60">
        <v>35536</v>
      </c>
      <c r="BV26" s="65">
        <f t="shared" si="28"/>
        <v>6</v>
      </c>
      <c r="BW26" s="60">
        <v>228.62</v>
      </c>
      <c r="BX26" s="65">
        <f t="shared" si="29"/>
        <v>20.000000000010232</v>
      </c>
      <c r="BY26" s="60">
        <v>54346</v>
      </c>
      <c r="BZ26" s="67">
        <f t="shared" si="30"/>
        <v>21</v>
      </c>
      <c r="CA26" s="60">
        <v>28616.400000000001</v>
      </c>
      <c r="CB26" s="67">
        <f t="shared" ref="CB26:CB27" si="44">IF((CA27-CA26&lt;0), "",CA27-CA26)</f>
        <v>0</v>
      </c>
      <c r="CC26" s="60">
        <v>11255.6</v>
      </c>
      <c r="CD26" s="67">
        <f t="shared" si="32"/>
        <v>0</v>
      </c>
      <c r="CE26" s="60">
        <v>5623</v>
      </c>
      <c r="CF26" s="67">
        <f t="shared" si="33"/>
        <v>0</v>
      </c>
      <c r="CG26" s="60">
        <v>55322.7</v>
      </c>
      <c r="CH26" s="67">
        <f t="shared" si="34"/>
        <v>30.299999999995634</v>
      </c>
      <c r="CI26" s="60">
        <v>913392</v>
      </c>
      <c r="CJ26" s="67">
        <f t="shared" si="35"/>
        <v>184</v>
      </c>
      <c r="CK26" s="60">
        <v>682.61</v>
      </c>
      <c r="CL26" s="64">
        <f t="shared" si="36"/>
        <v>279.99999999997272</v>
      </c>
      <c r="CM26" s="65">
        <f t="shared" si="37"/>
        <v>27.800000000000182</v>
      </c>
      <c r="CN26" s="62">
        <v>0</v>
      </c>
      <c r="CO26" s="62">
        <v>0</v>
      </c>
      <c r="CP26" s="68">
        <v>4082.8</v>
      </c>
      <c r="CQ26" s="67">
        <f t="shared" si="38"/>
        <v>18.800000000000182</v>
      </c>
      <c r="CR26" s="68">
        <v>12056</v>
      </c>
      <c r="CS26" s="67">
        <f t="shared" si="38"/>
        <v>9</v>
      </c>
      <c r="CT26" s="75">
        <v>4858</v>
      </c>
      <c r="CU26" s="67">
        <f t="shared" si="38"/>
        <v>13</v>
      </c>
      <c r="CV26" s="68">
        <v>12439</v>
      </c>
      <c r="CW26" s="67">
        <f t="shared" si="38"/>
        <v>23</v>
      </c>
    </row>
    <row r="27" spans="1:101" ht="25.5" customHeight="1" thickBot="1" x14ac:dyDescent="0.45">
      <c r="A27" s="63">
        <v>44251</v>
      </c>
      <c r="B27" s="44"/>
      <c r="C27" s="58">
        <v>2.0621</v>
      </c>
      <c r="D27" s="64">
        <f t="shared" si="0"/>
        <v>700.00000000014495</v>
      </c>
      <c r="E27" s="58">
        <v>2.9302999999999999</v>
      </c>
      <c r="F27" s="64">
        <f t="shared" si="1"/>
        <v>900.0000000001229</v>
      </c>
      <c r="G27" s="58">
        <v>3.0076000000000001</v>
      </c>
      <c r="H27" s="64">
        <f t="shared" si="2"/>
        <v>1700.0000000000348</v>
      </c>
      <c r="I27" s="58">
        <v>1.4709000000000001</v>
      </c>
      <c r="J27" s="64">
        <f t="shared" si="3"/>
        <v>800.00000000013392</v>
      </c>
      <c r="K27" s="58">
        <v>2.3843000000000001</v>
      </c>
      <c r="L27" s="64">
        <f t="shared" si="39"/>
        <v>1900.0000000000127</v>
      </c>
      <c r="M27" s="58">
        <v>1.3455999999999999</v>
      </c>
      <c r="N27" s="64">
        <f t="shared" si="4"/>
        <v>499.99999999994492</v>
      </c>
      <c r="O27" s="58">
        <v>12740</v>
      </c>
      <c r="P27" s="67">
        <f t="shared" si="43"/>
        <v>0</v>
      </c>
      <c r="Q27" s="58">
        <v>384</v>
      </c>
      <c r="R27" s="67">
        <f t="shared" si="6"/>
        <v>17</v>
      </c>
      <c r="S27" s="58">
        <v>902202.8</v>
      </c>
      <c r="T27" s="67">
        <f t="shared" si="7"/>
        <v>294</v>
      </c>
      <c r="U27" s="58">
        <v>374995.1</v>
      </c>
      <c r="V27" s="67">
        <f t="shared" si="8"/>
        <v>222.09999999997672</v>
      </c>
      <c r="W27" s="58">
        <v>363.28</v>
      </c>
      <c r="X27" s="65">
        <f t="shared" si="9"/>
        <v>109.9999999999568</v>
      </c>
      <c r="Y27" s="58">
        <v>2.5548000000000002</v>
      </c>
      <c r="Z27" s="65">
        <f t="shared" si="10"/>
        <v>700.00000000014495</v>
      </c>
      <c r="AA27" s="58">
        <v>357.46</v>
      </c>
      <c r="AB27" s="65">
        <f t="shared" si="11"/>
        <v>109.9999999999568</v>
      </c>
      <c r="AC27" s="58">
        <v>344.21</v>
      </c>
      <c r="AD27" s="65">
        <f t="shared" si="12"/>
        <v>149.99999999997726</v>
      </c>
      <c r="AE27" s="58">
        <v>532.24</v>
      </c>
      <c r="AF27" s="65">
        <f t="shared" si="13"/>
        <v>180.00000000006366</v>
      </c>
      <c r="AG27" s="58">
        <v>277</v>
      </c>
      <c r="AH27" s="67">
        <f t="shared" si="14"/>
        <v>29</v>
      </c>
      <c r="AI27" s="58">
        <v>533.47</v>
      </c>
      <c r="AJ27" s="65">
        <f t="shared" si="15"/>
        <v>269.99999999998181</v>
      </c>
      <c r="AK27" s="58">
        <v>182.11</v>
      </c>
      <c r="AL27" s="65">
        <f t="shared" si="15"/>
        <v>30.000000000001137</v>
      </c>
      <c r="AM27" s="58">
        <v>179.75</v>
      </c>
      <c r="AN27" s="65">
        <f t="shared" si="15"/>
        <v>20.000000000010232</v>
      </c>
      <c r="AO27" s="58">
        <v>171.4</v>
      </c>
      <c r="AP27" s="65">
        <f t="shared" si="15"/>
        <v>20.000000000010232</v>
      </c>
      <c r="AQ27" s="58">
        <v>229.61</v>
      </c>
      <c r="AR27" s="65">
        <f t="shared" si="16"/>
        <v>20.000000000010232</v>
      </c>
      <c r="AS27" s="58">
        <v>357.33</v>
      </c>
      <c r="AT27" s="65">
        <f t="shared" si="17"/>
        <v>50.000000000011369</v>
      </c>
      <c r="AU27" s="58">
        <v>275.93</v>
      </c>
      <c r="AV27" s="65">
        <f t="shared" si="18"/>
        <v>9.9999999999909051</v>
      </c>
      <c r="AW27" s="58">
        <v>312.12</v>
      </c>
      <c r="AX27" s="65">
        <f t="shared" si="19"/>
        <v>9.9999999999909051</v>
      </c>
      <c r="AY27" s="58">
        <v>357.17</v>
      </c>
      <c r="AZ27" s="65">
        <f t="shared" si="20"/>
        <v>20.000000000038654</v>
      </c>
      <c r="BA27" s="58">
        <v>378.47</v>
      </c>
      <c r="BB27" s="65">
        <f t="shared" si="21"/>
        <v>20.000000000038654</v>
      </c>
      <c r="BC27" s="58">
        <v>236.89</v>
      </c>
      <c r="BD27" s="65">
        <f t="shared" si="22"/>
        <v>9.9999999999909051</v>
      </c>
      <c r="BE27" s="59">
        <v>35804</v>
      </c>
      <c r="BF27" s="67">
        <f t="shared" si="40"/>
        <v>27</v>
      </c>
      <c r="BG27" s="60">
        <v>229.26</v>
      </c>
      <c r="BH27" s="65">
        <f t="shared" si="23"/>
        <v>9.9999999999909051</v>
      </c>
      <c r="BI27" s="60">
        <v>288.55</v>
      </c>
      <c r="BJ27" s="65">
        <f t="shared" si="41"/>
        <v>30.000000000029559</v>
      </c>
      <c r="BK27" s="60">
        <v>233.16</v>
      </c>
      <c r="BL27" s="65">
        <f t="shared" si="24"/>
        <v>9.9999999999909051</v>
      </c>
      <c r="BM27" s="60">
        <v>218.81</v>
      </c>
      <c r="BN27" s="65">
        <f t="shared" si="25"/>
        <v>20.000000000010232</v>
      </c>
      <c r="BO27" s="60">
        <v>283.88</v>
      </c>
      <c r="BP27" s="65">
        <f t="shared" si="26"/>
        <v>19.99999999998181</v>
      </c>
      <c r="BQ27" s="60">
        <v>41920</v>
      </c>
      <c r="BR27" s="65">
        <f t="shared" si="27"/>
        <v>2</v>
      </c>
      <c r="BS27" s="60">
        <v>197.09</v>
      </c>
      <c r="BT27" s="65">
        <f t="shared" si="42"/>
        <v>30.000000000001137</v>
      </c>
      <c r="BU27" s="60">
        <v>35542</v>
      </c>
      <c r="BV27" s="65">
        <f t="shared" si="28"/>
        <v>6</v>
      </c>
      <c r="BW27" s="60">
        <v>228.64</v>
      </c>
      <c r="BX27" s="65">
        <f t="shared" si="29"/>
        <v>19.99999999998181</v>
      </c>
      <c r="BY27" s="60">
        <v>54363</v>
      </c>
      <c r="BZ27" s="67">
        <f t="shared" si="30"/>
        <v>17</v>
      </c>
      <c r="CA27" s="60">
        <v>28616.400000000001</v>
      </c>
      <c r="CB27" s="67">
        <f t="shared" si="44"/>
        <v>0</v>
      </c>
      <c r="CC27" s="60">
        <v>11255.6</v>
      </c>
      <c r="CD27" s="67">
        <f>IF((CC27-CC26&lt;0), "",CC27-CC26)</f>
        <v>0</v>
      </c>
      <c r="CE27" s="60">
        <v>5623</v>
      </c>
      <c r="CF27" s="67">
        <f t="shared" si="33"/>
        <v>0</v>
      </c>
      <c r="CG27" s="60">
        <v>55360.800000000003</v>
      </c>
      <c r="CH27" s="67">
        <f t="shared" si="34"/>
        <v>38.100000000005821</v>
      </c>
      <c r="CI27" s="60">
        <v>913567</v>
      </c>
      <c r="CJ27" s="67">
        <f t="shared" si="35"/>
        <v>175</v>
      </c>
      <c r="CK27" s="60">
        <v>683.04</v>
      </c>
      <c r="CL27" s="64">
        <f t="shared" si="36"/>
        <v>429.99999999994998</v>
      </c>
      <c r="CM27" s="65">
        <f t="shared" si="37"/>
        <v>19</v>
      </c>
      <c r="CN27" s="62">
        <v>0</v>
      </c>
      <c r="CO27" s="62">
        <v>0</v>
      </c>
      <c r="CP27" s="68">
        <v>4095.8</v>
      </c>
      <c r="CQ27" s="67">
        <f t="shared" si="38"/>
        <v>13</v>
      </c>
      <c r="CR27" s="68">
        <v>12062</v>
      </c>
      <c r="CS27" s="67">
        <f t="shared" si="38"/>
        <v>6</v>
      </c>
      <c r="CT27" s="75">
        <v>4870</v>
      </c>
      <c r="CU27" s="67">
        <f t="shared" si="38"/>
        <v>12</v>
      </c>
      <c r="CV27" s="68">
        <v>12464</v>
      </c>
      <c r="CW27" s="67">
        <f t="shared" si="38"/>
        <v>25</v>
      </c>
    </row>
    <row r="28" spans="1:101" ht="25.5" customHeight="1" thickBot="1" x14ac:dyDescent="0.45">
      <c r="A28" s="63">
        <v>44252</v>
      </c>
      <c r="B28" s="44"/>
      <c r="C28" s="58">
        <v>2.0628000000000002</v>
      </c>
      <c r="D28" s="64">
        <f t="shared" si="0"/>
        <v>700.00000000014495</v>
      </c>
      <c r="E28" s="58">
        <v>2.9312</v>
      </c>
      <c r="F28" s="64">
        <f t="shared" si="1"/>
        <v>900.0000000001229</v>
      </c>
      <c r="G28" s="58">
        <v>3.0093999999999999</v>
      </c>
      <c r="H28" s="64">
        <f t="shared" si="2"/>
        <v>1799.9999999998017</v>
      </c>
      <c r="I28" s="58">
        <v>1.4718</v>
      </c>
      <c r="J28" s="64">
        <f t="shared" si="3"/>
        <v>899.99999999990087</v>
      </c>
      <c r="K28" s="58">
        <v>2.3862999999999999</v>
      </c>
      <c r="L28" s="64">
        <f t="shared" si="39"/>
        <v>1999.9999999997797</v>
      </c>
      <c r="M28" s="58">
        <v>1.3462000000000001</v>
      </c>
      <c r="N28" s="64">
        <f t="shared" si="4"/>
        <v>600.00000000015598</v>
      </c>
      <c r="O28" s="58">
        <v>12740</v>
      </c>
      <c r="P28" s="67">
        <f t="shared" si="43"/>
        <v>0</v>
      </c>
      <c r="Q28" s="58">
        <v>390</v>
      </c>
      <c r="R28" s="67">
        <f t="shared" si="6"/>
        <v>6</v>
      </c>
      <c r="S28" s="58">
        <v>902555.4</v>
      </c>
      <c r="T28" s="67">
        <f t="shared" si="7"/>
        <v>352.59999999997672</v>
      </c>
      <c r="U28" s="58">
        <v>375252.7</v>
      </c>
      <c r="V28" s="67">
        <f t="shared" si="8"/>
        <v>257.60000000003492</v>
      </c>
      <c r="W28" s="58">
        <v>363.41</v>
      </c>
      <c r="X28" s="65">
        <f t="shared" si="9"/>
        <v>130.0000000000523</v>
      </c>
      <c r="Y28" s="58">
        <v>2.5554999999999999</v>
      </c>
      <c r="Z28" s="65">
        <f t="shared" si="10"/>
        <v>699.99999999970089</v>
      </c>
      <c r="AA28" s="58">
        <v>357.6</v>
      </c>
      <c r="AB28" s="65">
        <f t="shared" si="11"/>
        <v>140.0000000000432</v>
      </c>
      <c r="AC28" s="58">
        <v>344.37</v>
      </c>
      <c r="AD28" s="65">
        <f t="shared" si="12"/>
        <v>160.00000000002501</v>
      </c>
      <c r="AE28" s="58">
        <v>532.42999999999995</v>
      </c>
      <c r="AF28" s="65">
        <f t="shared" si="13"/>
        <v>189.99999999994088</v>
      </c>
      <c r="AG28" s="58">
        <v>308</v>
      </c>
      <c r="AH28" s="67">
        <f t="shared" si="14"/>
        <v>31</v>
      </c>
      <c r="AI28" s="58">
        <v>533.72</v>
      </c>
      <c r="AJ28" s="65">
        <f t="shared" si="15"/>
        <v>250</v>
      </c>
      <c r="AK28" s="58">
        <v>182.16</v>
      </c>
      <c r="AL28" s="65">
        <f t="shared" si="15"/>
        <v>49.999999999982947</v>
      </c>
      <c r="AM28" s="58">
        <v>179.77</v>
      </c>
      <c r="AN28" s="65">
        <f t="shared" si="15"/>
        <v>20.000000000010232</v>
      </c>
      <c r="AO28" s="58">
        <v>171.42</v>
      </c>
      <c r="AP28" s="65">
        <f t="shared" si="15"/>
        <v>19.99999999998181</v>
      </c>
      <c r="AQ28" s="58">
        <v>229.63</v>
      </c>
      <c r="AR28" s="65">
        <f t="shared" si="16"/>
        <v>19.99999999998181</v>
      </c>
      <c r="AS28" s="58">
        <v>357.38</v>
      </c>
      <c r="AT28" s="65">
        <f t="shared" si="17"/>
        <v>50.000000000011369</v>
      </c>
      <c r="AU28" s="58">
        <v>275.94</v>
      </c>
      <c r="AV28" s="65">
        <f t="shared" si="18"/>
        <v>9.9999999999909051</v>
      </c>
      <c r="AW28" s="58">
        <v>312.14</v>
      </c>
      <c r="AX28" s="65">
        <f t="shared" si="19"/>
        <v>19.99999999998181</v>
      </c>
      <c r="AY28" s="58">
        <v>357.18</v>
      </c>
      <c r="AZ28" s="65">
        <f t="shared" si="20"/>
        <v>9.9999999999909051</v>
      </c>
      <c r="BA28" s="58">
        <v>378.49</v>
      </c>
      <c r="BB28" s="65">
        <f t="shared" si="21"/>
        <v>19.99999999998181</v>
      </c>
      <c r="BC28" s="58">
        <v>236.9</v>
      </c>
      <c r="BD28" s="65">
        <f t="shared" si="22"/>
        <v>10.000000000019327</v>
      </c>
      <c r="BE28" s="59">
        <v>35836</v>
      </c>
      <c r="BF28" s="67">
        <f t="shared" si="40"/>
        <v>32</v>
      </c>
      <c r="BG28" s="60">
        <v>229.28</v>
      </c>
      <c r="BH28" s="65">
        <f t="shared" si="23"/>
        <v>20.000000000010232</v>
      </c>
      <c r="BI28" s="60">
        <v>288.58</v>
      </c>
      <c r="BJ28" s="65">
        <f t="shared" si="41"/>
        <v>29.999999999972715</v>
      </c>
      <c r="BK28" s="60">
        <v>233.17</v>
      </c>
      <c r="BL28" s="65">
        <f t="shared" si="24"/>
        <v>9.9999999999909051</v>
      </c>
      <c r="BM28" s="60">
        <v>218.84</v>
      </c>
      <c r="BN28" s="65">
        <f t="shared" si="25"/>
        <v>30.000000000001137</v>
      </c>
      <c r="BO28" s="60">
        <v>283.89999999999998</v>
      </c>
      <c r="BP28" s="65">
        <f t="shared" si="26"/>
        <v>19.99999999998181</v>
      </c>
      <c r="BQ28" s="60">
        <v>41923</v>
      </c>
      <c r="BR28" s="65">
        <f t="shared" si="27"/>
        <v>3</v>
      </c>
      <c r="BS28" s="60">
        <v>197.11</v>
      </c>
      <c r="BT28" s="65">
        <f t="shared" si="42"/>
        <v>20.000000000010232</v>
      </c>
      <c r="BU28" s="60">
        <v>35548</v>
      </c>
      <c r="BV28" s="65">
        <f t="shared" si="28"/>
        <v>6</v>
      </c>
      <c r="BW28" s="60">
        <v>228.66</v>
      </c>
      <c r="BX28" s="65">
        <f t="shared" si="29"/>
        <v>20.000000000010232</v>
      </c>
      <c r="BY28" s="60">
        <v>54383</v>
      </c>
      <c r="BZ28" s="67">
        <f t="shared" si="30"/>
        <v>20</v>
      </c>
      <c r="CA28" s="60">
        <v>28616.400000000001</v>
      </c>
      <c r="CB28" s="67">
        <f t="shared" si="31"/>
        <v>0</v>
      </c>
      <c r="CC28" s="60">
        <v>11255.6</v>
      </c>
      <c r="CD28" s="67">
        <f>IF((CC28-CC27&lt;0), "",CC28-CC27)</f>
        <v>0</v>
      </c>
      <c r="CE28" s="60">
        <v>5623</v>
      </c>
      <c r="CF28" s="67">
        <f t="shared" si="33"/>
        <v>0</v>
      </c>
      <c r="CG28" s="60">
        <v>55395.3</v>
      </c>
      <c r="CH28" s="67">
        <f t="shared" si="34"/>
        <v>34.5</v>
      </c>
      <c r="CI28" s="60">
        <v>913744</v>
      </c>
      <c r="CJ28" s="67">
        <f t="shared" si="35"/>
        <v>177</v>
      </c>
      <c r="CK28" s="60">
        <v>683.47</v>
      </c>
      <c r="CL28" s="64">
        <f t="shared" si="36"/>
        <v>430.00000000006366</v>
      </c>
      <c r="CM28" s="65">
        <f t="shared" si="37"/>
        <v>30.550000000000182</v>
      </c>
      <c r="CN28" s="62">
        <v>0</v>
      </c>
      <c r="CO28" s="62">
        <v>0</v>
      </c>
      <c r="CP28" s="68">
        <v>4117.3500000000004</v>
      </c>
      <c r="CQ28" s="67">
        <f t="shared" si="38"/>
        <v>21.550000000000182</v>
      </c>
      <c r="CR28" s="68">
        <v>12071</v>
      </c>
      <c r="CS28" s="67">
        <f t="shared" si="38"/>
        <v>9</v>
      </c>
      <c r="CT28" s="75">
        <v>4883</v>
      </c>
      <c r="CU28" s="67">
        <f t="shared" si="38"/>
        <v>13</v>
      </c>
      <c r="CV28" s="68">
        <v>12481</v>
      </c>
      <c r="CW28" s="67">
        <f t="shared" si="38"/>
        <v>17</v>
      </c>
    </row>
    <row r="29" spans="1:101" ht="25.5" customHeight="1" thickBot="1" x14ac:dyDescent="0.45">
      <c r="A29" s="63">
        <v>44253</v>
      </c>
      <c r="B29" s="44"/>
      <c r="C29" s="58">
        <v>2.0634000000000001</v>
      </c>
      <c r="D29" s="64">
        <f t="shared" si="0"/>
        <v>599.99999999993395</v>
      </c>
      <c r="E29" s="58">
        <v>2.9321999999999999</v>
      </c>
      <c r="F29" s="64">
        <f t="shared" si="1"/>
        <v>999.99999999988984</v>
      </c>
      <c r="G29" s="58">
        <v>3.0112999999999999</v>
      </c>
      <c r="H29" s="64">
        <f t="shared" si="2"/>
        <v>1900.0000000000127</v>
      </c>
      <c r="I29" s="58">
        <v>1.4726999999999999</v>
      </c>
      <c r="J29" s="64">
        <f t="shared" si="3"/>
        <v>899.99999999990087</v>
      </c>
      <c r="K29" s="58">
        <v>2.3881000000000001</v>
      </c>
      <c r="L29" s="64">
        <f t="shared" si="39"/>
        <v>1800.0000000002458</v>
      </c>
      <c r="M29" s="58">
        <v>1.3469</v>
      </c>
      <c r="N29" s="64">
        <f t="shared" si="4"/>
        <v>699.99999999992292</v>
      </c>
      <c r="O29" s="58">
        <v>12740</v>
      </c>
      <c r="P29" s="67">
        <f t="shared" si="43"/>
        <v>0</v>
      </c>
      <c r="Q29" s="58">
        <v>394</v>
      </c>
      <c r="R29" s="67">
        <f t="shared" si="6"/>
        <v>4</v>
      </c>
      <c r="S29" s="58">
        <v>902879.8</v>
      </c>
      <c r="T29" s="67">
        <f t="shared" si="7"/>
        <v>324.40000000002328</v>
      </c>
      <c r="U29" s="58">
        <v>375510.4</v>
      </c>
      <c r="V29" s="67">
        <f t="shared" si="8"/>
        <v>257.70000000001164</v>
      </c>
      <c r="W29" s="58">
        <v>363.57</v>
      </c>
      <c r="X29" s="65">
        <f t="shared" si="9"/>
        <v>159.99999999996817</v>
      </c>
      <c r="Y29" s="58">
        <v>2.5562</v>
      </c>
      <c r="Z29" s="65">
        <f t="shared" si="10"/>
        <v>700.00000000014495</v>
      </c>
      <c r="AA29" s="58">
        <v>357.75</v>
      </c>
      <c r="AB29" s="65">
        <f t="shared" si="11"/>
        <v>149.99999999997726</v>
      </c>
      <c r="AC29" s="58">
        <v>344.53</v>
      </c>
      <c r="AD29" s="65">
        <f t="shared" si="12"/>
        <v>159.99999999996817</v>
      </c>
      <c r="AE29" s="58">
        <v>532.66999999999996</v>
      </c>
      <c r="AF29" s="65">
        <f t="shared" si="13"/>
        <v>240.00000000000909</v>
      </c>
      <c r="AG29" s="58">
        <v>337</v>
      </c>
      <c r="AH29" s="67">
        <f t="shared" si="14"/>
        <v>29</v>
      </c>
      <c r="AI29" s="58">
        <v>533.98</v>
      </c>
      <c r="AJ29" s="65">
        <f t="shared" si="15"/>
        <v>259.99999999999091</v>
      </c>
      <c r="AK29" s="58">
        <v>182.19</v>
      </c>
      <c r="AL29" s="65">
        <f t="shared" si="15"/>
        <v>30.000000000001137</v>
      </c>
      <c r="AM29" s="58">
        <v>179.79</v>
      </c>
      <c r="AN29" s="65">
        <f t="shared" si="15"/>
        <v>19.99999999998181</v>
      </c>
      <c r="AO29" s="58">
        <v>171.45</v>
      </c>
      <c r="AP29" s="65">
        <f t="shared" si="15"/>
        <v>30.000000000001137</v>
      </c>
      <c r="AQ29" s="58">
        <v>229.64</v>
      </c>
      <c r="AR29" s="65">
        <f t="shared" si="16"/>
        <v>9.9999999999909051</v>
      </c>
      <c r="AS29" s="58">
        <v>357.43</v>
      </c>
      <c r="AT29" s="65">
        <f t="shared" si="17"/>
        <v>50.000000000011369</v>
      </c>
      <c r="AU29" s="58">
        <v>275.95999999999998</v>
      </c>
      <c r="AV29" s="65">
        <f t="shared" si="18"/>
        <v>19.99999999998181</v>
      </c>
      <c r="AW29" s="58">
        <v>312.14999999999998</v>
      </c>
      <c r="AX29" s="65">
        <f t="shared" si="19"/>
        <v>9.9999999999909051</v>
      </c>
      <c r="AY29" s="58">
        <v>357.2</v>
      </c>
      <c r="AZ29" s="65">
        <f t="shared" si="20"/>
        <v>19.99999999998181</v>
      </c>
      <c r="BA29" s="58">
        <v>378.5</v>
      </c>
      <c r="BB29" s="65">
        <f t="shared" si="21"/>
        <v>9.9999999999909051</v>
      </c>
      <c r="BC29" s="58">
        <v>236.91</v>
      </c>
      <c r="BD29" s="65">
        <f t="shared" si="22"/>
        <v>9.9999999999909051</v>
      </c>
      <c r="BE29" s="59">
        <v>35868</v>
      </c>
      <c r="BF29" s="67">
        <f t="shared" si="40"/>
        <v>32</v>
      </c>
      <c r="BG29" s="60">
        <v>229.3</v>
      </c>
      <c r="BH29" s="65">
        <f t="shared" si="23"/>
        <v>20.000000000010232</v>
      </c>
      <c r="BI29" s="60">
        <v>288.62</v>
      </c>
      <c r="BJ29" s="65">
        <f t="shared" si="41"/>
        <v>40.000000000020464</v>
      </c>
      <c r="BK29" s="60">
        <v>233.18</v>
      </c>
      <c r="BL29" s="65">
        <f t="shared" si="24"/>
        <v>10.000000000019327</v>
      </c>
      <c r="BM29" s="60">
        <v>218.87</v>
      </c>
      <c r="BN29" s="65">
        <f t="shared" si="25"/>
        <v>30.000000000001137</v>
      </c>
      <c r="BO29" s="60">
        <v>283.92</v>
      </c>
      <c r="BP29" s="65">
        <f t="shared" si="26"/>
        <v>20.000000000038654</v>
      </c>
      <c r="BQ29" s="60">
        <v>41925</v>
      </c>
      <c r="BR29" s="65">
        <f t="shared" si="27"/>
        <v>2</v>
      </c>
      <c r="BS29" s="60">
        <v>197.14</v>
      </c>
      <c r="BT29" s="65">
        <f t="shared" si="42"/>
        <v>29.999999999972715</v>
      </c>
      <c r="BU29" s="60">
        <v>35570</v>
      </c>
      <c r="BV29" s="65">
        <f t="shared" si="28"/>
        <v>22</v>
      </c>
      <c r="BW29" s="60">
        <v>228.68</v>
      </c>
      <c r="BX29" s="65">
        <f t="shared" si="29"/>
        <v>20.000000000010232</v>
      </c>
      <c r="BY29" s="60">
        <v>54417</v>
      </c>
      <c r="BZ29" s="67">
        <f t="shared" si="30"/>
        <v>34</v>
      </c>
      <c r="CA29" s="60">
        <v>28616.400000000001</v>
      </c>
      <c r="CB29" s="67">
        <f t="shared" si="31"/>
        <v>0</v>
      </c>
      <c r="CC29" s="60">
        <v>11255.6</v>
      </c>
      <c r="CD29" s="67">
        <f>IF((CC29-CC28&lt;0), "",CC29-CC28)</f>
        <v>0</v>
      </c>
      <c r="CE29" s="60">
        <v>5623</v>
      </c>
      <c r="CF29" s="67">
        <f t="shared" si="33"/>
        <v>0</v>
      </c>
      <c r="CG29" s="60">
        <v>55434.6</v>
      </c>
      <c r="CH29" s="67">
        <f t="shared" si="34"/>
        <v>39.299999999995634</v>
      </c>
      <c r="CI29" s="60">
        <v>913920</v>
      </c>
      <c r="CJ29" s="67">
        <f t="shared" si="35"/>
        <v>176</v>
      </c>
      <c r="CK29" s="60">
        <v>683.91</v>
      </c>
      <c r="CL29" s="64">
        <f t="shared" si="36"/>
        <v>439.99999999994088</v>
      </c>
      <c r="CM29" s="65">
        <f t="shared" si="37"/>
        <v>20.099999999999454</v>
      </c>
      <c r="CN29" s="62">
        <v>0</v>
      </c>
      <c r="CO29" s="62">
        <v>0</v>
      </c>
      <c r="CP29" s="68">
        <v>4130.45</v>
      </c>
      <c r="CQ29" s="67">
        <f t="shared" si="38"/>
        <v>13.099999999999454</v>
      </c>
      <c r="CR29" s="68">
        <v>12078</v>
      </c>
      <c r="CS29" s="67">
        <f t="shared" si="38"/>
        <v>7</v>
      </c>
      <c r="CT29" s="75">
        <v>4893</v>
      </c>
      <c r="CU29" s="67">
        <f t="shared" si="38"/>
        <v>10</v>
      </c>
      <c r="CV29" s="68">
        <v>12505</v>
      </c>
      <c r="CW29" s="67">
        <f t="shared" si="38"/>
        <v>24</v>
      </c>
    </row>
    <row r="30" spans="1:101" ht="25.5" customHeight="1" thickBot="1" x14ac:dyDescent="0.45">
      <c r="A30" s="63">
        <v>44254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39"/>
        <v>0</v>
      </c>
      <c r="M30" s="58"/>
      <c r="N30" s="64" t="str">
        <f t="shared" si="4"/>
        <v/>
      </c>
      <c r="O30" s="58"/>
      <c r="P30" s="67" t="str">
        <f t="shared" si="43"/>
        <v/>
      </c>
      <c r="Q30" s="58"/>
      <c r="R30" s="67" t="str">
        <f t="shared" si="6"/>
        <v/>
      </c>
      <c r="S30" s="58"/>
      <c r="T30" s="67" t="str">
        <f t="shared" si="7"/>
        <v/>
      </c>
      <c r="U30" s="58"/>
      <c r="V30" s="67" t="str">
        <f t="shared" si="8"/>
        <v/>
      </c>
      <c r="W30" s="58"/>
      <c r="X30" s="65" t="str">
        <f t="shared" si="9"/>
        <v/>
      </c>
      <c r="Y30" s="58"/>
      <c r="Z30" s="65" t="str">
        <f t="shared" si="10"/>
        <v/>
      </c>
      <c r="AA30" s="58"/>
      <c r="AB30" s="65" t="str">
        <f t="shared" si="11"/>
        <v/>
      </c>
      <c r="AC30" s="58"/>
      <c r="AD30" s="65" t="str">
        <f t="shared" si="12"/>
        <v/>
      </c>
      <c r="AE30" s="58"/>
      <c r="AF30" s="65" t="str">
        <f t="shared" si="13"/>
        <v/>
      </c>
      <c r="AG30" s="58"/>
      <c r="AH30" s="67" t="str">
        <f t="shared" si="14"/>
        <v/>
      </c>
      <c r="AI30" s="58"/>
      <c r="AJ30" s="65" t="str">
        <f t="shared" si="15"/>
        <v/>
      </c>
      <c r="AK30" s="58"/>
      <c r="AL30" s="65" t="str">
        <f t="shared" si="15"/>
        <v/>
      </c>
      <c r="AM30" s="58"/>
      <c r="AN30" s="65" t="str">
        <f t="shared" si="15"/>
        <v/>
      </c>
      <c r="AO30" s="58"/>
      <c r="AP30" s="65" t="str">
        <f t="shared" si="15"/>
        <v/>
      </c>
      <c r="AQ30" s="58"/>
      <c r="AR30" s="65" t="str">
        <f t="shared" si="16"/>
        <v/>
      </c>
      <c r="AS30" s="58"/>
      <c r="AT30" s="65" t="str">
        <f t="shared" si="17"/>
        <v/>
      </c>
      <c r="AU30" s="58"/>
      <c r="AV30" s="65" t="str">
        <f t="shared" si="18"/>
        <v/>
      </c>
      <c r="AW30" s="58"/>
      <c r="AX30" s="65" t="str">
        <f t="shared" si="19"/>
        <v/>
      </c>
      <c r="AY30" s="58"/>
      <c r="AZ30" s="65" t="str">
        <f t="shared" si="20"/>
        <v/>
      </c>
      <c r="BA30" s="58"/>
      <c r="BB30" s="65" t="str">
        <f t="shared" si="21"/>
        <v/>
      </c>
      <c r="BC30" s="58"/>
      <c r="BD30" s="65" t="str">
        <f t="shared" si="22"/>
        <v/>
      </c>
      <c r="BE30" s="59"/>
      <c r="BF30" s="67"/>
      <c r="BG30" s="60"/>
      <c r="BH30" s="65" t="str">
        <f t="shared" si="23"/>
        <v/>
      </c>
      <c r="BI30" s="60"/>
      <c r="BJ30" s="65" t="str">
        <f t="shared" si="41"/>
        <v/>
      </c>
      <c r="BK30" s="60"/>
      <c r="BL30" s="65" t="str">
        <f t="shared" si="24"/>
        <v/>
      </c>
      <c r="BM30" s="60"/>
      <c r="BN30" s="65" t="str">
        <f t="shared" si="25"/>
        <v/>
      </c>
      <c r="BO30" s="60"/>
      <c r="BP30" s="65" t="str">
        <f t="shared" si="26"/>
        <v/>
      </c>
      <c r="BQ30" s="60"/>
      <c r="BR30" s="65" t="str">
        <f t="shared" si="27"/>
        <v/>
      </c>
      <c r="BS30" s="60"/>
      <c r="BT30" s="65" t="str">
        <f t="shared" si="42"/>
        <v/>
      </c>
      <c r="BU30" s="60"/>
      <c r="BV30" s="65" t="str">
        <f t="shared" si="28"/>
        <v/>
      </c>
      <c r="BW30" s="60"/>
      <c r="BX30" s="65" t="str">
        <f t="shared" si="29"/>
        <v/>
      </c>
      <c r="BY30" s="60"/>
      <c r="BZ30" s="67" t="str">
        <f t="shared" si="30"/>
        <v/>
      </c>
      <c r="CA30" s="60"/>
      <c r="CB30" s="67" t="str">
        <f t="shared" si="31"/>
        <v/>
      </c>
      <c r="CC30" s="60"/>
      <c r="CD30" s="67" t="str">
        <f t="shared" si="32"/>
        <v/>
      </c>
      <c r="CE30" s="60"/>
      <c r="CF30" s="67" t="str">
        <f t="shared" si="33"/>
        <v/>
      </c>
      <c r="CG30" s="60"/>
      <c r="CH30" s="67" t="str">
        <f t="shared" si="34"/>
        <v/>
      </c>
      <c r="CI30" s="60"/>
      <c r="CJ30" s="67" t="str">
        <f t="shared" si="35"/>
        <v/>
      </c>
      <c r="CK30" s="60"/>
      <c r="CL30" s="64" t="str">
        <f t="shared" si="36"/>
        <v/>
      </c>
      <c r="CM30" s="65" t="e">
        <f t="shared" si="37"/>
        <v>#VALUE!</v>
      </c>
      <c r="CN30" s="62">
        <v>0</v>
      </c>
      <c r="CO30" s="62">
        <v>0</v>
      </c>
      <c r="CP30" s="68"/>
      <c r="CQ30" s="67" t="str">
        <f t="shared" si="38"/>
        <v/>
      </c>
      <c r="CR30" s="68"/>
      <c r="CS30" s="67" t="str">
        <f t="shared" si="38"/>
        <v/>
      </c>
      <c r="CT30" s="75"/>
      <c r="CU30" s="67" t="str">
        <f t="shared" si="38"/>
        <v/>
      </c>
      <c r="CV30" s="68"/>
      <c r="CW30" s="67" t="str">
        <f t="shared" si="38"/>
        <v/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tabSelected="1" zoomScaleNormal="100" workbookViewId="0">
      <selection activeCell="V33" sqref="V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1373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1</v>
      </c>
      <c r="P20" s="39">
        <v>60</v>
      </c>
      <c r="Q20" s="39">
        <v>3308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44242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1373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1</v>
      </c>
      <c r="P21" s="39">
        <v>60</v>
      </c>
      <c r="Q21" s="39">
        <v>3311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44243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1373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1</v>
      </c>
      <c r="P22" s="39">
        <v>60</v>
      </c>
      <c r="Q22" s="39">
        <v>3312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44244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1373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1</v>
      </c>
      <c r="P23" s="39">
        <v>60</v>
      </c>
      <c r="Q23" s="39">
        <v>3318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44245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1373</v>
      </c>
      <c r="I24" s="41">
        <v>85</v>
      </c>
      <c r="J24" s="41">
        <v>273</v>
      </c>
      <c r="K24" s="42">
        <v>85</v>
      </c>
      <c r="L24" s="42">
        <v>85</v>
      </c>
      <c r="M24" s="42">
        <v>1173</v>
      </c>
      <c r="N24" s="39">
        <v>85</v>
      </c>
      <c r="O24" s="39">
        <v>1</v>
      </c>
      <c r="P24" s="39">
        <v>45</v>
      </c>
      <c r="Q24" s="39">
        <v>3320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44246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1373</v>
      </c>
      <c r="I25" s="41">
        <v>85</v>
      </c>
      <c r="J25" s="41">
        <v>273</v>
      </c>
      <c r="K25" s="42">
        <v>85</v>
      </c>
      <c r="L25" s="42">
        <v>85</v>
      </c>
      <c r="M25" s="42">
        <v>1173</v>
      </c>
      <c r="N25" s="39">
        <v>85</v>
      </c>
      <c r="O25" s="39">
        <v>1</v>
      </c>
      <c r="P25" s="39">
        <v>40</v>
      </c>
      <c r="Q25" s="39">
        <v>3323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44247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1373</v>
      </c>
      <c r="I26" s="41">
        <v>85</v>
      </c>
      <c r="J26" s="41">
        <v>273</v>
      </c>
      <c r="K26" s="42">
        <v>85</v>
      </c>
      <c r="L26" s="42">
        <v>85</v>
      </c>
      <c r="M26" s="42">
        <v>1173</v>
      </c>
      <c r="N26" s="39">
        <v>85</v>
      </c>
      <c r="O26" s="39">
        <v>1</v>
      </c>
      <c r="P26" s="39">
        <v>35</v>
      </c>
      <c r="Q26" s="39">
        <v>3327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44248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1373</v>
      </c>
      <c r="I27" s="41">
        <v>85</v>
      </c>
      <c r="J27" s="41">
        <v>273</v>
      </c>
      <c r="K27" s="42">
        <v>85</v>
      </c>
      <c r="L27" s="42">
        <v>85</v>
      </c>
      <c r="M27" s="42">
        <v>1173</v>
      </c>
      <c r="N27" s="39">
        <v>85</v>
      </c>
      <c r="O27" s="39">
        <v>1</v>
      </c>
      <c r="P27" s="39">
        <v>30</v>
      </c>
      <c r="Q27" s="39">
        <v>3329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44249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1373</v>
      </c>
      <c r="I28" s="41">
        <v>85</v>
      </c>
      <c r="J28" s="41">
        <v>273</v>
      </c>
      <c r="K28" s="42">
        <v>85</v>
      </c>
      <c r="L28" s="42">
        <v>85</v>
      </c>
      <c r="M28" s="42">
        <v>1173</v>
      </c>
      <c r="N28" s="39">
        <v>85</v>
      </c>
      <c r="O28" s="39">
        <v>1</v>
      </c>
      <c r="P28" s="39">
        <v>30</v>
      </c>
      <c r="Q28" s="39">
        <v>3333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44250</v>
      </c>
      <c r="B29" s="40">
        <v>0</v>
      </c>
      <c r="C29" s="40">
        <v>0</v>
      </c>
      <c r="D29" s="40">
        <v>0</v>
      </c>
      <c r="E29" s="41">
        <v>85</v>
      </c>
      <c r="F29" s="41">
        <v>4857</v>
      </c>
      <c r="G29" s="41">
        <v>85</v>
      </c>
      <c r="H29" s="41">
        <v>1373</v>
      </c>
      <c r="I29" s="41">
        <v>85</v>
      </c>
      <c r="J29" s="41">
        <v>273</v>
      </c>
      <c r="K29" s="42">
        <v>85</v>
      </c>
      <c r="L29" s="42">
        <v>85</v>
      </c>
      <c r="M29" s="42">
        <v>1173</v>
      </c>
      <c r="N29" s="39">
        <v>85</v>
      </c>
      <c r="O29" s="39">
        <v>1</v>
      </c>
      <c r="P29" s="39">
        <v>25</v>
      </c>
      <c r="Q29" s="39">
        <v>3336</v>
      </c>
      <c r="R29" s="78">
        <v>79</v>
      </c>
      <c r="S29" s="78">
        <v>197</v>
      </c>
      <c r="T29">
        <f t="shared" si="0"/>
        <v>0</v>
      </c>
    </row>
    <row r="30" spans="1:20" x14ac:dyDescent="0.25">
      <c r="A30" s="73">
        <v>44251</v>
      </c>
      <c r="B30" s="40">
        <v>0</v>
      </c>
      <c r="C30" s="40">
        <v>0</v>
      </c>
      <c r="D30" s="40">
        <v>0</v>
      </c>
      <c r="E30" s="41">
        <v>85</v>
      </c>
      <c r="F30" s="41">
        <v>4857</v>
      </c>
      <c r="G30" s="41">
        <v>85</v>
      </c>
      <c r="H30" s="41">
        <v>1373</v>
      </c>
      <c r="I30" s="41">
        <v>85</v>
      </c>
      <c r="J30" s="41">
        <v>273</v>
      </c>
      <c r="K30" s="42">
        <v>85</v>
      </c>
      <c r="L30" s="42">
        <v>85</v>
      </c>
      <c r="M30" s="42">
        <v>1173</v>
      </c>
      <c r="N30" s="39">
        <v>85</v>
      </c>
      <c r="O30" s="39">
        <v>1</v>
      </c>
      <c r="P30" s="39">
        <v>21</v>
      </c>
      <c r="Q30" s="39">
        <v>3339</v>
      </c>
      <c r="R30" s="78">
        <v>79</v>
      </c>
      <c r="S30" s="78">
        <v>197</v>
      </c>
      <c r="T30">
        <f t="shared" si="0"/>
        <v>0</v>
      </c>
    </row>
    <row r="31" spans="1:20" x14ac:dyDescent="0.25">
      <c r="A31" s="73">
        <v>44252</v>
      </c>
      <c r="B31" s="40">
        <v>0</v>
      </c>
      <c r="C31" s="40">
        <v>0</v>
      </c>
      <c r="D31" s="40">
        <v>0</v>
      </c>
      <c r="E31" s="41">
        <v>85</v>
      </c>
      <c r="F31" s="41">
        <v>4857</v>
      </c>
      <c r="G31" s="41">
        <v>85</v>
      </c>
      <c r="H31" s="41">
        <v>1373</v>
      </c>
      <c r="I31" s="41">
        <v>85</v>
      </c>
      <c r="J31" s="41">
        <v>273</v>
      </c>
      <c r="K31" s="42">
        <v>85</v>
      </c>
      <c r="L31" s="42">
        <v>85</v>
      </c>
      <c r="M31" s="42">
        <v>1173</v>
      </c>
      <c r="N31" s="39">
        <v>85</v>
      </c>
      <c r="O31" s="39">
        <v>1</v>
      </c>
      <c r="P31" s="39">
        <v>19</v>
      </c>
      <c r="Q31" s="39">
        <v>3342</v>
      </c>
      <c r="R31" s="78">
        <v>79</v>
      </c>
      <c r="S31" s="78">
        <v>197</v>
      </c>
      <c r="T31">
        <f t="shared" si="0"/>
        <v>0</v>
      </c>
    </row>
    <row r="32" spans="1:20" x14ac:dyDescent="0.25">
      <c r="A32" s="73">
        <v>44253</v>
      </c>
      <c r="B32" s="40">
        <v>0</v>
      </c>
      <c r="C32" s="40">
        <v>0</v>
      </c>
      <c r="D32" s="40">
        <v>0</v>
      </c>
      <c r="E32" s="41">
        <v>85</v>
      </c>
      <c r="F32" s="41">
        <v>4857</v>
      </c>
      <c r="G32" s="41">
        <v>85</v>
      </c>
      <c r="H32" s="41">
        <v>1373</v>
      </c>
      <c r="I32" s="41">
        <v>85</v>
      </c>
      <c r="J32" s="41">
        <v>273</v>
      </c>
      <c r="K32" s="42">
        <v>85</v>
      </c>
      <c r="L32" s="42">
        <v>85</v>
      </c>
      <c r="M32" s="42">
        <v>1173</v>
      </c>
      <c r="N32" s="39">
        <v>85</v>
      </c>
      <c r="O32" s="39">
        <v>1</v>
      </c>
      <c r="P32" s="39">
        <v>17</v>
      </c>
      <c r="Q32" s="39">
        <v>3344</v>
      </c>
      <c r="R32" s="78">
        <v>79</v>
      </c>
      <c r="S32" s="78">
        <v>197</v>
      </c>
      <c r="T32">
        <f t="shared" si="0"/>
        <v>0</v>
      </c>
    </row>
    <row r="33" spans="1:20" x14ac:dyDescent="0.25">
      <c r="A33" s="73">
        <v>44254</v>
      </c>
      <c r="B33" s="40">
        <v>0</v>
      </c>
      <c r="C33" s="40">
        <v>0</v>
      </c>
      <c r="D33" s="40">
        <v>0</v>
      </c>
      <c r="E33" s="41">
        <v>85</v>
      </c>
      <c r="F33" s="41">
        <v>4857</v>
      </c>
      <c r="G33" s="41">
        <v>85</v>
      </c>
      <c r="H33" s="41">
        <v>1373</v>
      </c>
      <c r="I33" s="41">
        <v>85</v>
      </c>
      <c r="J33" s="41">
        <v>273</v>
      </c>
      <c r="K33" s="42">
        <v>85</v>
      </c>
      <c r="L33" s="42">
        <v>85</v>
      </c>
      <c r="M33" s="42">
        <v>1173</v>
      </c>
      <c r="N33" s="39">
        <v>85</v>
      </c>
      <c r="O33" s="39">
        <v>1</v>
      </c>
      <c r="P33" s="39">
        <v>15</v>
      </c>
      <c r="Q33" s="39">
        <v>3346</v>
      </c>
      <c r="R33" s="78">
        <v>79</v>
      </c>
      <c r="S33" s="78">
        <v>197</v>
      </c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-197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2021-02-27T06:06:47Z</dcterms:modified>
</cp:coreProperties>
</file>