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1" sheetId="5" r:id="rId3"/>
  </sheets>
  <definedNames>
    <definedName name="_xlnm.Print_Area" localSheetId="2">'11 - 2021'!$A$1:$J$35</definedName>
  </definedNames>
  <calcPr calcId="162913"/>
</workbook>
</file>

<file path=xl/calcChain.xml><?xml version="1.0" encoding="utf-8"?>
<calcChain xmlns="http://schemas.openxmlformats.org/spreadsheetml/2006/main">
  <c r="L9" i="3" l="1"/>
  <c r="K9" i="3"/>
  <c r="I9" i="3"/>
  <c r="G9" i="3"/>
  <c r="E9" i="3"/>
  <c r="J9" i="2"/>
  <c r="I9" i="2"/>
  <c r="H9" i="2"/>
  <c r="F9" i="2"/>
  <c r="E9" i="2"/>
  <c r="A15" i="5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8" i="5" l="1"/>
  <c r="H39" i="5"/>
  <c r="I39" i="5"/>
  <c r="K38" i="5"/>
  <c r="J38" i="5"/>
  <c r="I38" i="5"/>
  <c r="H38" i="5"/>
  <c r="G38" i="5"/>
  <c r="F38" i="5"/>
  <c r="E38" i="5"/>
  <c r="C38" i="5"/>
  <c r="L31" i="3" l="1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J30" i="2"/>
  <c r="I30" i="2"/>
  <c r="H30" i="2"/>
  <c r="F30" i="2"/>
  <c r="E30" i="2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J24" i="2"/>
  <c r="I24" i="2"/>
  <c r="H24" i="2"/>
  <c r="F24" i="2"/>
  <c r="E24" i="2"/>
  <c r="J23" i="2" l="1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A8" i="5" l="1"/>
  <c r="A9" i="5" s="1"/>
  <c r="A10" i="5" s="1"/>
  <c r="A11" i="5" s="1"/>
  <c r="A12" i="5" s="1"/>
  <c r="A13" i="5" s="1"/>
  <c r="A14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1" i="2" l="1"/>
  <c r="I31" i="2"/>
  <c r="H31" i="2"/>
  <c r="F31" i="2"/>
  <c r="E31" i="2"/>
  <c r="L18" i="3" l="1"/>
  <c r="K18" i="3"/>
  <c r="I18" i="3"/>
  <c r="G18" i="3"/>
  <c r="E18" i="3"/>
  <c r="L17" i="3"/>
  <c r="K17" i="3"/>
  <c r="I17" i="3"/>
  <c r="G17" i="3"/>
  <c r="E17" i="3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<sst xmlns="http://schemas.openxmlformats.org/spreadsheetml/2006/main" count="105" uniqueCount="38">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</sst>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5" fillId="0" borderId="19" xfId="2" applyFont="1" applyBorder="1" applyAlignment="1">
      <alignment horizontal="center" vertical="center"/>
    </xf>
    <xf numFmtId="43" fontId="5" fillId="2" borderId="19" xfId="2" applyFont="1" applyFill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43" fontId="5" fillId="0" borderId="19" xfId="2" applyFont="1" applyFill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43" fontId="5" fillId="0" borderId="19" xfId="2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P11" sqref="P1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'11 - 2021'!B8-'11 - 2021'!B7+'11 - 2021'!C8-'11 - 2021'!C7</f>
        <v>9636</v>
      </c>
      <c r="F2" s="16">
        <v>0.11799999999999999</v>
      </c>
      <c r="G2" s="18">
        <f>'11 - 2021'!D8-'11 - 2021'!D7+'11 - 2021'!E8-'11 - 2021'!E7</f>
        <v>18.830000000000041</v>
      </c>
      <c r="H2" s="16">
        <v>0.99</v>
      </c>
      <c r="I2" s="18">
        <f>'11 - 2021'!J8-'11 - 2021'!J7</f>
        <v>26068</v>
      </c>
      <c r="J2" s="16">
        <v>8.1000000000000003E-2</v>
      </c>
      <c r="K2" s="33">
        <f>'11 - 2021'!H8-'11 - 2021'!H7</f>
        <v>0</v>
      </c>
      <c r="L2" s="18">
        <f>'11 - 2021'!I8-'11 - 2021'!I7</f>
        <v>107</v>
      </c>
      <c r="M2" s="17">
        <v>4.393629424766913</v>
      </c>
      <c r="N2" s="18">
        <v>85</v>
      </c>
    </row>
    <row r="3" spans="1:21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'11 - 2021'!B9-'11 - 2021'!B8+'11 - 2021'!C9-'11 - 2021'!C8</f>
        <v>9646</v>
      </c>
      <c r="F3" s="16">
        <v>0.11799999999999999</v>
      </c>
      <c r="G3" s="18">
        <f>'11 - 2021'!D9-'11 - 2021'!D8+'11 - 2021'!E9-'11 - 2021'!E8</f>
        <v>19.159999999999968</v>
      </c>
      <c r="H3" s="16">
        <v>0.99</v>
      </c>
      <c r="I3" s="18">
        <f>'11 - 2021'!J9-'11 - 2021'!J8</f>
        <v>29786</v>
      </c>
      <c r="J3" s="16">
        <v>8.1000000000000003E-2</v>
      </c>
      <c r="K3" s="33">
        <f>'11 - 2021'!H9-'11 - 2021'!H8</f>
        <v>0</v>
      </c>
      <c r="L3" s="18">
        <f>'11 - 2021'!I9-'11 - 2021'!I8</f>
        <v>112</v>
      </c>
      <c r="M3" s="17">
        <v>4.393629424766913</v>
      </c>
      <c r="N3" s="28">
        <v>89</v>
      </c>
    </row>
    <row r="4" spans="1:21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'11 - 2021'!B10-'11 - 2021'!B9+'11 - 2021'!C10-'11 - 2021'!C9</f>
        <v>9830</v>
      </c>
      <c r="F4" s="16">
        <v>0.11799999999999999</v>
      </c>
      <c r="G4" s="18">
        <f>'11 - 2021'!D10-'11 - 2021'!D9+'11 - 2021'!E10-'11 - 2021'!E9</f>
        <v>19.379999999999882</v>
      </c>
      <c r="H4" s="16">
        <v>0.99</v>
      </c>
      <c r="I4" s="18">
        <f>'11 - 2021'!J10-'11 - 2021'!J9</f>
        <v>31121</v>
      </c>
      <c r="J4" s="16">
        <v>8.1000000000000003E-2</v>
      </c>
      <c r="K4" s="33">
        <f>'11 - 2021'!H10-'11 - 2021'!H9</f>
        <v>0</v>
      </c>
      <c r="L4" s="18">
        <f>'11 - 2021'!I10-'11 - 2021'!I9</f>
        <v>127</v>
      </c>
      <c r="M4" s="17">
        <v>4.393629424766913</v>
      </c>
      <c r="N4" s="28">
        <v>93</v>
      </c>
    </row>
    <row r="5" spans="1:21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'11 - 2021'!B11-'11 - 2021'!B10+'11 - 2021'!C11-'11 - 2021'!C10</f>
        <v>10151</v>
      </c>
      <c r="F5" s="16">
        <v>0.11799999999999999</v>
      </c>
      <c r="G5" s="18">
        <f>'11 - 2021'!D11-'11 - 2021'!D10+'11 - 2021'!E11-'11 - 2021'!E10</f>
        <v>19.009999999999991</v>
      </c>
      <c r="H5" s="16">
        <v>0.99</v>
      </c>
      <c r="I5" s="18">
        <f>'11 - 2021'!J11-'11 - 2021'!J10</f>
        <v>31607</v>
      </c>
      <c r="J5" s="16">
        <v>8.1000000000000003E-2</v>
      </c>
      <c r="K5" s="33">
        <f>'11 - 2021'!H11-'11 - 2021'!H10</f>
        <v>0</v>
      </c>
      <c r="L5" s="18">
        <f>'11 - 2021'!I11-'11 - 2021'!I10</f>
        <v>101</v>
      </c>
      <c r="M5" s="17">
        <v>4.393629424766913</v>
      </c>
      <c r="N5" s="28">
        <v>100</v>
      </c>
      <c r="R5" s="16"/>
    </row>
    <row r="6" spans="1:21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'11 - 2021'!B12-'11 - 2021'!B11+'11 - 2021'!C12-'11 - 2021'!C11</f>
        <v>10291</v>
      </c>
      <c r="F6" s="16">
        <v>0.11799999999999999</v>
      </c>
      <c r="G6" s="18">
        <f>'11 - 2021'!D12-'11 - 2021'!D11+'11 - 2021'!E12-'11 - 2021'!E11</f>
        <v>18.17999999999995</v>
      </c>
      <c r="H6" s="16">
        <v>0.99</v>
      </c>
      <c r="I6" s="18">
        <f>'11 - 2021'!J12-'11 - 2021'!J11</f>
        <v>28103</v>
      </c>
      <c r="J6" s="16">
        <v>8.1000000000000003E-2</v>
      </c>
      <c r="K6" s="33">
        <f>'11 - 2021'!H12-'11 - 2021'!H11</f>
        <v>0</v>
      </c>
      <c r="L6" s="18">
        <f>'11 - 2021'!I12-'11 - 2021'!I11</f>
        <v>143</v>
      </c>
      <c r="M6" s="17">
        <v>4.393629424766913</v>
      </c>
      <c r="N6" s="28">
        <v>98</v>
      </c>
    </row>
    <row r="7" spans="1:21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'11 - 2021'!B13-'11 - 2021'!B12+'11 - 2021'!C13-'11 - 2021'!C12</f>
        <v>9979</v>
      </c>
      <c r="F7" s="16">
        <v>0.11799999999999999</v>
      </c>
      <c r="G7" s="18">
        <f>'11 - 2021'!D13-'11 - 2021'!D12+'11 - 2021'!E13-'11 - 2021'!E12</f>
        <v>20.659999999999968</v>
      </c>
      <c r="H7" s="16">
        <v>0.99</v>
      </c>
      <c r="I7" s="18">
        <f>'11 - 2021'!J13-'11 - 2021'!J12</f>
        <v>28481</v>
      </c>
      <c r="J7" s="16">
        <v>8.1000000000000003E-2</v>
      </c>
      <c r="K7" s="33">
        <f>'11 - 2021'!H13-'11 - 2021'!H12</f>
        <v>0</v>
      </c>
      <c r="L7" s="18">
        <f>'11 - 2021'!I13-'11 - 2021'!I12</f>
        <v>135</v>
      </c>
      <c r="M7" s="17">
        <v>4.393629424766913</v>
      </c>
      <c r="N7" s="28">
        <v>103</v>
      </c>
    </row>
    <row r="8" spans="1:21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'11 - 2021'!B14-'11 - 2021'!B13+'11 - 2021'!C14-'11 - 2021'!C13</f>
        <v>9732</v>
      </c>
      <c r="F8" s="16">
        <v>0.11799999999999999</v>
      </c>
      <c r="G8" s="18">
        <f>'11 - 2021'!D14-'11 - 2021'!D13+'11 - 2021'!E14-'11 - 2021'!E13</f>
        <v>18.110000000000014</v>
      </c>
      <c r="H8" s="16">
        <v>0.99</v>
      </c>
      <c r="I8" s="18">
        <f>'11 - 2021'!J14-'11 - 2021'!J13</f>
        <v>26198</v>
      </c>
      <c r="J8" s="16">
        <v>8.1000000000000003E-2</v>
      </c>
      <c r="K8" s="33">
        <f>'11 - 2021'!H14-'11 - 2021'!H13</f>
        <v>0</v>
      </c>
      <c r="L8" s="18">
        <f>'11 - 2021'!I14-'11 - 2021'!I13</f>
        <v>123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'11 - 2021'!B15-'11 - 2021'!B14+'11 - 2021'!C15-'11 - 2021'!C14</f>
        <v>10194</v>
      </c>
      <c r="F9" s="16">
        <v>0.11799999999999999</v>
      </c>
      <c r="G9" s="18">
        <f>'11 - 2021'!D15-'11 - 2021'!D14+'11 - 2021'!E15-'11 - 2021'!E14</f>
        <v>18.040000000000077</v>
      </c>
      <c r="H9" s="16">
        <v>0.99</v>
      </c>
      <c r="I9" s="18">
        <f>'11 - 2021'!J15-'11 - 2021'!J14</f>
        <v>22668</v>
      </c>
      <c r="J9" s="16">
        <v>8.1000000000000003E-2</v>
      </c>
      <c r="K9" s="33">
        <f>'11 - 2021'!H15-'11 - 2021'!H14</f>
        <v>0</v>
      </c>
      <c r="L9" s="18">
        <f>'11 - 2021'!I15-'11 - 2021'!I14</f>
        <v>107</v>
      </c>
      <c r="M9" s="17">
        <v>4.393629424766913</v>
      </c>
      <c r="N9" s="28">
        <v>86</v>
      </c>
    </row>
    <row r="10" spans="1:21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v>0</v>
      </c>
      <c r="F10" s="16">
        <v>0.11799999999999999</v>
      </c>
      <c r="G10" s="18">
        <v>0</v>
      </c>
      <c r="H10" s="16">
        <v>0.99</v>
      </c>
      <c r="I10" s="18">
        <v>0</v>
      </c>
      <c r="J10" s="16">
        <v>8.1000000000000003E-2</v>
      </c>
      <c r="K10" s="33">
        <v>0</v>
      </c>
      <c r="L10" s="18">
        <v>0</v>
      </c>
      <c r="M10" s="17">
        <v>4.393629424766913</v>
      </c>
      <c r="N10" s="28"/>
    </row>
    <row r="11" spans="1:21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'11 - 2021'!B17-'11 - 2021'!B16+'11 - 2021'!C17-'11 - 2021'!C16</f>
        <v>0</v>
      </c>
      <c r="F11" s="16">
        <v>0.11799999999999999</v>
      </c>
      <c r="G11" s="18">
        <f>'11 - 2021'!D17-'11 - 2021'!D16+'11 - 2021'!E17-'11 - 2021'!E16</f>
        <v>0</v>
      </c>
      <c r="H11" s="16">
        <v>0.99</v>
      </c>
      <c r="I11" s="18">
        <f>'11 - 2021'!J17-'11 - 2021'!J16</f>
        <v>0</v>
      </c>
      <c r="J11" s="16">
        <v>8.1000000000000003E-2</v>
      </c>
      <c r="K11" s="33">
        <f>'11 - 2021'!H17-'11 - 2021'!H16</f>
        <v>0</v>
      </c>
      <c r="L11" s="18">
        <f>'11 - 2021'!I17-'11 - 2021'!I16</f>
        <v>0</v>
      </c>
      <c r="M11" s="17">
        <v>4.393629424766913</v>
      </c>
      <c r="N11" s="28"/>
    </row>
    <row r="12" spans="1:21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'11 - 2021'!B18-'11 - 2021'!B17+'11 - 2021'!C18-'11 - 2021'!C17</f>
        <v>0</v>
      </c>
      <c r="F12" s="16">
        <v>0.11799999999999999</v>
      </c>
      <c r="G12" s="18">
        <f>'11 - 2021'!D18-'11 - 2021'!D17+'11 - 2021'!E18-'11 - 2021'!E17</f>
        <v>0</v>
      </c>
      <c r="H12" s="16">
        <v>0.99</v>
      </c>
      <c r="I12" s="18">
        <f>'11 - 2021'!J18-'11 - 2021'!J17</f>
        <v>0</v>
      </c>
      <c r="J12" s="16">
        <v>8.1000000000000003E-2</v>
      </c>
      <c r="K12" s="33">
        <f>'11 - 2021'!H18-'11 - 2021'!H17</f>
        <v>0</v>
      </c>
      <c r="L12" s="18">
        <f>'11 - 2021'!I18-'11 - 2021'!I17</f>
        <v>0</v>
      </c>
      <c r="M12" s="17">
        <v>4.393629424766913</v>
      </c>
      <c r="N12" s="18"/>
    </row>
    <row r="13" spans="1:21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'11 - 2021'!B19-'11 - 2021'!B18+'11 - 2021'!C19-'11 - 2021'!C18</f>
        <v>0</v>
      </c>
      <c r="F13" s="16">
        <v>0.11799999999999999</v>
      </c>
      <c r="G13" s="18">
        <f>'11 - 2021'!D19-'11 - 2021'!D18+'11 - 2021'!E19-'11 - 2021'!E18</f>
        <v>0</v>
      </c>
      <c r="H13" s="16">
        <v>0.99</v>
      </c>
      <c r="I13" s="18">
        <f>'11 - 2021'!J19-'11 - 2021'!J18</f>
        <v>0</v>
      </c>
      <c r="J13" s="16">
        <v>8.1000000000000003E-2</v>
      </c>
      <c r="K13" s="33">
        <f>'11 - 2021'!H19-'11 - 2021'!H18</f>
        <v>0</v>
      </c>
      <c r="L13" s="18">
        <f>'11 - 2021'!I19-'11 - 2021'!I18</f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'11 - 2021'!B20-'11 - 2021'!B19+'11 - 2021'!C20-'11 - 2021'!C19</f>
        <v>0</v>
      </c>
      <c r="F14" s="16">
        <v>0.11799999999999999</v>
      </c>
      <c r="G14" s="18">
        <f>'11 - 2021'!D20-'11 - 2021'!D19+'11 - 2021'!E20-'11 - 2021'!E19</f>
        <v>0</v>
      </c>
      <c r="H14" s="16">
        <v>0.99</v>
      </c>
      <c r="I14" s="18">
        <f>'11 - 2021'!J20-'11 - 2021'!J19</f>
        <v>0</v>
      </c>
      <c r="J14" s="16">
        <v>8.1000000000000003E-2</v>
      </c>
      <c r="K14" s="33">
        <f>'11 - 2021'!H20-'11 - 2021'!H19</f>
        <v>0</v>
      </c>
      <c r="L14" s="18">
        <f>'11 - 2021'!I20-'11 - 2021'!I19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'11 - 2021'!B21-'11 - 2021'!B20+'11 - 2021'!C21-'11 - 2021'!C20</f>
        <v>0</v>
      </c>
      <c r="F15" s="16">
        <v>0.11799999999999999</v>
      </c>
      <c r="G15" s="18">
        <f>'11 - 2021'!D21-'11 - 2021'!D20+'11 - 2021'!E21-'11 - 2021'!E20</f>
        <v>0</v>
      </c>
      <c r="H15" s="16">
        <v>0.99</v>
      </c>
      <c r="I15" s="18">
        <f>'11 - 2021'!J21-'11 - 2021'!J20</f>
        <v>0</v>
      </c>
      <c r="J15" s="16">
        <v>8.1000000000000003E-2</v>
      </c>
      <c r="K15" s="33">
        <f>'11 - 2021'!H21-'11 - 2021'!H20</f>
        <v>0</v>
      </c>
      <c r="L15" s="18">
        <f>'11 - 2021'!I21-'11 - 2021'!I20</f>
        <v>0</v>
      </c>
      <c r="M15" s="17">
        <v>4.393629424766913</v>
      </c>
      <c r="N15" s="18"/>
      <c r="R15" s="16"/>
    </row>
    <row r="16" spans="1:21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'11 - 2021'!B22-'11 - 2021'!B21+'11 - 2021'!C22-'11 - 2021'!C21</f>
        <v>0</v>
      </c>
      <c r="F16" s="16">
        <v>0.11799999999999999</v>
      </c>
      <c r="G16" s="18">
        <f>'11 - 2021'!D22-'11 - 2021'!D21+'11 - 2021'!E22-'11 - 2021'!E21</f>
        <v>0</v>
      </c>
      <c r="H16" s="16">
        <v>0.99</v>
      </c>
      <c r="I16" s="18">
        <f>'11 - 2021'!J22-'11 - 2021'!J21</f>
        <v>0</v>
      </c>
      <c r="J16" s="16">
        <v>8.1000000000000003E-2</v>
      </c>
      <c r="K16" s="33">
        <f>'11 - 2021'!H22-'11 - 2021'!H21</f>
        <v>0</v>
      </c>
      <c r="L16" s="18">
        <f>'11 - 2021'!I22-'11 - 2021'!I21</f>
        <v>0</v>
      </c>
      <c r="M16" s="17">
        <v>4.393629424766913</v>
      </c>
      <c r="N16" s="18"/>
      <c r="U16" s="16"/>
    </row>
    <row r="17" spans="1:17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'11 - 2021'!B23-'11 - 2021'!B22+'11 - 2021'!C23-'11 - 2021'!C22</f>
        <v>0</v>
      </c>
      <c r="F17" s="16">
        <v>0.11799999999999999</v>
      </c>
      <c r="G17" s="18">
        <f>'11 - 2021'!D23-'11 - 2021'!D22+'11 - 2021'!E23-'11 - 2021'!E22</f>
        <v>0</v>
      </c>
      <c r="H17" s="16">
        <v>0.99</v>
      </c>
      <c r="I17" s="18">
        <f>'11 - 2021'!J23-'11 - 2021'!J22</f>
        <v>0</v>
      </c>
      <c r="J17" s="16">
        <v>8.1000000000000003E-2</v>
      </c>
      <c r="K17" s="33">
        <f>'11 - 2021'!H23-'11 - 2021'!H22</f>
        <v>0</v>
      </c>
      <c r="L17" s="18">
        <f>'11 - 2021'!I23-'11 - 2021'!I22</f>
        <v>0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'11 - 2021'!B24-'11 - 2021'!B23+'11 - 2021'!C24-'11 - 2021'!C23</f>
        <v>0</v>
      </c>
      <c r="F18" s="16">
        <v>0.11799999999999999</v>
      </c>
      <c r="G18" s="18">
        <f>'11 - 2021'!D24-'11 - 2021'!D23+'11 - 2021'!E24-'11 - 2021'!E23</f>
        <v>0</v>
      </c>
      <c r="H18" s="16">
        <v>0.99</v>
      </c>
      <c r="I18" s="18">
        <f>'11 - 2021'!J24-'11 - 2021'!J23</f>
        <v>0</v>
      </c>
      <c r="J18" s="16">
        <v>8.1000000000000003E-2</v>
      </c>
      <c r="K18" s="33">
        <f>'11 - 2021'!H24-'11 - 2021'!H23</f>
        <v>0</v>
      </c>
      <c r="L18" s="18">
        <f>'11 - 2021'!I24-'11 - 2021'!I23</f>
        <v>0</v>
      </c>
      <c r="M18" s="17">
        <v>4.393629424766913</v>
      </c>
      <c r="N18" s="18"/>
      <c r="Q18" s="16"/>
    </row>
    <row r="19" spans="1:17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'11 - 2021'!B25-'11 - 2021'!B24+'11 - 2021'!C25-'11 - 2021'!C24</f>
        <v>0</v>
      </c>
      <c r="F19" s="16">
        <v>0.11799999999999999</v>
      </c>
      <c r="G19" s="18">
        <f>'11 - 2021'!D25-'11 - 2021'!D24+'11 - 2021'!E25-'11 - 2021'!E24</f>
        <v>0</v>
      </c>
      <c r="H19" s="16">
        <v>0.99</v>
      </c>
      <c r="I19" s="18">
        <f>'11 - 2021'!J25-'11 - 2021'!J24</f>
        <v>0</v>
      </c>
      <c r="J19" s="16">
        <v>8.1000000000000003E-2</v>
      </c>
      <c r="K19" s="33">
        <f>'11 - 2021'!H25-'11 - 2021'!H24</f>
        <v>0</v>
      </c>
      <c r="L19" s="18">
        <f>'11 - 2021'!I25-'11 - 2021'!I24</f>
        <v>0</v>
      </c>
      <c r="M19" s="17">
        <v>4.393629424766913</v>
      </c>
      <c r="N19" s="18"/>
    </row>
    <row r="20" spans="1:17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'11 - 2021'!B26-'11 - 2021'!B25+'11 - 2021'!C26-'11 - 2021'!C25</f>
        <v>0</v>
      </c>
      <c r="F20" s="16">
        <v>0.11799999999999999</v>
      </c>
      <c r="G20" s="18">
        <f>'11 - 2021'!D26-'11 - 2021'!D25+'11 - 2021'!E26-'11 - 2021'!E25</f>
        <v>0</v>
      </c>
      <c r="H20" s="16">
        <v>0.99</v>
      </c>
      <c r="I20" s="18">
        <f>'11 - 2021'!J26-'11 - 2021'!J25</f>
        <v>0</v>
      </c>
      <c r="J20" s="16">
        <v>8.1000000000000003E-2</v>
      </c>
      <c r="K20" s="33">
        <f>'11 - 2021'!H26-'11 - 2021'!H25</f>
        <v>0</v>
      </c>
      <c r="L20" s="18">
        <f>'11 - 2021'!I26-'11 - 2021'!I25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'11 - 2021'!B27-'11 - 2021'!B26+'11 - 2021'!C27-'11 - 2021'!C26</f>
        <v>0</v>
      </c>
      <c r="F21" s="16">
        <v>0.11799999999999999</v>
      </c>
      <c r="G21" s="18">
        <f>'11 - 2021'!D27-'11 - 2021'!D26+'11 - 2021'!E27-'11 - 2021'!E26</f>
        <v>0</v>
      </c>
      <c r="H21" s="16">
        <v>0.99</v>
      </c>
      <c r="I21" s="18">
        <f>'11 - 2021'!J27-'11 - 2021'!J26</f>
        <v>0</v>
      </c>
      <c r="J21" s="16">
        <v>8.1000000000000003E-2</v>
      </c>
      <c r="K21" s="33">
        <f>'11 - 2021'!H27-'11 - 2021'!H26</f>
        <v>0</v>
      </c>
      <c r="L21" s="18">
        <f>'11 - 2021'!I27-'11 - 2021'!I26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'11 - 2021'!B28-'11 - 2021'!B27+'11 - 2021'!C28-'11 - 2021'!C27</f>
        <v>0</v>
      </c>
      <c r="F22" s="16">
        <v>0.11799999999999999</v>
      </c>
      <c r="G22" s="18">
        <f>'11 - 2021'!D28-'11 - 2021'!D27+'11 - 2021'!E28-'11 - 2021'!E27</f>
        <v>0</v>
      </c>
      <c r="H22" s="16">
        <v>0.99</v>
      </c>
      <c r="I22" s="18">
        <f>'11 - 2021'!J28-'11 - 2021'!J27</f>
        <v>0</v>
      </c>
      <c r="J22" s="16">
        <v>8.1000000000000003E-2</v>
      </c>
      <c r="K22" s="33">
        <f>'11 - 2021'!H28-'11 - 2021'!H27</f>
        <v>0</v>
      </c>
      <c r="L22" s="18">
        <f>'11 - 2021'!I28-'11 - 2021'!I27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'11 - 2021'!B29-'11 - 2021'!B28+'11 - 2021'!C29-'11 - 2021'!C28</f>
        <v>0</v>
      </c>
      <c r="F23" s="16">
        <v>0.11799999999999999</v>
      </c>
      <c r="G23" s="18">
        <f>'11 - 2021'!D29-'11 - 2021'!D28+'11 - 2021'!E29-'11 - 2021'!E28</f>
        <v>0</v>
      </c>
      <c r="H23" s="16">
        <v>0.99</v>
      </c>
      <c r="I23" s="18">
        <f>'11 - 2021'!J29-'11 - 2021'!J28</f>
        <v>0</v>
      </c>
      <c r="J23" s="16">
        <v>8.1000000000000003E-2</v>
      </c>
      <c r="K23" s="33">
        <f>'11 - 2021'!H29-'11 - 2021'!H28</f>
        <v>0</v>
      </c>
      <c r="L23" s="18">
        <f>'11 - 2021'!I29-'11 - 2021'!I28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'11 - 2021'!B30-'11 - 2021'!B29+'11 - 2021'!C30-'11 - 2021'!C29</f>
        <v>0</v>
      </c>
      <c r="F24" s="16">
        <v>0.11799999999999999</v>
      </c>
      <c r="G24" s="18">
        <f>'11 - 2021'!D30-'11 - 2021'!D29+'11 - 2021'!E30-'11 - 2021'!E29</f>
        <v>0</v>
      </c>
      <c r="H24" s="16">
        <v>0.99</v>
      </c>
      <c r="I24" s="18">
        <f>'11 - 2021'!J30-'11 - 2021'!J29</f>
        <v>0</v>
      </c>
      <c r="J24" s="16">
        <v>8.1000000000000003E-2</v>
      </c>
      <c r="K24" s="33">
        <f>'11 - 2021'!H30-'11 - 2021'!H29</f>
        <v>0</v>
      </c>
      <c r="L24" s="18">
        <f>'11 - 2021'!I30-'11 - 2021'!I29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'11 - 2021'!B31-'11 - 2021'!B30+'11 - 2021'!C31-'11 - 2021'!C30</f>
        <v>0</v>
      </c>
      <c r="F25" s="16">
        <v>0.11799999999999999</v>
      </c>
      <c r="G25" s="18">
        <f>'11 - 2021'!D31-'11 - 2021'!D30+'11 - 2021'!E31-'11 - 2021'!E30</f>
        <v>0</v>
      </c>
      <c r="H25" s="16">
        <v>0.99</v>
      </c>
      <c r="I25" s="18">
        <f>'11 - 2021'!J31-'11 - 2021'!J30</f>
        <v>0</v>
      </c>
      <c r="J25" s="16">
        <v>8.1000000000000003E-2</v>
      </c>
      <c r="K25" s="33">
        <f>'11 - 2021'!H31-'11 - 2021'!H30</f>
        <v>0</v>
      </c>
      <c r="L25" s="18">
        <f>'11 - 2021'!I31-'11 - 2021'!I30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'11 - 2021'!B32-'11 - 2021'!B31+'11 - 2021'!C32-'11 - 2021'!C31</f>
        <v>0</v>
      </c>
      <c r="F26" s="16">
        <v>0.11799999999999999</v>
      </c>
      <c r="G26" s="18">
        <f>'11 - 2021'!D32-'11 - 2021'!D31+'11 - 2021'!E32-'11 - 2021'!E31</f>
        <v>0</v>
      </c>
      <c r="H26" s="16">
        <v>0.99</v>
      </c>
      <c r="I26" s="18">
        <f>'11 - 2021'!J32-'11 - 2021'!J31</f>
        <v>0</v>
      </c>
      <c r="J26" s="16">
        <v>8.1000000000000003E-2</v>
      </c>
      <c r="K26" s="33">
        <f>'11 - 2021'!H32-'11 - 2021'!H31</f>
        <v>0</v>
      </c>
      <c r="L26" s="18">
        <f>'11 - 2021'!I32-'11 - 2021'!I31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'11 - 2021'!B33-'11 - 2021'!B32+'11 - 2021'!C33-'11 - 2021'!C32</f>
        <v>0</v>
      </c>
      <c r="F27" s="16">
        <v>0.11799999999999999</v>
      </c>
      <c r="G27" s="18">
        <f>'11 - 2021'!D33-'11 - 2021'!D32+'11 - 2021'!E33-'11 - 2021'!E32</f>
        <v>0</v>
      </c>
      <c r="H27" s="16">
        <v>0.99</v>
      </c>
      <c r="I27" s="18">
        <f>'11 - 2021'!J33-'11 - 2021'!J32</f>
        <v>0</v>
      </c>
      <c r="J27" s="16">
        <v>8.1000000000000003E-2</v>
      </c>
      <c r="K27" s="33">
        <f>'11 - 2021'!H33-'11 - 2021'!H32</f>
        <v>0</v>
      </c>
      <c r="L27" s="18">
        <f>'11 - 2021'!I33-'11 - 2021'!I32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'11 - 2021'!B34-'11 - 2021'!B33+'11 - 2021'!C34-'11 - 2021'!C33</f>
        <v>0</v>
      </c>
      <c r="F28" s="16">
        <v>0.11799999999999999</v>
      </c>
      <c r="G28" s="18">
        <f>'11 - 2021'!D34-'11 - 2021'!D33+'11 - 2021'!E34-'11 - 2021'!E33</f>
        <v>0</v>
      </c>
      <c r="H28" s="16">
        <v>0.99</v>
      </c>
      <c r="I28" s="18">
        <f>'11 - 2021'!J34-'11 - 2021'!J33</f>
        <v>0</v>
      </c>
      <c r="J28" s="16">
        <v>8.1000000000000003E-2</v>
      </c>
      <c r="K28" s="33">
        <f>'11 - 2021'!H34-'11 - 2021'!H33</f>
        <v>0</v>
      </c>
      <c r="L28" s="18">
        <f>'11 - 2021'!I34-'11 - 2021'!I33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'11 - 2021'!B35-'11 - 2021'!B34+'11 - 2021'!C35-'11 - 2021'!C34</f>
        <v>0</v>
      </c>
      <c r="F29" s="16">
        <v>0.11799999999999999</v>
      </c>
      <c r="G29" s="18">
        <f>'11 - 2021'!D35-'11 - 2021'!D34+'11 - 2021'!E35-'11 - 2021'!E34</f>
        <v>0</v>
      </c>
      <c r="H29" s="16">
        <v>0.99</v>
      </c>
      <c r="I29" s="18">
        <f>'11 - 2021'!J35-'11 - 2021'!J34</f>
        <v>0</v>
      </c>
      <c r="J29" s="16">
        <v>8.1000000000000003E-2</v>
      </c>
      <c r="K29" s="33">
        <f>'11 - 2021'!H35-'11 - 2021'!H34</f>
        <v>0</v>
      </c>
      <c r="L29" s="18">
        <f>'11 - 2021'!I35-'11 - 2021'!I34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'11 - 2021'!B36-'11 - 2021'!B35+'11 - 2021'!C36-'11 - 2021'!C35</f>
        <v>0</v>
      </c>
      <c r="F30" s="16">
        <v>0.11799999999999999</v>
      </c>
      <c r="G30" s="18">
        <f>'11 - 2021'!D36-'11 - 2021'!D35+'11 - 2021'!E36-'11 - 2021'!E35</f>
        <v>0</v>
      </c>
      <c r="H30" s="16">
        <v>0.99</v>
      </c>
      <c r="I30" s="18">
        <f>'11 - 2021'!J36-'11 - 2021'!J35</f>
        <v>0</v>
      </c>
      <c r="J30" s="16">
        <v>8.1000000000000003E-2</v>
      </c>
      <c r="K30" s="33">
        <f>'11 - 2021'!H36-'11 - 2021'!H35</f>
        <v>0</v>
      </c>
      <c r="L30" s="18">
        <f>'11 - 2021'!I36-'11 - 2021'!I35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18">
        <f>'11 - 2021'!B37-'11 - 2021'!B36+'11 - 2021'!C37-'11 - 2021'!C36</f>
        <v>0</v>
      </c>
      <c r="F31" s="16">
        <v>0.11799999999999999</v>
      </c>
      <c r="G31" s="18">
        <f>'11 - 2021'!D37-'11 - 2021'!D36+'11 - 2021'!E37-'11 - 2021'!E36</f>
        <v>0</v>
      </c>
      <c r="H31" s="16">
        <v>0.99</v>
      </c>
      <c r="I31" s="18">
        <f>'11 - 2021'!J37-'11 - 2021'!J36</f>
        <v>0</v>
      </c>
      <c r="J31" s="16">
        <v>8.1000000000000003E-2</v>
      </c>
      <c r="K31" s="33">
        <f>'11 - 2021'!H37-'11 - 2021'!H36</f>
        <v>0</v>
      </c>
      <c r="L31" s="18">
        <f>'11 - 2021'!I37-'11 - 2021'!I36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R20" sqref="R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</f>
        <v>3944</v>
      </c>
      <c r="F2" s="18">
        <f>'11 - 2021'!C8-'11 - 2021'!C7</f>
        <v>5692</v>
      </c>
      <c r="G2" s="16">
        <v>0.11799999999999999</v>
      </c>
      <c r="H2" s="18">
        <f>'11 - 2021'!E8-'11 - 2021'!E7</f>
        <v>18.889999999999986</v>
      </c>
      <c r="I2" s="18">
        <f>'11 - 2021'!F8-'11 - 2021'!F7</f>
        <v>7.9499999999999318</v>
      </c>
      <c r="J2" s="18">
        <f>'11 - 2021'!G8-'11 - 2021'!G7</f>
        <v>35.090000000003783</v>
      </c>
      <c r="K2" s="16">
        <v>0.74</v>
      </c>
      <c r="L2" s="18">
        <v>85</v>
      </c>
      <c r="M2" s="12"/>
    </row>
    <row r="3" spans="1:13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</f>
        <v>3971</v>
      </c>
      <c r="F3" s="18">
        <f>'11 - 2021'!C9-'11 - 2021'!C8</f>
        <v>5675</v>
      </c>
      <c r="G3" s="16">
        <v>0.11799999999999999</v>
      </c>
      <c r="H3" s="18">
        <f>'11 - 2021'!E9-'11 - 2021'!E8</f>
        <v>19.230000000000018</v>
      </c>
      <c r="I3" s="18">
        <f>'11 - 2021'!F9-'11 - 2021'!F8</f>
        <v>7.75</v>
      </c>
      <c r="J3" s="18">
        <f>'11 - 2021'!G9-'11 - 2021'!G8</f>
        <v>33.989999999997963</v>
      </c>
      <c r="K3" s="16">
        <v>0.74</v>
      </c>
      <c r="L3" s="28">
        <v>89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</f>
        <v>4043</v>
      </c>
      <c r="F4" s="18">
        <f>'11 - 2021'!C10-'11 - 2021'!C9</f>
        <v>5787</v>
      </c>
      <c r="G4" s="16">
        <v>0.11799999999999999</v>
      </c>
      <c r="H4" s="18">
        <f>'11 - 2021'!E10-'11 - 2021'!E9</f>
        <v>19.449999999999932</v>
      </c>
      <c r="I4" s="18">
        <f>'11 - 2021'!F10-'11 - 2021'!F9</f>
        <v>7.8600000000000136</v>
      </c>
      <c r="J4" s="18">
        <f>'11 - 2021'!G10-'11 - 2021'!G9</f>
        <v>34.680000000000291</v>
      </c>
      <c r="K4" s="16">
        <v>0.74</v>
      </c>
      <c r="L4" s="28">
        <v>93</v>
      </c>
      <c r="M4" s="12"/>
    </row>
    <row r="5" spans="1:13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</f>
        <v>4192</v>
      </c>
      <c r="F5" s="18">
        <f>'11 - 2021'!C11-'11 - 2021'!C10</f>
        <v>5959</v>
      </c>
      <c r="G5" s="16">
        <v>0.11799999999999999</v>
      </c>
      <c r="H5" s="18">
        <f>'11 - 2021'!E11-'11 - 2021'!E10</f>
        <v>19.110000000000014</v>
      </c>
      <c r="I5" s="18">
        <f>'11 - 2021'!F11-'11 - 2021'!F10</f>
        <v>7.2900000000000773</v>
      </c>
      <c r="J5" s="18">
        <f>'11 - 2021'!G11-'11 - 2021'!G10</f>
        <v>39.370000000002619</v>
      </c>
      <c r="K5" s="16">
        <v>0.74</v>
      </c>
      <c r="L5" s="28">
        <v>100</v>
      </c>
      <c r="M5" s="12"/>
    </row>
    <row r="6" spans="1:13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</f>
        <v>4263</v>
      </c>
      <c r="F6" s="18">
        <f>'11 - 2021'!C12-'11 - 2021'!C11</f>
        <v>6028</v>
      </c>
      <c r="G6" s="16">
        <v>0.11799999999999999</v>
      </c>
      <c r="H6" s="18">
        <f>'11 - 2021'!E12-'11 - 2021'!E11</f>
        <v>18.25</v>
      </c>
      <c r="I6" s="18">
        <f>'11 - 2021'!F12-'11 - 2021'!F11</f>
        <v>7.5299999999999727</v>
      </c>
      <c r="J6" s="18">
        <f>'11 - 2021'!G12-'11 - 2021'!G11</f>
        <v>32.279999999998836</v>
      </c>
      <c r="K6" s="16">
        <v>0.74</v>
      </c>
      <c r="L6" s="28">
        <v>98</v>
      </c>
      <c r="M6" s="13"/>
    </row>
    <row r="7" spans="1:13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</f>
        <v>3974</v>
      </c>
      <c r="F7" s="18">
        <f>'11 - 2021'!C13-'11 - 2021'!C12</f>
        <v>6005</v>
      </c>
      <c r="G7" s="16">
        <v>0.11799999999999999</v>
      </c>
      <c r="H7" s="18">
        <f>'11 - 2021'!E13-'11 - 2021'!E12</f>
        <v>20.240000000000009</v>
      </c>
      <c r="I7" s="18">
        <f>'11 - 2021'!F13-'11 - 2021'!F12</f>
        <v>6.7699999999999818</v>
      </c>
      <c r="J7" s="18">
        <f>'11 - 2021'!G13-'11 - 2021'!G12</f>
        <v>34.19999999999709</v>
      </c>
      <c r="K7" s="16">
        <v>0.74</v>
      </c>
      <c r="L7" s="28">
        <v>103</v>
      </c>
      <c r="M7" s="13"/>
    </row>
    <row r="8" spans="1:13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</f>
        <v>3963</v>
      </c>
      <c r="F8" s="18">
        <f>'11 - 2021'!C14-'11 - 2021'!C13</f>
        <v>5769</v>
      </c>
      <c r="G8" s="16">
        <v>0.11799999999999999</v>
      </c>
      <c r="H8" s="18">
        <f>'11 - 2021'!E14-'11 - 2021'!E13</f>
        <v>18.169999999999959</v>
      </c>
      <c r="I8" s="18">
        <f>'11 - 2021'!F14-'11 - 2021'!F13</f>
        <v>7.8899999999999864</v>
      </c>
      <c r="J8" s="18">
        <f>'11 - 2021'!G14-'11 - 2021'!G13</f>
        <v>37.30000000000291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</f>
        <v>4156</v>
      </c>
      <c r="F9" s="18">
        <f>'11 - 2021'!C15-'11 - 2021'!C14</f>
        <v>6038</v>
      </c>
      <c r="G9" s="16">
        <v>0.11799999999999999</v>
      </c>
      <c r="H9" s="18">
        <f>'11 - 2021'!E15-'11 - 2021'!E14</f>
        <v>18.100000000000023</v>
      </c>
      <c r="I9" s="18">
        <f>'11 - 2021'!F15-'11 - 2021'!F14</f>
        <v>8.1000000000000227</v>
      </c>
      <c r="J9" s="18">
        <f>'11 - 2021'!G15-'11 - 2021'!G14</f>
        <v>34.509999999994761</v>
      </c>
      <c r="K9" s="16">
        <v>0.74</v>
      </c>
      <c r="L9" s="28">
        <v>86</v>
      </c>
      <c r="M9" s="13"/>
    </row>
    <row r="10" spans="1:13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v>0</v>
      </c>
      <c r="F10" s="18">
        <v>0</v>
      </c>
      <c r="G10" s="16">
        <v>0.11799999999999999</v>
      </c>
      <c r="H10" s="18">
        <v>0</v>
      </c>
      <c r="I10" s="18">
        <v>0</v>
      </c>
      <c r="J10" s="18">
        <v>0</v>
      </c>
      <c r="K10" s="16">
        <v>0.74</v>
      </c>
      <c r="L10" s="28"/>
      <c r="M10" s="13"/>
    </row>
    <row r="11" spans="1:13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</f>
        <v>0</v>
      </c>
      <c r="F11" s="18">
        <f>'11 - 2021'!C17-'11 - 2021'!C16</f>
        <v>0</v>
      </c>
      <c r="G11" s="16">
        <v>0.11799999999999999</v>
      </c>
      <c r="H11" s="18">
        <f>'11 - 2021'!E17-'11 - 2021'!E16</f>
        <v>0</v>
      </c>
      <c r="I11" s="18">
        <f>'11 - 2021'!F17-'11 - 2021'!F16</f>
        <v>0</v>
      </c>
      <c r="J11" s="18">
        <f>'11 - 2021'!G17-'11 - 2021'!G16</f>
        <v>0</v>
      </c>
      <c r="K11" s="16">
        <v>0.74</v>
      </c>
      <c r="L11" s="28"/>
      <c r="M11" s="13"/>
    </row>
    <row r="12" spans="1:13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</f>
        <v>0</v>
      </c>
      <c r="F12" s="18">
        <f>'11 - 2021'!C18-'11 - 2021'!C17</f>
        <v>0</v>
      </c>
      <c r="G12" s="16">
        <v>0.11799999999999999</v>
      </c>
      <c r="H12" s="18">
        <f>'11 - 2021'!E18-'11 - 2021'!E17</f>
        <v>0</v>
      </c>
      <c r="I12" s="18">
        <f>'11 - 2021'!F18-'11 - 2021'!F17</f>
        <v>0</v>
      </c>
      <c r="J12" s="18">
        <f>'11 - 2021'!G18-'11 - 2021'!G17</f>
        <v>0</v>
      </c>
      <c r="K12" s="16">
        <v>0.74</v>
      </c>
      <c r="L12" s="18"/>
      <c r="M12" s="13"/>
    </row>
    <row r="13" spans="1:13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</f>
        <v>0</v>
      </c>
      <c r="F13" s="18">
        <f>'11 - 2021'!C19-'11 - 2021'!C18</f>
        <v>0</v>
      </c>
      <c r="G13" s="16">
        <v>0.11799999999999999</v>
      </c>
      <c r="H13" s="18">
        <f>'11 - 2021'!E19-'11 - 2021'!E18</f>
        <v>0</v>
      </c>
      <c r="I13" s="18">
        <f>'11 - 2021'!F19-'11 - 2021'!F18</f>
        <v>0</v>
      </c>
      <c r="J13" s="18">
        <f>'11 - 2021'!G19-'11 - 2021'!G18</f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</f>
        <v>0</v>
      </c>
      <c r="F14" s="18">
        <f>'11 - 2021'!C20-'11 - 2021'!C19</f>
        <v>0</v>
      </c>
      <c r="G14" s="16">
        <v>0.11799999999999999</v>
      </c>
      <c r="H14" s="18">
        <f>'11 - 2021'!E20-'11 - 2021'!E19</f>
        <v>0</v>
      </c>
      <c r="I14" s="18">
        <f>'11 - 2021'!F20-'11 - 2021'!F19</f>
        <v>0</v>
      </c>
      <c r="J14" s="18">
        <f>'11 - 2021'!G20-'11 - 2021'!G19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</f>
        <v>0</v>
      </c>
      <c r="F15" s="18">
        <f>'11 - 2021'!C21-'11 - 2021'!C20</f>
        <v>0</v>
      </c>
      <c r="G15" s="16">
        <v>0.11799999999999999</v>
      </c>
      <c r="H15" s="18">
        <f>'11 - 2021'!E21-'11 - 2021'!E20</f>
        <v>0</v>
      </c>
      <c r="I15" s="18">
        <f>'11 - 2021'!F21-'11 - 2021'!F20</f>
        <v>0</v>
      </c>
      <c r="J15" s="18">
        <f>'11 - 2021'!G21-'11 - 2021'!G20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</f>
        <v>0</v>
      </c>
      <c r="F16" s="18">
        <f>'11 - 2021'!C22-'11 - 2021'!C21</f>
        <v>0</v>
      </c>
      <c r="G16" s="16">
        <v>0.11799999999999999</v>
      </c>
      <c r="H16" s="18">
        <f>'11 - 2021'!E22-'11 - 2021'!E21</f>
        <v>0</v>
      </c>
      <c r="I16" s="18">
        <f>'11 - 2021'!F22-'11 - 2021'!F21</f>
        <v>0</v>
      </c>
      <c r="J16" s="18">
        <f>'11 - 2021'!G22-'11 - 2021'!G21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</f>
        <v>0</v>
      </c>
      <c r="F17" s="18">
        <f>'11 - 2021'!C23-'11 - 2021'!C22</f>
        <v>0</v>
      </c>
      <c r="G17" s="16">
        <v>0.11799999999999999</v>
      </c>
      <c r="H17" s="18">
        <f>'11 - 2021'!E23-'11 - 2021'!E22</f>
        <v>0</v>
      </c>
      <c r="I17" s="18">
        <f>'11 - 2021'!F23-'11 - 2021'!F22</f>
        <v>0</v>
      </c>
      <c r="J17" s="18">
        <f>'11 - 2021'!G23-'11 - 2021'!G22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</f>
        <v>0</v>
      </c>
      <c r="F18" s="18">
        <f>'11 - 2021'!C24-'11 - 2021'!C23</f>
        <v>0</v>
      </c>
      <c r="G18" s="16">
        <v>0.11799999999999999</v>
      </c>
      <c r="H18" s="18">
        <f>'11 - 2021'!E24-'11 - 2021'!E23</f>
        <v>0</v>
      </c>
      <c r="I18" s="18">
        <f>'11 - 2021'!F24-'11 - 2021'!F23</f>
        <v>0</v>
      </c>
      <c r="J18" s="18">
        <f>'11 - 2021'!G24-'11 - 2021'!G23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</f>
        <v>0</v>
      </c>
      <c r="F19" s="18">
        <f>'11 - 2021'!C25-'11 - 2021'!C24</f>
        <v>0</v>
      </c>
      <c r="G19" s="16">
        <v>0.11799999999999999</v>
      </c>
      <c r="H19" s="18">
        <f>'11 - 2021'!E25-'11 - 2021'!E24</f>
        <v>0</v>
      </c>
      <c r="I19" s="18">
        <f>'11 - 2021'!F25-'11 - 2021'!F24</f>
        <v>0</v>
      </c>
      <c r="J19" s="18">
        <f>'11 - 2021'!G25-'11 - 2021'!G24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</f>
        <v>0</v>
      </c>
      <c r="F20" s="18">
        <f>'11 - 2021'!C26-'11 - 2021'!C25</f>
        <v>0</v>
      </c>
      <c r="G20" s="16">
        <v>0.11799999999999999</v>
      </c>
      <c r="H20" s="18">
        <f>'11 - 2021'!E26-'11 - 2021'!E25</f>
        <v>0</v>
      </c>
      <c r="I20" s="18">
        <f>'11 - 2021'!F26-'11 - 2021'!F25</f>
        <v>0</v>
      </c>
      <c r="J20" s="18">
        <f>'11 - 2021'!G26-'11 - 2021'!G25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</f>
        <v>0</v>
      </c>
      <c r="F21" s="18">
        <f>'11 - 2021'!C27-'11 - 2021'!C26</f>
        <v>0</v>
      </c>
      <c r="G21" s="16">
        <v>0.11799999999999999</v>
      </c>
      <c r="H21" s="18">
        <f>'11 - 2021'!E27-'11 - 2021'!E26</f>
        <v>0</v>
      </c>
      <c r="I21" s="18">
        <f>'11 - 2021'!F27-'11 - 2021'!F26</f>
        <v>0</v>
      </c>
      <c r="J21" s="18">
        <f>'11 - 2021'!G27-'11 - 2021'!G26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</f>
        <v>0</v>
      </c>
      <c r="F22" s="18">
        <f>'11 - 2021'!C28-'11 - 2021'!C27</f>
        <v>0</v>
      </c>
      <c r="G22" s="16">
        <v>0.11799999999999999</v>
      </c>
      <c r="H22" s="18">
        <f>'11 - 2021'!E28-'11 - 2021'!E27</f>
        <v>0</v>
      </c>
      <c r="I22" s="18">
        <f>'11 - 2021'!F28-'11 - 2021'!F27</f>
        <v>0</v>
      </c>
      <c r="J22" s="18">
        <f>'11 - 2021'!G28-'11 - 2021'!G27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</f>
        <v>0</v>
      </c>
      <c r="F23" s="18">
        <f>'11 - 2021'!C29-'11 - 2021'!C28</f>
        <v>0</v>
      </c>
      <c r="G23" s="16">
        <v>0.11799999999999999</v>
      </c>
      <c r="H23" s="18">
        <f>'11 - 2021'!E29-'11 - 2021'!E28</f>
        <v>0</v>
      </c>
      <c r="I23" s="18">
        <f>'11 - 2021'!F29-'11 - 2021'!F28</f>
        <v>0</v>
      </c>
      <c r="J23" s="18">
        <f>'11 - 2021'!G29-'11 - 2021'!G28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</f>
        <v>0</v>
      </c>
      <c r="F24" s="18">
        <f>'11 - 2021'!C30-'11 - 2021'!C29</f>
        <v>0</v>
      </c>
      <c r="G24" s="16">
        <v>0.11799999999999999</v>
      </c>
      <c r="H24" s="18">
        <f>'11 - 2021'!E30-'11 - 2021'!E29</f>
        <v>0</v>
      </c>
      <c r="I24" s="18">
        <f>'11 - 2021'!F30-'11 - 2021'!F29</f>
        <v>0</v>
      </c>
      <c r="J24" s="18">
        <f>'11 - 2021'!G30-'11 - 2021'!G29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</f>
        <v>0</v>
      </c>
      <c r="F25" s="18">
        <f>'11 - 2021'!C31-'11 - 2021'!C30</f>
        <v>0</v>
      </c>
      <c r="G25" s="16">
        <v>0.11799999999999999</v>
      </c>
      <c r="H25" s="18">
        <f>'11 - 2021'!E31-'11 - 2021'!E30</f>
        <v>0</v>
      </c>
      <c r="I25" s="18">
        <f>'11 - 2021'!F31-'11 - 2021'!F30</f>
        <v>0</v>
      </c>
      <c r="J25" s="18">
        <f>'11 - 2021'!G31-'11 - 2021'!G30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</f>
        <v>0</v>
      </c>
      <c r="F26" s="18">
        <f>'11 - 2021'!C32-'11 - 2021'!C31</f>
        <v>0</v>
      </c>
      <c r="G26" s="16">
        <v>0.11799999999999999</v>
      </c>
      <c r="H26" s="18">
        <f>'11 - 2021'!E32-'11 - 2021'!E31</f>
        <v>0</v>
      </c>
      <c r="I26" s="18">
        <f>'11 - 2021'!F32-'11 - 2021'!F31</f>
        <v>0</v>
      </c>
      <c r="J26" s="18">
        <f>'11 - 2021'!G32-'11 - 2021'!G31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</f>
        <v>0</v>
      </c>
      <c r="F27" s="18">
        <f>'11 - 2021'!C33-'11 - 2021'!C32</f>
        <v>0</v>
      </c>
      <c r="G27" s="16">
        <v>0.11799999999999999</v>
      </c>
      <c r="H27" s="18">
        <f>'11 - 2021'!E33-'11 - 2021'!E32</f>
        <v>0</v>
      </c>
      <c r="I27" s="18">
        <f>'11 - 2021'!F33-'11 - 2021'!F32</f>
        <v>0</v>
      </c>
      <c r="J27" s="18">
        <f>'11 - 2021'!G33-'11 - 2021'!G32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</f>
        <v>0</v>
      </c>
      <c r="F28" s="18">
        <f>'11 - 2021'!C34-'11 - 2021'!C33</f>
        <v>0</v>
      </c>
      <c r="G28" s="16">
        <v>0.11799999999999999</v>
      </c>
      <c r="H28" s="18">
        <f>'11 - 2021'!E34-'11 - 2021'!E33</f>
        <v>0</v>
      </c>
      <c r="I28" s="18">
        <f>'11 - 2021'!F34-'11 - 2021'!F33</f>
        <v>0</v>
      </c>
      <c r="J28" s="18">
        <f>'11 - 2021'!G34-'11 - 2021'!G33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</f>
        <v>0</v>
      </c>
      <c r="F29" s="18">
        <f>'11 - 2021'!C35-'11 - 2021'!C34</f>
        <v>0</v>
      </c>
      <c r="G29" s="16">
        <v>0.11799999999999999</v>
      </c>
      <c r="H29" s="18">
        <f>'11 - 2021'!E35-'11 - 2021'!E34</f>
        <v>0</v>
      </c>
      <c r="I29" s="18">
        <f>'11 - 2021'!F35-'11 - 2021'!F34</f>
        <v>0</v>
      </c>
      <c r="J29" s="18">
        <f>'11 - 2021'!G35-'11 - 2021'!G34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</f>
        <v>0</v>
      </c>
      <c r="F30" s="18">
        <f>'11 - 2021'!C36-'11 - 2021'!C35</f>
        <v>0</v>
      </c>
      <c r="G30" s="16">
        <v>0.11799999999999999</v>
      </c>
      <c r="H30" s="18">
        <f>'11 - 2021'!E36-'11 - 2021'!E35</f>
        <v>0</v>
      </c>
      <c r="I30" s="18">
        <f>'11 - 2021'!F36-'11 - 2021'!F35</f>
        <v>0</v>
      </c>
      <c r="J30" s="18">
        <f>'11 - 2021'!G36-'11 - 2021'!G35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42">
        <f>'11 - 2021'!B37-'11 - 2021'!B36</f>
        <v>0</v>
      </c>
      <c r="F31" s="18">
        <f>'11 - 2021'!C37-'11 - 2021'!C36</f>
        <v>0</v>
      </c>
      <c r="G31" s="16">
        <v>0.11799999999999999</v>
      </c>
      <c r="H31" s="18">
        <f>'11 - 2021'!E37-'11 - 2021'!E36</f>
        <v>0</v>
      </c>
      <c r="I31" s="18">
        <f>'11 - 2021'!F37-'11 - 2021'!F36</f>
        <v>0</v>
      </c>
      <c r="J31" s="18">
        <f>'11 - 2021'!G37-'11 - 2021'!G36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zoomScaleNormal="100" workbookViewId="0">
      <selection activeCell="H29" sqref="H29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8" t="s">
        <v>30</v>
      </c>
      <c r="B3" s="88"/>
      <c r="C3" s="88"/>
      <c r="D3" s="88"/>
      <c r="E3" s="88"/>
      <c r="F3" s="88"/>
      <c r="G3" s="88"/>
      <c r="H3" s="88"/>
      <c r="I3" s="88"/>
      <c r="J3" s="88"/>
    </row>
    <row r="4" spans="1:17" ht="16.5" thickBot="1" x14ac:dyDescent="0.3">
      <c r="A4" s="89" t="s">
        <v>37</v>
      </c>
      <c r="B4" s="89"/>
      <c r="C4" s="89"/>
      <c r="D4" s="89"/>
      <c r="E4" s="89"/>
      <c r="F4" s="89"/>
      <c r="G4" s="89"/>
      <c r="H4" s="89"/>
      <c r="I4" s="89"/>
      <c r="J4" s="89"/>
    </row>
    <row r="5" spans="1:17" ht="16.5" thickBot="1" x14ac:dyDescent="0.3">
      <c r="A5" s="2"/>
      <c r="B5" s="90" t="s">
        <v>36</v>
      </c>
      <c r="C5" s="91"/>
      <c r="D5" s="90" t="s">
        <v>0</v>
      </c>
      <c r="E5" s="92"/>
      <c r="F5" s="92"/>
      <c r="G5" s="93"/>
      <c r="H5" s="94" t="s">
        <v>1</v>
      </c>
      <c r="I5" s="95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5" t="s">
        <v>31</v>
      </c>
      <c r="L6" s="46" t="s">
        <v>32</v>
      </c>
    </row>
    <row r="7" spans="1:17" s="14" customFormat="1" ht="12.95" customHeight="1" thickBot="1" x14ac:dyDescent="0.3">
      <c r="A7" s="84">
        <v>44500</v>
      </c>
      <c r="B7" s="80">
        <v>291988</v>
      </c>
      <c r="C7" s="81">
        <v>694043</v>
      </c>
      <c r="D7" s="82">
        <v>0.8</v>
      </c>
      <c r="E7" s="87">
        <v>582.46</v>
      </c>
      <c r="F7" s="83">
        <v>665.6</v>
      </c>
      <c r="G7" s="83">
        <v>34418.1</v>
      </c>
      <c r="H7" s="80">
        <v>14528</v>
      </c>
      <c r="I7" s="80">
        <v>135990</v>
      </c>
      <c r="J7" s="80">
        <v>51970400</v>
      </c>
      <c r="K7" s="85"/>
      <c r="L7" s="86"/>
      <c r="M7" s="26"/>
    </row>
    <row r="8" spans="1:17" s="50" customFormat="1" ht="12.95" customHeight="1" thickTop="1" x14ac:dyDescent="0.25">
      <c r="A8" s="25">
        <f>A7+1</f>
        <v>44501</v>
      </c>
      <c r="B8" s="75">
        <v>295932</v>
      </c>
      <c r="C8" s="75">
        <v>699735</v>
      </c>
      <c r="D8" s="47">
        <v>0.74</v>
      </c>
      <c r="E8" s="72">
        <v>601.35</v>
      </c>
      <c r="F8" s="48">
        <v>673.55</v>
      </c>
      <c r="G8" s="75">
        <v>34453.19</v>
      </c>
      <c r="H8" s="75">
        <v>14528</v>
      </c>
      <c r="I8" s="75">
        <v>136097</v>
      </c>
      <c r="J8" s="75">
        <v>51996468</v>
      </c>
      <c r="K8" s="76"/>
      <c r="L8" s="68"/>
      <c r="M8" s="49"/>
    </row>
    <row r="9" spans="1:17" s="50" customFormat="1" ht="12.95" customHeight="1" x14ac:dyDescent="0.25">
      <c r="A9" s="25">
        <f t="shared" ref="A9:A37" si="0">A8+1</f>
        <v>44502</v>
      </c>
      <c r="B9" s="53">
        <v>299903</v>
      </c>
      <c r="C9" s="37">
        <v>705410</v>
      </c>
      <c r="D9" s="52">
        <v>0.67</v>
      </c>
      <c r="E9" s="72">
        <v>620.58000000000004</v>
      </c>
      <c r="F9" s="37">
        <v>681.3</v>
      </c>
      <c r="G9" s="37">
        <v>34487.18</v>
      </c>
      <c r="H9" s="53">
        <v>14528</v>
      </c>
      <c r="I9" s="53">
        <v>136209</v>
      </c>
      <c r="J9" s="53">
        <v>52026254</v>
      </c>
      <c r="K9" s="74"/>
      <c r="L9" s="63"/>
      <c r="M9" s="49"/>
    </row>
    <row r="10" spans="1:17" s="50" customFormat="1" ht="12.95" customHeight="1" x14ac:dyDescent="0.25">
      <c r="A10" s="25">
        <f t="shared" si="0"/>
        <v>44503</v>
      </c>
      <c r="B10" s="53">
        <v>303946</v>
      </c>
      <c r="C10" s="53">
        <v>711197</v>
      </c>
      <c r="D10" s="52">
        <v>0.6</v>
      </c>
      <c r="E10" s="73">
        <v>640.03</v>
      </c>
      <c r="F10" s="37">
        <v>689.16</v>
      </c>
      <c r="G10" s="37">
        <v>34521.86</v>
      </c>
      <c r="H10" s="53">
        <v>14528</v>
      </c>
      <c r="I10" s="53">
        <v>136336</v>
      </c>
      <c r="J10" s="40">
        <v>52057375</v>
      </c>
      <c r="K10" s="74"/>
      <c r="L10" s="44"/>
      <c r="M10" s="49"/>
    </row>
    <row r="11" spans="1:17" s="50" customFormat="1" ht="12.95" customHeight="1" x14ac:dyDescent="0.25">
      <c r="A11" s="25">
        <f t="shared" si="0"/>
        <v>44504</v>
      </c>
      <c r="B11" s="53">
        <v>308138</v>
      </c>
      <c r="C11" s="53">
        <v>717156</v>
      </c>
      <c r="D11" s="52">
        <v>0.5</v>
      </c>
      <c r="E11" s="37">
        <v>659.14</v>
      </c>
      <c r="F11" s="37">
        <v>696.45</v>
      </c>
      <c r="G11" s="37">
        <v>34561.230000000003</v>
      </c>
      <c r="H11" s="53">
        <v>14528</v>
      </c>
      <c r="I11" s="53">
        <v>136437</v>
      </c>
      <c r="J11" s="53">
        <v>52088982</v>
      </c>
      <c r="K11" s="54"/>
      <c r="L11" s="44"/>
      <c r="M11" s="49"/>
    </row>
    <row r="12" spans="1:17" s="50" customFormat="1" ht="12.95" customHeight="1" x14ac:dyDescent="0.25">
      <c r="A12" s="25">
        <f t="shared" si="0"/>
        <v>44505</v>
      </c>
      <c r="B12" s="51">
        <v>312401</v>
      </c>
      <c r="C12" s="51">
        <v>723184</v>
      </c>
      <c r="D12" s="52">
        <v>0.43</v>
      </c>
      <c r="E12" s="77">
        <v>677.39</v>
      </c>
      <c r="F12" s="51">
        <v>703.98</v>
      </c>
      <c r="G12" s="51">
        <v>34593.51</v>
      </c>
      <c r="H12" s="51">
        <v>14528</v>
      </c>
      <c r="I12" s="51">
        <v>136580</v>
      </c>
      <c r="J12" s="51">
        <v>52117085</v>
      </c>
      <c r="K12" s="54"/>
      <c r="L12" s="44"/>
      <c r="M12" s="49"/>
      <c r="N12" s="49"/>
    </row>
    <row r="13" spans="1:17" s="50" customFormat="1" ht="12.95" customHeight="1" x14ac:dyDescent="0.25">
      <c r="A13" s="25">
        <f t="shared" si="0"/>
        <v>44506</v>
      </c>
      <c r="B13" s="64">
        <v>316375</v>
      </c>
      <c r="C13" s="37">
        <v>729189</v>
      </c>
      <c r="D13" s="52">
        <v>0.85</v>
      </c>
      <c r="E13" s="73">
        <v>697.63</v>
      </c>
      <c r="F13" s="37">
        <v>710.75</v>
      </c>
      <c r="G13" s="37">
        <v>34627.71</v>
      </c>
      <c r="H13" s="53">
        <v>14528</v>
      </c>
      <c r="I13" s="37">
        <v>136715</v>
      </c>
      <c r="J13" s="37">
        <v>52145566</v>
      </c>
      <c r="K13" s="54"/>
      <c r="L13" s="44"/>
      <c r="M13" s="49"/>
      <c r="N13" s="55"/>
      <c r="O13" s="55"/>
      <c r="P13" s="55"/>
      <c r="Q13" s="55"/>
    </row>
    <row r="14" spans="1:17" s="50" customFormat="1" ht="12.95" customHeight="1" x14ac:dyDescent="0.25">
      <c r="A14" s="25">
        <f t="shared" si="0"/>
        <v>44507</v>
      </c>
      <c r="B14" s="53">
        <v>320338</v>
      </c>
      <c r="C14" s="53">
        <v>734958</v>
      </c>
      <c r="D14" s="52">
        <v>0.79</v>
      </c>
      <c r="E14" s="73">
        <v>715.8</v>
      </c>
      <c r="F14" s="37">
        <v>718.64</v>
      </c>
      <c r="G14" s="37">
        <v>34665.01</v>
      </c>
      <c r="H14" s="53">
        <v>14528</v>
      </c>
      <c r="I14" s="53">
        <v>136838</v>
      </c>
      <c r="J14" s="53">
        <v>52171764</v>
      </c>
      <c r="K14" s="54"/>
      <c r="L14" s="44"/>
      <c r="M14" s="49"/>
      <c r="N14" s="55"/>
      <c r="O14" s="55"/>
      <c r="P14" s="55"/>
      <c r="Q14" s="55"/>
    </row>
    <row r="15" spans="1:17" s="50" customFormat="1" ht="12.95" customHeight="1" x14ac:dyDescent="0.25">
      <c r="A15" s="96">
        <f t="shared" si="0"/>
        <v>44508</v>
      </c>
      <c r="B15" s="53">
        <v>324494</v>
      </c>
      <c r="C15" s="53">
        <v>740996</v>
      </c>
      <c r="D15" s="52">
        <v>0.73</v>
      </c>
      <c r="E15" s="37">
        <v>733.9</v>
      </c>
      <c r="F15" s="78">
        <v>726.74</v>
      </c>
      <c r="G15" s="37">
        <v>34699.519999999997</v>
      </c>
      <c r="H15" s="53">
        <v>14528</v>
      </c>
      <c r="I15" s="53">
        <v>136945</v>
      </c>
      <c r="J15" s="53">
        <v>52194432</v>
      </c>
      <c r="K15" s="54"/>
      <c r="L15" s="44"/>
      <c r="M15" s="49"/>
      <c r="N15" s="55"/>
      <c r="O15" s="55"/>
      <c r="P15" s="55"/>
      <c r="Q15" s="55"/>
    </row>
    <row r="16" spans="1:17" s="50" customFormat="1" ht="12.95" customHeight="1" x14ac:dyDescent="0.25">
      <c r="A16" s="25">
        <f t="shared" si="0"/>
        <v>44509</v>
      </c>
      <c r="B16" s="79"/>
      <c r="C16" s="53"/>
      <c r="D16" s="52"/>
      <c r="E16" s="37"/>
      <c r="F16" s="78"/>
      <c r="G16" s="37"/>
      <c r="H16" s="53"/>
      <c r="I16" s="53"/>
      <c r="J16" s="53"/>
      <c r="K16" s="54"/>
      <c r="L16" s="44"/>
      <c r="M16" s="49"/>
      <c r="N16" s="55"/>
      <c r="O16" s="55"/>
      <c r="P16" s="55"/>
      <c r="Q16" s="55"/>
    </row>
    <row r="17" spans="1:19" s="50" customFormat="1" ht="12.95" customHeight="1" x14ac:dyDescent="0.25">
      <c r="A17" s="25">
        <f t="shared" si="0"/>
        <v>44510</v>
      </c>
      <c r="B17" s="37"/>
      <c r="C17" s="37"/>
      <c r="D17" s="52"/>
      <c r="E17" s="37"/>
      <c r="F17" s="78"/>
      <c r="G17" s="37"/>
      <c r="H17" s="53"/>
      <c r="I17" s="37"/>
      <c r="J17" s="37"/>
      <c r="K17" s="54"/>
      <c r="L17" s="44"/>
      <c r="M17" s="49"/>
      <c r="N17" s="55"/>
      <c r="O17" s="55"/>
      <c r="P17" s="55"/>
      <c r="Q17" s="55"/>
    </row>
    <row r="18" spans="1:19" s="50" customFormat="1" ht="12.95" customHeight="1" x14ac:dyDescent="0.25">
      <c r="A18" s="25">
        <f t="shared" si="0"/>
        <v>44511</v>
      </c>
      <c r="B18" s="53"/>
      <c r="C18" s="53"/>
      <c r="D18" s="52"/>
      <c r="E18" s="37"/>
      <c r="F18" s="37"/>
      <c r="G18" s="37"/>
      <c r="H18" s="53"/>
      <c r="I18" s="53"/>
      <c r="J18" s="53"/>
      <c r="K18" s="54"/>
      <c r="L18" s="44"/>
      <c r="M18" s="49"/>
      <c r="N18" s="55"/>
      <c r="O18" s="57"/>
      <c r="P18" s="55"/>
      <c r="Q18" s="55"/>
    </row>
    <row r="19" spans="1:19" s="50" customFormat="1" ht="12.95" customHeight="1" x14ac:dyDescent="0.25">
      <c r="A19" s="25">
        <f t="shared" si="0"/>
        <v>44512</v>
      </c>
      <c r="B19" s="39"/>
      <c r="C19" s="39"/>
      <c r="D19" s="52"/>
      <c r="E19" s="37"/>
      <c r="F19" s="37"/>
      <c r="G19" s="38"/>
      <c r="H19" s="53"/>
      <c r="I19" s="39"/>
      <c r="J19" s="39"/>
      <c r="K19" s="54"/>
      <c r="L19" s="44"/>
      <c r="M19" s="49"/>
      <c r="N19" s="55"/>
      <c r="O19" s="57"/>
      <c r="P19" s="55"/>
      <c r="Q19" s="55"/>
    </row>
    <row r="20" spans="1:19" s="50" customFormat="1" ht="12.95" customHeight="1" x14ac:dyDescent="0.25">
      <c r="A20" s="25">
        <f t="shared" si="0"/>
        <v>44513</v>
      </c>
      <c r="B20" s="39"/>
      <c r="C20" s="39"/>
      <c r="D20" s="52"/>
      <c r="E20" s="53"/>
      <c r="F20" s="53"/>
      <c r="G20" s="38"/>
      <c r="H20" s="53"/>
      <c r="I20" s="39"/>
      <c r="J20" s="39"/>
      <c r="K20" s="54"/>
      <c r="L20" s="65"/>
      <c r="M20" s="49"/>
      <c r="N20" s="58"/>
      <c r="O20" s="55"/>
      <c r="P20" s="55"/>
      <c r="Q20" s="55"/>
    </row>
    <row r="21" spans="1:19" s="50" customFormat="1" ht="12.95" customHeight="1" x14ac:dyDescent="0.25">
      <c r="A21" s="25">
        <f t="shared" si="0"/>
        <v>44514</v>
      </c>
      <c r="B21" s="39"/>
      <c r="C21" s="39"/>
      <c r="D21" s="52"/>
      <c r="E21" s="38"/>
      <c r="F21" s="37"/>
      <c r="G21" s="38"/>
      <c r="H21" s="53"/>
      <c r="I21" s="39"/>
      <c r="J21" s="39"/>
      <c r="K21" s="54"/>
      <c r="L21" s="65"/>
      <c r="M21" s="49"/>
      <c r="N21" s="58"/>
      <c r="O21" s="58"/>
      <c r="P21" s="59"/>
      <c r="Q21" s="59"/>
      <c r="S21" s="49"/>
    </row>
    <row r="22" spans="1:19" s="50" customFormat="1" ht="12.95" customHeight="1" x14ac:dyDescent="0.25">
      <c r="A22" s="25">
        <f t="shared" si="0"/>
        <v>44515</v>
      </c>
      <c r="B22" s="53"/>
      <c r="C22" s="79"/>
      <c r="D22" s="52"/>
      <c r="E22" s="37"/>
      <c r="F22" s="37"/>
      <c r="G22" s="38"/>
      <c r="H22" s="53"/>
      <c r="I22" s="38"/>
      <c r="J22" s="39"/>
      <c r="K22" s="54"/>
      <c r="L22" s="65"/>
      <c r="M22" s="49"/>
      <c r="N22" s="58"/>
      <c r="O22" s="58"/>
      <c r="P22" s="55"/>
      <c r="Q22" s="55"/>
    </row>
    <row r="23" spans="1:19" s="50" customFormat="1" ht="12.95" customHeight="1" x14ac:dyDescent="0.25">
      <c r="A23" s="25">
        <f t="shared" si="0"/>
        <v>44516</v>
      </c>
      <c r="B23" s="39"/>
      <c r="C23" s="39"/>
      <c r="D23" s="52"/>
      <c r="E23" s="38"/>
      <c r="F23" s="37"/>
      <c r="G23" s="38"/>
      <c r="H23" s="53"/>
      <c r="I23" s="39"/>
      <c r="J23" s="39"/>
      <c r="K23" s="54"/>
      <c r="L23" s="65"/>
      <c r="M23" s="49"/>
      <c r="N23" s="58"/>
      <c r="O23" s="55"/>
      <c r="P23" s="55"/>
      <c r="Q23" s="55"/>
    </row>
    <row r="24" spans="1:19" s="50" customFormat="1" ht="12.95" customHeight="1" x14ac:dyDescent="0.25">
      <c r="A24" s="25">
        <f t="shared" si="0"/>
        <v>44517</v>
      </c>
      <c r="B24" s="39"/>
      <c r="C24" s="39"/>
      <c r="D24" s="52"/>
      <c r="E24" s="38"/>
      <c r="F24" s="37"/>
      <c r="G24" s="38"/>
      <c r="H24" s="53"/>
      <c r="I24" s="39"/>
      <c r="J24" s="39"/>
      <c r="K24" s="54"/>
      <c r="L24" s="69"/>
      <c r="M24" s="49"/>
      <c r="N24" s="58"/>
      <c r="O24" s="58"/>
      <c r="P24" s="55"/>
      <c r="Q24" s="55"/>
    </row>
    <row r="25" spans="1:19" s="50" customFormat="1" ht="12.95" customHeight="1" x14ac:dyDescent="0.25">
      <c r="A25" s="25">
        <f t="shared" si="0"/>
        <v>44518</v>
      </c>
      <c r="B25" s="38"/>
      <c r="C25" s="38"/>
      <c r="D25" s="52"/>
      <c r="E25" s="38"/>
      <c r="F25" s="37"/>
      <c r="G25" s="38"/>
      <c r="H25" s="53"/>
      <c r="I25" s="39"/>
      <c r="J25" s="39"/>
      <c r="K25" s="60"/>
      <c r="L25" s="69"/>
      <c r="M25" s="49"/>
      <c r="N25" s="58"/>
      <c r="O25" s="58"/>
      <c r="P25" s="55"/>
      <c r="Q25" s="55"/>
    </row>
    <row r="26" spans="1:19" s="50" customFormat="1" ht="12.95" customHeight="1" x14ac:dyDescent="0.25">
      <c r="A26" s="25">
        <f t="shared" si="0"/>
        <v>44519</v>
      </c>
      <c r="B26" s="38"/>
      <c r="C26" s="38"/>
      <c r="D26" s="56"/>
      <c r="E26" s="38"/>
      <c r="F26" s="37"/>
      <c r="G26" s="38"/>
      <c r="H26" s="53"/>
      <c r="I26" s="39"/>
      <c r="J26" s="39"/>
      <c r="K26" s="54"/>
      <c r="L26" s="69"/>
      <c r="M26" s="49"/>
      <c r="N26" s="58"/>
      <c r="O26" s="58"/>
      <c r="P26" s="55"/>
      <c r="Q26" s="55"/>
    </row>
    <row r="27" spans="1:19" s="50" customFormat="1" ht="12.95" customHeight="1" x14ac:dyDescent="0.25">
      <c r="A27" s="25">
        <f t="shared" si="0"/>
        <v>44520</v>
      </c>
      <c r="B27" s="39"/>
      <c r="C27" s="39"/>
      <c r="D27" s="52"/>
      <c r="E27" s="38"/>
      <c r="F27" s="37"/>
      <c r="G27" s="38"/>
      <c r="H27" s="53"/>
      <c r="I27" s="39"/>
      <c r="J27" s="39"/>
      <c r="K27" s="66"/>
      <c r="L27" s="65"/>
      <c r="M27" s="49"/>
    </row>
    <row r="28" spans="1:19" s="50" customFormat="1" ht="12.95" customHeight="1" x14ac:dyDescent="0.25">
      <c r="A28" s="25">
        <f t="shared" si="0"/>
        <v>44521</v>
      </c>
      <c r="B28" s="39"/>
      <c r="C28" s="39"/>
      <c r="D28" s="52"/>
      <c r="E28" s="38"/>
      <c r="F28" s="37"/>
      <c r="G28" s="38"/>
      <c r="H28" s="53"/>
      <c r="I28" s="39"/>
      <c r="J28" s="39"/>
      <c r="K28" s="54"/>
      <c r="L28" s="65"/>
      <c r="M28" s="49"/>
    </row>
    <row r="29" spans="1:19" s="50" customFormat="1" ht="12.95" customHeight="1" x14ac:dyDescent="0.25">
      <c r="A29" s="25">
        <f t="shared" si="0"/>
        <v>44522</v>
      </c>
      <c r="B29" s="39"/>
      <c r="C29" s="39"/>
      <c r="D29" s="52"/>
      <c r="E29" s="38"/>
      <c r="F29" s="37"/>
      <c r="G29" s="38"/>
      <c r="H29" s="53"/>
      <c r="I29" s="39"/>
      <c r="J29" s="39"/>
      <c r="K29" s="54"/>
      <c r="L29" s="65"/>
      <c r="M29" s="49"/>
      <c r="N29" s="49"/>
    </row>
    <row r="30" spans="1:19" s="50" customFormat="1" ht="12.95" customHeight="1" x14ac:dyDescent="0.25">
      <c r="A30" s="25">
        <f t="shared" si="0"/>
        <v>44523</v>
      </c>
      <c r="B30" s="39"/>
      <c r="C30" s="39"/>
      <c r="D30" s="52"/>
      <c r="E30" s="38"/>
      <c r="F30" s="37"/>
      <c r="G30" s="38"/>
      <c r="H30" s="53"/>
      <c r="I30" s="39"/>
      <c r="J30" s="39"/>
      <c r="K30" s="54"/>
      <c r="L30" s="65"/>
      <c r="M30" s="49"/>
    </row>
    <row r="31" spans="1:19" s="50" customFormat="1" ht="12.95" customHeight="1" x14ac:dyDescent="0.25">
      <c r="A31" s="25">
        <f t="shared" si="0"/>
        <v>44524</v>
      </c>
      <c r="B31" s="39"/>
      <c r="C31" s="39"/>
      <c r="D31" s="52"/>
      <c r="E31" s="38"/>
      <c r="F31" s="37"/>
      <c r="G31" s="38"/>
      <c r="H31" s="53"/>
      <c r="I31" s="39"/>
      <c r="J31" s="39"/>
      <c r="K31" s="54"/>
      <c r="L31" s="65"/>
      <c r="M31" s="49"/>
      <c r="N31" s="49"/>
      <c r="O31" s="49"/>
    </row>
    <row r="32" spans="1:19" s="50" customFormat="1" ht="12.95" customHeight="1" x14ac:dyDescent="0.25">
      <c r="A32" s="25">
        <f t="shared" si="0"/>
        <v>44525</v>
      </c>
      <c r="B32" s="39"/>
      <c r="C32" s="39"/>
      <c r="D32" s="52"/>
      <c r="E32" s="38"/>
      <c r="F32" s="37"/>
      <c r="G32" s="38"/>
      <c r="H32" s="53"/>
      <c r="I32" s="39"/>
      <c r="J32" s="39"/>
      <c r="K32" s="54"/>
      <c r="L32" s="65"/>
      <c r="M32" s="49"/>
      <c r="N32" s="49"/>
      <c r="O32" s="49"/>
    </row>
    <row r="33" spans="1:16" s="50" customFormat="1" ht="12.95" customHeight="1" x14ac:dyDescent="0.25">
      <c r="A33" s="25">
        <f t="shared" si="0"/>
        <v>44526</v>
      </c>
      <c r="B33" s="39"/>
      <c r="C33" s="39"/>
      <c r="D33" s="52"/>
      <c r="E33" s="38"/>
      <c r="F33" s="37"/>
      <c r="G33" s="38"/>
      <c r="H33" s="53"/>
      <c r="I33" s="39"/>
      <c r="J33" s="39"/>
      <c r="K33" s="54"/>
      <c r="L33" s="65"/>
      <c r="N33" s="49"/>
      <c r="O33" s="49"/>
    </row>
    <row r="34" spans="1:16" s="50" customFormat="1" ht="12.95" customHeight="1" x14ac:dyDescent="0.25">
      <c r="A34" s="25">
        <f t="shared" si="0"/>
        <v>44527</v>
      </c>
      <c r="B34" s="39"/>
      <c r="C34" s="39"/>
      <c r="D34" s="52"/>
      <c r="E34" s="38"/>
      <c r="F34" s="37"/>
      <c r="G34" s="38"/>
      <c r="H34" s="53"/>
      <c r="I34" s="38"/>
      <c r="J34" s="38"/>
      <c r="K34" s="54"/>
      <c r="L34" s="70"/>
      <c r="N34" s="49"/>
      <c r="P34" s="49"/>
    </row>
    <row r="35" spans="1:16" s="50" customFormat="1" ht="12.95" customHeight="1" x14ac:dyDescent="0.25">
      <c r="A35" s="25">
        <f>A34+1</f>
        <v>44528</v>
      </c>
      <c r="B35" s="53"/>
      <c r="C35" s="61"/>
      <c r="D35" s="52"/>
      <c r="E35" s="38"/>
      <c r="F35" s="37"/>
      <c r="G35" s="37"/>
      <c r="H35" s="53"/>
      <c r="I35" s="53"/>
      <c r="J35" s="53"/>
      <c r="K35" s="74"/>
      <c r="L35" s="65"/>
      <c r="M35" s="49"/>
      <c r="N35" s="49"/>
      <c r="O35" s="49"/>
    </row>
    <row r="36" spans="1:16" s="62" customFormat="1" x14ac:dyDescent="0.25">
      <c r="A36" s="43">
        <f t="shared" si="0"/>
        <v>44529</v>
      </c>
      <c r="B36" s="53"/>
      <c r="C36" s="61"/>
      <c r="D36" s="52"/>
      <c r="E36" s="41"/>
      <c r="F36" s="37"/>
      <c r="G36" s="37"/>
      <c r="H36" s="53"/>
      <c r="I36" s="53"/>
      <c r="J36" s="53"/>
      <c r="K36" s="74"/>
      <c r="L36" s="71"/>
    </row>
    <row r="37" spans="1:16" s="62" customFormat="1" x14ac:dyDescent="0.25">
      <c r="A37" s="43">
        <f t="shared" si="0"/>
        <v>44530</v>
      </c>
      <c r="B37" s="53"/>
      <c r="C37" s="61"/>
      <c r="D37" s="52"/>
      <c r="E37" s="41"/>
      <c r="F37" s="37"/>
      <c r="G37" s="37"/>
      <c r="H37" s="53"/>
      <c r="I37" s="53"/>
      <c r="J37" s="53"/>
      <c r="K37" s="74"/>
      <c r="L37" s="65"/>
    </row>
    <row r="38" spans="1:16" x14ac:dyDescent="0.25">
      <c r="A38" s="27" t="s">
        <v>35</v>
      </c>
      <c r="B38" s="20">
        <f>B37-B7</f>
        <v>-291988</v>
      </c>
      <c r="C38" s="20">
        <f>C37-C7</f>
        <v>-694043</v>
      </c>
      <c r="D38" s="20"/>
      <c r="E38" s="20">
        <f t="shared" ref="E38:J38" si="1">E37-E7</f>
        <v>-582.46</v>
      </c>
      <c r="F38" s="20">
        <f t="shared" si="1"/>
        <v>-665.6</v>
      </c>
      <c r="G38" s="20">
        <f t="shared" si="1"/>
        <v>-34418.1</v>
      </c>
      <c r="H38" s="20">
        <f t="shared" si="1"/>
        <v>-14528</v>
      </c>
      <c r="I38" s="20">
        <f t="shared" si="1"/>
        <v>-135990</v>
      </c>
      <c r="J38" s="20">
        <f t="shared" si="1"/>
        <v>-51970400</v>
      </c>
      <c r="K38" s="20">
        <f>SUM(K7:K37)</f>
        <v>0</v>
      </c>
    </row>
    <row r="39" spans="1:16" x14ac:dyDescent="0.25">
      <c r="C39" s="20"/>
      <c r="E39" s="18"/>
      <c r="F39" s="18"/>
      <c r="G39" s="18"/>
      <c r="H39" s="15">
        <f>H38*219.969</f>
        <v>-3195709.6319999998</v>
      </c>
      <c r="I39" s="20">
        <f>I38*219.969</f>
        <v>-29913584.309999999</v>
      </c>
      <c r="J39" s="18"/>
    </row>
    <row r="40" spans="1:16" x14ac:dyDescent="0.25">
      <c r="A40" s="34"/>
      <c r="B40" s="67"/>
      <c r="C40" s="67"/>
      <c r="D40" s="34"/>
      <c r="E40" s="67"/>
      <c r="F40" s="67"/>
      <c r="G40" s="67"/>
      <c r="H40" s="67"/>
      <c r="I40" s="67"/>
      <c r="J40" s="67"/>
      <c r="K40" s="34"/>
      <c r="L40" s="34"/>
    </row>
    <row r="41" spans="1:16" x14ac:dyDescent="0.25">
      <c r="I41" s="15"/>
    </row>
    <row r="42" spans="1:16" x14ac:dyDescent="0.25">
      <c r="C42" s="18"/>
    </row>
    <row r="43" spans="1:16" x14ac:dyDescent="0.25">
      <c r="J43" s="35"/>
    </row>
    <row r="44" spans="1:16" x14ac:dyDescent="0.25">
      <c r="C44" s="36"/>
      <c r="I44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11 - 2021</vt:lpstr>
      <vt:lpstr>'11 - 2021'!Print_Area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2021-11-08T04:56:55Z</dcterms:modified>
</cp:coreProperties>
</file>