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firstSheet="1"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9" i="3" l="1"/>
  <c r="S39" i="3"/>
  <c r="V39" i="3"/>
  <c r="Y39" i="3"/>
  <c r="AI38" i="3"/>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39" i="3" s="1"/>
  <c r="AI9" i="3"/>
  <c r="AI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E39" i="3"/>
  <c r="AG39"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39" i="3" s="1"/>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39" i="3" s="1"/>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AK30" i="5" l="1"/>
  <c r="AI30" i="5"/>
  <c r="AG30" i="5"/>
  <c r="AE30" i="5"/>
  <c r="AC30" i="5"/>
  <c r="AA30" i="5"/>
  <c r="Y30" i="5"/>
  <c r="W30" i="5"/>
  <c r="U30" i="5"/>
  <c r="S30" i="5"/>
  <c r="Q30" i="5"/>
  <c r="O30" i="5"/>
  <c r="M30" i="5"/>
  <c r="K30" i="5"/>
  <c r="I30" i="5"/>
  <c r="G30" i="5"/>
  <c r="S37" i="4"/>
  <c r="R37" i="4"/>
  <c r="P37" i="4"/>
  <c r="N37" i="4"/>
  <c r="L37" i="4"/>
  <c r="M37" i="4" s="1"/>
  <c r="J37" i="4"/>
  <c r="H37" i="4"/>
  <c r="F37" i="4"/>
  <c r="D37" i="4"/>
  <c r="I19" i="4"/>
  <c r="I14" i="4"/>
  <c r="I11" i="4"/>
  <c r="G16" i="4"/>
  <c r="O28" i="4"/>
  <c r="K28" i="4"/>
  <c r="E28" i="4"/>
  <c r="C28" i="4"/>
  <c r="Y38" i="3"/>
  <c r="AK38" i="3" s="1"/>
  <c r="V38" i="3"/>
  <c r="U38" i="3"/>
  <c r="R38" i="3"/>
  <c r="S38" i="3" s="1"/>
  <c r="O38" i="3"/>
  <c r="P38" i="3" s="1"/>
  <c r="M38" i="3"/>
  <c r="M37" i="3"/>
  <c r="M36" i="3"/>
  <c r="M35" i="3"/>
  <c r="M34" i="3"/>
  <c r="M33" i="3"/>
  <c r="M32" i="3"/>
  <c r="M31" i="3"/>
  <c r="M30" i="3"/>
  <c r="M29" i="3"/>
  <c r="M28" i="3"/>
  <c r="M27" i="3"/>
  <c r="K38" i="3"/>
  <c r="K37" i="3"/>
  <c r="K36" i="3"/>
  <c r="K35" i="3"/>
  <c r="K34" i="3"/>
  <c r="K33" i="3"/>
  <c r="K32" i="3"/>
  <c r="K31" i="3"/>
  <c r="K30" i="3"/>
  <c r="K29" i="3"/>
  <c r="K28" i="3"/>
  <c r="K27" i="3"/>
  <c r="H38" i="3"/>
  <c r="I38" i="3" s="1"/>
  <c r="F38" i="3"/>
  <c r="F37" i="3"/>
  <c r="F36" i="3"/>
  <c r="F35" i="3"/>
  <c r="F34" i="3"/>
  <c r="F33" i="3"/>
  <c r="F32" i="3"/>
  <c r="F31" i="3"/>
  <c r="F30" i="3"/>
  <c r="F29" i="3"/>
  <c r="F28" i="3"/>
  <c r="F27" i="3"/>
  <c r="D38" i="3"/>
  <c r="D37" i="3"/>
  <c r="D36" i="3"/>
  <c r="D35" i="3"/>
  <c r="D34" i="3"/>
  <c r="D33" i="3"/>
  <c r="D32" i="3"/>
  <c r="D31" i="3"/>
  <c r="D30" i="3"/>
  <c r="D29" i="3"/>
  <c r="D28" i="3"/>
  <c r="D27" i="3"/>
  <c r="AL38" i="3" l="1"/>
  <c r="C41" i="9"/>
  <c r="D8" i="3" l="1"/>
  <c r="F8" i="3"/>
  <c r="H8" i="3"/>
  <c r="I8" i="3" s="1"/>
  <c r="K8" i="3"/>
  <c r="M8" i="3" l="1"/>
  <c r="O8" i="3"/>
  <c r="P8" i="3" s="1"/>
  <c r="R8" i="3"/>
  <c r="S8" i="3" s="1"/>
  <c r="U8" i="3"/>
  <c r="V8" i="3" s="1"/>
  <c r="D39" i="5" l="1"/>
  <c r="F39" i="5" s="1"/>
  <c r="H39" i="5"/>
  <c r="J39" i="5"/>
  <c r="L39" i="5"/>
  <c r="N39" i="5"/>
  <c r="P39" i="5"/>
  <c r="R39" i="5"/>
  <c r="T39" i="5"/>
  <c r="V39" i="5"/>
  <c r="X39" i="5"/>
  <c r="Z39" i="5"/>
  <c r="AB39" i="5"/>
  <c r="AD39" i="5"/>
  <c r="AF39" i="5"/>
  <c r="AH39" i="5"/>
  <c r="AJ39" i="5"/>
  <c r="AL39" i="5"/>
  <c r="AN39" i="5"/>
  <c r="AP39" i="5"/>
  <c r="AR39" i="5"/>
  <c r="AT39" i="5"/>
  <c r="AV39" i="5"/>
  <c r="AX39" i="5"/>
  <c r="AZ39" i="5"/>
  <c r="BB39" i="5"/>
  <c r="BD39" i="5"/>
  <c r="BF39" i="5"/>
  <c r="AN9" i="5"/>
  <c r="AP9" i="5"/>
  <c r="AR9" i="5"/>
  <c r="AT9" i="5"/>
  <c r="AV9" i="5"/>
  <c r="AX9" i="5"/>
  <c r="AZ9" i="5"/>
  <c r="BB9" i="5"/>
  <c r="BD9" i="5"/>
  <c r="BF9" i="5"/>
  <c r="AN10" i="5"/>
  <c r="AP10" i="5"/>
  <c r="AR10" i="5"/>
  <c r="AT10" i="5"/>
  <c r="AV10" i="5"/>
  <c r="AX10" i="5"/>
  <c r="AZ10" i="5"/>
  <c r="BB10" i="5"/>
  <c r="BD10" i="5"/>
  <c r="BF10" i="5"/>
  <c r="AN11" i="5"/>
  <c r="AP11" i="5"/>
  <c r="AR11" i="5"/>
  <c r="AT11" i="5"/>
  <c r="AV11" i="5"/>
  <c r="AX11" i="5"/>
  <c r="AZ11" i="5"/>
  <c r="BB11" i="5"/>
  <c r="BD11" i="5"/>
  <c r="BF11" i="5"/>
  <c r="AN12" i="5"/>
  <c r="AP12" i="5"/>
  <c r="AR12" i="5"/>
  <c r="AT12" i="5"/>
  <c r="AV12" i="5"/>
  <c r="AX12" i="5"/>
  <c r="AZ12" i="5"/>
  <c r="BB12" i="5"/>
  <c r="BD12" i="5"/>
  <c r="BF12" i="5"/>
  <c r="AN13" i="5"/>
  <c r="AP13" i="5"/>
  <c r="AR13" i="5"/>
  <c r="AT13" i="5"/>
  <c r="AV13" i="5"/>
  <c r="AX13" i="5"/>
  <c r="AZ13" i="5"/>
  <c r="BB13" i="5"/>
  <c r="BD13" i="5"/>
  <c r="BF13" i="5"/>
  <c r="AN14" i="5"/>
  <c r="AP14" i="5"/>
  <c r="AR14" i="5"/>
  <c r="AT14" i="5"/>
  <c r="AV14" i="5"/>
  <c r="AX14" i="5"/>
  <c r="AZ14" i="5"/>
  <c r="BB14" i="5"/>
  <c r="BD14" i="5"/>
  <c r="BF14" i="5"/>
  <c r="AN15" i="5"/>
  <c r="AP15" i="5"/>
  <c r="AR15" i="5"/>
  <c r="AT15" i="5"/>
  <c r="AV15" i="5"/>
  <c r="AX15" i="5"/>
  <c r="AZ15" i="5"/>
  <c r="BB15" i="5"/>
  <c r="BD15" i="5"/>
  <c r="BF15" i="5"/>
  <c r="AN16" i="5"/>
  <c r="AP16" i="5"/>
  <c r="AR16" i="5"/>
  <c r="AT16" i="5"/>
  <c r="AV16" i="5"/>
  <c r="AX16" i="5"/>
  <c r="AZ16" i="5"/>
  <c r="BB16" i="5"/>
  <c r="BD16" i="5"/>
  <c r="BF16" i="5"/>
  <c r="AN17" i="5"/>
  <c r="AP17" i="5"/>
  <c r="AR17" i="5"/>
  <c r="AT17" i="5"/>
  <c r="AV17" i="5"/>
  <c r="AX17" i="5"/>
  <c r="AZ17" i="5"/>
  <c r="BB17" i="5"/>
  <c r="BD17" i="5"/>
  <c r="BF17" i="5"/>
  <c r="AN18" i="5"/>
  <c r="AP18" i="5"/>
  <c r="AR18" i="5"/>
  <c r="AT18" i="5"/>
  <c r="AV18" i="5"/>
  <c r="AX18" i="5"/>
  <c r="AZ18" i="5"/>
  <c r="BB18" i="5"/>
  <c r="BD18" i="5"/>
  <c r="BF18" i="5"/>
  <c r="AN19" i="5"/>
  <c r="AP19" i="5"/>
  <c r="AR19" i="5"/>
  <c r="AT19" i="5"/>
  <c r="AV19" i="5"/>
  <c r="AX19" i="5"/>
  <c r="AZ19" i="5"/>
  <c r="BB19" i="5"/>
  <c r="BD19" i="5"/>
  <c r="BF19" i="5"/>
  <c r="AN20" i="5"/>
  <c r="AP20" i="5"/>
  <c r="AR20" i="5"/>
  <c r="AT20" i="5"/>
  <c r="AV20" i="5"/>
  <c r="AX20" i="5"/>
  <c r="AZ20" i="5"/>
  <c r="BB20" i="5"/>
  <c r="BD20" i="5"/>
  <c r="BF20" i="5"/>
  <c r="AN21" i="5"/>
  <c r="AP21" i="5"/>
  <c r="AR21" i="5"/>
  <c r="AT21" i="5"/>
  <c r="AV21" i="5"/>
  <c r="AX21" i="5"/>
  <c r="AZ21" i="5"/>
  <c r="BB21" i="5"/>
  <c r="BD21" i="5"/>
  <c r="BF21" i="5"/>
  <c r="AN22" i="5"/>
  <c r="AP22" i="5"/>
  <c r="AR22" i="5"/>
  <c r="AT22" i="5"/>
  <c r="AV22" i="5"/>
  <c r="AX22" i="5"/>
  <c r="AZ22" i="5"/>
  <c r="BB22" i="5"/>
  <c r="BD22" i="5"/>
  <c r="BF22" i="5"/>
  <c r="AN23" i="5"/>
  <c r="AP23" i="5"/>
  <c r="AR23" i="5"/>
  <c r="AT23" i="5"/>
  <c r="AV23" i="5"/>
  <c r="AX23" i="5"/>
  <c r="AZ23" i="5"/>
  <c r="BB23" i="5"/>
  <c r="BD23" i="5"/>
  <c r="BF23" i="5"/>
  <c r="AN24" i="5"/>
  <c r="AP24" i="5"/>
  <c r="AR24" i="5"/>
  <c r="AT24" i="5"/>
  <c r="AV24" i="5"/>
  <c r="AX24" i="5"/>
  <c r="AZ24" i="5"/>
  <c r="BB24" i="5"/>
  <c r="BD24" i="5"/>
  <c r="BF24" i="5"/>
  <c r="AN25" i="5"/>
  <c r="AP25" i="5"/>
  <c r="AR25" i="5"/>
  <c r="AT25" i="5"/>
  <c r="AV25" i="5"/>
  <c r="AX25" i="5"/>
  <c r="AZ25" i="5"/>
  <c r="BB25" i="5"/>
  <c r="BD25" i="5"/>
  <c r="BF25" i="5"/>
  <c r="AN26" i="5"/>
  <c r="AP26" i="5"/>
  <c r="AR26" i="5"/>
  <c r="AT26" i="5"/>
  <c r="AV26" i="5"/>
  <c r="AX26" i="5"/>
  <c r="AZ26" i="5"/>
  <c r="BB26" i="5"/>
  <c r="BD26" i="5"/>
  <c r="BF26" i="5"/>
  <c r="AN27" i="5"/>
  <c r="AP27" i="5"/>
  <c r="AR27" i="5"/>
  <c r="AT27" i="5"/>
  <c r="AV27" i="5"/>
  <c r="AX27" i="5"/>
  <c r="AZ27" i="5"/>
  <c r="BB27" i="5"/>
  <c r="BD27" i="5"/>
  <c r="BF27" i="5"/>
  <c r="AN28" i="5"/>
  <c r="AP28" i="5"/>
  <c r="AR28" i="5"/>
  <c r="AT28" i="5"/>
  <c r="AV28" i="5"/>
  <c r="AX28" i="5"/>
  <c r="AZ28" i="5"/>
  <c r="BB28" i="5"/>
  <c r="BD28" i="5"/>
  <c r="BF28" i="5"/>
  <c r="AN29" i="5"/>
  <c r="AP29" i="5"/>
  <c r="AR29" i="5"/>
  <c r="AT29" i="5"/>
  <c r="AV29" i="5"/>
  <c r="AX29" i="5"/>
  <c r="AZ29" i="5"/>
  <c r="BB29" i="5"/>
  <c r="BD29" i="5"/>
  <c r="BF29" i="5"/>
  <c r="AN30" i="5"/>
  <c r="AP30" i="5"/>
  <c r="AR30" i="5"/>
  <c r="AT30" i="5"/>
  <c r="AV30" i="5"/>
  <c r="AX30" i="5"/>
  <c r="AZ30" i="5"/>
  <c r="BB30" i="5"/>
  <c r="BD30" i="5"/>
  <c r="BF30" i="5"/>
  <c r="AN31" i="5"/>
  <c r="AP31" i="5"/>
  <c r="AR31" i="5"/>
  <c r="AT31" i="5"/>
  <c r="AV31" i="5"/>
  <c r="AX31" i="5"/>
  <c r="AZ31" i="5"/>
  <c r="BB31" i="5"/>
  <c r="BD31" i="5"/>
  <c r="BF31" i="5"/>
  <c r="AN32" i="5"/>
  <c r="AP32" i="5"/>
  <c r="AR32" i="5"/>
  <c r="AT32" i="5"/>
  <c r="AV32" i="5"/>
  <c r="AX32" i="5"/>
  <c r="AZ32" i="5"/>
  <c r="BB32" i="5"/>
  <c r="BD32" i="5"/>
  <c r="BF32" i="5"/>
  <c r="AN33" i="5"/>
  <c r="AP33" i="5"/>
  <c r="AR33" i="5"/>
  <c r="AT33" i="5"/>
  <c r="AV33" i="5"/>
  <c r="AX33" i="5"/>
  <c r="AZ33" i="5"/>
  <c r="BB33" i="5"/>
  <c r="BD33" i="5"/>
  <c r="BF33" i="5"/>
  <c r="AN34" i="5"/>
  <c r="AP34" i="5"/>
  <c r="AR34" i="5"/>
  <c r="AT34" i="5"/>
  <c r="AV34" i="5"/>
  <c r="AX34" i="5"/>
  <c r="AZ34" i="5"/>
  <c r="BB34" i="5"/>
  <c r="BD34" i="5"/>
  <c r="BF34" i="5"/>
  <c r="AN35" i="5"/>
  <c r="AP35" i="5"/>
  <c r="AR35" i="5"/>
  <c r="AT35" i="5"/>
  <c r="AV35" i="5"/>
  <c r="AX35" i="5"/>
  <c r="AZ35" i="5"/>
  <c r="BB35" i="5"/>
  <c r="BD35" i="5"/>
  <c r="BF35" i="5"/>
  <c r="AN36" i="5"/>
  <c r="AP36" i="5"/>
  <c r="AR36" i="5"/>
  <c r="AT36" i="5"/>
  <c r="AV36" i="5"/>
  <c r="AX36" i="5"/>
  <c r="AZ36" i="5"/>
  <c r="BB36" i="5"/>
  <c r="BD36" i="5"/>
  <c r="BF36" i="5"/>
  <c r="AN37" i="5"/>
  <c r="AP37" i="5"/>
  <c r="AR37" i="5"/>
  <c r="AT37" i="5"/>
  <c r="AV37" i="5"/>
  <c r="AX37" i="5"/>
  <c r="AZ37" i="5"/>
  <c r="BB37" i="5"/>
  <c r="BD37" i="5"/>
  <c r="BF37" i="5"/>
  <c r="AN38" i="5"/>
  <c r="AP38" i="5"/>
  <c r="AR38" i="5"/>
  <c r="AT38" i="5"/>
  <c r="AV38" i="5"/>
  <c r="AX38" i="5"/>
  <c r="AZ38" i="5"/>
  <c r="BB38" i="5"/>
  <c r="BD38" i="5"/>
  <c r="BF3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E39" i="5" l="1"/>
  <c r="BH39" i="5" s="1"/>
  <c r="BI39" i="5"/>
  <c r="V18" i="5" l="1"/>
  <c r="H11" i="3" l="1"/>
  <c r="X8" i="3" l="1"/>
  <c r="Y8" i="3" s="1"/>
  <c r="D9" i="3"/>
  <c r="F9" i="3"/>
  <c r="H9" i="3"/>
  <c r="I9" i="3" s="1"/>
  <c r="K9" i="3"/>
  <c r="M9" i="3"/>
  <c r="O9" i="3"/>
  <c r="P9" i="3" s="1"/>
  <c r="R9" i="3"/>
  <c r="S9" i="3" s="1"/>
  <c r="U9" i="3"/>
  <c r="V9" i="3" s="1"/>
  <c r="Y9" i="3"/>
  <c r="D10" i="3"/>
  <c r="F10" i="3"/>
  <c r="H10" i="3"/>
  <c r="I10" i="3" s="1"/>
  <c r="K10" i="3"/>
  <c r="M10" i="3"/>
  <c r="O10" i="3"/>
  <c r="P10" i="3" s="1"/>
  <c r="R10" i="3"/>
  <c r="S10" i="3"/>
  <c r="U10" i="3"/>
  <c r="V10" i="3" s="1"/>
  <c r="Y10" i="3"/>
  <c r="D11" i="3"/>
  <c r="F11" i="3"/>
  <c r="I11" i="3"/>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s="1"/>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s="1"/>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s="1"/>
  <c r="K24" i="3"/>
  <c r="M24" i="3"/>
  <c r="O24" i="3"/>
  <c r="P24" i="3" s="1"/>
  <c r="R24" i="3"/>
  <c r="S24" i="3" s="1"/>
  <c r="U24" i="3"/>
  <c r="V24" i="3" s="1"/>
  <c r="Y24" i="3"/>
  <c r="D25" i="3"/>
  <c r="F25" i="3"/>
  <c r="H25" i="3"/>
  <c r="I25" i="3" s="1"/>
  <c r="K25" i="3"/>
  <c r="M25" i="3"/>
  <c r="O25" i="3"/>
  <c r="P25" i="3" s="1"/>
  <c r="R25" i="3"/>
  <c r="S25" i="3" s="1"/>
  <c r="U25" i="3"/>
  <c r="V25" i="3" s="1"/>
  <c r="Y25" i="3"/>
  <c r="H26" i="3"/>
  <c r="I26" i="3" s="1"/>
  <c r="O26" i="3"/>
  <c r="P26" i="3" s="1"/>
  <c r="R26" i="3"/>
  <c r="S26" i="3" s="1"/>
  <c r="U26" i="3"/>
  <c r="V26" i="3" s="1"/>
  <c r="Y26" i="3"/>
  <c r="H27" i="3"/>
  <c r="I27" i="3" s="1"/>
  <c r="O27" i="3"/>
  <c r="P27" i="3" s="1"/>
  <c r="R27" i="3"/>
  <c r="S27" i="3" s="1"/>
  <c r="U27" i="3"/>
  <c r="V27" i="3" s="1"/>
  <c r="Y27" i="3"/>
  <c r="H28" i="3"/>
  <c r="I28" i="3" s="1"/>
  <c r="O28" i="3"/>
  <c r="P28" i="3" s="1"/>
  <c r="R28" i="3"/>
  <c r="S28" i="3" s="1"/>
  <c r="U28" i="3"/>
  <c r="V28" i="3" s="1"/>
  <c r="Y28" i="3"/>
  <c r="H29" i="3"/>
  <c r="I29" i="3" s="1"/>
  <c r="O29" i="3"/>
  <c r="P29" i="3" s="1"/>
  <c r="R29" i="3"/>
  <c r="S29" i="3" s="1"/>
  <c r="U29" i="3"/>
  <c r="V29" i="3" s="1"/>
  <c r="Y29" i="3"/>
  <c r="H30" i="3"/>
  <c r="I30" i="3" s="1"/>
  <c r="O30" i="3"/>
  <c r="P30" i="3" s="1"/>
  <c r="R30" i="3"/>
  <c r="S30" i="3" s="1"/>
  <c r="U30" i="3"/>
  <c r="V30" i="3" s="1"/>
  <c r="Y30" i="3"/>
  <c r="H31" i="3"/>
  <c r="I31" i="3" s="1"/>
  <c r="O31" i="3"/>
  <c r="P31" i="3" s="1"/>
  <c r="R31" i="3"/>
  <c r="S31" i="3" s="1"/>
  <c r="U31" i="3"/>
  <c r="V31" i="3" s="1"/>
  <c r="Y31" i="3"/>
  <c r="H32" i="3"/>
  <c r="I32" i="3" s="1"/>
  <c r="O32" i="3"/>
  <c r="P32" i="3" s="1"/>
  <c r="R32" i="3"/>
  <c r="S32" i="3" s="1"/>
  <c r="U32" i="3"/>
  <c r="V32" i="3" s="1"/>
  <c r="Y32" i="3"/>
  <c r="H33" i="3"/>
  <c r="I33" i="3" s="1"/>
  <c r="O33" i="3"/>
  <c r="P33" i="3" s="1"/>
  <c r="R33" i="3"/>
  <c r="S33" i="3" s="1"/>
  <c r="U33" i="3"/>
  <c r="V33" i="3" s="1"/>
  <c r="Y33" i="3"/>
  <c r="H34" i="3"/>
  <c r="I34" i="3" s="1"/>
  <c r="O34" i="3"/>
  <c r="P34" i="3" s="1"/>
  <c r="R34" i="3"/>
  <c r="S34" i="3" s="1"/>
  <c r="U34" i="3"/>
  <c r="V34" i="3" s="1"/>
  <c r="Y34" i="3"/>
  <c r="H35" i="3"/>
  <c r="I35" i="3" s="1"/>
  <c r="O35" i="3"/>
  <c r="P35" i="3" s="1"/>
  <c r="R35" i="3"/>
  <c r="S35" i="3" s="1"/>
  <c r="U35" i="3"/>
  <c r="V35" i="3" s="1"/>
  <c r="Y35" i="3"/>
  <c r="H36" i="3"/>
  <c r="I36" i="3" s="1"/>
  <c r="O36" i="3"/>
  <c r="P36" i="3" s="1"/>
  <c r="R36" i="3"/>
  <c r="S36" i="3" s="1"/>
  <c r="U36" i="3"/>
  <c r="V36" i="3" s="1"/>
  <c r="Y36" i="3"/>
  <c r="H37" i="3"/>
  <c r="I37" i="3" s="1"/>
  <c r="O37" i="3"/>
  <c r="P37" i="3" s="1"/>
  <c r="R37" i="3"/>
  <c r="S37" i="3" s="1"/>
  <c r="U37" i="3"/>
  <c r="V37" i="3" s="1"/>
  <c r="Y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Y16" i="3"/>
  <c r="R16" i="3"/>
  <c r="S16" i="3" s="1"/>
  <c r="D16" i="3"/>
  <c r="H16" i="3"/>
  <c r="I16" i="3" s="1"/>
  <c r="AL16" i="3" l="1"/>
  <c r="AK16" i="3"/>
  <c r="AL38" i="5"/>
  <c r="AL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L36" i="4"/>
  <c r="N36" i="4" s="1"/>
  <c r="L35" i="4"/>
  <c r="N35" i="4" s="1"/>
  <c r="J36" i="4"/>
  <c r="J35" i="4"/>
  <c r="H36" i="4"/>
  <c r="H35" i="4"/>
  <c r="F36" i="4"/>
  <c r="F35" i="4"/>
  <c r="D36" i="4"/>
  <c r="D35" i="4"/>
  <c r="BH38" i="5" l="1"/>
  <c r="BH37" i="5"/>
  <c r="S36" i="4"/>
  <c r="M36" i="4"/>
  <c r="S35" i="4"/>
  <c r="R35" i="4"/>
  <c r="R36" i="4"/>
  <c r="F37" i="5"/>
  <c r="BI37" i="5" s="1"/>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BH30" i="5" l="1"/>
  <c r="BH12" i="5"/>
  <c r="BH20" i="5"/>
  <c r="BH28" i="5"/>
  <c r="BH36" i="5"/>
  <c r="BH17" i="5"/>
  <c r="BH29" i="5"/>
  <c r="BH10" i="5"/>
  <c r="BH14" i="5"/>
  <c r="BH18" i="5"/>
  <c r="BH22" i="5"/>
  <c r="BH26" i="5"/>
  <c r="BH34" i="5"/>
  <c r="BH16" i="5"/>
  <c r="BH24" i="5"/>
  <c r="BH32" i="5"/>
  <c r="BH13" i="5"/>
  <c r="BH21" i="5"/>
  <c r="BH25" i="5"/>
  <c r="BH33" i="5"/>
  <c r="BH11" i="5"/>
  <c r="BH15" i="5"/>
  <c r="BH19" i="5"/>
  <c r="BH23" i="5"/>
  <c r="BH27" i="5"/>
  <c r="BH31" i="5"/>
  <c r="BH35" i="5"/>
  <c r="BH9" i="5"/>
  <c r="N22" i="4"/>
  <c r="R24" i="4"/>
  <c r="R28" i="4"/>
  <c r="M16" i="4"/>
  <c r="J18" i="1"/>
  <c r="M7" i="4"/>
  <c r="E32" i="1"/>
  <c r="F14" i="5"/>
  <c r="BI14" i="5" s="1"/>
  <c r="F22" i="5"/>
  <c r="BI22" i="5" s="1"/>
  <c r="F30" i="5"/>
  <c r="BI30" i="5" s="1"/>
  <c r="M21" i="4"/>
  <c r="F11" i="5"/>
  <c r="BI11" i="5" s="1"/>
  <c r="F15" i="5"/>
  <c r="BI15" i="5" s="1"/>
  <c r="F19" i="5"/>
  <c r="BI19" i="5" s="1"/>
  <c r="F23" i="5"/>
  <c r="BI23" i="5" s="1"/>
  <c r="F27" i="5"/>
  <c r="BI27" i="5" s="1"/>
  <c r="F31" i="5"/>
  <c r="BI31" i="5" s="1"/>
  <c r="F35" i="5"/>
  <c r="BI35" i="5" s="1"/>
  <c r="F10" i="5"/>
  <c r="BI10" i="5" s="1"/>
  <c r="F18" i="5"/>
  <c r="BI18" i="5" s="1"/>
  <c r="F26" i="5"/>
  <c r="BI26" i="5" s="1"/>
  <c r="F34" i="5"/>
  <c r="BI34" i="5" s="1"/>
  <c r="M15" i="4"/>
  <c r="N17" i="4"/>
  <c r="S17" i="4" s="1"/>
  <c r="I13" i="8" s="1"/>
  <c r="F12" i="5"/>
  <c r="BI12" i="5" s="1"/>
  <c r="F16" i="5"/>
  <c r="BI16" i="5" s="1"/>
  <c r="F20" i="5"/>
  <c r="BI20" i="5" s="1"/>
  <c r="F24" i="5"/>
  <c r="BI24" i="5" s="1"/>
  <c r="F28" i="5"/>
  <c r="BI28" i="5" s="1"/>
  <c r="F32" i="5"/>
  <c r="BI32" i="5" s="1"/>
  <c r="F36" i="5"/>
  <c r="BI36" i="5" s="1"/>
  <c r="R15" i="4"/>
  <c r="H11" i="8" s="1"/>
  <c r="F13" i="5"/>
  <c r="BI13" i="5" s="1"/>
  <c r="F17" i="5"/>
  <c r="BI17" i="5" s="1"/>
  <c r="F21" i="5"/>
  <c r="BI21" i="5" s="1"/>
  <c r="F25" i="5"/>
  <c r="BI25" i="5" s="1"/>
  <c r="F29" i="5"/>
  <c r="BI29" i="5" s="1"/>
  <c r="F33" i="5"/>
  <c r="BI33" i="5" s="1"/>
  <c r="J30" i="1"/>
  <c r="M8" i="4"/>
  <c r="N32" i="4"/>
  <c r="S32" i="4" s="1"/>
  <c r="I28" i="8" s="1"/>
  <c r="R34" i="4"/>
  <c r="H30" i="8" s="1"/>
  <c r="R20" i="4"/>
  <c r="H16" i="8" s="1"/>
  <c r="S8" i="4"/>
  <c r="I4" i="8" s="1"/>
  <c r="M23" i="4"/>
  <c r="M28" i="4"/>
  <c r="N31" i="4"/>
  <c r="S31" i="4" s="1"/>
  <c r="I27" i="8" s="1"/>
  <c r="N24" i="4"/>
  <c r="S24" i="4" s="1"/>
  <c r="I20" i="8" s="1"/>
  <c r="M27" i="4"/>
  <c r="R12" i="4"/>
  <c r="H8" i="8" s="1"/>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L30" i="8"/>
  <c r="M30" i="8" s="1"/>
  <c r="G29" i="10" s="1"/>
  <c r="G28" i="6"/>
  <c r="L29" i="8"/>
  <c r="M29" i="8" s="1"/>
  <c r="G28" i="10" s="1"/>
  <c r="L3" i="8" l="1"/>
  <c r="M3" i="8" s="1"/>
  <c r="G2" i="10" s="1"/>
  <c r="G2" i="6"/>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<sst xmlns="http://schemas.openxmlformats.org/spreadsheetml/2006/main" count="1420" uniqueCount="404">
  <si>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</si>
  <si>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</si>
  <si>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</si>
  <si>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</si>
  <si>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</si>
  <si>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</si>
  <si>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</si>
  <si>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</si>
  <si>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</si>
  <si>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</si>
  <si>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</si>
  <si>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</si>
  <si>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</si>
  <si>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</si>
  <si>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</si>
  <si>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</si>
  <si>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</si>
  <si>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</si>
  <si>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</si>
  <si>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</si>
  <si>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</si>
  <si>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</si>
  <si>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</si>
  <si>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</si>
  <si>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</si>
  <si>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</si>
  <si>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</si>
  <si>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</si>
  <si>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</si>
  <si>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</si>
  <si>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</si>
  <si>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</si>
  <si>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</si>
  <si>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</si>
  <si>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</si>
  <si>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</si>
  <si>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</si>
  <si>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</si>
  <si>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</si>
  <si>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</si>
  <si>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</si>
  <si>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</si>
  <si>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</si>
  <si>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</si>
  <si>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</si>
  <si>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</si>
  <si>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</si>
  <si>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</si>
  <si>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</si>
  <si>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</si>
  <si>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</si>
  <si>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</si>
  <si>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</si>
  <si>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</si>
  <si>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</si>
  <si>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</si>
  <si>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</si>
  <si>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</si>
  <si>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</si>
  <si>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</si>
  <si>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</si>
  <si>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</si>
  <si>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</si>
  <si>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</si>
  <si>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</si>
  <si>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</si>
  <si>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</si>
  <si>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</si>
  <si>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</si>
  <si>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</si>
  <si>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</si>
  <si>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</si>
  <si>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</si>
  <si>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</si>
  <si>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</si>
  <si>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</si>
  <si>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</si>
  <si>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</si>
  <si>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</si>
  <si>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</si>
  <si>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</si>
  <si>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</si>
  <si>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</si>
  <si>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</si>
  <si>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</si>
  <si>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</si>
  <si>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</si>
  <si>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</si>
  <si>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</si>
  <si>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</si>
  <si>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</si>
  <si>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</si>
  <si>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</si>
  <si>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</si>
  <si>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</si>
  <si>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</si>
  <si>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</si>
  <si>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</si>
  <si>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</si>
  <si>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</si>
  <si>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</si>
  <si>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</si>
  <si>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</si>
  <si>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</si>
  <si>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</si>
  <si>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</si>
  <si>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</si>
  <si>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</si>
  <si>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</si>
  <si>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</si>
  <si>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</si>
  <si>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</si>
  <si>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</si>
  <si>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</si>
  <si>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</si>
  <si>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</si>
  <si>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</si>
  <si>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</si>
  <si>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</si>
  <si>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</si>
  <si>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</si>
  <si>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</si>
  <si>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</si>
  <si>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</si>
  <si>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</si>
  <si>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</si>
  <si>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</si>
  <si>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</si>
  <si>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</si>
  <si>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</si>
  <si>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</si>
  <si>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</si>
  <si>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</si>
  <si>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</si>
  <si>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</si>
  <si>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</si>
  <si>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</si>
  <si>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</si>
  <si>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</si>
  <si>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</si>
  <si>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</si>
  <si>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</si>
  <si>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</si>
  <si>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</si>
  <si>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</si>
  <si>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</si>
  <si>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</si>
  <si>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</si>
  <si>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</si>
  <si>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</si>
  <si>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</si>
  <si>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</si>
  <si>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</si>
  <si>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</si>
  <si>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</si>
  <si>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</si>
  <si>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</si>
  <si>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</si>
  <si>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</si>
  <si>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</si>
  <si>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</si>
  <si>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</si>
  <si>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</si>
  <si>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</si>
  <si>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</si>
  <si>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</si>
  <si>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</si>
  <si>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</si>
  <si>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</si>
  <si>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</si>
  <si>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</si>
  <si>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</si>
  <si>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</si>
  <si>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</si>
  <si>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</si>
  <si>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</si>
  <si>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</si>
  <si>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</si>
  <si>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</si>
  <si>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</si>
  <si>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</si>
  <si>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</si>
  <si>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</si>
  <si>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</si>
  <si>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</si>
  <si>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</si>
  <si>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</si>
  <si>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</si>
  <si>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</si>
  <si>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</si>
  <si>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</si>
  <si>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</si>
  <si>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</si>
  <si>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</si>
  <si>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</si>
  <si>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</si>
  <si>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</si>
  <si>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</si>
  <si>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</si>
  <si>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</si>
  <si>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</si>
  <si>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</si>
  <si>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</si>
  <si>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</si>
  <si>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</si>
  <si>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</si>
  <si>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</si>
  <si>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</si>
  <si>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</si>
  <si>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</si>
  <si>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</si>
  <si>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</si>
  <si>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</si>
  <si>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</si>
  <si>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</si>
  <si>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</si>
  <si>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</si>
  <si>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</si>
  <si>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</si>
  <si>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</si>
  <si>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</si>
  <si>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</si>
  <si>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</si>
  <si>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</si>
  <si>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</si>
  <si>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</si>
  <si>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</si>
  <si>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</si>
  <si>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</si>
  <si>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</si>
  <si>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</si>
  <si>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</si>
  <si>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</si>
  <si>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</si>
  <si>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</si>
  <si>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</si>
  <si>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</si>
  <si>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</si>
  <si>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</si>
  <si>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</si>
  <si>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</si>
  <si>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</si>
  <si>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</si>
  <si>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</si>
  <si>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</si>
  <si>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</si>
  <si>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</si>
  <si>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</si>
  <si>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</si>
  <si>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</si>
  <si>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</si>
  <si>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</si>
  <si>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</si>
  <si>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</si>
  <si>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</si>
  <si>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</si>
  <si>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</si>
  <si>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</si>
  <si>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</si>
  <si>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</si>
  <si>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</si>
  <si>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</si>
  <si>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</si>
  <si>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</si>
  <si>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</si>
  <si>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</si>
  <si>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</si>
  <si>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</si>
  <si>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</si>
  <si>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</si>
  <si>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</si>
  <si>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</si>
  <si>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</si>
  <si>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</si>
  <si>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</si>
  <si>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</si>
  <si>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</si>
  <si>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</si>
  <si>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</si>
  <si>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</si>
  <si>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</si>
  <si>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</si>
  <si>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</si>
  <si>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</si>
  <si>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</si>
  <si>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</si>
  <si>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</si>
  <si>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</si>
  <si>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</si>
  <si>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</si>
  <si>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</si>
  <si>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</si>
  <si>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</si>
  <si>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</si>
  <si>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</si>
  <si>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</si>
  <si>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</si>
  <si>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</si>
  <si>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</si>
  <si>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</si>
  <si>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</si>
  <si>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</si>
  <si>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</si>
  <si>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</si>
  <si>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</si>
  <si>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</si>
  <si>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</si>
  <si>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</si>
  <si>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</si>
  <si>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</si>
  <si>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</si>
  <si>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</si>
  <si>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</si>
  <si>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</si>
  <si>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</si>
  <si>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</si>
  <si>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</si>
  <si>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</si>
  <si>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</si>
  <si>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</si>
  <si>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</si>
  <si>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</si>
  <si>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</si>
  <si>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</si>
  <si>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</si>
  <si>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</si>
  <si>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</si>
  <si>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</si>
  <si>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</si>
  <si>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</si>
  <si>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</si>
  <si>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</si>
  <si>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</si>
  <si>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</si>
  <si>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</si>
  <si>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</si>
  <si>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</si>
  <si>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</si>
  <si>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</si>
  <si>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</si>
  <si>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</si>
  <si>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</si>
  <si>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</si>
  <si>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</si>
  <si>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</si>
  <si>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</si>
  <si>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</si>
  <si>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</si>
  <si>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</si>
  <si>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</si>
  <si>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</si>
  <si>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</si>
  <si>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</si>
  <si>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</si>
  <si>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</si>
  <si>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</si>
  <si>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</si>
  <si>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</si>
  <si>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</si>
  <si>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</si>
  <si>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</si>
  <si>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</si>
  <si>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</si>
  <si>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</si>
  <si>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</si>
  <si>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</si>
  <si>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</si>
  <si>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</si>
  <si>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</si>
  <si>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</si>
  <si>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</si>
  <si>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</si>
  <si>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</si>
  <si>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</si>
  <si>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</si>
  <si>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</si>
  <si>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</si>
  <si>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</si>
  <si>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</si>
  <si>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</si>
  <si>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</si>
  <si>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</si>
  <si>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</si>
  <si>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</si>
  <si>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</si>
  <si>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</si>
  <si>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</si>
  <si>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</si>
  <si>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</si>
  <si>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</si>
  <si>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</si>
  <si>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</si>
  <si>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</si>
  <si>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</si>
  <si>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</si>
  <si>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</si>
  <si>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</si>
  <si>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</si>
  <si>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</si>
  <si>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</si>
  <si>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</si>
  <si>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</si>
  <si>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 xml:space="preserve">          31</t>
  </si>
  <si>
    <t>Month: August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</si>
</sst>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1" fontId="8" fillId="0" borderId="0" xfId="0" applyNumberFormat="1" applyFont="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B1" workbookViewId="0">
      <selection activeCell="G36" sqref="G3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3" t="s">
        <v>3</v>
      </c>
      <c r="B1" s="183" t="s">
        <v>4</v>
      </c>
      <c r="C1" s="184" t="s">
        <v>5</v>
      </c>
      <c r="D1" s="183" t="s">
        <v>63</v>
      </c>
      <c r="E1" s="185" t="s">
        <v>394</v>
      </c>
      <c r="F1" s="186" t="s">
        <v>395</v>
      </c>
      <c r="G1" s="185" t="s">
        <v>401</v>
      </c>
      <c r="H1" s="186" t="s">
        <v>396</v>
      </c>
      <c r="I1" s="185" t="s">
        <v>397</v>
      </c>
      <c r="J1" s="187" t="s">
        <v>398</v>
      </c>
      <c r="K1" s="185" t="s">
        <v>399</v>
      </c>
      <c r="L1" s="185" t="s">
        <v>62</v>
      </c>
    </row>
    <row r="2" spans="1:12">
      <c r="A2" s="188" t="s">
        <v>400</v>
      </c>
      <c r="B2" s="189">
        <v>1</v>
      </c>
      <c r="C2" s="190">
        <v>8</v>
      </c>
      <c r="D2" s="189">
        <v>2020</v>
      </c>
      <c r="E2" s="119">
        <f>Combine!G3</f>
        <v>244810</v>
      </c>
      <c r="F2" s="191">
        <v>1.2819</v>
      </c>
      <c r="G2" s="119">
        <f>Combine!M3</f>
        <v>3624.3480963481043</v>
      </c>
      <c r="H2" s="192">
        <v>8.2543000000000006</v>
      </c>
      <c r="I2" s="119">
        <f>Combine!J3</f>
        <v>382.00479999999953</v>
      </c>
      <c r="J2" s="191">
        <v>8.2603000000000009</v>
      </c>
      <c r="K2" s="119">
        <f>Combine!N3</f>
        <v>355</v>
      </c>
      <c r="L2" s="119">
        <f>Combine!O3</f>
        <v>823</v>
      </c>
    </row>
    <row r="3" spans="1:12">
      <c r="A3" s="188" t="s">
        <v>400</v>
      </c>
      <c r="B3" s="189">
        <v>2</v>
      </c>
      <c r="C3" s="190">
        <v>8</v>
      </c>
      <c r="D3" s="189">
        <v>2020</v>
      </c>
      <c r="E3" s="119">
        <f>Combine!G4</f>
        <v>243500</v>
      </c>
      <c r="F3" s="191">
        <v>1.2819</v>
      </c>
      <c r="G3" s="119">
        <f>Combine!M4</f>
        <v>3385.2519036518888</v>
      </c>
      <c r="H3" s="192">
        <v>8.2543000000000006</v>
      </c>
      <c r="I3" s="119">
        <f>Combine!J4</f>
        <v>410.85190000000074</v>
      </c>
      <c r="J3" s="191">
        <v>8.2603000000000009</v>
      </c>
      <c r="K3" s="119">
        <f>Combine!N4</f>
        <v>330</v>
      </c>
      <c r="L3" s="119">
        <f>Combine!O4</f>
        <v>771</v>
      </c>
    </row>
    <row r="4" spans="1:12">
      <c r="A4" s="188" t="s">
        <v>400</v>
      </c>
      <c r="B4" s="189">
        <v>3</v>
      </c>
      <c r="C4" s="190">
        <v>8</v>
      </c>
      <c r="D4" s="189">
        <v>2020</v>
      </c>
      <c r="E4" s="119">
        <f>Combine!G5</f>
        <v>227720</v>
      </c>
      <c r="F4" s="191">
        <v>1.2819</v>
      </c>
      <c r="G4" s="119">
        <f>Combine!M5</f>
        <v>3390.3154623154705</v>
      </c>
      <c r="H4" s="192">
        <v>8.2543000000000006</v>
      </c>
      <c r="I4" s="119">
        <f>Combine!J5</f>
        <v>402.56119999999953</v>
      </c>
      <c r="J4" s="191">
        <v>8.2603000000000009</v>
      </c>
      <c r="K4" s="119">
        <f>Combine!N5</f>
        <v>326</v>
      </c>
      <c r="L4" s="119">
        <f>Combine!O5</f>
        <v>762</v>
      </c>
    </row>
    <row r="5" spans="1:12">
      <c r="A5" s="188" t="s">
        <v>400</v>
      </c>
      <c r="B5" s="189">
        <v>4</v>
      </c>
      <c r="C5" s="190">
        <v>8</v>
      </c>
      <c r="D5" s="189">
        <v>2020</v>
      </c>
      <c r="E5" s="119">
        <f>Combine!G6</f>
        <v>249445</v>
      </c>
      <c r="F5" s="191">
        <v>1.2819</v>
      </c>
      <c r="G5" s="119">
        <f>Combine!M6</f>
        <v>3536.1765345765302</v>
      </c>
      <c r="H5" s="192">
        <v>8.2543000000000006</v>
      </c>
      <c r="I5" s="119">
        <f>Combine!J6</f>
        <v>378.0672999999997</v>
      </c>
      <c r="J5" s="191">
        <v>8.2603000000000009</v>
      </c>
      <c r="K5" s="119">
        <f>Combine!N6</f>
        <v>337</v>
      </c>
      <c r="L5" s="119">
        <f>Combine!O6</f>
        <v>780</v>
      </c>
    </row>
    <row r="6" spans="1:12">
      <c r="A6" s="188" t="s">
        <v>400</v>
      </c>
      <c r="B6" s="189">
        <v>5</v>
      </c>
      <c r="C6" s="190">
        <v>8</v>
      </c>
      <c r="D6" s="189">
        <v>2020</v>
      </c>
      <c r="E6" s="119">
        <f>Combine!G7</f>
        <v>242370</v>
      </c>
      <c r="F6" s="191">
        <v>1.2819</v>
      </c>
      <c r="G6" s="119">
        <f>Combine!M7</f>
        <v>3357.7796425796478</v>
      </c>
      <c r="H6" s="192">
        <v>8.2543000000000006</v>
      </c>
      <c r="I6" s="119">
        <f>Combine!J7</f>
        <v>388.47140000000002</v>
      </c>
      <c r="J6" s="191">
        <v>8.2603000000000009</v>
      </c>
      <c r="K6" s="119">
        <f>Combine!N7</f>
        <v>351</v>
      </c>
      <c r="L6" s="119">
        <f>Combine!O7</f>
        <v>810</v>
      </c>
    </row>
    <row r="7" spans="1:12">
      <c r="A7" s="188" t="s">
        <v>400</v>
      </c>
      <c r="B7" s="189">
        <v>6</v>
      </c>
      <c r="C7" s="190">
        <v>8</v>
      </c>
      <c r="D7" s="189">
        <v>2020</v>
      </c>
      <c r="E7" s="119">
        <f>Combine!G8</f>
        <v>256050</v>
      </c>
      <c r="F7" s="191">
        <v>1.2819</v>
      </c>
      <c r="G7" s="119">
        <f>Combine!M8</f>
        <v>3607.4654234654295</v>
      </c>
      <c r="H7" s="192">
        <v>8.2543000000000006</v>
      </c>
      <c r="I7" s="119">
        <f>Combine!J8</f>
        <v>390.27550000000065</v>
      </c>
      <c r="J7" s="191">
        <v>8.2603000000000009</v>
      </c>
      <c r="K7" s="119">
        <f>Combine!N8</f>
        <v>353</v>
      </c>
      <c r="L7" s="119">
        <f>Combine!O8</f>
        <v>813</v>
      </c>
    </row>
    <row r="8" spans="1:12">
      <c r="A8" s="188" t="s">
        <v>400</v>
      </c>
      <c r="B8" s="189">
        <v>7</v>
      </c>
      <c r="C8" s="190">
        <v>8</v>
      </c>
      <c r="D8" s="189">
        <v>2020</v>
      </c>
      <c r="E8" s="119">
        <f>Combine!G9</f>
        <v>260420</v>
      </c>
      <c r="F8" s="191">
        <v>1.2819</v>
      </c>
      <c r="G8" s="119">
        <f>Combine!M9</f>
        <v>3348.7825951825903</v>
      </c>
      <c r="H8" s="192">
        <v>8.2543000000000006</v>
      </c>
      <c r="I8" s="119">
        <f>Combine!J9</f>
        <v>420.2686999999998</v>
      </c>
      <c r="J8" s="191">
        <v>8.2603000000000009</v>
      </c>
      <c r="K8" s="119">
        <f>Combine!N9</f>
        <v>394</v>
      </c>
      <c r="L8" s="119">
        <f>Combine!O9</f>
        <v>895</v>
      </c>
    </row>
    <row r="9" spans="1:12">
      <c r="A9" s="188" t="s">
        <v>400</v>
      </c>
      <c r="B9" s="189">
        <v>8</v>
      </c>
      <c r="C9" s="190">
        <v>8</v>
      </c>
      <c r="D9" s="189">
        <v>2020</v>
      </c>
      <c r="E9" s="119">
        <f>Combine!G10</f>
        <v>273700</v>
      </c>
      <c r="F9" s="191">
        <v>1.2819</v>
      </c>
      <c r="G9" s="119">
        <f>Combine!M10</f>
        <v>3896.5221445221437</v>
      </c>
      <c r="H9" s="192">
        <v>8.2543000000000006</v>
      </c>
      <c r="I9" s="119">
        <f>Combine!J10</f>
        <v>450.24919999999946</v>
      </c>
      <c r="J9" s="191">
        <v>8.2603000000000009</v>
      </c>
      <c r="K9" s="119">
        <f>Combine!N10</f>
        <v>400</v>
      </c>
      <c r="L9" s="119">
        <f>Combine!O10</f>
        <v>908</v>
      </c>
    </row>
    <row r="10" spans="1:12">
      <c r="A10" s="188" t="s">
        <v>400</v>
      </c>
      <c r="B10" s="189">
        <v>9</v>
      </c>
      <c r="C10" s="190">
        <v>8</v>
      </c>
      <c r="D10" s="189">
        <v>2020</v>
      </c>
      <c r="E10" s="119">
        <f>Combine!G11</f>
        <v>280585</v>
      </c>
      <c r="F10" s="191">
        <v>1.2819</v>
      </c>
      <c r="G10" s="119">
        <f>Combine!M11</f>
        <v>3669.5260295260332</v>
      </c>
      <c r="H10" s="192">
        <v>8.2543000000000006</v>
      </c>
      <c r="I10" s="119">
        <f>Combine!J11</f>
        <v>605.83260000000064</v>
      </c>
      <c r="J10" s="191">
        <v>8.2603000000000009</v>
      </c>
      <c r="K10" s="119">
        <f>Combine!N11</f>
        <v>385</v>
      </c>
      <c r="L10" s="119">
        <f>Combine!O11</f>
        <v>882</v>
      </c>
    </row>
    <row r="11" spans="1:12">
      <c r="A11" s="188" t="s">
        <v>400</v>
      </c>
      <c r="B11" s="189">
        <v>10</v>
      </c>
      <c r="C11" s="190">
        <v>8</v>
      </c>
      <c r="D11" s="189">
        <v>2020</v>
      </c>
      <c r="E11" s="119">
        <f>Combine!G12</f>
        <v>279485</v>
      </c>
      <c r="F11" s="191">
        <v>1.2819</v>
      </c>
      <c r="G11" s="119">
        <f>Combine!M12</f>
        <v>3643.283294483284</v>
      </c>
      <c r="H11" s="192">
        <v>8.2543000000000006</v>
      </c>
      <c r="I11" s="119">
        <f>Combine!J12</f>
        <v>502.55905000000001</v>
      </c>
      <c r="J11" s="191">
        <v>8.2603000000000009</v>
      </c>
      <c r="K11" s="119">
        <f>Combine!N12</f>
        <v>367</v>
      </c>
      <c r="L11" s="119">
        <f>Combine!O12</f>
        <v>843</v>
      </c>
    </row>
    <row r="12" spans="1:12">
      <c r="A12" s="188" t="s">
        <v>400</v>
      </c>
      <c r="B12" s="189">
        <v>11</v>
      </c>
      <c r="C12" s="190">
        <v>8</v>
      </c>
      <c r="D12" s="189">
        <v>2020</v>
      </c>
      <c r="E12" s="119">
        <f>Combine!G13</f>
        <v>278440</v>
      </c>
      <c r="F12" s="191">
        <v>1.2819</v>
      </c>
      <c r="G12" s="119">
        <f>Combine!M13</f>
        <v>3944.3903651903656</v>
      </c>
      <c r="H12" s="192">
        <v>8.2543000000000006</v>
      </c>
      <c r="I12" s="119">
        <f>Combine!J13</f>
        <v>500.55905000000001</v>
      </c>
      <c r="J12" s="191">
        <v>8.2603000000000009</v>
      </c>
      <c r="K12" s="119">
        <f>Combine!N13</f>
        <v>360</v>
      </c>
      <c r="L12" s="119">
        <f>Combine!O13</f>
        <v>827</v>
      </c>
    </row>
    <row r="13" spans="1:12">
      <c r="A13" s="188" t="s">
        <v>400</v>
      </c>
      <c r="B13" s="189">
        <v>12</v>
      </c>
      <c r="C13" s="190">
        <v>8</v>
      </c>
      <c r="D13" s="189">
        <v>2020</v>
      </c>
      <c r="E13" s="119">
        <f>Combine!G14</f>
        <v>270145</v>
      </c>
      <c r="F13" s="191">
        <v>1.2819</v>
      </c>
      <c r="G13" s="119">
        <f>Combine!M14</f>
        <v>3462.4969696969797</v>
      </c>
      <c r="H13" s="192">
        <v>8.2543000000000006</v>
      </c>
      <c r="I13" s="119">
        <f>Combine!J14</f>
        <v>477.26709999999969</v>
      </c>
      <c r="J13" s="191">
        <v>8.2603000000000009</v>
      </c>
      <c r="K13" s="119">
        <f>Combine!N14</f>
        <v>366</v>
      </c>
      <c r="L13" s="119">
        <f>Combine!O14</f>
        <v>854</v>
      </c>
    </row>
    <row r="14" spans="1:12">
      <c r="A14" s="188" t="s">
        <v>400</v>
      </c>
      <c r="B14" s="189">
        <v>13</v>
      </c>
      <c r="C14" s="190">
        <v>8</v>
      </c>
      <c r="D14" s="189">
        <v>2020</v>
      </c>
      <c r="E14" s="119">
        <f>Combine!G15</f>
        <v>275465</v>
      </c>
      <c r="F14" s="191">
        <v>1.2819</v>
      </c>
      <c r="G14" s="119">
        <f>Combine!M15</f>
        <v>3833.8560994560908</v>
      </c>
      <c r="H14" s="192">
        <v>8.2543000000000006</v>
      </c>
      <c r="I14" s="119">
        <f>Combine!J15</f>
        <v>448.43879999999973</v>
      </c>
      <c r="J14" s="191">
        <v>8.2603000000000009</v>
      </c>
      <c r="K14" s="119">
        <f>Combine!N15</f>
        <v>388</v>
      </c>
      <c r="L14" s="119">
        <f>Combine!O15</f>
        <v>894</v>
      </c>
    </row>
    <row r="15" spans="1:12">
      <c r="A15" s="188" t="s">
        <v>400</v>
      </c>
      <c r="B15" s="189">
        <v>14</v>
      </c>
      <c r="C15" s="190">
        <v>8</v>
      </c>
      <c r="D15" s="189">
        <v>2020</v>
      </c>
      <c r="E15" s="119">
        <f>Combine!G16</f>
        <v>282020</v>
      </c>
      <c r="F15" s="191">
        <v>1.2819</v>
      </c>
      <c r="G15" s="119">
        <f>Combine!M16</f>
        <v>3601.1673659673643</v>
      </c>
      <c r="H15" s="192">
        <v>8.2543000000000006</v>
      </c>
      <c r="I15" s="119">
        <f>Combine!J16</f>
        <v>486.48590000000075</v>
      </c>
      <c r="J15" s="191">
        <v>8.2603000000000009</v>
      </c>
      <c r="K15" s="119">
        <f>Combine!N16</f>
        <v>401</v>
      </c>
      <c r="L15" s="119">
        <f>Combine!O16</f>
        <v>937</v>
      </c>
    </row>
    <row r="16" spans="1:12">
      <c r="A16" s="188" t="s">
        <v>400</v>
      </c>
      <c r="B16" s="189">
        <v>15</v>
      </c>
      <c r="C16" s="190">
        <v>8</v>
      </c>
      <c r="D16" s="189">
        <v>2020</v>
      </c>
      <c r="E16" s="119">
        <f>Combine!G17</f>
        <v>288160</v>
      </c>
      <c r="F16" s="191">
        <v>1.2819</v>
      </c>
      <c r="G16" s="119">
        <f>Combine!M17</f>
        <v>3917.0486402486376</v>
      </c>
      <c r="H16" s="192">
        <v>8.2543000000000006</v>
      </c>
      <c r="I16" s="119">
        <f>Combine!J17</f>
        <v>498.59999999999945</v>
      </c>
      <c r="J16" s="191">
        <v>8.2603000000000009</v>
      </c>
      <c r="K16" s="119">
        <f>Combine!N17</f>
        <v>396</v>
      </c>
      <c r="L16" s="119">
        <f>Combine!O17</f>
        <v>914</v>
      </c>
    </row>
    <row r="17" spans="1:12">
      <c r="A17" s="188" t="s">
        <v>400</v>
      </c>
      <c r="B17" s="189">
        <v>16</v>
      </c>
      <c r="C17" s="190">
        <v>8</v>
      </c>
      <c r="D17" s="189">
        <v>2020</v>
      </c>
      <c r="E17" s="119">
        <f>Combine!G18</f>
        <v>279760</v>
      </c>
      <c r="F17" s="191">
        <v>1.2819</v>
      </c>
      <c r="G17" s="119">
        <f>Combine!M18</f>
        <v>3868.729137529137</v>
      </c>
      <c r="H17" s="192">
        <v>8.2543000000000006</v>
      </c>
      <c r="I17" s="119">
        <f>Combine!J18</f>
        <v>539.09420000000046</v>
      </c>
      <c r="J17" s="191">
        <v>8.2603000000000009</v>
      </c>
      <c r="K17" s="119">
        <f>Combine!N18</f>
        <v>390</v>
      </c>
      <c r="L17" s="119">
        <f>Combine!O18</f>
        <v>893</v>
      </c>
    </row>
    <row r="18" spans="1:12">
      <c r="A18" s="188" t="s">
        <v>400</v>
      </c>
      <c r="B18" s="189">
        <v>17</v>
      </c>
      <c r="C18" s="190">
        <v>8</v>
      </c>
      <c r="D18" s="189">
        <v>2020</v>
      </c>
      <c r="E18" s="119">
        <f>Combine!G19</f>
        <v>281915</v>
      </c>
      <c r="F18" s="191">
        <v>1.2819</v>
      </c>
      <c r="G18" s="119">
        <f>Combine!M19</f>
        <v>3853.07474747476</v>
      </c>
      <c r="H18" s="192">
        <v>8.2543000000000006</v>
      </c>
      <c r="I18" s="119">
        <f>Combine!J19</f>
        <v>494.63669999999945</v>
      </c>
      <c r="J18" s="191">
        <v>8.2603000000000009</v>
      </c>
      <c r="K18" s="119">
        <f>Combine!N19</f>
        <v>382</v>
      </c>
      <c r="L18" s="119">
        <f>Combine!O19</f>
        <v>880</v>
      </c>
    </row>
    <row r="19" spans="1:12">
      <c r="A19" s="188" t="s">
        <v>400</v>
      </c>
      <c r="B19" s="189">
        <v>18</v>
      </c>
      <c r="C19" s="190">
        <v>8</v>
      </c>
      <c r="D19" s="189">
        <v>2020</v>
      </c>
      <c r="E19" s="119">
        <f>Combine!G20</f>
        <v>284955</v>
      </c>
      <c r="F19" s="191">
        <v>1.2819</v>
      </c>
      <c r="G19" s="119">
        <f>Combine!M20</f>
        <v>4259.683605283607</v>
      </c>
      <c r="H19" s="192">
        <v>8.2543000000000006</v>
      </c>
      <c r="I19" s="119">
        <f>Combine!J20</f>
        <v>523.57910000000027</v>
      </c>
      <c r="J19" s="191">
        <v>8.2603000000000009</v>
      </c>
      <c r="K19" s="119">
        <f>Combine!N20</f>
        <v>374</v>
      </c>
      <c r="L19" s="119">
        <f>Combine!O20</f>
        <v>867</v>
      </c>
    </row>
    <row r="20" spans="1:12">
      <c r="A20" s="188" t="s">
        <v>400</v>
      </c>
      <c r="B20" s="189">
        <v>19</v>
      </c>
      <c r="C20" s="190">
        <v>8</v>
      </c>
      <c r="D20" s="189">
        <v>2020</v>
      </c>
      <c r="E20" s="119">
        <f>Combine!G21</f>
        <v>274125</v>
      </c>
      <c r="F20" s="191">
        <v>1.2819</v>
      </c>
      <c r="G20" s="119">
        <f>Combine!M21</f>
        <v>3769.0865578865469</v>
      </c>
      <c r="H20" s="192">
        <v>8.2543000000000006</v>
      </c>
      <c r="I20" s="119">
        <f>Combine!J21</f>
        <v>491.30070000000012</v>
      </c>
      <c r="J20" s="191">
        <v>8.2603000000000009</v>
      </c>
      <c r="K20" s="119">
        <f>Combine!N21</f>
        <v>360</v>
      </c>
      <c r="L20" s="119">
        <f>Combine!O21</f>
        <v>835</v>
      </c>
    </row>
    <row r="21" spans="1:12">
      <c r="A21" s="188" t="s">
        <v>400</v>
      </c>
      <c r="B21" s="189">
        <v>20</v>
      </c>
      <c r="C21" s="190">
        <v>8</v>
      </c>
      <c r="D21" s="189">
        <v>2020</v>
      </c>
      <c r="E21" s="119">
        <f>Combine!G22</f>
        <v>278900</v>
      </c>
      <c r="F21" s="191">
        <v>1.2819</v>
      </c>
      <c r="G21" s="119">
        <f>Combine!M22</f>
        <v>3882.7250971250987</v>
      </c>
      <c r="H21" s="192">
        <v>8.2543000000000006</v>
      </c>
      <c r="I21" s="119">
        <f>Combine!J22</f>
        <v>435.233</v>
      </c>
      <c r="J21" s="191">
        <v>8.2603000000000009</v>
      </c>
      <c r="K21" s="119">
        <f>Combine!N22</f>
        <v>386</v>
      </c>
      <c r="L21" s="119">
        <f>Combine!O22</f>
        <v>882</v>
      </c>
    </row>
    <row r="22" spans="1:12">
      <c r="A22" s="188" t="s">
        <v>400</v>
      </c>
      <c r="B22" s="189">
        <v>21</v>
      </c>
      <c r="C22" s="190">
        <v>8</v>
      </c>
      <c r="D22" s="189">
        <v>2020</v>
      </c>
      <c r="E22" s="119">
        <f>Combine!G23</f>
        <v>283440</v>
      </c>
      <c r="F22" s="191">
        <v>1.2819</v>
      </c>
      <c r="G22" s="119">
        <f>Combine!M23</f>
        <v>3427.5381507381485</v>
      </c>
      <c r="H22" s="192">
        <v>8.2543000000000006</v>
      </c>
      <c r="I22" s="119">
        <f>Combine!J23</f>
        <v>510.18429999999989</v>
      </c>
      <c r="J22" s="191">
        <v>8.2603000000000009</v>
      </c>
      <c r="K22" s="119">
        <f>Combine!N23</f>
        <v>394</v>
      </c>
      <c r="L22" s="119">
        <f>Combine!O23</f>
        <v>905</v>
      </c>
    </row>
    <row r="23" spans="1:12">
      <c r="A23" s="188" t="s">
        <v>400</v>
      </c>
      <c r="B23" s="189">
        <v>22</v>
      </c>
      <c r="C23" s="190">
        <v>8</v>
      </c>
      <c r="D23" s="189">
        <v>2020</v>
      </c>
      <c r="E23" s="119">
        <f>Combine!G24</f>
        <v>288205</v>
      </c>
      <c r="F23" s="191">
        <v>1.2819</v>
      </c>
      <c r="G23" s="119">
        <f>Combine!M24</f>
        <v>4367.7631701631672</v>
      </c>
      <c r="H23" s="192">
        <v>8.2543000000000006</v>
      </c>
      <c r="I23" s="119">
        <f>Combine!J24</f>
        <v>561.84660000000008</v>
      </c>
      <c r="J23" s="191">
        <v>8.2603000000000009</v>
      </c>
      <c r="K23" s="119">
        <f>Combine!N24</f>
        <v>405</v>
      </c>
      <c r="L23" s="119">
        <f>Combine!O24</f>
        <v>926</v>
      </c>
    </row>
    <row r="24" spans="1:12">
      <c r="A24" s="188" t="s">
        <v>400</v>
      </c>
      <c r="B24" s="189">
        <v>23</v>
      </c>
      <c r="C24" s="190">
        <v>8</v>
      </c>
      <c r="D24" s="189">
        <v>2020</v>
      </c>
      <c r="E24" s="119">
        <f>Combine!G25</f>
        <v>285360</v>
      </c>
      <c r="F24" s="191">
        <v>1.2819</v>
      </c>
      <c r="G24" s="119">
        <f>Combine!M25</f>
        <v>4097.3668997669156</v>
      </c>
      <c r="H24" s="192">
        <v>8.2543000000000006</v>
      </c>
      <c r="I24" s="119">
        <f>Combine!J25</f>
        <v>562.64709999999945</v>
      </c>
      <c r="J24" s="191">
        <v>8.2603000000000009</v>
      </c>
      <c r="K24" s="119">
        <f>Combine!N25</f>
        <v>397</v>
      </c>
      <c r="L24" s="119">
        <f>Combine!O25</f>
        <v>920</v>
      </c>
    </row>
    <row r="25" spans="1:12">
      <c r="A25" s="188" t="s">
        <v>400</v>
      </c>
      <c r="B25" s="189">
        <v>24</v>
      </c>
      <c r="C25" s="190">
        <v>8</v>
      </c>
      <c r="D25" s="189">
        <v>2020</v>
      </c>
      <c r="E25" s="119">
        <f>Combine!G26</f>
        <v>280580</v>
      </c>
      <c r="F25" s="191">
        <v>1.2819</v>
      </c>
      <c r="G25" s="119">
        <f>Combine!M26</f>
        <v>3975.7550893550797</v>
      </c>
      <c r="H25" s="192">
        <v>8.2543000000000006</v>
      </c>
      <c r="I25" s="119">
        <f>Combine!J26</f>
        <v>510.62790000000007</v>
      </c>
      <c r="J25" s="191">
        <v>8.2603000000000009</v>
      </c>
      <c r="K25" s="119">
        <f>Combine!N26</f>
        <v>374</v>
      </c>
      <c r="L25" s="119">
        <f>Combine!O26</f>
        <v>854</v>
      </c>
    </row>
    <row r="26" spans="1:12">
      <c r="A26" s="188" t="s">
        <v>400</v>
      </c>
      <c r="B26" s="189">
        <v>25</v>
      </c>
      <c r="C26" s="190">
        <v>8</v>
      </c>
      <c r="D26" s="189">
        <v>2020</v>
      </c>
      <c r="E26" s="119">
        <f>Combine!G27</f>
        <v>285810</v>
      </c>
      <c r="F26" s="191">
        <v>1.2819</v>
      </c>
      <c r="G26" s="119">
        <f>Combine!M27</f>
        <v>3899.1776223776201</v>
      </c>
      <c r="H26" s="192">
        <v>8.2543000000000006</v>
      </c>
      <c r="I26" s="119">
        <f>Combine!J27</f>
        <v>521.44250000000045</v>
      </c>
      <c r="J26" s="191">
        <v>8.2603000000000009</v>
      </c>
      <c r="K26" s="119">
        <f>Combine!N27</f>
        <v>385</v>
      </c>
      <c r="L26" s="119">
        <f>Combine!O27</f>
        <v>886</v>
      </c>
    </row>
    <row r="27" spans="1:12">
      <c r="A27" s="188" t="s">
        <v>400</v>
      </c>
      <c r="B27" s="189">
        <v>26</v>
      </c>
      <c r="C27" s="190">
        <v>8</v>
      </c>
      <c r="D27" s="189">
        <v>2020</v>
      </c>
      <c r="E27" s="119">
        <f>Combine!G28</f>
        <v>292520</v>
      </c>
      <c r="F27" s="191">
        <v>1.2819</v>
      </c>
      <c r="G27" s="119">
        <f>Combine!M28</f>
        <v>3717.4588966588963</v>
      </c>
      <c r="H27" s="192">
        <v>8.2543000000000006</v>
      </c>
      <c r="I27" s="119">
        <f>Combine!J28</f>
        <v>538.41760000000011</v>
      </c>
      <c r="J27" s="191">
        <v>8.2603000000000009</v>
      </c>
      <c r="K27" s="119">
        <f>Combine!N28</f>
        <v>371</v>
      </c>
      <c r="L27" s="119">
        <f>Combine!O28</f>
        <v>856</v>
      </c>
    </row>
    <row r="28" spans="1:12">
      <c r="A28" s="188" t="s">
        <v>400</v>
      </c>
      <c r="B28" s="189">
        <v>27</v>
      </c>
      <c r="C28" s="190">
        <v>8</v>
      </c>
      <c r="D28" s="189">
        <v>2020</v>
      </c>
      <c r="E28" s="119">
        <f>Combine!G29</f>
        <v>287675</v>
      </c>
      <c r="F28" s="191">
        <v>1.2819</v>
      </c>
      <c r="G28" s="119">
        <f>Combine!M29</f>
        <v>3871.7227661227785</v>
      </c>
      <c r="H28" s="192">
        <v>8.2543000000000006</v>
      </c>
      <c r="I28" s="119">
        <f>Combine!J29</f>
        <v>504.94499999999971</v>
      </c>
      <c r="J28" s="191">
        <v>8.2603000000000009</v>
      </c>
      <c r="K28" s="119">
        <f>Combine!N29</f>
        <v>396</v>
      </c>
      <c r="L28" s="119">
        <f>Combine!O29</f>
        <v>908</v>
      </c>
    </row>
    <row r="29" spans="1:12">
      <c r="A29" s="188" t="s">
        <v>400</v>
      </c>
      <c r="B29" s="189">
        <v>28</v>
      </c>
      <c r="C29" s="190">
        <v>8</v>
      </c>
      <c r="D29" s="189">
        <v>2020</v>
      </c>
      <c r="E29" s="119">
        <f>Combine!G30</f>
        <v>298655</v>
      </c>
      <c r="F29" s="191">
        <v>1.2819</v>
      </c>
      <c r="G29" s="119">
        <f>Combine!M30</f>
        <v>3779.7656565656412</v>
      </c>
      <c r="H29" s="192">
        <v>8.2543000000000006</v>
      </c>
      <c r="I29" s="119">
        <f>Combine!J30</f>
        <v>521.10310000000004</v>
      </c>
      <c r="J29" s="191">
        <v>8.2603000000000009</v>
      </c>
      <c r="K29" s="119">
        <f>Combine!N30</f>
        <v>397</v>
      </c>
      <c r="L29" s="119">
        <f>Combine!O30</f>
        <v>917</v>
      </c>
    </row>
    <row r="30" spans="1:12">
      <c r="A30" s="188" t="s">
        <v>400</v>
      </c>
      <c r="B30" s="189">
        <v>29</v>
      </c>
      <c r="C30" s="190">
        <v>8</v>
      </c>
      <c r="D30" s="189">
        <v>2020</v>
      </c>
      <c r="E30" s="119">
        <f>Combine!G31</f>
        <v>299720</v>
      </c>
      <c r="F30" s="191">
        <v>1.2819</v>
      </c>
      <c r="G30" s="119">
        <f>Combine!M31</f>
        <v>4102.2271950272034</v>
      </c>
      <c r="H30" s="192">
        <v>8.2543000000000006</v>
      </c>
      <c r="I30" s="119">
        <f>Combine!J31</f>
        <v>562.22120000000018</v>
      </c>
      <c r="J30" s="191">
        <v>8.2603000000000009</v>
      </c>
      <c r="K30" s="119">
        <f>Combine!N31</f>
        <v>415</v>
      </c>
      <c r="L30" s="119">
        <f>Combine!O31</f>
        <v>949</v>
      </c>
    </row>
    <row r="31" spans="1:12">
      <c r="A31" s="188" t="s">
        <v>400</v>
      </c>
      <c r="B31" s="189">
        <v>30</v>
      </c>
      <c r="C31" s="190">
        <v>8</v>
      </c>
      <c r="D31" s="189">
        <v>2020</v>
      </c>
      <c r="E31" s="119">
        <f>Combine!G32</f>
        <v>298765</v>
      </c>
      <c r="F31" s="191">
        <v>1.2819</v>
      </c>
      <c r="G31" s="119">
        <f>Combine!M32</f>
        <v>4361.0119658119602</v>
      </c>
      <c r="H31" s="192">
        <v>8.2543000000000006</v>
      </c>
      <c r="I31" s="119">
        <f>Combine!J32</f>
        <v>603.07050000000015</v>
      </c>
      <c r="J31" s="191">
        <v>8.2603000000000009</v>
      </c>
      <c r="K31" s="119">
        <f>Combine!N32</f>
        <v>404</v>
      </c>
      <c r="L31" s="119">
        <f>Combine!O32</f>
        <v>928</v>
      </c>
    </row>
    <row r="32" spans="1:12">
      <c r="A32" s="188" t="s">
        <v>400</v>
      </c>
      <c r="B32" s="189">
        <v>31</v>
      </c>
      <c r="C32" s="190">
        <v>8</v>
      </c>
      <c r="D32" s="189">
        <v>2020</v>
      </c>
      <c r="E32" s="119">
        <f>Combine!G33</f>
        <v>294400</v>
      </c>
      <c r="F32" s="191">
        <v>1.2819</v>
      </c>
      <c r="G32" s="119">
        <f>Combine!M33</f>
        <v>4414.8214452214524</v>
      </c>
      <c r="H32" s="192">
        <v>8.2543000000000006</v>
      </c>
      <c r="I32" s="119">
        <f>Combine!J33</f>
        <v>736.04689999999971</v>
      </c>
      <c r="J32" s="191">
        <v>8.2603000000000009</v>
      </c>
      <c r="K32" s="119">
        <f>Combine!N33</f>
        <v>363</v>
      </c>
      <c r="L32" s="119">
        <f>Combine!O33</f>
        <v>833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C4" sqref="C4:C3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7" t="s">
        <v>2</v>
      </c>
      <c r="H1" s="120" t="s">
        <v>0</v>
      </c>
      <c r="I1" s="121" t="s">
        <v>1</v>
      </c>
      <c r="J1" s="124" t="s">
        <v>2</v>
      </c>
      <c r="K1" s="120" t="s">
        <v>0</v>
      </c>
      <c r="L1" s="121" t="s">
        <v>1</v>
      </c>
      <c r="M1" s="127" t="s">
        <v>2</v>
      </c>
      <c r="N1" s="194" t="s">
        <v>65</v>
      </c>
      <c r="O1" s="195"/>
      <c r="P1" s="196"/>
    </row>
    <row r="2" spans="1:17" s="2" customFormat="1" ht="60" customHeight="1">
      <c r="A2" s="4" t="s">
        <v>3</v>
      </c>
      <c r="B2" s="5" t="s">
        <v>4</v>
      </c>
      <c r="C2" s="5" t="s">
        <v>5</v>
      </c>
      <c r="D2" s="117"/>
      <c r="E2" s="122" t="s">
        <v>6</v>
      </c>
      <c r="F2" s="143" t="s">
        <v>6</v>
      </c>
      <c r="G2" s="153" t="s">
        <v>6</v>
      </c>
      <c r="H2" s="154" t="s">
        <v>9</v>
      </c>
      <c r="I2" s="144" t="s">
        <v>9</v>
      </c>
      <c r="J2" s="153" t="s">
        <v>9</v>
      </c>
      <c r="K2" s="122" t="s">
        <v>7</v>
      </c>
      <c r="L2" s="108">
        <v>335</v>
      </c>
      <c r="M2" s="128" t="s">
        <v>8</v>
      </c>
      <c r="N2" s="160" t="s">
        <v>10</v>
      </c>
      <c r="O2" s="5" t="s">
        <v>11</v>
      </c>
      <c r="P2" s="159" t="s">
        <v>12</v>
      </c>
      <c r="Q2" s="148" t="s">
        <v>393</v>
      </c>
    </row>
    <row r="3" spans="1:17" ht="15.75">
      <c r="A3" s="7" t="s">
        <v>14</v>
      </c>
      <c r="B3" s="7">
        <v>1</v>
      </c>
      <c r="C3" s="7">
        <v>8</v>
      </c>
      <c r="D3" s="118">
        <v>2020</v>
      </c>
      <c r="E3" s="149">
        <f>'Athens Daily - EL'!AK8</f>
        <v>217095</v>
      </c>
      <c r="F3" s="151">
        <f>'Athens Daily - EL'!AL8</f>
        <v>27715</v>
      </c>
      <c r="G3" s="129">
        <f>SUM(E3,F3)</f>
        <v>244810</v>
      </c>
      <c r="H3" s="149">
        <f>'Athens Daily - Water'!R7</f>
        <v>253.20479999999952</v>
      </c>
      <c r="I3" s="119">
        <f>'Athens Daily - Water'!S7</f>
        <v>128.80000000000001</v>
      </c>
      <c r="J3" s="125">
        <f t="shared" ref="J3:J33" si="0">SUM(H3,I3)</f>
        <v>382.00479999999953</v>
      </c>
      <c r="K3" s="149">
        <f>'Athens Daily - Gas'!BH9</f>
        <v>85801.680000000313</v>
      </c>
      <c r="L3" s="119">
        <f>'Athens Daily - Gas'!BI9</f>
        <v>54134.400000000001</v>
      </c>
      <c r="M3" s="129">
        <f>SUM(K3,L3)/38.61</f>
        <v>3624.3480963481043</v>
      </c>
      <c r="N3" s="158">
        <f>Occ!G10</f>
        <v>355</v>
      </c>
      <c r="O3" s="101">
        <f>Occ!H10</f>
        <v>823</v>
      </c>
      <c r="P3" s="157">
        <v>918</v>
      </c>
      <c r="Q3" s="166"/>
    </row>
    <row r="4" spans="1:17" ht="15.75">
      <c r="A4" s="7" t="s">
        <v>14</v>
      </c>
      <c r="B4" s="7">
        <v>2</v>
      </c>
      <c r="C4" s="7">
        <v>8</v>
      </c>
      <c r="D4" s="118">
        <v>2020</v>
      </c>
      <c r="E4" s="149">
        <f>'Athens Daily - EL'!AK9</f>
        <v>215990</v>
      </c>
      <c r="F4" s="151">
        <f>'Athens Daily - EL'!AL9</f>
        <v>27510</v>
      </c>
      <c r="G4" s="129">
        <f t="shared" ref="G4:G33" si="1">SUM(E4,F4)</f>
        <v>243500</v>
      </c>
      <c r="H4" s="149">
        <f>'Athens Daily - Water'!R8</f>
        <v>285.90190000000075</v>
      </c>
      <c r="I4" s="119">
        <f>'Athens Daily - Water'!S8</f>
        <v>124.95</v>
      </c>
      <c r="J4" s="125">
        <f t="shared" si="0"/>
        <v>410.85190000000074</v>
      </c>
      <c r="K4" s="149">
        <f>'Athens Daily - Gas'!BH10</f>
        <v>81946.175999999425</v>
      </c>
      <c r="L4" s="119">
        <f>'Athens Daily - Gas'!BI10</f>
        <v>48758.400000000001</v>
      </c>
      <c r="M4" s="129">
        <f t="shared" ref="M4:M33" si="2">SUM(K4,L4)/38.61</f>
        <v>3385.2519036518888</v>
      </c>
      <c r="N4" s="158">
        <f>Occ!G11</f>
        <v>330</v>
      </c>
      <c r="O4" s="101">
        <f>Occ!H11</f>
        <v>771</v>
      </c>
      <c r="P4" s="157">
        <v>918</v>
      </c>
      <c r="Q4" s="166"/>
    </row>
    <row r="5" spans="1:17" ht="15.75">
      <c r="A5" s="7" t="s">
        <v>14</v>
      </c>
      <c r="B5" s="7">
        <v>3</v>
      </c>
      <c r="C5" s="7">
        <v>8</v>
      </c>
      <c r="D5" s="118">
        <v>2020</v>
      </c>
      <c r="E5" s="149">
        <f>'Athens Daily - EL'!AK10</f>
        <v>208505</v>
      </c>
      <c r="F5" s="151">
        <f>'Athens Daily - EL'!AL10</f>
        <v>19215</v>
      </c>
      <c r="G5" s="129">
        <f t="shared" si="1"/>
        <v>227720</v>
      </c>
      <c r="H5" s="149">
        <f>'Athens Daily - Water'!R9</f>
        <v>269.16119999999955</v>
      </c>
      <c r="I5" s="119">
        <f>'Athens Daily - Water'!S9</f>
        <v>133.4</v>
      </c>
      <c r="J5" s="125">
        <f t="shared" si="0"/>
        <v>402.56119999999953</v>
      </c>
      <c r="K5" s="149">
        <f>'Athens Daily - Gas'!BH11</f>
        <v>82948.080000000307</v>
      </c>
      <c r="L5" s="119">
        <f>'Athens Daily - Gas'!BI11</f>
        <v>47952</v>
      </c>
      <c r="M5" s="129">
        <f t="shared" si="2"/>
        <v>3390.3154623154705</v>
      </c>
      <c r="N5" s="158">
        <f>Occ!G12</f>
        <v>326</v>
      </c>
      <c r="O5" s="101">
        <f>Occ!H12</f>
        <v>762</v>
      </c>
      <c r="P5" s="157">
        <v>918</v>
      </c>
      <c r="Q5" s="166"/>
    </row>
    <row r="6" spans="1:17" ht="15.75">
      <c r="A6" s="7" t="s">
        <v>14</v>
      </c>
      <c r="B6" s="7">
        <v>4</v>
      </c>
      <c r="C6" s="7">
        <v>8</v>
      </c>
      <c r="D6" s="118">
        <v>2020</v>
      </c>
      <c r="E6" s="149">
        <f>'Athens Daily - EL'!AK11</f>
        <v>217580</v>
      </c>
      <c r="F6" s="151">
        <f>'Athens Daily - EL'!AL11</f>
        <v>31865</v>
      </c>
      <c r="G6" s="129">
        <f t="shared" si="1"/>
        <v>249445</v>
      </c>
      <c r="H6" s="149">
        <f>'Athens Daily - Water'!R10</f>
        <v>240.8172999999997</v>
      </c>
      <c r="I6" s="119">
        <f>'Athens Daily - Water'!S10</f>
        <v>137.25</v>
      </c>
      <c r="J6" s="125">
        <f t="shared" si="0"/>
        <v>378.0672999999997</v>
      </c>
      <c r="K6" s="149">
        <f>'Athens Daily - Gas'!BH12</f>
        <v>85747.775999999838</v>
      </c>
      <c r="L6" s="119">
        <f>'Athens Daily - Gas'!BI12</f>
        <v>50784</v>
      </c>
      <c r="M6" s="129">
        <f t="shared" si="2"/>
        <v>3536.1765345765302</v>
      </c>
      <c r="N6" s="158">
        <f>Occ!G13</f>
        <v>337</v>
      </c>
      <c r="O6" s="101">
        <f>Occ!H13</f>
        <v>780</v>
      </c>
      <c r="P6" s="157">
        <v>918</v>
      </c>
      <c r="Q6" s="166"/>
    </row>
    <row r="7" spans="1:17" ht="15.75">
      <c r="A7" s="7" t="s">
        <v>14</v>
      </c>
      <c r="B7" s="7">
        <v>5</v>
      </c>
      <c r="C7" s="7">
        <v>8</v>
      </c>
      <c r="D7" s="118">
        <v>2020</v>
      </c>
      <c r="E7" s="149">
        <f>'Athens Daily - EL'!AK12</f>
        <v>215510</v>
      </c>
      <c r="F7" s="151">
        <f>'Athens Daily - EL'!AL12</f>
        <v>26860</v>
      </c>
      <c r="G7" s="129">
        <f t="shared" si="1"/>
        <v>242370</v>
      </c>
      <c r="H7" s="149">
        <f>'Athens Daily - Water'!R11</f>
        <v>247.87139999999999</v>
      </c>
      <c r="I7" s="119">
        <f>'Athens Daily - Water'!S11</f>
        <v>140.6</v>
      </c>
      <c r="J7" s="125">
        <f t="shared" si="0"/>
        <v>388.47140000000002</v>
      </c>
      <c r="K7" s="149">
        <f>'Athens Daily - Gas'!BH13</f>
        <v>81970.272000000201</v>
      </c>
      <c r="L7" s="119">
        <f>'Athens Daily - Gas'!BI13</f>
        <v>47673.600000000006</v>
      </c>
      <c r="M7" s="129">
        <f t="shared" si="2"/>
        <v>3357.7796425796478</v>
      </c>
      <c r="N7" s="158">
        <f>Occ!G14</f>
        <v>351</v>
      </c>
      <c r="O7" s="101">
        <f>Occ!H14</f>
        <v>810</v>
      </c>
      <c r="P7" s="157">
        <v>918</v>
      </c>
      <c r="Q7" s="166"/>
    </row>
    <row r="8" spans="1:17" ht="15.75">
      <c r="A8" s="7" t="s">
        <v>14</v>
      </c>
      <c r="B8" s="7">
        <v>6</v>
      </c>
      <c r="C8" s="7">
        <v>8</v>
      </c>
      <c r="D8" s="118">
        <v>2020</v>
      </c>
      <c r="E8" s="149">
        <f>'Athens Daily - EL'!AK13</f>
        <v>226805</v>
      </c>
      <c r="F8" s="151">
        <f>'Athens Daily - EL'!AL13</f>
        <v>29245</v>
      </c>
      <c r="G8" s="129">
        <f t="shared" si="1"/>
        <v>256050</v>
      </c>
      <c r="H8" s="149">
        <f>'Athens Daily - Water'!R12</f>
        <v>267.77550000000065</v>
      </c>
      <c r="I8" s="119">
        <f>'Athens Daily - Water'!S12</f>
        <v>122.5</v>
      </c>
      <c r="J8" s="125">
        <f t="shared" si="0"/>
        <v>390.27550000000065</v>
      </c>
      <c r="K8" s="149">
        <f>'Athens Daily - Gas'!BH14</f>
        <v>86993.040000000212</v>
      </c>
      <c r="L8" s="119">
        <f>'Athens Daily - Gas'!BI14</f>
        <v>52291.200000000004</v>
      </c>
      <c r="M8" s="129">
        <f t="shared" si="2"/>
        <v>3607.4654234654295</v>
      </c>
      <c r="N8" s="158">
        <f>Occ!G15</f>
        <v>353</v>
      </c>
      <c r="O8" s="101">
        <f>Occ!H15</f>
        <v>813</v>
      </c>
      <c r="P8" s="157">
        <v>918</v>
      </c>
      <c r="Q8" s="166"/>
    </row>
    <row r="9" spans="1:17" ht="15.75">
      <c r="A9" s="7" t="s">
        <v>14</v>
      </c>
      <c r="B9" s="7">
        <v>7</v>
      </c>
      <c r="C9" s="7">
        <v>8</v>
      </c>
      <c r="D9" s="118">
        <v>2020</v>
      </c>
      <c r="E9" s="149">
        <f>'Athens Daily - EL'!AK14</f>
        <v>231950</v>
      </c>
      <c r="F9" s="151">
        <f>'Athens Daily - EL'!AL14</f>
        <v>28470</v>
      </c>
      <c r="G9" s="129">
        <f t="shared" si="1"/>
        <v>260420</v>
      </c>
      <c r="H9" s="149">
        <f>'Athens Daily - Water'!R13</f>
        <v>289.56869999999981</v>
      </c>
      <c r="I9" s="119">
        <f>'Athens Daily - Water'!S13</f>
        <v>130.69999999999999</v>
      </c>
      <c r="J9" s="125">
        <f t="shared" si="0"/>
        <v>420.2686999999998</v>
      </c>
      <c r="K9" s="149">
        <f>'Athens Daily - Gas'!BH15</f>
        <v>80202.095999999816</v>
      </c>
      <c r="L9" s="119">
        <f>'Athens Daily - Gas'!BI15</f>
        <v>49094.400000000001</v>
      </c>
      <c r="M9" s="129">
        <f t="shared" si="2"/>
        <v>3348.7825951825903</v>
      </c>
      <c r="N9" s="158">
        <f>Occ!G16</f>
        <v>394</v>
      </c>
      <c r="O9" s="101">
        <f>Occ!H16</f>
        <v>895</v>
      </c>
      <c r="P9" s="157">
        <v>918</v>
      </c>
      <c r="Q9" s="166"/>
    </row>
    <row r="10" spans="1:17">
      <c r="A10" s="7" t="s">
        <v>14</v>
      </c>
      <c r="B10" s="7">
        <v>8</v>
      </c>
      <c r="C10" s="7">
        <v>8</v>
      </c>
      <c r="D10" s="118">
        <v>2020</v>
      </c>
      <c r="E10" s="149">
        <f>'Athens Daily - EL'!AK15</f>
        <v>243155</v>
      </c>
      <c r="F10" s="151">
        <f>'Athens Daily - EL'!AL15</f>
        <v>30545</v>
      </c>
      <c r="G10" s="129">
        <f t="shared" si="1"/>
        <v>273700</v>
      </c>
      <c r="H10" s="149">
        <f>'Athens Daily - Water'!R14</f>
        <v>316.79919999999947</v>
      </c>
      <c r="I10" s="119">
        <f>'Athens Daily - Water'!S14</f>
        <v>133.44999999999999</v>
      </c>
      <c r="J10" s="125">
        <f t="shared" si="0"/>
        <v>450.24919999999946</v>
      </c>
      <c r="K10" s="149">
        <f>'Athens Daily - Gas'!BH16</f>
        <v>93679.919999999969</v>
      </c>
      <c r="L10" s="119">
        <f>'Athens Daily - Gas'!BI16</f>
        <v>56764.800000000003</v>
      </c>
      <c r="M10" s="129">
        <f t="shared" si="2"/>
        <v>3896.5221445221437</v>
      </c>
      <c r="N10" s="158">
        <f>Occ!G17</f>
        <v>400</v>
      </c>
      <c r="O10" s="101">
        <f>Occ!H17</f>
        <v>908</v>
      </c>
      <c r="P10" s="157">
        <v>918</v>
      </c>
      <c r="Q10" s="99"/>
    </row>
    <row r="11" spans="1:17">
      <c r="A11" s="7" t="s">
        <v>14</v>
      </c>
      <c r="B11" s="7">
        <v>9</v>
      </c>
      <c r="C11" s="7">
        <v>8</v>
      </c>
      <c r="D11" s="118">
        <v>2020</v>
      </c>
      <c r="E11" s="149">
        <f>'Athens Daily - EL'!AK16</f>
        <v>246560</v>
      </c>
      <c r="F11" s="151">
        <f>'Athens Daily - EL'!AL16</f>
        <v>34025</v>
      </c>
      <c r="G11" s="129">
        <f t="shared" si="1"/>
        <v>280585</v>
      </c>
      <c r="H11" s="149">
        <f>'Athens Daily - Water'!R15</f>
        <v>460.58260000000064</v>
      </c>
      <c r="I11" s="119">
        <f>'Athens Daily - Water'!S15</f>
        <v>145.25</v>
      </c>
      <c r="J11" s="125">
        <f t="shared" si="0"/>
        <v>605.83260000000064</v>
      </c>
      <c r="K11" s="149">
        <f>'Athens Daily - Gas'!BH17</f>
        <v>89312.40000000014</v>
      </c>
      <c r="L11" s="119">
        <f>'Athens Daily - Gas'!BI17</f>
        <v>52368</v>
      </c>
      <c r="M11" s="129">
        <f t="shared" si="2"/>
        <v>3669.5260295260332</v>
      </c>
      <c r="N11" s="158">
        <f>Occ!G18</f>
        <v>385</v>
      </c>
      <c r="O11" s="101">
        <f>Occ!H18</f>
        <v>882</v>
      </c>
      <c r="P11" s="157">
        <v>918</v>
      </c>
      <c r="Q11" s="99"/>
    </row>
    <row r="12" spans="1:17" ht="15.75">
      <c r="A12" s="7" t="s">
        <v>14</v>
      </c>
      <c r="B12" s="7">
        <v>10</v>
      </c>
      <c r="C12" s="7">
        <v>8</v>
      </c>
      <c r="D12" s="118">
        <v>2020</v>
      </c>
      <c r="E12" s="149">
        <f>'Athens Daily - EL'!AK17</f>
        <v>244745</v>
      </c>
      <c r="F12" s="151">
        <f>'Athens Daily - EL'!AL17</f>
        <v>34740</v>
      </c>
      <c r="G12" s="129">
        <f t="shared" si="1"/>
        <v>279485</v>
      </c>
      <c r="H12" s="149">
        <f>'Athens Daily - Water'!R16</f>
        <v>385.85905000000002</v>
      </c>
      <c r="I12" s="119">
        <f>'Athens Daily - Water'!S16</f>
        <v>116.7</v>
      </c>
      <c r="J12" s="125">
        <f t="shared" si="0"/>
        <v>502.55905000000001</v>
      </c>
      <c r="K12" s="149">
        <f>'Athens Daily - Gas'!BH18</f>
        <v>88913.567999999592</v>
      </c>
      <c r="L12" s="119">
        <f>'Athens Daily - Gas'!BI18</f>
        <v>51753.599999999999</v>
      </c>
      <c r="M12" s="129">
        <f t="shared" si="2"/>
        <v>3643.283294483284</v>
      </c>
      <c r="N12" s="158">
        <f>Occ!G19</f>
        <v>367</v>
      </c>
      <c r="O12" s="101">
        <f>Occ!H19</f>
        <v>843</v>
      </c>
      <c r="P12" s="157">
        <v>918</v>
      </c>
      <c r="Q12" s="166"/>
    </row>
    <row r="13" spans="1:17" ht="15.75">
      <c r="A13" s="7" t="s">
        <v>14</v>
      </c>
      <c r="B13" s="7">
        <v>11</v>
      </c>
      <c r="C13" s="7">
        <v>8</v>
      </c>
      <c r="D13" s="118">
        <v>2020</v>
      </c>
      <c r="E13" s="149">
        <f>'Athens Daily - EL'!AK18</f>
        <v>242190</v>
      </c>
      <c r="F13" s="151">
        <f>'Athens Daily - EL'!AL18</f>
        <v>36250</v>
      </c>
      <c r="G13" s="129">
        <f t="shared" si="1"/>
        <v>278440</v>
      </c>
      <c r="H13" s="149">
        <f>'Athens Daily - Water'!R17</f>
        <v>367.85905000000002</v>
      </c>
      <c r="I13" s="119">
        <f>'Athens Daily - Water'!S17</f>
        <v>132.69999999999999</v>
      </c>
      <c r="J13" s="125">
        <f t="shared" si="0"/>
        <v>500.55905000000001</v>
      </c>
      <c r="K13" s="149">
        <f>'Athens Daily - Gas'!BH19</f>
        <v>94558.512000000017</v>
      </c>
      <c r="L13" s="119">
        <f>'Athens Daily - Gas'!BI19</f>
        <v>57734.400000000001</v>
      </c>
      <c r="M13" s="129">
        <f t="shared" si="2"/>
        <v>3944.3903651903656</v>
      </c>
      <c r="N13" s="158">
        <f>Occ!G20</f>
        <v>360</v>
      </c>
      <c r="O13" s="101">
        <f>Occ!H20</f>
        <v>827</v>
      </c>
      <c r="P13" s="157">
        <v>918</v>
      </c>
      <c r="Q13" s="166"/>
    </row>
    <row r="14" spans="1:17" ht="15.75">
      <c r="A14" s="7" t="s">
        <v>14</v>
      </c>
      <c r="B14" s="7">
        <v>12</v>
      </c>
      <c r="C14" s="7">
        <v>8</v>
      </c>
      <c r="D14" s="118">
        <v>2020</v>
      </c>
      <c r="E14" s="149">
        <f>'Athens Daily - EL'!AK19</f>
        <v>236550</v>
      </c>
      <c r="F14" s="151">
        <f>'Athens Daily - EL'!AL19</f>
        <v>33595</v>
      </c>
      <c r="G14" s="129">
        <f t="shared" si="1"/>
        <v>270145</v>
      </c>
      <c r="H14" s="149">
        <f>'Athens Daily - Water'!R18</f>
        <v>330.66709999999966</v>
      </c>
      <c r="I14" s="119">
        <f>'Athens Daily - Water'!S18</f>
        <v>146.6</v>
      </c>
      <c r="J14" s="125">
        <f t="shared" si="0"/>
        <v>477.26709999999969</v>
      </c>
      <c r="K14" s="149">
        <f>'Athens Daily - Gas'!BH20</f>
        <v>82096.608000000386</v>
      </c>
      <c r="L14" s="119">
        <f>'Athens Daily - Gas'!BI20</f>
        <v>51590.400000000001</v>
      </c>
      <c r="M14" s="129">
        <f t="shared" si="2"/>
        <v>3462.4969696969797</v>
      </c>
      <c r="N14" s="158">
        <f>Occ!G21</f>
        <v>366</v>
      </c>
      <c r="O14" s="101">
        <f>Occ!H21</f>
        <v>854</v>
      </c>
      <c r="P14" s="157">
        <v>918</v>
      </c>
      <c r="Q14" s="166"/>
    </row>
    <row r="15" spans="1:17">
      <c r="A15" s="7" t="s">
        <v>14</v>
      </c>
      <c r="B15" s="7">
        <v>13</v>
      </c>
      <c r="C15" s="7">
        <v>8</v>
      </c>
      <c r="D15" s="118">
        <v>2020</v>
      </c>
      <c r="E15" s="149">
        <f>'Athens Daily - EL'!AK20</f>
        <v>241680</v>
      </c>
      <c r="F15" s="167">
        <f>'Athens Daily - EL'!AL20</f>
        <v>33785</v>
      </c>
      <c r="G15" s="129">
        <f t="shared" si="1"/>
        <v>275465</v>
      </c>
      <c r="H15" s="149">
        <f>'Athens Daily - Water'!R19</f>
        <v>316.38879999999972</v>
      </c>
      <c r="I15" s="119">
        <f>'Athens Daily - Water'!S19</f>
        <v>132.05000000000001</v>
      </c>
      <c r="J15" s="125">
        <f t="shared" si="0"/>
        <v>448.43879999999973</v>
      </c>
      <c r="K15" s="149">
        <f>'Athens Daily - Gas'!BH21</f>
        <v>91625.183999999659</v>
      </c>
      <c r="L15" s="119">
        <f>'Athens Daily - Gas'!BI21</f>
        <v>56400</v>
      </c>
      <c r="M15" s="129">
        <f t="shared" si="2"/>
        <v>3833.8560994560908</v>
      </c>
      <c r="N15" s="158">
        <f>Occ!G22</f>
        <v>388</v>
      </c>
      <c r="O15" s="101">
        <f>Occ!H22</f>
        <v>894</v>
      </c>
      <c r="P15" s="157">
        <v>918</v>
      </c>
      <c r="Q15" s="163"/>
    </row>
    <row r="16" spans="1:17">
      <c r="A16" s="7" t="s">
        <v>14</v>
      </c>
      <c r="B16" s="7">
        <v>14</v>
      </c>
      <c r="C16" s="7">
        <v>8</v>
      </c>
      <c r="D16" s="118">
        <v>2020</v>
      </c>
      <c r="E16" s="149">
        <f>'Athens Daily - EL'!AK21</f>
        <v>247625</v>
      </c>
      <c r="F16" s="151">
        <f>'Athens Daily - EL'!AL21</f>
        <v>34395</v>
      </c>
      <c r="G16" s="129">
        <f t="shared" si="1"/>
        <v>282020</v>
      </c>
      <c r="H16" s="149">
        <f>'Athens Daily - Water'!R20</f>
        <v>349.78590000000077</v>
      </c>
      <c r="I16" s="119">
        <f>'Athens Daily - Water'!S20</f>
        <v>136.69999999999999</v>
      </c>
      <c r="J16" s="125">
        <f t="shared" si="0"/>
        <v>486.48590000000075</v>
      </c>
      <c r="K16" s="149">
        <f>'Athens Daily - Gas'!BH22</f>
        <v>85828.271999999924</v>
      </c>
      <c r="L16" s="119">
        <f>'Athens Daily - Gas'!BI22</f>
        <v>53212.800000000003</v>
      </c>
      <c r="M16" s="129">
        <f t="shared" si="2"/>
        <v>3601.1673659673643</v>
      </c>
      <c r="N16" s="158">
        <f>Occ!G23</f>
        <v>401</v>
      </c>
      <c r="O16" s="101">
        <f>Occ!H23</f>
        <v>937</v>
      </c>
      <c r="P16" s="157">
        <v>918</v>
      </c>
      <c r="Q16" s="163"/>
    </row>
    <row r="17" spans="1:17">
      <c r="A17" s="7" t="s">
        <v>14</v>
      </c>
      <c r="B17" s="7">
        <v>15</v>
      </c>
      <c r="C17" s="7">
        <v>8</v>
      </c>
      <c r="D17" s="118">
        <v>2020</v>
      </c>
      <c r="E17" s="149">
        <f>'Athens Daily - EL'!AK22</f>
        <v>253540</v>
      </c>
      <c r="F17" s="151">
        <f>'Athens Daily - EL'!AL22</f>
        <v>34620</v>
      </c>
      <c r="G17" s="129">
        <f t="shared" si="1"/>
        <v>288160</v>
      </c>
      <c r="H17" s="149">
        <f>'Athens Daily - Water'!R21</f>
        <v>369.34999999999945</v>
      </c>
      <c r="I17" s="119">
        <f>'Athens Daily - Water'!S21</f>
        <v>129.25</v>
      </c>
      <c r="J17" s="125">
        <f t="shared" si="0"/>
        <v>498.59999999999945</v>
      </c>
      <c r="K17" s="149">
        <f>'Athens Daily - Gas'!BH23</f>
        <v>95346.047999999893</v>
      </c>
      <c r="L17" s="119">
        <f>'Athens Daily - Gas'!BI23</f>
        <v>55891.200000000004</v>
      </c>
      <c r="M17" s="129">
        <f t="shared" si="2"/>
        <v>3917.0486402486376</v>
      </c>
      <c r="N17" s="158">
        <f>Occ!G24</f>
        <v>396</v>
      </c>
      <c r="O17" s="101">
        <f>Occ!H24</f>
        <v>914</v>
      </c>
      <c r="P17" s="157">
        <v>918</v>
      </c>
      <c r="Q17" s="163"/>
    </row>
    <row r="18" spans="1:17">
      <c r="A18" s="7" t="s">
        <v>14</v>
      </c>
      <c r="B18" s="7">
        <v>16</v>
      </c>
      <c r="C18" s="7">
        <v>8</v>
      </c>
      <c r="D18" s="118">
        <v>2020</v>
      </c>
      <c r="E18" s="149">
        <f>'Athens Daily - EL'!AK23</f>
        <v>246470</v>
      </c>
      <c r="F18" s="151">
        <f>'Athens Daily - EL'!AL23</f>
        <v>33290</v>
      </c>
      <c r="G18" s="129">
        <f t="shared" si="1"/>
        <v>279760</v>
      </c>
      <c r="H18" s="149">
        <f>'Athens Daily - Water'!R22</f>
        <v>398.84420000000046</v>
      </c>
      <c r="I18" s="119">
        <f>'Athens Daily - Water'!S22</f>
        <v>140.25</v>
      </c>
      <c r="J18" s="125">
        <f t="shared" si="0"/>
        <v>539.09420000000046</v>
      </c>
      <c r="K18" s="149">
        <f>'Athens Daily - Gas'!BH24</f>
        <v>93979.631999999983</v>
      </c>
      <c r="L18" s="119">
        <f>'Athens Daily - Gas'!BI24</f>
        <v>55392</v>
      </c>
      <c r="M18" s="129">
        <f t="shared" si="2"/>
        <v>3868.729137529137</v>
      </c>
      <c r="N18" s="158">
        <f>Occ!G25</f>
        <v>390</v>
      </c>
      <c r="O18" s="101">
        <f>Occ!H25</f>
        <v>893</v>
      </c>
      <c r="P18" s="157">
        <v>918</v>
      </c>
      <c r="Q18" s="162"/>
    </row>
    <row r="19" spans="1:17">
      <c r="A19" s="7" t="s">
        <v>14</v>
      </c>
      <c r="B19" s="7">
        <v>17</v>
      </c>
      <c r="C19" s="7">
        <v>8</v>
      </c>
      <c r="D19" s="118">
        <v>2020</v>
      </c>
      <c r="E19" s="149">
        <f>'Athens Daily - EL'!AK24</f>
        <v>248185</v>
      </c>
      <c r="F19" s="151">
        <f>'Athens Daily - EL'!AL24</f>
        <v>33730</v>
      </c>
      <c r="G19" s="129">
        <f t="shared" si="1"/>
        <v>281915</v>
      </c>
      <c r="H19" s="149">
        <f>'Athens Daily - Water'!R23</f>
        <v>371.98669999999947</v>
      </c>
      <c r="I19" s="119">
        <f>'Athens Daily - Water'!S23</f>
        <v>122.65</v>
      </c>
      <c r="J19" s="125">
        <f t="shared" si="0"/>
        <v>494.63669999999945</v>
      </c>
      <c r="K19" s="149">
        <f>'Athens Daily - Gas'!BH25</f>
        <v>93356.016000000469</v>
      </c>
      <c r="L19" s="119">
        <f>'Athens Daily - Gas'!BI25</f>
        <v>55411.200000000004</v>
      </c>
      <c r="M19" s="129">
        <f t="shared" si="2"/>
        <v>3853.07474747476</v>
      </c>
      <c r="N19" s="158">
        <f>Occ!G26</f>
        <v>382</v>
      </c>
      <c r="O19" s="101">
        <f>Occ!H26</f>
        <v>880</v>
      </c>
      <c r="P19" s="157">
        <v>918</v>
      </c>
      <c r="Q19" s="162"/>
    </row>
    <row r="20" spans="1:17">
      <c r="A20" s="7" t="s">
        <v>14</v>
      </c>
      <c r="B20" s="7">
        <v>18</v>
      </c>
      <c r="C20" s="7">
        <v>8</v>
      </c>
      <c r="D20" s="118">
        <v>2020</v>
      </c>
      <c r="E20" s="149">
        <f>'Athens Daily - EL'!AK25</f>
        <v>251230</v>
      </c>
      <c r="F20" s="151">
        <f>'Athens Daily - EL'!AL25</f>
        <v>33725</v>
      </c>
      <c r="G20" s="129">
        <f t="shared" si="1"/>
        <v>284955</v>
      </c>
      <c r="H20" s="149">
        <f>'Athens Daily - Water'!R24</f>
        <v>386.67910000000029</v>
      </c>
      <c r="I20" s="119">
        <f>'Athens Daily - Water'!S24</f>
        <v>136.9</v>
      </c>
      <c r="J20" s="125">
        <f t="shared" si="0"/>
        <v>523.57910000000027</v>
      </c>
      <c r="K20" s="149">
        <f>'Athens Daily - Gas'!BH26</f>
        <v>102882.38400000008</v>
      </c>
      <c r="L20" s="119">
        <f>'Athens Daily - Gas'!BI26</f>
        <v>61584</v>
      </c>
      <c r="M20" s="129">
        <f t="shared" si="2"/>
        <v>4259.683605283607</v>
      </c>
      <c r="N20" s="158">
        <f>Occ!G27</f>
        <v>374</v>
      </c>
      <c r="O20" s="101">
        <f>Occ!H27</f>
        <v>867</v>
      </c>
      <c r="P20" s="157">
        <v>918</v>
      </c>
      <c r="Q20" s="162"/>
    </row>
    <row r="21" spans="1:17">
      <c r="A21" s="7" t="s">
        <v>14</v>
      </c>
      <c r="B21" s="7">
        <v>19</v>
      </c>
      <c r="C21" s="7">
        <v>8</v>
      </c>
      <c r="D21" s="118">
        <v>2020</v>
      </c>
      <c r="E21" s="149">
        <f>'Athens Daily - EL'!AK26</f>
        <v>243500</v>
      </c>
      <c r="F21" s="151">
        <f>'Athens Daily - EL'!AL26</f>
        <v>30625</v>
      </c>
      <c r="G21" s="129">
        <f t="shared" si="1"/>
        <v>274125</v>
      </c>
      <c r="H21" s="149">
        <f>'Athens Daily - Water'!R25</f>
        <v>357.40070000000014</v>
      </c>
      <c r="I21" s="119">
        <f>'Athens Daily - Water'!S25</f>
        <v>133.9</v>
      </c>
      <c r="J21" s="125">
        <f t="shared" si="0"/>
        <v>491.30070000000012</v>
      </c>
      <c r="K21" s="149">
        <f>'Athens Daily - Gas'!BH27</f>
        <v>90314.831999999558</v>
      </c>
      <c r="L21" s="171">
        <f>'Athens Daily - Gas'!BI27</f>
        <v>55209.599999999999</v>
      </c>
      <c r="M21" s="129">
        <f t="shared" si="2"/>
        <v>3769.0865578865469</v>
      </c>
      <c r="N21" s="158">
        <f>Occ!G28</f>
        <v>360</v>
      </c>
      <c r="O21" s="101">
        <f>Occ!H28</f>
        <v>835</v>
      </c>
      <c r="P21" s="157">
        <v>918</v>
      </c>
      <c r="Q21" s="162"/>
    </row>
    <row r="22" spans="1:17">
      <c r="A22" s="7" t="s">
        <v>14</v>
      </c>
      <c r="B22" s="7">
        <v>20</v>
      </c>
      <c r="C22" s="7">
        <v>8</v>
      </c>
      <c r="D22" s="118">
        <v>2020</v>
      </c>
      <c r="E22" s="149">
        <f>'Athens Daily - EL'!AK27</f>
        <v>245465</v>
      </c>
      <c r="F22" s="151">
        <f>'Athens Daily - EL'!AL27</f>
        <v>33435</v>
      </c>
      <c r="G22" s="129">
        <f t="shared" si="1"/>
        <v>278900</v>
      </c>
      <c r="H22" s="149">
        <f>'Athens Daily - Water'!R26</f>
        <v>310.43299999999999</v>
      </c>
      <c r="I22" s="119">
        <f>'Athens Daily - Water'!S26</f>
        <v>124.80000000000001</v>
      </c>
      <c r="J22" s="125">
        <f t="shared" si="0"/>
        <v>435.233</v>
      </c>
      <c r="K22" s="149">
        <f>'Athens Daily - Gas'!BH28</f>
        <v>93656.016000000061</v>
      </c>
      <c r="L22" s="119">
        <f>'Athens Daily - Gas'!BI28</f>
        <v>56256</v>
      </c>
      <c r="M22" s="129">
        <f t="shared" si="2"/>
        <v>3882.7250971250987</v>
      </c>
      <c r="N22" s="158">
        <f>Occ!G29</f>
        <v>386</v>
      </c>
      <c r="O22" s="101">
        <f>Occ!H29</f>
        <v>882</v>
      </c>
      <c r="P22" s="157">
        <v>918</v>
      </c>
      <c r="Q22" s="163"/>
    </row>
    <row r="23" spans="1:17">
      <c r="A23" s="7" t="s">
        <v>14</v>
      </c>
      <c r="B23" s="7">
        <v>21</v>
      </c>
      <c r="C23" s="7">
        <v>8</v>
      </c>
      <c r="D23" s="118">
        <v>2020</v>
      </c>
      <c r="E23" s="149">
        <f>'Athens Daily - EL'!AK28</f>
        <v>249570</v>
      </c>
      <c r="F23" s="151">
        <f>'Athens Daily - EL'!AL28</f>
        <v>33870</v>
      </c>
      <c r="G23" s="129">
        <f t="shared" si="1"/>
        <v>283440</v>
      </c>
      <c r="H23" s="170">
        <f>'Athens Daily - Water'!R27</f>
        <v>370.68429999999989</v>
      </c>
      <c r="I23" s="171">
        <f>'Athens Daily - Water'!S27</f>
        <v>139.5</v>
      </c>
      <c r="J23" s="125">
        <f t="shared" si="0"/>
        <v>510.18429999999989</v>
      </c>
      <c r="K23" s="149">
        <f>'Athens Daily - Gas'!BH29</f>
        <v>78049.247999999905</v>
      </c>
      <c r="L23" s="119">
        <f>'Athens Daily - Gas'!BI29</f>
        <v>54288</v>
      </c>
      <c r="M23" s="129">
        <f t="shared" si="2"/>
        <v>3427.5381507381485</v>
      </c>
      <c r="N23" s="158">
        <f>Occ!G30</f>
        <v>394</v>
      </c>
      <c r="O23" s="101">
        <f>Occ!H30</f>
        <v>905</v>
      </c>
      <c r="P23" s="157">
        <v>918</v>
      </c>
      <c r="Q23" s="163"/>
    </row>
    <row r="24" spans="1:17">
      <c r="A24" s="7" t="s">
        <v>14</v>
      </c>
      <c r="B24" s="7">
        <v>22</v>
      </c>
      <c r="C24" s="7">
        <v>8</v>
      </c>
      <c r="D24" s="118">
        <v>2020</v>
      </c>
      <c r="E24" s="149">
        <f>'Athens Daily - EL'!AK29</f>
        <v>254200</v>
      </c>
      <c r="F24" s="151">
        <f>'Athens Daily - EL'!AL29</f>
        <v>34005</v>
      </c>
      <c r="G24" s="129">
        <f t="shared" si="1"/>
        <v>288205</v>
      </c>
      <c r="H24" s="170">
        <f>'Athens Daily - Water'!R28</f>
        <v>430.39660000000003</v>
      </c>
      <c r="I24" s="171">
        <f>'Athens Daily - Water'!S28</f>
        <v>131.44999999999999</v>
      </c>
      <c r="J24" s="125">
        <f t="shared" si="0"/>
        <v>561.84660000000008</v>
      </c>
      <c r="K24" s="149">
        <f>'Athens Daily - Gas'!BH30</f>
        <v>108946.53599999989</v>
      </c>
      <c r="L24" s="119">
        <f>'Athens Daily - Gas'!BI30</f>
        <v>59692.800000000003</v>
      </c>
      <c r="M24" s="129">
        <f t="shared" si="2"/>
        <v>4367.7631701631672</v>
      </c>
      <c r="N24" s="158">
        <f>Occ!G31</f>
        <v>405</v>
      </c>
      <c r="O24" s="101">
        <f>Occ!H31</f>
        <v>926</v>
      </c>
      <c r="P24" s="157">
        <v>918</v>
      </c>
      <c r="Q24" s="163"/>
    </row>
    <row r="25" spans="1:17">
      <c r="A25" s="7" t="s">
        <v>14</v>
      </c>
      <c r="B25" s="7">
        <v>23</v>
      </c>
      <c r="C25" s="7">
        <v>8</v>
      </c>
      <c r="D25" s="118">
        <v>2020</v>
      </c>
      <c r="E25" s="149">
        <f>'Athens Daily - EL'!AK30</f>
        <v>254555</v>
      </c>
      <c r="F25" s="151">
        <f>'Athens Daily - EL'!AL30</f>
        <v>30805</v>
      </c>
      <c r="G25" s="129">
        <f t="shared" si="1"/>
        <v>285360</v>
      </c>
      <c r="H25" s="170">
        <f>'Athens Daily - Water'!R29</f>
        <v>431.19709999999941</v>
      </c>
      <c r="I25" s="171">
        <f>'Athens Daily - Water'!S29</f>
        <v>131.44999999999999</v>
      </c>
      <c r="J25" s="125">
        <f t="shared" si="0"/>
        <v>562.64709999999945</v>
      </c>
      <c r="K25" s="170">
        <f>'Athens Daily - Gas'!BH31</f>
        <v>103181.73600000059</v>
      </c>
      <c r="L25" s="119">
        <f>'Athens Daily - Gas'!BI31</f>
        <v>55017.599999999999</v>
      </c>
      <c r="M25" s="129">
        <f t="shared" si="2"/>
        <v>4097.3668997669156</v>
      </c>
      <c r="N25" s="158">
        <f>Occ!G32</f>
        <v>397</v>
      </c>
      <c r="O25" s="101">
        <f>Occ!H32</f>
        <v>920</v>
      </c>
      <c r="P25" s="157">
        <v>918</v>
      </c>
      <c r="Q25" s="163"/>
    </row>
    <row r="26" spans="1:17">
      <c r="A26" s="7" t="s">
        <v>14</v>
      </c>
      <c r="B26" s="7">
        <v>24</v>
      </c>
      <c r="C26" s="7">
        <v>8</v>
      </c>
      <c r="D26" s="118">
        <v>2020</v>
      </c>
      <c r="E26" s="149">
        <f>'Athens Daily - EL'!AK31</f>
        <v>250990</v>
      </c>
      <c r="F26" s="151">
        <f>'Athens Daily - EL'!AL31</f>
        <v>29590</v>
      </c>
      <c r="G26" s="129">
        <f t="shared" si="1"/>
        <v>280580</v>
      </c>
      <c r="H26" s="170">
        <f>'Athens Daily - Water'!R30</f>
        <v>391.02790000000005</v>
      </c>
      <c r="I26" s="171">
        <f>'Athens Daily - Water'!S30</f>
        <v>119.6</v>
      </c>
      <c r="J26" s="125">
        <f t="shared" si="0"/>
        <v>510.62790000000007</v>
      </c>
      <c r="K26" s="149">
        <f>'Athens Daily - Gas'!BH32</f>
        <v>97775.903999999631</v>
      </c>
      <c r="L26" s="119">
        <f>'Athens Daily - Gas'!BI32</f>
        <v>55728</v>
      </c>
      <c r="M26" s="129">
        <f t="shared" si="2"/>
        <v>3975.7550893550797</v>
      </c>
      <c r="N26" s="158">
        <f>Occ!G33</f>
        <v>374</v>
      </c>
      <c r="O26" s="101">
        <f>Occ!H33</f>
        <v>854</v>
      </c>
      <c r="P26" s="157">
        <v>918</v>
      </c>
      <c r="Q26" s="163"/>
    </row>
    <row r="27" spans="1:17">
      <c r="A27" s="7" t="s">
        <v>14</v>
      </c>
      <c r="B27" s="7">
        <v>25</v>
      </c>
      <c r="C27" s="7">
        <v>8</v>
      </c>
      <c r="D27" s="118">
        <v>2020</v>
      </c>
      <c r="E27" s="149">
        <f>'Athens Daily - EL'!AK32</f>
        <v>254635</v>
      </c>
      <c r="F27" s="151">
        <f>'Athens Daily - EL'!AL32</f>
        <v>31175</v>
      </c>
      <c r="G27" s="129">
        <f t="shared" si="1"/>
        <v>285810</v>
      </c>
      <c r="H27" s="170">
        <f>'Athens Daily - Water'!R31</f>
        <v>383.54250000000047</v>
      </c>
      <c r="I27" s="171">
        <f>'Athens Daily - Water'!S31</f>
        <v>137.9</v>
      </c>
      <c r="J27" s="125">
        <f t="shared" si="0"/>
        <v>521.44250000000045</v>
      </c>
      <c r="K27" s="149">
        <f>'Athens Daily - Gas'!BH33</f>
        <v>94560.047999999893</v>
      </c>
      <c r="L27" s="119">
        <f>'Athens Daily - Gas'!BI33</f>
        <v>55987.200000000004</v>
      </c>
      <c r="M27" s="129">
        <f t="shared" si="2"/>
        <v>3899.1776223776201</v>
      </c>
      <c r="N27" s="158">
        <f>Occ!G34</f>
        <v>385</v>
      </c>
      <c r="O27" s="101">
        <f>Occ!H34</f>
        <v>886</v>
      </c>
      <c r="P27" s="157">
        <v>918</v>
      </c>
      <c r="Q27" s="161"/>
    </row>
    <row r="28" spans="1:17">
      <c r="A28" s="7" t="s">
        <v>14</v>
      </c>
      <c r="B28" s="7">
        <v>26</v>
      </c>
      <c r="C28" s="7">
        <v>8</v>
      </c>
      <c r="D28" s="118">
        <v>2020</v>
      </c>
      <c r="E28" s="149">
        <f>'Athens Daily - EL'!AK33</f>
        <v>258515</v>
      </c>
      <c r="F28" s="151">
        <f>'Athens Daily - EL'!AL33</f>
        <v>34005</v>
      </c>
      <c r="G28" s="129">
        <f t="shared" si="1"/>
        <v>292520</v>
      </c>
      <c r="H28" s="149">
        <f>'Athens Daily - Water'!R32</f>
        <v>403.76760000000013</v>
      </c>
      <c r="I28" s="119">
        <f>'Athens Daily - Water'!S32</f>
        <v>134.65</v>
      </c>
      <c r="J28" s="125">
        <f t="shared" si="0"/>
        <v>538.41760000000011</v>
      </c>
      <c r="K28" s="149">
        <f>'Athens Daily - Gas'!BH34</f>
        <v>90836.687999999995</v>
      </c>
      <c r="L28" s="119">
        <f>'Athens Daily - Gas'!BI34</f>
        <v>52694.400000000001</v>
      </c>
      <c r="M28" s="129">
        <f t="shared" si="2"/>
        <v>3717.4588966588963</v>
      </c>
      <c r="N28" s="158">
        <f>Occ!G35</f>
        <v>371</v>
      </c>
      <c r="O28" s="101">
        <f>Occ!H35</f>
        <v>856</v>
      </c>
      <c r="P28" s="157">
        <v>918</v>
      </c>
      <c r="Q28" s="161"/>
    </row>
    <row r="29" spans="1:17">
      <c r="A29" s="7" t="s">
        <v>14</v>
      </c>
      <c r="B29" s="7">
        <v>27</v>
      </c>
      <c r="C29" s="7">
        <v>8</v>
      </c>
      <c r="D29" s="118">
        <v>2020</v>
      </c>
      <c r="E29" s="149">
        <f>'Athens Daily - EL'!AK34</f>
        <v>253575</v>
      </c>
      <c r="F29" s="151">
        <f>'Athens Daily - EL'!AL34</f>
        <v>34100</v>
      </c>
      <c r="G29" s="129">
        <f t="shared" si="1"/>
        <v>287675</v>
      </c>
      <c r="H29" s="149">
        <f>'Athens Daily - Water'!R33</f>
        <v>373.44499999999971</v>
      </c>
      <c r="I29" s="119">
        <f>'Athens Daily - Water'!S33</f>
        <v>131.5</v>
      </c>
      <c r="J29" s="125">
        <f t="shared" si="0"/>
        <v>504.94499999999971</v>
      </c>
      <c r="K29" s="149">
        <f>'Athens Daily - Gas'!BH35</f>
        <v>93509.616000000475</v>
      </c>
      <c r="L29" s="119">
        <f>'Athens Daily - Gas'!BI35</f>
        <v>55977.599999999999</v>
      </c>
      <c r="M29" s="129">
        <f t="shared" si="2"/>
        <v>3871.7227661227785</v>
      </c>
      <c r="N29" s="158">
        <f>Occ!G36</f>
        <v>396</v>
      </c>
      <c r="O29" s="101">
        <f>Occ!H36</f>
        <v>908</v>
      </c>
      <c r="P29" s="157">
        <v>918</v>
      </c>
      <c r="Q29" s="161"/>
    </row>
    <row r="30" spans="1:17">
      <c r="A30" s="7" t="s">
        <v>14</v>
      </c>
      <c r="B30" s="7">
        <v>28</v>
      </c>
      <c r="C30" s="7">
        <v>8</v>
      </c>
      <c r="D30" s="118">
        <v>2020</v>
      </c>
      <c r="E30" s="149">
        <f>'Athens Daily - EL'!AK35</f>
        <v>263675</v>
      </c>
      <c r="F30" s="151">
        <f>'Athens Daily - EL'!AL35</f>
        <v>34980</v>
      </c>
      <c r="G30" s="129">
        <f t="shared" si="1"/>
        <v>298655</v>
      </c>
      <c r="H30" s="149">
        <f>'Athens Daily - Water'!R34</f>
        <v>401.80310000000009</v>
      </c>
      <c r="I30" s="119">
        <f>'Athens Daily - Water'!S34</f>
        <v>119.30000000000001</v>
      </c>
      <c r="J30" s="125">
        <f t="shared" si="0"/>
        <v>521.10310000000004</v>
      </c>
      <c r="K30" s="149">
        <f>'Athens Daily - Gas'!BH36</f>
        <v>92474.351999999402</v>
      </c>
      <c r="L30" s="119">
        <f>'Athens Daily - Gas'!BI36</f>
        <v>53462.400000000001</v>
      </c>
      <c r="M30" s="129">
        <f t="shared" si="2"/>
        <v>3779.7656565656412</v>
      </c>
      <c r="N30" s="158">
        <f>Occ!G37</f>
        <v>397</v>
      </c>
      <c r="O30" s="101">
        <f>Occ!H37</f>
        <v>917</v>
      </c>
      <c r="P30" s="157">
        <v>918</v>
      </c>
      <c r="Q30" s="161"/>
    </row>
    <row r="31" spans="1:17">
      <c r="A31" s="7" t="s">
        <v>14</v>
      </c>
      <c r="B31" s="7">
        <v>29</v>
      </c>
      <c r="C31" s="7">
        <v>8</v>
      </c>
      <c r="D31" s="118">
        <v>2020</v>
      </c>
      <c r="E31" s="149">
        <f>'Athens Daily - EL'!AK36</f>
        <v>264590</v>
      </c>
      <c r="F31" s="151">
        <f>'Athens Daily - EL'!AL36</f>
        <v>35130</v>
      </c>
      <c r="G31" s="129">
        <f t="shared" si="1"/>
        <v>299720</v>
      </c>
      <c r="H31" s="149">
        <f>'Athens Daily - Water'!R35</f>
        <v>421.27120000000014</v>
      </c>
      <c r="I31" s="119">
        <f>'Athens Daily - Water'!S35</f>
        <v>140.94999999999999</v>
      </c>
      <c r="J31" s="125">
        <f t="shared" si="0"/>
        <v>562.22120000000018</v>
      </c>
      <c r="K31" s="149">
        <f>'Athens Daily - Gas'!BH37</f>
        <v>100786.99200000032</v>
      </c>
      <c r="L31" s="119">
        <f>'Athens Daily - Gas'!BI37</f>
        <v>57600</v>
      </c>
      <c r="M31" s="129">
        <f t="shared" si="2"/>
        <v>4102.2271950272034</v>
      </c>
      <c r="N31" s="158">
        <f>Occ!G38</f>
        <v>415</v>
      </c>
      <c r="O31" s="101">
        <f>Occ!H38</f>
        <v>949</v>
      </c>
      <c r="P31" s="157">
        <v>918</v>
      </c>
      <c r="Q31" s="161"/>
    </row>
    <row r="32" spans="1:17">
      <c r="A32" s="7" t="s">
        <v>14</v>
      </c>
      <c r="B32" s="7">
        <v>30</v>
      </c>
      <c r="C32" s="7">
        <v>8</v>
      </c>
      <c r="D32" s="118">
        <v>2020</v>
      </c>
      <c r="E32" s="149">
        <f>'Athens Daily - EL'!AK37</f>
        <v>264130</v>
      </c>
      <c r="F32" s="151">
        <f>'Athens Daily - EL'!AL37</f>
        <v>34635</v>
      </c>
      <c r="G32" s="129">
        <f t="shared" si="1"/>
        <v>298765</v>
      </c>
      <c r="H32" s="149">
        <f>'Athens Daily - Water'!R36</f>
        <v>459.92050000000017</v>
      </c>
      <c r="I32" s="119">
        <f>'Athens Daily - Water'!S36</f>
        <v>143.15</v>
      </c>
      <c r="J32" s="125">
        <f t="shared" si="0"/>
        <v>603.07050000000015</v>
      </c>
      <c r="K32" s="149">
        <f>'Athens Daily - Gas'!BH38</f>
        <v>112391.47199999978</v>
      </c>
      <c r="L32" s="119">
        <f>'Athens Daily - Gas'!BI38</f>
        <v>55987.200000000004</v>
      </c>
      <c r="M32" s="129">
        <f t="shared" si="2"/>
        <v>4361.0119658119602</v>
      </c>
      <c r="N32" s="158">
        <f>Occ!G39</f>
        <v>404</v>
      </c>
      <c r="O32" s="101">
        <f>Occ!H39</f>
        <v>928</v>
      </c>
      <c r="P32" s="157">
        <v>918</v>
      </c>
      <c r="Q32" s="161"/>
    </row>
    <row r="33" spans="1:17" ht="15.75" thickBot="1">
      <c r="A33" s="7" t="s">
        <v>14</v>
      </c>
      <c r="B33" s="7">
        <v>31</v>
      </c>
      <c r="C33" s="7">
        <v>8</v>
      </c>
      <c r="D33" s="118">
        <v>2020</v>
      </c>
      <c r="E33" s="150">
        <f>'Athens Daily - EL'!AK38</f>
        <v>260305</v>
      </c>
      <c r="F33" s="152">
        <f>'Athens Daily - EL'!AL38</f>
        <v>34095</v>
      </c>
      <c r="G33" s="130">
        <f t="shared" si="1"/>
        <v>294400</v>
      </c>
      <c r="H33" s="150">
        <f>'Athens Daily - Water'!R37</f>
        <v>617.89689999999973</v>
      </c>
      <c r="I33" s="123">
        <f>'Athens Daily - Water'!S37</f>
        <v>118.15</v>
      </c>
      <c r="J33" s="126">
        <f t="shared" si="0"/>
        <v>736.04689999999971</v>
      </c>
      <c r="K33" s="150">
        <f>'Athens Daily - Gas'!BH39</f>
        <v>113355.45600000028</v>
      </c>
      <c r="L33" s="123">
        <f>'Athens Daily - Gas'!BI39</f>
        <v>57100.800000000003</v>
      </c>
      <c r="M33" s="130">
        <f t="shared" si="2"/>
        <v>4414.8214452214524</v>
      </c>
      <c r="N33" s="165">
        <f>Occ!G40</f>
        <v>363</v>
      </c>
      <c r="O33" s="156">
        <f>Occ!H40</f>
        <v>833</v>
      </c>
      <c r="P33" s="155">
        <v>918</v>
      </c>
      <c r="Q33" s="161"/>
    </row>
    <row r="35" spans="1:17">
      <c r="N35" s="19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40" activePane="bottomRight" state="frozen"/>
      <selection activeCell="A4" sqref="A4"/>
      <selection pane="topRight" activeCell="C4" sqref="C4"/>
      <selection pane="bottomLeft" activeCell="A10" sqref="A10"/>
      <selection pane="bottomRight" activeCell="C42" sqref="C4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1" t="s">
        <v>15</v>
      </c>
      <c r="B1" s="131" t="s">
        <v>16</v>
      </c>
      <c r="C1" s="132"/>
      <c r="D1" s="132"/>
      <c r="E1" s="132"/>
      <c r="F1" s="132"/>
      <c r="G1" s="132"/>
      <c r="H1" s="132"/>
      <c r="I1" s="132"/>
      <c r="J1" s="131"/>
      <c r="K1" s="131"/>
      <c r="L1" s="131"/>
      <c r="M1" s="131"/>
      <c r="N1" s="131"/>
    </row>
    <row r="2" spans="1:14">
      <c r="A2" s="131"/>
      <c r="B2" s="131"/>
      <c r="C2" s="132"/>
      <c r="D2" s="132"/>
      <c r="E2" s="132"/>
      <c r="F2" s="132"/>
      <c r="G2" s="132"/>
      <c r="H2" s="132"/>
      <c r="I2" s="132"/>
      <c r="J2" s="131"/>
      <c r="K2" s="131"/>
      <c r="L2" s="131"/>
      <c r="M2" s="131"/>
      <c r="N2" s="131"/>
    </row>
    <row r="3" spans="1:14">
      <c r="A3" s="131"/>
      <c r="B3" s="131"/>
      <c r="C3" s="133" t="s">
        <v>17</v>
      </c>
      <c r="D3" s="133"/>
      <c r="E3" s="133"/>
      <c r="F3" s="133"/>
      <c r="G3" s="133"/>
      <c r="H3" s="133"/>
      <c r="I3" s="133"/>
      <c r="J3" s="134"/>
      <c r="K3" s="134"/>
      <c r="L3" s="134"/>
      <c r="M3" s="134"/>
      <c r="N3" s="134"/>
    </row>
    <row r="4" spans="1:14">
      <c r="A4" s="131"/>
      <c r="B4" s="131"/>
      <c r="C4" s="132" t="s">
        <v>18</v>
      </c>
      <c r="D4" s="132"/>
      <c r="E4" s="132"/>
      <c r="F4" s="132"/>
      <c r="G4" s="132"/>
      <c r="H4" s="132"/>
      <c r="I4" s="132"/>
      <c r="J4" s="131"/>
      <c r="K4" s="131"/>
      <c r="L4" s="131"/>
      <c r="M4" s="131"/>
      <c r="N4" s="131"/>
    </row>
    <row r="5" spans="1:14">
      <c r="A5" s="131"/>
      <c r="B5" s="131"/>
      <c r="C5" s="132" t="s">
        <v>19</v>
      </c>
      <c r="D5" s="132"/>
      <c r="E5" s="132"/>
      <c r="F5" s="132"/>
      <c r="G5" s="132"/>
      <c r="H5" s="132"/>
      <c r="I5" s="132"/>
      <c r="J5" s="131"/>
      <c r="K5" s="131"/>
      <c r="L5" s="131"/>
      <c r="M5" s="131"/>
      <c r="N5" s="131"/>
    </row>
    <row r="6" spans="1:14">
      <c r="A6" s="131"/>
      <c r="B6" s="131"/>
      <c r="C6" s="132" t="s">
        <v>12</v>
      </c>
      <c r="D6" s="132"/>
      <c r="E6" s="132"/>
      <c r="F6" s="132"/>
      <c r="G6" s="132"/>
      <c r="H6" s="132"/>
      <c r="I6" s="132"/>
      <c r="J6" s="131"/>
      <c r="K6" s="131"/>
      <c r="L6" s="131"/>
      <c r="M6" s="131"/>
      <c r="N6" s="131"/>
    </row>
    <row r="7" spans="1:14">
      <c r="A7" s="131"/>
      <c r="B7" s="131" t="s">
        <v>20</v>
      </c>
      <c r="C7" s="132" t="s">
        <v>403</v>
      </c>
      <c r="D7" s="132"/>
      <c r="E7" s="132"/>
      <c r="F7" s="132"/>
      <c r="G7" s="132"/>
      <c r="H7" s="132"/>
      <c r="I7" s="132"/>
      <c r="J7" s="131"/>
      <c r="K7" s="131"/>
      <c r="L7" s="131"/>
      <c r="M7" s="131"/>
      <c r="N7" s="131"/>
    </row>
    <row r="8" spans="1:14" ht="15.75" thickBot="1">
      <c r="A8" s="131"/>
      <c r="B8" s="131" t="s">
        <v>21</v>
      </c>
      <c r="C8" s="135"/>
      <c r="D8" s="135"/>
      <c r="E8" s="135"/>
      <c r="F8" s="135"/>
      <c r="G8" s="197" t="s">
        <v>22</v>
      </c>
      <c r="H8" s="198"/>
      <c r="I8" s="132"/>
      <c r="J8" s="131"/>
      <c r="K8" s="131"/>
      <c r="L8" s="131"/>
      <c r="M8" s="131"/>
      <c r="N8" s="131"/>
    </row>
    <row r="9" spans="1:14">
      <c r="A9" s="131"/>
      <c r="B9" s="136" t="s">
        <v>23</v>
      </c>
      <c r="C9" s="137" t="s">
        <v>24</v>
      </c>
      <c r="D9" s="138" t="s">
        <v>25</v>
      </c>
      <c r="E9" s="137" t="s">
        <v>26</v>
      </c>
      <c r="F9" s="138" t="s">
        <v>25</v>
      </c>
      <c r="G9" s="137" t="s">
        <v>27</v>
      </c>
      <c r="H9" s="138" t="s">
        <v>11</v>
      </c>
      <c r="I9" s="139" t="s">
        <v>12</v>
      </c>
      <c r="J9" s="131"/>
      <c r="K9" s="131"/>
      <c r="L9" s="131"/>
      <c r="M9" s="131"/>
      <c r="N9" s="131"/>
    </row>
    <row r="10" spans="1:14">
      <c r="A10" s="131"/>
      <c r="B10" s="140" t="s">
        <v>28</v>
      </c>
      <c r="C10" s="141">
        <v>55</v>
      </c>
      <c r="D10" s="142">
        <v>105</v>
      </c>
      <c r="E10" s="141">
        <v>300</v>
      </c>
      <c r="F10" s="142">
        <v>718</v>
      </c>
      <c r="G10" s="164">
        <f>SUM(C10+E10)</f>
        <v>355</v>
      </c>
      <c r="H10" s="142">
        <f>D10+F10</f>
        <v>823</v>
      </c>
      <c r="I10" s="139">
        <v>918</v>
      </c>
      <c r="J10" s="131"/>
      <c r="K10" s="131"/>
      <c r="L10" s="131"/>
      <c r="M10" s="131"/>
      <c r="N10" s="131"/>
    </row>
    <row r="11" spans="1:14">
      <c r="A11" s="131"/>
      <c r="B11" s="140" t="s">
        <v>29</v>
      </c>
      <c r="C11" s="141">
        <v>33</v>
      </c>
      <c r="D11" s="142">
        <v>61</v>
      </c>
      <c r="E11" s="141">
        <v>297</v>
      </c>
      <c r="F11" s="142">
        <v>710</v>
      </c>
      <c r="G11" s="164">
        <f t="shared" ref="G11:G40" si="0">SUM(C11+E11)</f>
        <v>330</v>
      </c>
      <c r="H11" s="142">
        <f t="shared" ref="H11:H14" si="1">D11+F11</f>
        <v>771</v>
      </c>
      <c r="I11" s="139">
        <v>918</v>
      </c>
      <c r="J11" s="131"/>
      <c r="K11" s="131"/>
      <c r="L11" s="131"/>
      <c r="M11" s="131"/>
      <c r="N11" s="131"/>
    </row>
    <row r="12" spans="1:14">
      <c r="A12" s="131"/>
      <c r="B12" s="140" t="s">
        <v>30</v>
      </c>
      <c r="C12" s="141">
        <v>30</v>
      </c>
      <c r="D12" s="142">
        <v>55</v>
      </c>
      <c r="E12" s="141">
        <v>296</v>
      </c>
      <c r="F12" s="142">
        <v>707</v>
      </c>
      <c r="G12" s="164">
        <f t="shared" si="0"/>
        <v>326</v>
      </c>
      <c r="H12" s="142">
        <f t="shared" si="1"/>
        <v>762</v>
      </c>
      <c r="I12" s="139">
        <v>918</v>
      </c>
      <c r="J12" s="131"/>
      <c r="K12" s="131"/>
      <c r="L12" s="131"/>
      <c r="M12" s="131"/>
      <c r="N12" s="131"/>
    </row>
    <row r="13" spans="1:14">
      <c r="A13" s="131"/>
      <c r="B13" s="140" t="s">
        <v>31</v>
      </c>
      <c r="C13" s="141">
        <v>41</v>
      </c>
      <c r="D13" s="142">
        <v>75</v>
      </c>
      <c r="E13" s="141">
        <v>296</v>
      </c>
      <c r="F13" s="142">
        <v>705</v>
      </c>
      <c r="G13" s="164">
        <f t="shared" si="0"/>
        <v>337</v>
      </c>
      <c r="H13" s="142">
        <f t="shared" si="1"/>
        <v>780</v>
      </c>
      <c r="I13" s="139">
        <v>918</v>
      </c>
      <c r="J13" s="131"/>
      <c r="K13" s="131"/>
      <c r="L13" s="131"/>
      <c r="M13" s="131"/>
      <c r="N13" s="131"/>
    </row>
    <row r="14" spans="1:14">
      <c r="A14" s="131"/>
      <c r="B14" s="140" t="s">
        <v>32</v>
      </c>
      <c r="C14" s="141">
        <v>55</v>
      </c>
      <c r="D14" s="142">
        <v>105</v>
      </c>
      <c r="E14" s="141">
        <v>296</v>
      </c>
      <c r="F14" s="142">
        <v>705</v>
      </c>
      <c r="G14" s="164">
        <f t="shared" si="0"/>
        <v>351</v>
      </c>
      <c r="H14" s="142">
        <f t="shared" si="1"/>
        <v>810</v>
      </c>
      <c r="I14" s="139">
        <v>918</v>
      </c>
      <c r="J14" s="131"/>
      <c r="K14" s="131"/>
      <c r="L14" s="131"/>
      <c r="M14" s="131"/>
      <c r="N14" s="131"/>
    </row>
    <row r="15" spans="1:14">
      <c r="A15" s="131"/>
      <c r="B15" s="140" t="s">
        <v>33</v>
      </c>
      <c r="C15" s="141">
        <v>57</v>
      </c>
      <c r="D15" s="142">
        <v>108</v>
      </c>
      <c r="E15" s="141">
        <v>296</v>
      </c>
      <c r="F15" s="142">
        <v>705</v>
      </c>
      <c r="G15" s="164">
        <f t="shared" si="0"/>
        <v>353</v>
      </c>
      <c r="H15" s="142">
        <f t="shared" ref="H15:H40" si="2">D15+F15</f>
        <v>813</v>
      </c>
      <c r="I15" s="139">
        <v>918</v>
      </c>
      <c r="J15" s="131"/>
      <c r="K15" s="131"/>
      <c r="L15" s="131"/>
      <c r="M15" s="131"/>
      <c r="N15" s="131"/>
    </row>
    <row r="16" spans="1:14">
      <c r="A16" s="131"/>
      <c r="B16" s="140" t="s">
        <v>34</v>
      </c>
      <c r="C16" s="141">
        <v>95</v>
      </c>
      <c r="D16" s="142">
        <v>187</v>
      </c>
      <c r="E16" s="141">
        <v>299</v>
      </c>
      <c r="F16" s="142">
        <v>708</v>
      </c>
      <c r="G16" s="164">
        <f t="shared" si="0"/>
        <v>394</v>
      </c>
      <c r="H16" s="142">
        <f t="shared" si="2"/>
        <v>895</v>
      </c>
      <c r="I16" s="139">
        <v>918</v>
      </c>
      <c r="J16" s="131"/>
      <c r="K16" s="131"/>
      <c r="L16" s="131"/>
      <c r="M16" s="131"/>
      <c r="N16" s="131"/>
    </row>
    <row r="17" spans="1:14">
      <c r="A17" s="131"/>
      <c r="B17" s="140" t="s">
        <v>35</v>
      </c>
      <c r="C17" s="141">
        <v>103</v>
      </c>
      <c r="D17" s="142">
        <v>201</v>
      </c>
      <c r="E17" s="141">
        <v>297</v>
      </c>
      <c r="F17" s="142">
        <v>707</v>
      </c>
      <c r="G17" s="164">
        <f t="shared" si="0"/>
        <v>400</v>
      </c>
      <c r="H17" s="142">
        <f t="shared" si="2"/>
        <v>908</v>
      </c>
      <c r="I17" s="139">
        <v>918</v>
      </c>
      <c r="J17" s="131"/>
      <c r="K17" s="131"/>
      <c r="L17" s="131"/>
      <c r="M17" s="131"/>
      <c r="N17" s="131"/>
    </row>
    <row r="18" spans="1:14">
      <c r="A18" s="131"/>
      <c r="B18" s="140" t="s">
        <v>36</v>
      </c>
      <c r="C18" s="141">
        <v>91</v>
      </c>
      <c r="D18" s="142">
        <v>177</v>
      </c>
      <c r="E18" s="141">
        <v>294</v>
      </c>
      <c r="F18" s="142">
        <v>705</v>
      </c>
      <c r="G18" s="164">
        <f t="shared" si="0"/>
        <v>385</v>
      </c>
      <c r="H18" s="142">
        <f t="shared" si="2"/>
        <v>882</v>
      </c>
      <c r="I18" s="139">
        <v>918</v>
      </c>
      <c r="J18" s="131"/>
      <c r="K18" s="131"/>
      <c r="L18" s="131"/>
      <c r="M18" s="131"/>
      <c r="N18" s="131"/>
    </row>
    <row r="19" spans="1:14">
      <c r="A19" s="131"/>
      <c r="B19" s="140" t="s">
        <v>37</v>
      </c>
      <c r="C19" s="141">
        <v>76</v>
      </c>
      <c r="D19" s="142">
        <v>140</v>
      </c>
      <c r="E19" s="141">
        <v>291</v>
      </c>
      <c r="F19" s="142">
        <v>703</v>
      </c>
      <c r="G19" s="164">
        <f t="shared" si="0"/>
        <v>367</v>
      </c>
      <c r="H19" s="142">
        <f t="shared" si="2"/>
        <v>843</v>
      </c>
      <c r="I19" s="139">
        <v>918</v>
      </c>
      <c r="J19" s="131"/>
      <c r="K19" s="131"/>
      <c r="L19" s="131"/>
      <c r="M19" s="131"/>
      <c r="N19" s="131"/>
    </row>
    <row r="20" spans="1:14">
      <c r="A20" s="131"/>
      <c r="B20" s="140" t="s">
        <v>38</v>
      </c>
      <c r="C20" s="141">
        <v>68</v>
      </c>
      <c r="D20" s="142">
        <v>123</v>
      </c>
      <c r="E20" s="141">
        <v>292</v>
      </c>
      <c r="F20" s="142">
        <v>704</v>
      </c>
      <c r="G20" s="164">
        <f t="shared" si="0"/>
        <v>360</v>
      </c>
      <c r="H20" s="142">
        <f t="shared" si="2"/>
        <v>827</v>
      </c>
      <c r="I20" s="139">
        <v>918</v>
      </c>
      <c r="J20" s="131"/>
      <c r="K20" s="131"/>
      <c r="L20" s="131"/>
      <c r="M20" s="131"/>
      <c r="N20" s="131"/>
    </row>
    <row r="21" spans="1:14">
      <c r="A21" s="131"/>
      <c r="B21" s="140" t="s">
        <v>39</v>
      </c>
      <c r="C21" s="141">
        <v>76</v>
      </c>
      <c r="D21" s="142">
        <v>153</v>
      </c>
      <c r="E21" s="164">
        <v>290</v>
      </c>
      <c r="F21" s="142">
        <v>701</v>
      </c>
      <c r="G21" s="164">
        <f t="shared" ref="G21:G34" si="3">SUM(C21+E21)</f>
        <v>366</v>
      </c>
      <c r="H21" s="142">
        <f t="shared" ref="H21:H34" si="4">D21+F21</f>
        <v>854</v>
      </c>
      <c r="I21" s="139">
        <v>918</v>
      </c>
      <c r="J21" s="131"/>
      <c r="K21" s="131"/>
      <c r="L21" s="131"/>
      <c r="M21" s="131"/>
      <c r="N21" s="131"/>
    </row>
    <row r="22" spans="1:14">
      <c r="A22" s="131"/>
      <c r="B22" s="140" t="s">
        <v>40</v>
      </c>
      <c r="C22" s="141">
        <v>97</v>
      </c>
      <c r="D22" s="142">
        <v>191</v>
      </c>
      <c r="E22" s="164">
        <v>291</v>
      </c>
      <c r="F22" s="142">
        <v>703</v>
      </c>
      <c r="G22" s="164">
        <f t="shared" si="3"/>
        <v>388</v>
      </c>
      <c r="H22" s="142">
        <f t="shared" si="4"/>
        <v>894</v>
      </c>
      <c r="I22" s="139">
        <v>918</v>
      </c>
      <c r="J22" s="131"/>
      <c r="K22" s="131"/>
      <c r="L22" s="131"/>
      <c r="M22" s="131"/>
      <c r="N22" s="131"/>
    </row>
    <row r="23" spans="1:14">
      <c r="A23" s="131"/>
      <c r="B23" s="140" t="s">
        <v>41</v>
      </c>
      <c r="C23" s="141">
        <v>112</v>
      </c>
      <c r="D23" s="142">
        <v>236</v>
      </c>
      <c r="E23" s="164">
        <v>289</v>
      </c>
      <c r="F23" s="142">
        <v>701</v>
      </c>
      <c r="G23" s="164">
        <f t="shared" si="3"/>
        <v>401</v>
      </c>
      <c r="H23" s="142">
        <f t="shared" si="4"/>
        <v>937</v>
      </c>
      <c r="I23" s="139">
        <v>918</v>
      </c>
      <c r="J23" s="131"/>
      <c r="K23" s="131"/>
      <c r="L23" s="131"/>
      <c r="M23" s="131"/>
      <c r="N23" s="131"/>
    </row>
    <row r="24" spans="1:14">
      <c r="A24" s="131"/>
      <c r="B24" s="140" t="s">
        <v>42</v>
      </c>
      <c r="C24" s="141">
        <v>109</v>
      </c>
      <c r="D24" s="142">
        <v>219</v>
      </c>
      <c r="E24" s="164">
        <v>287</v>
      </c>
      <c r="F24" s="142">
        <v>695</v>
      </c>
      <c r="G24" s="164">
        <f t="shared" si="3"/>
        <v>396</v>
      </c>
      <c r="H24" s="142">
        <f t="shared" si="4"/>
        <v>914</v>
      </c>
      <c r="I24" s="139">
        <v>918</v>
      </c>
      <c r="J24" s="131"/>
      <c r="K24" s="131"/>
      <c r="L24" s="131"/>
      <c r="M24" s="131"/>
      <c r="N24" s="131"/>
    </row>
    <row r="25" spans="1:14">
      <c r="A25" s="131"/>
      <c r="B25" s="140" t="s">
        <v>43</v>
      </c>
      <c r="C25" s="141">
        <v>102</v>
      </c>
      <c r="D25" s="142">
        <v>197</v>
      </c>
      <c r="E25" s="164">
        <v>288</v>
      </c>
      <c r="F25" s="142">
        <v>696</v>
      </c>
      <c r="G25" s="164">
        <f t="shared" si="3"/>
        <v>390</v>
      </c>
      <c r="H25" s="142">
        <f t="shared" si="4"/>
        <v>893</v>
      </c>
      <c r="I25" s="139">
        <v>918</v>
      </c>
      <c r="J25" s="131"/>
      <c r="K25" s="131"/>
      <c r="L25" s="131"/>
      <c r="M25" s="131"/>
      <c r="N25" s="131"/>
    </row>
    <row r="26" spans="1:14">
      <c r="A26" s="131"/>
      <c r="B26" s="140" t="s">
        <v>44</v>
      </c>
      <c r="C26" s="141">
        <v>92</v>
      </c>
      <c r="D26" s="142">
        <v>180</v>
      </c>
      <c r="E26" s="164">
        <v>290</v>
      </c>
      <c r="F26" s="142">
        <v>700</v>
      </c>
      <c r="G26" s="164">
        <f t="shared" si="3"/>
        <v>382</v>
      </c>
      <c r="H26" s="142">
        <f t="shared" si="4"/>
        <v>880</v>
      </c>
      <c r="I26" s="139">
        <v>918</v>
      </c>
      <c r="J26" s="131"/>
      <c r="K26" s="131"/>
      <c r="L26" s="131"/>
      <c r="M26" s="131"/>
      <c r="N26" s="131"/>
    </row>
    <row r="27" spans="1:14">
      <c r="A27" s="131"/>
      <c r="B27" s="140" t="s">
        <v>45</v>
      </c>
      <c r="C27" s="141">
        <v>83</v>
      </c>
      <c r="D27" s="142">
        <v>166</v>
      </c>
      <c r="E27" s="164">
        <v>291</v>
      </c>
      <c r="F27" s="142">
        <v>701</v>
      </c>
      <c r="G27" s="164">
        <f t="shared" si="3"/>
        <v>374</v>
      </c>
      <c r="H27" s="142">
        <f t="shared" si="4"/>
        <v>867</v>
      </c>
      <c r="I27" s="139">
        <v>918</v>
      </c>
      <c r="J27" s="131"/>
      <c r="K27" s="131"/>
      <c r="L27" s="131"/>
      <c r="M27" s="131"/>
      <c r="N27" s="131"/>
    </row>
    <row r="28" spans="1:14">
      <c r="A28" s="131"/>
      <c r="B28" s="140" t="s">
        <v>46</v>
      </c>
      <c r="C28" s="141">
        <v>71</v>
      </c>
      <c r="D28" s="142">
        <v>138</v>
      </c>
      <c r="E28" s="164">
        <v>289</v>
      </c>
      <c r="F28" s="142">
        <v>697</v>
      </c>
      <c r="G28" s="164">
        <f t="shared" si="3"/>
        <v>360</v>
      </c>
      <c r="H28" s="142">
        <f t="shared" si="4"/>
        <v>835</v>
      </c>
      <c r="I28" s="139">
        <v>918</v>
      </c>
      <c r="J28" s="131"/>
      <c r="K28" s="131"/>
      <c r="L28" s="131"/>
      <c r="M28" s="131"/>
      <c r="N28" s="131"/>
    </row>
    <row r="29" spans="1:14">
      <c r="A29" s="131"/>
      <c r="B29" s="140" t="s">
        <v>47</v>
      </c>
      <c r="C29" s="141">
        <v>95</v>
      </c>
      <c r="D29" s="142">
        <v>183</v>
      </c>
      <c r="E29" s="164">
        <v>291</v>
      </c>
      <c r="F29" s="142">
        <v>699</v>
      </c>
      <c r="G29" s="164">
        <f t="shared" si="3"/>
        <v>386</v>
      </c>
      <c r="H29" s="142">
        <f t="shared" si="4"/>
        <v>882</v>
      </c>
      <c r="I29" s="139">
        <v>918</v>
      </c>
      <c r="J29" s="131"/>
      <c r="K29" s="131"/>
      <c r="L29" s="131"/>
      <c r="M29" s="131"/>
      <c r="N29" s="131"/>
    </row>
    <row r="30" spans="1:14">
      <c r="A30" s="131"/>
      <c r="B30" s="140" t="s">
        <v>48</v>
      </c>
      <c r="C30" s="141">
        <v>104</v>
      </c>
      <c r="D30" s="142">
        <v>210</v>
      </c>
      <c r="E30" s="164">
        <v>290</v>
      </c>
      <c r="F30" s="142">
        <v>695</v>
      </c>
      <c r="G30" s="164">
        <f t="shared" si="3"/>
        <v>394</v>
      </c>
      <c r="H30" s="142">
        <f t="shared" si="4"/>
        <v>905</v>
      </c>
      <c r="I30" s="139">
        <v>918</v>
      </c>
      <c r="J30" s="131"/>
      <c r="K30" s="131"/>
      <c r="L30" s="131"/>
      <c r="M30" s="131"/>
      <c r="N30" s="131"/>
    </row>
    <row r="31" spans="1:14">
      <c r="A31" s="131"/>
      <c r="B31" s="140" t="s">
        <v>49</v>
      </c>
      <c r="C31" s="141">
        <v>114</v>
      </c>
      <c r="D31" s="142">
        <v>230</v>
      </c>
      <c r="E31" s="164">
        <v>291</v>
      </c>
      <c r="F31" s="142">
        <v>696</v>
      </c>
      <c r="G31" s="164">
        <f t="shared" si="3"/>
        <v>405</v>
      </c>
      <c r="H31" s="142">
        <f t="shared" si="4"/>
        <v>926</v>
      </c>
      <c r="I31" s="139">
        <v>918</v>
      </c>
      <c r="J31" s="131"/>
      <c r="K31" s="131"/>
      <c r="L31" s="131"/>
      <c r="M31" s="131"/>
      <c r="N31" s="131"/>
    </row>
    <row r="32" spans="1:14">
      <c r="A32" s="131"/>
      <c r="B32" s="140" t="s">
        <v>50</v>
      </c>
      <c r="C32" s="141">
        <v>108</v>
      </c>
      <c r="D32" s="142">
        <v>228</v>
      </c>
      <c r="E32" s="164">
        <v>289</v>
      </c>
      <c r="F32" s="142">
        <v>692</v>
      </c>
      <c r="G32" s="164">
        <f t="shared" si="3"/>
        <v>397</v>
      </c>
      <c r="H32" s="142">
        <f t="shared" si="4"/>
        <v>920</v>
      </c>
      <c r="I32" s="139">
        <v>918</v>
      </c>
      <c r="J32" s="131"/>
      <c r="K32" s="131"/>
      <c r="L32" s="131"/>
      <c r="M32" s="131"/>
      <c r="N32" s="131"/>
    </row>
    <row r="33" spans="1:14">
      <c r="A33" s="131"/>
      <c r="B33" s="140" t="s">
        <v>51</v>
      </c>
      <c r="C33" s="141">
        <v>84</v>
      </c>
      <c r="D33" s="142">
        <v>162</v>
      </c>
      <c r="E33" s="164">
        <v>290</v>
      </c>
      <c r="F33" s="142">
        <v>692</v>
      </c>
      <c r="G33" s="164">
        <f t="shared" si="3"/>
        <v>374</v>
      </c>
      <c r="H33" s="142">
        <f t="shared" si="4"/>
        <v>854</v>
      </c>
      <c r="I33" s="139">
        <v>918</v>
      </c>
      <c r="J33" s="131"/>
      <c r="K33" s="131"/>
      <c r="L33" s="131"/>
      <c r="M33" s="131"/>
      <c r="N33" s="131"/>
    </row>
    <row r="34" spans="1:14">
      <c r="A34" s="131"/>
      <c r="B34" s="140" t="s">
        <v>52</v>
      </c>
      <c r="C34" s="141">
        <v>95</v>
      </c>
      <c r="D34" s="142">
        <v>191</v>
      </c>
      <c r="E34" s="164">
        <v>290</v>
      </c>
      <c r="F34" s="142">
        <v>695</v>
      </c>
      <c r="G34" s="164">
        <f t="shared" si="3"/>
        <v>385</v>
      </c>
      <c r="H34" s="142">
        <f t="shared" si="4"/>
        <v>886</v>
      </c>
      <c r="I34" s="139">
        <v>918</v>
      </c>
      <c r="J34" s="131"/>
      <c r="K34" s="131"/>
      <c r="L34" s="131"/>
      <c r="M34" s="131"/>
      <c r="N34" s="131"/>
    </row>
    <row r="35" spans="1:14">
      <c r="A35" s="131"/>
      <c r="B35" s="140" t="s">
        <v>53</v>
      </c>
      <c r="C35" s="141">
        <v>81</v>
      </c>
      <c r="D35" s="142">
        <v>162</v>
      </c>
      <c r="E35" s="141">
        <v>290</v>
      </c>
      <c r="F35" s="142">
        <v>694</v>
      </c>
      <c r="G35" s="164">
        <f t="shared" si="0"/>
        <v>371</v>
      </c>
      <c r="H35" s="142">
        <f t="shared" si="2"/>
        <v>856</v>
      </c>
      <c r="I35" s="139">
        <v>918</v>
      </c>
      <c r="J35" s="131"/>
      <c r="K35" s="131"/>
      <c r="L35" s="131"/>
      <c r="M35" s="131"/>
      <c r="N35" s="131"/>
    </row>
    <row r="36" spans="1:14">
      <c r="A36" s="131"/>
      <c r="B36" s="140" t="s">
        <v>54</v>
      </c>
      <c r="C36" s="141">
        <v>106</v>
      </c>
      <c r="D36" s="142">
        <v>214</v>
      </c>
      <c r="E36" s="141">
        <v>290</v>
      </c>
      <c r="F36" s="142">
        <v>694</v>
      </c>
      <c r="G36" s="164">
        <f t="shared" si="0"/>
        <v>396</v>
      </c>
      <c r="H36" s="142">
        <f t="shared" si="2"/>
        <v>908</v>
      </c>
      <c r="I36" s="139">
        <v>918</v>
      </c>
      <c r="J36" s="131"/>
      <c r="K36" s="131"/>
      <c r="L36" s="131"/>
      <c r="M36" s="131"/>
      <c r="N36" s="131"/>
    </row>
    <row r="37" spans="1:14">
      <c r="A37" s="131"/>
      <c r="B37" s="140" t="s">
        <v>55</v>
      </c>
      <c r="C37" s="141">
        <v>106</v>
      </c>
      <c r="D37" s="142">
        <v>225</v>
      </c>
      <c r="E37" s="141">
        <v>291</v>
      </c>
      <c r="F37" s="142">
        <v>692</v>
      </c>
      <c r="G37" s="164">
        <f t="shared" si="0"/>
        <v>397</v>
      </c>
      <c r="H37" s="142">
        <f t="shared" si="2"/>
        <v>917</v>
      </c>
      <c r="I37" s="139">
        <v>918</v>
      </c>
      <c r="J37" s="131"/>
      <c r="K37" s="131"/>
      <c r="L37" s="131"/>
      <c r="M37" s="131"/>
      <c r="N37" s="131"/>
    </row>
    <row r="38" spans="1:14" s="178" customFormat="1">
      <c r="A38" s="172"/>
      <c r="B38" s="173" t="s">
        <v>56</v>
      </c>
      <c r="C38" s="174">
        <v>124</v>
      </c>
      <c r="D38" s="175">
        <v>256</v>
      </c>
      <c r="E38" s="174">
        <v>291</v>
      </c>
      <c r="F38" s="175">
        <v>693</v>
      </c>
      <c r="G38" s="176">
        <f t="shared" si="0"/>
        <v>415</v>
      </c>
      <c r="H38" s="175">
        <f t="shared" si="2"/>
        <v>949</v>
      </c>
      <c r="I38" s="177">
        <v>918</v>
      </c>
      <c r="J38" s="172"/>
      <c r="K38" s="172"/>
      <c r="L38" s="172"/>
      <c r="M38" s="172"/>
      <c r="N38" s="172"/>
    </row>
    <row r="39" spans="1:14" s="178" customFormat="1">
      <c r="A39" s="172"/>
      <c r="B39" s="173" t="s">
        <v>57</v>
      </c>
      <c r="C39" s="174">
        <v>112</v>
      </c>
      <c r="D39" s="175">
        <v>231</v>
      </c>
      <c r="E39" s="174">
        <v>292</v>
      </c>
      <c r="F39" s="175">
        <v>697</v>
      </c>
      <c r="G39" s="176">
        <f t="shared" si="0"/>
        <v>404</v>
      </c>
      <c r="H39" s="175">
        <f t="shared" si="2"/>
        <v>928</v>
      </c>
      <c r="I39" s="177">
        <v>918</v>
      </c>
      <c r="J39" s="172"/>
      <c r="K39" s="172"/>
      <c r="L39" s="172"/>
      <c r="M39" s="172"/>
      <c r="N39" s="172"/>
    </row>
    <row r="40" spans="1:14" s="178" customFormat="1" ht="15.75" thickBot="1">
      <c r="A40" s="172"/>
      <c r="B40" s="173" t="s">
        <v>402</v>
      </c>
      <c r="C40" s="179">
        <v>72</v>
      </c>
      <c r="D40" s="180">
        <v>138</v>
      </c>
      <c r="E40" s="179">
        <v>291</v>
      </c>
      <c r="F40" s="180">
        <v>695</v>
      </c>
      <c r="G40" s="181">
        <f t="shared" si="0"/>
        <v>363</v>
      </c>
      <c r="H40" s="180">
        <f t="shared" si="2"/>
        <v>833</v>
      </c>
      <c r="I40" s="177">
        <v>918</v>
      </c>
      <c r="J40" s="172"/>
      <c r="K40" s="172"/>
      <c r="L40" s="172"/>
      <c r="M40" s="172"/>
      <c r="N40" s="172"/>
    </row>
    <row r="41" spans="1:14">
      <c r="C41" s="3">
        <f>SUM(C10:C40)</f>
        <v>2647</v>
      </c>
    </row>
    <row r="42" spans="1:14" ht="13.5" customHeight="1"/>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1">
        <f>'Athens Daily - EL'!AK8</f>
        <v>217095</v>
      </c>
      <c r="F2" s="101"/>
      <c r="G2" s="101">
        <f>'Athens Daily - Gas'!BH9</f>
        <v>85801.680000000313</v>
      </c>
      <c r="H2" s="101">
        <f>G2/38.3</f>
        <v>2240.2527415143686</v>
      </c>
      <c r="I2" s="101"/>
      <c r="J2" s="101">
        <f>'Athens Daily - Water'!R7</f>
        <v>253.20479999999952</v>
      </c>
      <c r="K2" s="101"/>
      <c r="L2" s="102">
        <v>142</v>
      </c>
      <c r="M2" s="101">
        <f>L2*2</f>
        <v>284</v>
      </c>
      <c r="N2" s="99">
        <v>10</v>
      </c>
    </row>
    <row r="3" spans="1:14">
      <c r="A3" s="7" t="s">
        <v>14</v>
      </c>
      <c r="B3" s="7">
        <v>2</v>
      </c>
      <c r="C3" s="7">
        <v>1</v>
      </c>
      <c r="D3" s="7">
        <v>2021</v>
      </c>
      <c r="E3" s="101">
        <f>'Athens Daily - EL'!AK9</f>
        <v>215990</v>
      </c>
      <c r="F3" s="101"/>
      <c r="G3" s="101">
        <f>'Athens Daily - Gas'!BH10</f>
        <v>81946.175999999425</v>
      </c>
      <c r="H3" s="101">
        <f t="shared" ref="H3:H32" si="0">G3/38.3</f>
        <v>2139.5868407310554</v>
      </c>
      <c r="I3" s="101"/>
      <c r="J3" s="101">
        <f>'Athens Daily - Water'!R8</f>
        <v>285.90190000000075</v>
      </c>
      <c r="K3" s="101"/>
      <c r="L3" s="102">
        <v>102</v>
      </c>
      <c r="M3" s="101">
        <f t="shared" ref="M3:M32" si="1">L3*2</f>
        <v>204</v>
      </c>
      <c r="N3" s="99">
        <v>12</v>
      </c>
    </row>
    <row r="4" spans="1:14">
      <c r="A4" s="7" t="s">
        <v>14</v>
      </c>
      <c r="B4" s="7">
        <v>3</v>
      </c>
      <c r="C4" s="7">
        <v>1</v>
      </c>
      <c r="D4" s="7">
        <v>2021</v>
      </c>
      <c r="E4" s="101">
        <f>'Athens Daily - EL'!AK10</f>
        <v>208505</v>
      </c>
      <c r="F4" s="101"/>
      <c r="G4" s="101">
        <f>'Athens Daily - Gas'!BH11</f>
        <v>82948.080000000307</v>
      </c>
      <c r="H4" s="101">
        <f t="shared" si="0"/>
        <v>2165.7462140992247</v>
      </c>
      <c r="I4" s="101"/>
      <c r="J4" s="101">
        <f>'Athens Daily - Water'!R9</f>
        <v>269.16119999999955</v>
      </c>
      <c r="K4" s="101"/>
      <c r="L4" s="102">
        <v>55</v>
      </c>
      <c r="M4" s="101">
        <f t="shared" si="1"/>
        <v>110</v>
      </c>
      <c r="N4" s="99">
        <v>15</v>
      </c>
    </row>
    <row r="5" spans="1:14">
      <c r="A5" s="7" t="s">
        <v>14</v>
      </c>
      <c r="B5" s="7">
        <v>4</v>
      </c>
      <c r="C5" s="7">
        <v>1</v>
      </c>
      <c r="D5" s="7">
        <v>2021</v>
      </c>
      <c r="E5" s="101">
        <f>'Athens Daily - EL'!AK11</f>
        <v>217580</v>
      </c>
      <c r="F5" s="101"/>
      <c r="G5" s="101">
        <f>'Athens Daily - Gas'!BH12</f>
        <v>85747.775999999838</v>
      </c>
      <c r="H5" s="101">
        <f t="shared" si="0"/>
        <v>2238.8453263707529</v>
      </c>
      <c r="I5" s="101"/>
      <c r="J5" s="101">
        <f>'Athens Daily - Water'!R10</f>
        <v>240.8172999999997</v>
      </c>
      <c r="K5" s="101"/>
      <c r="L5" s="102">
        <v>45</v>
      </c>
      <c r="M5" s="101">
        <f t="shared" si="1"/>
        <v>90</v>
      </c>
      <c r="N5" s="99">
        <v>17</v>
      </c>
    </row>
    <row r="6" spans="1:14">
      <c r="A6" s="7" t="s">
        <v>14</v>
      </c>
      <c r="B6" s="7">
        <v>5</v>
      </c>
      <c r="C6" s="7">
        <v>1</v>
      </c>
      <c r="D6" s="7">
        <v>2021</v>
      </c>
      <c r="E6" s="101">
        <f>'Athens Daily - EL'!AK12</f>
        <v>215510</v>
      </c>
      <c r="F6" s="101"/>
      <c r="G6" s="101">
        <f>'Athens Daily - Gas'!BH13</f>
        <v>81970.272000000201</v>
      </c>
      <c r="H6" s="101">
        <f t="shared" si="0"/>
        <v>2140.2159791122767</v>
      </c>
      <c r="I6" s="101"/>
      <c r="J6" s="101">
        <f>'Athens Daily - Water'!R11</f>
        <v>247.87139999999999</v>
      </c>
      <c r="K6" s="101"/>
      <c r="L6" s="102">
        <v>34</v>
      </c>
      <c r="M6" s="101">
        <f t="shared" si="1"/>
        <v>68</v>
      </c>
      <c r="N6" s="99">
        <v>15</v>
      </c>
    </row>
    <row r="7" spans="1:14">
      <c r="A7" s="7" t="s">
        <v>14</v>
      </c>
      <c r="B7" s="7">
        <v>6</v>
      </c>
      <c r="C7" s="7">
        <v>1</v>
      </c>
      <c r="D7" s="7">
        <v>2021</v>
      </c>
      <c r="E7" s="101">
        <f>'Athens Daily - EL'!AK13</f>
        <v>226805</v>
      </c>
      <c r="F7" s="101"/>
      <c r="G7" s="101">
        <f>'Athens Daily - Gas'!BH14</f>
        <v>86993.040000000212</v>
      </c>
      <c r="H7" s="101">
        <f t="shared" si="0"/>
        <v>2271.3587467362981</v>
      </c>
      <c r="I7" s="101"/>
      <c r="J7" s="101">
        <f>'Athens Daily - Water'!R12</f>
        <v>267.77550000000065</v>
      </c>
      <c r="K7" s="101"/>
      <c r="L7" s="102">
        <v>36</v>
      </c>
      <c r="M7" s="101">
        <f t="shared" si="1"/>
        <v>72</v>
      </c>
      <c r="N7" s="99"/>
    </row>
    <row r="8" spans="1:14">
      <c r="A8" s="7" t="s">
        <v>14</v>
      </c>
      <c r="B8" s="7">
        <v>7</v>
      </c>
      <c r="C8" s="7">
        <v>1</v>
      </c>
      <c r="D8" s="7">
        <v>2021</v>
      </c>
      <c r="E8" s="101">
        <f>'Athens Daily - EL'!AK14</f>
        <v>231950</v>
      </c>
      <c r="F8" s="101"/>
      <c r="G8" s="101">
        <f>'Athens Daily - Gas'!BH15</f>
        <v>80202.095999999816</v>
      </c>
      <c r="H8" s="101">
        <f t="shared" si="0"/>
        <v>2094.0495039164443</v>
      </c>
      <c r="I8" s="101"/>
      <c r="J8" s="101">
        <f>'Athens Daily - Water'!R13</f>
        <v>289.56869999999981</v>
      </c>
      <c r="K8" s="101"/>
      <c r="L8" s="102">
        <v>60</v>
      </c>
      <c r="M8" s="101">
        <f t="shared" si="1"/>
        <v>120</v>
      </c>
      <c r="N8" s="99"/>
    </row>
    <row r="9" spans="1:14">
      <c r="A9" s="7" t="s">
        <v>14</v>
      </c>
      <c r="B9" s="7">
        <v>8</v>
      </c>
      <c r="C9" s="7">
        <v>1</v>
      </c>
      <c r="D9" s="7">
        <v>2021</v>
      </c>
      <c r="E9" s="101">
        <f>'Athens Daily - EL'!AK15</f>
        <v>243155</v>
      </c>
      <c r="F9" s="101"/>
      <c r="G9" s="101">
        <f>'Athens Daily - Gas'!BH16</f>
        <v>93679.919999999969</v>
      </c>
      <c r="H9" s="101">
        <f t="shared" si="0"/>
        <v>2445.9509138381195</v>
      </c>
      <c r="I9" s="101"/>
      <c r="J9" s="101">
        <f>'Athens Daily - Water'!R14</f>
        <v>316.79919999999947</v>
      </c>
      <c r="K9" s="101"/>
      <c r="L9" s="102">
        <v>64</v>
      </c>
      <c r="M9" s="101">
        <f t="shared" si="1"/>
        <v>128</v>
      </c>
      <c r="N9" s="99"/>
    </row>
    <row r="10" spans="1:14">
      <c r="A10" s="7" t="s">
        <v>14</v>
      </c>
      <c r="B10" s="7">
        <v>9</v>
      </c>
      <c r="C10" s="7">
        <v>1</v>
      </c>
      <c r="D10" s="7">
        <v>2021</v>
      </c>
      <c r="E10" s="101">
        <f>'Athens Daily - EL'!AK16</f>
        <v>246560</v>
      </c>
      <c r="F10" s="101"/>
      <c r="G10" s="101">
        <f>'Athens Daily - Gas'!BH17</f>
        <v>89312.40000000014</v>
      </c>
      <c r="H10" s="101">
        <f t="shared" si="0"/>
        <v>2331.9164490861658</v>
      </c>
      <c r="I10" s="101"/>
      <c r="J10" s="101">
        <f>'Athens Daily - Water'!R15</f>
        <v>460.58260000000064</v>
      </c>
      <c r="K10" s="101"/>
      <c r="L10" s="102">
        <v>100</v>
      </c>
      <c r="M10" s="101">
        <f t="shared" si="1"/>
        <v>200</v>
      </c>
      <c r="N10" s="99">
        <v>9</v>
      </c>
    </row>
    <row r="11" spans="1:14">
      <c r="A11" s="7" t="s">
        <v>14</v>
      </c>
      <c r="B11" s="7">
        <v>10</v>
      </c>
      <c r="C11" s="7">
        <v>1</v>
      </c>
      <c r="D11" s="7">
        <v>2021</v>
      </c>
      <c r="E11" s="101">
        <f>'Athens Daily - EL'!AK17</f>
        <v>244745</v>
      </c>
      <c r="F11" s="101"/>
      <c r="G11" s="101">
        <f>'Athens Daily - Gas'!BH18</f>
        <v>88913.567999999592</v>
      </c>
      <c r="H11" s="101">
        <f t="shared" si="0"/>
        <v>2321.5030809399373</v>
      </c>
      <c r="I11" s="101"/>
      <c r="J11" s="101">
        <f>'Athens Daily - Water'!R16</f>
        <v>385.85905000000002</v>
      </c>
      <c r="K11" s="101"/>
      <c r="L11" s="102">
        <v>63</v>
      </c>
      <c r="M11" s="101">
        <f t="shared" si="1"/>
        <v>126</v>
      </c>
      <c r="N11" s="99">
        <v>12</v>
      </c>
    </row>
    <row r="12" spans="1:14">
      <c r="A12" s="7" t="s">
        <v>14</v>
      </c>
      <c r="B12" s="7">
        <v>11</v>
      </c>
      <c r="C12" s="7">
        <v>1</v>
      </c>
      <c r="D12" s="7">
        <v>2021</v>
      </c>
      <c r="E12" s="101">
        <f>'Athens Daily - EL'!AK18</f>
        <v>242190</v>
      </c>
      <c r="F12" s="101"/>
      <c r="G12" s="101">
        <f>'Athens Daily - Gas'!BH19</f>
        <v>94558.512000000017</v>
      </c>
      <c r="H12" s="101">
        <f t="shared" si="0"/>
        <v>2468.8906527415152</v>
      </c>
      <c r="I12" s="101"/>
      <c r="J12" s="101">
        <f>'Athens Daily - Water'!R17</f>
        <v>367.85905000000002</v>
      </c>
      <c r="K12" s="101"/>
      <c r="L12" s="102">
        <v>39</v>
      </c>
      <c r="M12" s="101">
        <f t="shared" si="1"/>
        <v>78</v>
      </c>
      <c r="N12" s="99">
        <v>12</v>
      </c>
    </row>
    <row r="13" spans="1:14">
      <c r="A13" s="7" t="s">
        <v>14</v>
      </c>
      <c r="B13" s="7">
        <v>12</v>
      </c>
      <c r="C13" s="7">
        <v>1</v>
      </c>
      <c r="D13" s="7">
        <v>2021</v>
      </c>
      <c r="E13" s="101">
        <f>'Athens Daily - EL'!AK19</f>
        <v>236550</v>
      </c>
      <c r="F13" s="101"/>
      <c r="G13" s="101">
        <f>'Athens Daily - Gas'!BH20</f>
        <v>82096.608000000386</v>
      </c>
      <c r="H13" s="101">
        <f t="shared" si="0"/>
        <v>2143.5145691906109</v>
      </c>
      <c r="I13" s="101"/>
      <c r="J13" s="101">
        <f>'Athens Daily - Water'!R18</f>
        <v>330.66709999999966</v>
      </c>
      <c r="K13" s="101"/>
      <c r="L13" s="102">
        <v>43</v>
      </c>
      <c r="M13" s="101">
        <f t="shared" si="1"/>
        <v>86</v>
      </c>
      <c r="N13" s="99">
        <v>10</v>
      </c>
    </row>
    <row r="14" spans="1:14">
      <c r="A14" s="7" t="s">
        <v>14</v>
      </c>
      <c r="B14" s="7">
        <v>13</v>
      </c>
      <c r="C14" s="7">
        <v>1</v>
      </c>
      <c r="D14" s="7">
        <v>2021</v>
      </c>
      <c r="E14" s="101">
        <f>'Athens Daily - EL'!AK20</f>
        <v>241680</v>
      </c>
      <c r="F14" s="101"/>
      <c r="G14" s="101">
        <f>'Athens Daily - Gas'!BH21</f>
        <v>91625.183999999659</v>
      </c>
      <c r="H14" s="101">
        <f t="shared" si="0"/>
        <v>2392.3024543080851</v>
      </c>
      <c r="I14" s="101"/>
      <c r="J14" s="101">
        <f>'Athens Daily - Water'!R19</f>
        <v>316.38879999999972</v>
      </c>
      <c r="K14" s="101"/>
      <c r="L14" s="102">
        <v>46</v>
      </c>
      <c r="M14" s="101">
        <f t="shared" si="1"/>
        <v>92</v>
      </c>
      <c r="N14" s="99">
        <v>12</v>
      </c>
    </row>
    <row r="15" spans="1:14">
      <c r="A15" s="7" t="s">
        <v>14</v>
      </c>
      <c r="B15" s="7">
        <v>14</v>
      </c>
      <c r="C15" s="7">
        <v>1</v>
      </c>
      <c r="D15" s="7">
        <v>2021</v>
      </c>
      <c r="E15" s="101">
        <f>'Athens Daily - EL'!AK21</f>
        <v>247625</v>
      </c>
      <c r="F15" s="101"/>
      <c r="G15" s="101">
        <f>'Athens Daily - Gas'!BH22</f>
        <v>85828.271999999924</v>
      </c>
      <c r="H15" s="101">
        <f t="shared" si="0"/>
        <v>2240.9470496083532</v>
      </c>
      <c r="I15" s="101"/>
      <c r="J15" s="101">
        <f>'Athens Daily - Water'!R20</f>
        <v>349.78590000000077</v>
      </c>
      <c r="K15" s="101"/>
      <c r="L15" s="102">
        <v>55</v>
      </c>
      <c r="M15" s="101">
        <f t="shared" si="1"/>
        <v>110</v>
      </c>
      <c r="N15" s="99">
        <v>13</v>
      </c>
    </row>
    <row r="16" spans="1:14">
      <c r="A16" s="7" t="s">
        <v>14</v>
      </c>
      <c r="B16" s="7">
        <v>15</v>
      </c>
      <c r="C16" s="7">
        <v>1</v>
      </c>
      <c r="D16" s="7">
        <v>2021</v>
      </c>
      <c r="E16" s="101">
        <f>'Athens Daily - EL'!AK22</f>
        <v>253540</v>
      </c>
      <c r="F16" s="101"/>
      <c r="G16" s="101">
        <f>'Athens Daily - Gas'!BH23</f>
        <v>95346.047999999893</v>
      </c>
      <c r="H16" s="101">
        <f t="shared" si="0"/>
        <v>2489.4529503916424</v>
      </c>
      <c r="I16" s="101"/>
      <c r="J16" s="101">
        <f>'Athens Daily - Water'!R21</f>
        <v>369.34999999999945</v>
      </c>
      <c r="K16" s="101"/>
      <c r="L16" s="102">
        <v>74</v>
      </c>
      <c r="M16" s="101">
        <f t="shared" si="1"/>
        <v>148</v>
      </c>
      <c r="N16" s="99">
        <v>13</v>
      </c>
    </row>
    <row r="17" spans="1:14">
      <c r="A17" s="7" t="s">
        <v>14</v>
      </c>
      <c r="B17" s="7">
        <v>16</v>
      </c>
      <c r="C17" s="7">
        <v>1</v>
      </c>
      <c r="D17" s="7">
        <v>2021</v>
      </c>
      <c r="E17" s="101">
        <f>'Athens Daily - EL'!AK23</f>
        <v>246470</v>
      </c>
      <c r="F17" s="101"/>
      <c r="G17" s="101">
        <f>'Athens Daily - Gas'!BH24</f>
        <v>93979.631999999983</v>
      </c>
      <c r="H17" s="101">
        <f t="shared" si="0"/>
        <v>2453.7762924281983</v>
      </c>
      <c r="I17" s="101"/>
      <c r="J17" s="101">
        <f>'Athens Daily - Water'!R22</f>
        <v>398.84420000000046</v>
      </c>
      <c r="K17" s="101"/>
      <c r="L17" s="102">
        <v>149</v>
      </c>
      <c r="M17" s="101">
        <f t="shared" si="1"/>
        <v>298</v>
      </c>
      <c r="N17" s="103"/>
    </row>
    <row r="18" spans="1:14">
      <c r="A18" s="7" t="s">
        <v>14</v>
      </c>
      <c r="B18" s="7">
        <v>17</v>
      </c>
      <c r="C18" s="7">
        <v>1</v>
      </c>
      <c r="D18" s="7">
        <v>2021</v>
      </c>
      <c r="E18" s="101">
        <f>'Athens Daily - EL'!AK24</f>
        <v>248185</v>
      </c>
      <c r="F18" s="101"/>
      <c r="G18" s="101">
        <f>'Athens Daily - Gas'!BH25</f>
        <v>93356.016000000469</v>
      </c>
      <c r="H18" s="101">
        <f t="shared" si="0"/>
        <v>2437.4938903394382</v>
      </c>
      <c r="I18" s="101"/>
      <c r="J18" s="101">
        <f>'Athens Daily - Water'!R23</f>
        <v>371.98669999999947</v>
      </c>
      <c r="K18" s="101"/>
      <c r="L18" s="102">
        <v>64</v>
      </c>
      <c r="M18" s="101">
        <f t="shared" si="1"/>
        <v>128</v>
      </c>
      <c r="N18" s="103"/>
    </row>
    <row r="19" spans="1:14">
      <c r="A19" s="7" t="s">
        <v>14</v>
      </c>
      <c r="B19" s="7">
        <v>18</v>
      </c>
      <c r="C19" s="7">
        <v>1</v>
      </c>
      <c r="D19" s="7">
        <v>2021</v>
      </c>
      <c r="E19" s="101">
        <f>'Athens Daily - EL'!AK25</f>
        <v>251230</v>
      </c>
      <c r="F19" s="101"/>
      <c r="G19" s="101">
        <f>'Athens Daily - Gas'!BH26</f>
        <v>102882.38400000008</v>
      </c>
      <c r="H19" s="101">
        <f t="shared" si="0"/>
        <v>2686.2241253263728</v>
      </c>
      <c r="I19" s="101"/>
      <c r="J19" s="101">
        <f>'Athens Daily - Water'!R24</f>
        <v>386.67910000000029</v>
      </c>
      <c r="K19" s="101"/>
      <c r="L19" s="102">
        <v>58</v>
      </c>
      <c r="M19" s="101">
        <f t="shared" si="1"/>
        <v>116</v>
      </c>
      <c r="N19" s="103"/>
    </row>
    <row r="20" spans="1:14">
      <c r="A20" s="7" t="s">
        <v>14</v>
      </c>
      <c r="B20" s="7">
        <v>19</v>
      </c>
      <c r="C20" s="7">
        <v>1</v>
      </c>
      <c r="D20" s="7">
        <v>2021</v>
      </c>
      <c r="E20" s="101">
        <f>'Athens Daily - EL'!AK26</f>
        <v>243500</v>
      </c>
      <c r="F20" s="101"/>
      <c r="G20" s="101">
        <f>'Athens Daily - Gas'!BH27</f>
        <v>90314.831999999558</v>
      </c>
      <c r="H20" s="101">
        <f t="shared" si="0"/>
        <v>2358.0896083550801</v>
      </c>
      <c r="I20" s="101"/>
      <c r="J20" s="101">
        <f>'Athens Daily - Water'!R25</f>
        <v>357.40070000000014</v>
      </c>
      <c r="K20" s="101"/>
      <c r="L20" s="102">
        <v>69</v>
      </c>
      <c r="M20" s="101">
        <f t="shared" si="1"/>
        <v>138</v>
      </c>
      <c r="N20" s="103"/>
    </row>
    <row r="21" spans="1:14">
      <c r="A21" s="7" t="s">
        <v>14</v>
      </c>
      <c r="B21" s="7">
        <v>20</v>
      </c>
      <c r="C21" s="7">
        <v>1</v>
      </c>
      <c r="D21" s="7">
        <v>2021</v>
      </c>
      <c r="E21" s="101">
        <f>'Athens Daily - EL'!AK27</f>
        <v>245465</v>
      </c>
      <c r="F21" s="101"/>
      <c r="G21" s="101">
        <f>'Athens Daily - Gas'!BH28</f>
        <v>93656.016000000061</v>
      </c>
      <c r="H21" s="101">
        <f t="shared" si="0"/>
        <v>2445.3267885117511</v>
      </c>
      <c r="I21" s="101"/>
      <c r="J21" s="101">
        <f>'Athens Daily - Water'!R26</f>
        <v>310.43299999999999</v>
      </c>
      <c r="K21" s="101"/>
      <c r="L21" s="102">
        <v>42</v>
      </c>
      <c r="M21" s="101">
        <f t="shared" si="1"/>
        <v>84</v>
      </c>
      <c r="N21" s="99"/>
    </row>
    <row r="22" spans="1:14">
      <c r="A22" s="7" t="s">
        <v>14</v>
      </c>
      <c r="B22" s="7">
        <v>21</v>
      </c>
      <c r="C22" s="7">
        <v>1</v>
      </c>
      <c r="D22" s="7">
        <v>2021</v>
      </c>
      <c r="E22" s="101">
        <f>'Athens Daily - EL'!AK28</f>
        <v>249570</v>
      </c>
      <c r="F22" s="101"/>
      <c r="G22" s="101">
        <f>'Athens Daily - Gas'!BH29</f>
        <v>78049.247999999905</v>
      </c>
      <c r="H22" s="101">
        <f t="shared" si="0"/>
        <v>2037.8393733681439</v>
      </c>
      <c r="I22" s="101"/>
      <c r="J22" s="101">
        <f>'Athens Daily - Water'!R27</f>
        <v>370.68429999999989</v>
      </c>
      <c r="K22" s="101"/>
      <c r="L22" s="102">
        <v>45</v>
      </c>
      <c r="M22" s="101">
        <f t="shared" si="1"/>
        <v>90</v>
      </c>
      <c r="N22" s="99"/>
    </row>
    <row r="23" spans="1:14">
      <c r="A23" s="7" t="s">
        <v>14</v>
      </c>
      <c r="B23" s="7">
        <v>22</v>
      </c>
      <c r="C23" s="7">
        <v>1</v>
      </c>
      <c r="D23" s="7">
        <v>2021</v>
      </c>
      <c r="E23" s="101">
        <f>'Athens Daily - EL'!AK29</f>
        <v>254200</v>
      </c>
      <c r="F23" s="101"/>
      <c r="G23" s="101">
        <f>'Athens Daily - Gas'!BH30</f>
        <v>108946.53599999989</v>
      </c>
      <c r="H23" s="101">
        <f t="shared" si="0"/>
        <v>2844.557075718013</v>
      </c>
      <c r="I23" s="101"/>
      <c r="J23" s="101">
        <f>'Athens Daily - Water'!R28</f>
        <v>430.39660000000003</v>
      </c>
      <c r="K23" s="101"/>
      <c r="L23" s="102">
        <v>82</v>
      </c>
      <c r="M23" s="101">
        <f t="shared" si="1"/>
        <v>164</v>
      </c>
      <c r="N23" s="99">
        <v>19</v>
      </c>
    </row>
    <row r="24" spans="1:14">
      <c r="A24" s="7" t="s">
        <v>14</v>
      </c>
      <c r="B24" s="7">
        <v>23</v>
      </c>
      <c r="C24" s="7">
        <v>1</v>
      </c>
      <c r="D24" s="7">
        <v>2021</v>
      </c>
      <c r="E24" s="101">
        <f>'Athens Daily - EL'!AK30</f>
        <v>254555</v>
      </c>
      <c r="F24" s="101"/>
      <c r="G24" s="101">
        <f>'Athens Daily - Gas'!BH31</f>
        <v>103181.73600000059</v>
      </c>
      <c r="H24" s="101">
        <f t="shared" si="0"/>
        <v>2694.0401044386576</v>
      </c>
      <c r="I24" s="101"/>
      <c r="J24" s="101">
        <f>'Athens Daily - Water'!R29</f>
        <v>431.19709999999941</v>
      </c>
      <c r="K24" s="101"/>
      <c r="L24" s="102">
        <v>170</v>
      </c>
      <c r="M24" s="101">
        <f t="shared" si="1"/>
        <v>340</v>
      </c>
      <c r="N24" s="99">
        <v>20</v>
      </c>
    </row>
    <row r="25" spans="1:14">
      <c r="A25" s="7" t="s">
        <v>14</v>
      </c>
      <c r="B25" s="7">
        <v>24</v>
      </c>
      <c r="C25" s="7">
        <v>1</v>
      </c>
      <c r="D25" s="7">
        <v>2021</v>
      </c>
      <c r="E25" s="101">
        <f>'Athens Daily - EL'!AK31</f>
        <v>250990</v>
      </c>
      <c r="F25" s="101"/>
      <c r="G25" s="101">
        <f>'Athens Daily - Gas'!BH32</f>
        <v>97775.903999999631</v>
      </c>
      <c r="H25" s="101">
        <f t="shared" si="0"/>
        <v>2552.8956657963354</v>
      </c>
      <c r="I25" s="101"/>
      <c r="J25" s="101">
        <f>'Athens Daily - Water'!R30</f>
        <v>391.02790000000005</v>
      </c>
      <c r="K25" s="101"/>
      <c r="L25" s="102">
        <v>91</v>
      </c>
      <c r="M25" s="101">
        <f t="shared" si="1"/>
        <v>182</v>
      </c>
      <c r="N25" s="99">
        <v>19</v>
      </c>
    </row>
    <row r="26" spans="1:14">
      <c r="A26" s="7" t="s">
        <v>14</v>
      </c>
      <c r="B26" s="7">
        <v>25</v>
      </c>
      <c r="C26" s="7">
        <v>1</v>
      </c>
      <c r="D26" s="7">
        <v>2021</v>
      </c>
      <c r="E26" s="101">
        <f>'Athens Daily - EL'!AK32</f>
        <v>254635</v>
      </c>
      <c r="F26" s="101"/>
      <c r="G26" s="101">
        <f>'Athens Daily - Gas'!BH33</f>
        <v>94560.047999999893</v>
      </c>
      <c r="H26" s="101">
        <f t="shared" si="0"/>
        <v>2468.9307571801542</v>
      </c>
      <c r="I26" s="101"/>
      <c r="J26" s="101">
        <f>'Athens Daily - Water'!R31</f>
        <v>383.54250000000047</v>
      </c>
      <c r="K26" s="101"/>
      <c r="L26" s="102">
        <v>56</v>
      </c>
      <c r="M26" s="101">
        <f t="shared" si="1"/>
        <v>112</v>
      </c>
      <c r="N26" s="100"/>
    </row>
    <row r="27" spans="1:14">
      <c r="A27" s="7" t="s">
        <v>14</v>
      </c>
      <c r="B27" s="7">
        <v>26</v>
      </c>
      <c r="C27" s="7">
        <v>1</v>
      </c>
      <c r="D27" s="7">
        <v>2021</v>
      </c>
      <c r="E27" s="101">
        <f>'Athens Daily - EL'!AK33</f>
        <v>258515</v>
      </c>
      <c r="F27" s="101"/>
      <c r="G27" s="101">
        <f>'Athens Daily - Gas'!BH34</f>
        <v>90836.687999999995</v>
      </c>
      <c r="H27" s="101">
        <f t="shared" si="0"/>
        <v>2371.7150913838123</v>
      </c>
      <c r="I27" s="101"/>
      <c r="J27" s="101">
        <f>'Athens Daily - Water'!R32</f>
        <v>403.76760000000013</v>
      </c>
      <c r="K27" s="101"/>
      <c r="L27" s="101"/>
      <c r="M27" s="101">
        <f t="shared" si="1"/>
        <v>0</v>
      </c>
      <c r="N27" s="100"/>
    </row>
    <row r="28" spans="1:14">
      <c r="A28" s="7" t="s">
        <v>14</v>
      </c>
      <c r="B28" s="7">
        <v>27</v>
      </c>
      <c r="C28" s="7">
        <v>1</v>
      </c>
      <c r="D28" s="7">
        <v>2021</v>
      </c>
      <c r="E28" s="101">
        <f>'Athens Daily - EL'!AK34</f>
        <v>253575</v>
      </c>
      <c r="F28" s="101"/>
      <c r="G28" s="101">
        <f>'Athens Daily - Gas'!BH35</f>
        <v>93509.616000000475</v>
      </c>
      <c r="H28" s="101">
        <f t="shared" si="0"/>
        <v>2441.5043342036679</v>
      </c>
      <c r="I28" s="101"/>
      <c r="J28" s="101">
        <f>'Athens Daily - Water'!R33</f>
        <v>373.44499999999971</v>
      </c>
      <c r="K28" s="101"/>
      <c r="L28" s="101"/>
      <c r="M28" s="101">
        <f t="shared" si="1"/>
        <v>0</v>
      </c>
      <c r="N28" s="100"/>
    </row>
    <row r="29" spans="1:14">
      <c r="A29" s="7" t="s">
        <v>14</v>
      </c>
      <c r="B29" s="7">
        <v>28</v>
      </c>
      <c r="C29" s="7">
        <v>1</v>
      </c>
      <c r="D29" s="7">
        <v>2021</v>
      </c>
      <c r="E29" s="101">
        <f>'Athens Daily - EL'!AK35</f>
        <v>263675</v>
      </c>
      <c r="F29" s="101"/>
      <c r="G29" s="101">
        <f>'Athens Daily - Gas'!BH36</f>
        <v>92474.351999999402</v>
      </c>
      <c r="H29" s="101">
        <f t="shared" si="0"/>
        <v>2414.4739425587313</v>
      </c>
      <c r="I29" s="101"/>
      <c r="J29" s="101">
        <f>'Athens Daily - Water'!R34</f>
        <v>401.80310000000009</v>
      </c>
      <c r="K29" s="101"/>
      <c r="L29" s="101"/>
      <c r="M29" s="101">
        <f t="shared" si="1"/>
        <v>0</v>
      </c>
      <c r="N29" s="100"/>
    </row>
    <row r="30" spans="1:14">
      <c r="A30" s="7" t="s">
        <v>14</v>
      </c>
      <c r="B30" s="7">
        <v>29</v>
      </c>
      <c r="C30" s="7">
        <v>1</v>
      </c>
      <c r="D30" s="7">
        <v>2021</v>
      </c>
      <c r="E30" s="101">
        <f>'Athens Daily - EL'!AK36</f>
        <v>264590</v>
      </c>
      <c r="F30" s="101"/>
      <c r="G30" s="101">
        <f>'Athens Daily - Gas'!BH37</f>
        <v>100786.99200000032</v>
      </c>
      <c r="H30" s="101">
        <f t="shared" si="0"/>
        <v>2631.5141514360398</v>
      </c>
      <c r="I30" s="101"/>
      <c r="J30" s="101">
        <f>'Athens Daily - Water'!R35</f>
        <v>421.27120000000014</v>
      </c>
      <c r="K30" s="101"/>
      <c r="L30" s="101"/>
      <c r="M30" s="101">
        <f t="shared" si="1"/>
        <v>0</v>
      </c>
      <c r="N30" s="100"/>
    </row>
    <row r="31" spans="1:14">
      <c r="A31" s="7" t="s">
        <v>14</v>
      </c>
      <c r="B31" s="7">
        <v>30</v>
      </c>
      <c r="C31" s="7">
        <v>1</v>
      </c>
      <c r="D31" s="7">
        <v>2021</v>
      </c>
      <c r="E31" s="101">
        <f>'Athens Daily - EL'!AK37</f>
        <v>264130</v>
      </c>
      <c r="F31" s="101"/>
      <c r="G31" s="101">
        <f>'Athens Daily - Gas'!BH38</f>
        <v>112391.47199999978</v>
      </c>
      <c r="H31" s="101">
        <f t="shared" si="0"/>
        <v>2934.5031853785845</v>
      </c>
      <c r="I31" s="101"/>
      <c r="J31" s="101">
        <f>'Athens Daily - Water'!R37</f>
        <v>617.89689999999973</v>
      </c>
      <c r="K31" s="101"/>
      <c r="L31" s="101"/>
      <c r="M31" s="101">
        <f t="shared" si="1"/>
        <v>0</v>
      </c>
      <c r="N31" s="100"/>
    </row>
    <row r="32" spans="1:14">
      <c r="A32" s="7" t="s">
        <v>14</v>
      </c>
      <c r="B32" s="7">
        <v>31</v>
      </c>
      <c r="C32" s="7">
        <v>1</v>
      </c>
      <c r="D32" s="7">
        <v>2021</v>
      </c>
      <c r="E32" s="101">
        <f>'Athens Daily - EL'!AK38</f>
        <v>260305</v>
      </c>
      <c r="F32" s="101"/>
      <c r="G32" s="101">
        <f>'Athens Daily - Gas'!BH39</f>
        <v>113355.45600000028</v>
      </c>
      <c r="H32" s="101">
        <f t="shared" si="0"/>
        <v>2959.672480417762</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27715</v>
      </c>
      <c r="F2" s="7"/>
      <c r="G2" s="39">
        <f>'Athens Daily - Gas'!BI9</f>
        <v>54134.400000000001</v>
      </c>
      <c r="H2" s="7"/>
      <c r="I2" s="40">
        <f>'Athens Daily - Water'!S7</f>
        <v>128.80000000000001</v>
      </c>
      <c r="J2" s="7"/>
      <c r="K2" s="7">
        <v>286</v>
      </c>
      <c r="L2" s="7">
        <v>2</v>
      </c>
    </row>
    <row r="3" spans="1:12">
      <c r="A3" s="7" t="s">
        <v>14</v>
      </c>
      <c r="B3" s="7">
        <v>2</v>
      </c>
      <c r="C3" s="7">
        <v>1</v>
      </c>
      <c r="D3" s="7">
        <v>2021</v>
      </c>
      <c r="E3" s="7">
        <f>'Athens Daily - EL'!AL9</f>
        <v>27510</v>
      </c>
      <c r="F3" s="7"/>
      <c r="G3" s="39">
        <f>'Athens Daily - Gas'!BI10</f>
        <v>48758.400000000001</v>
      </c>
      <c r="H3" s="7"/>
      <c r="I3" s="40">
        <f>'Athens Daily - Water'!S8</f>
        <v>124.95</v>
      </c>
      <c r="J3" s="7"/>
      <c r="K3" s="7">
        <v>285</v>
      </c>
      <c r="L3" s="7">
        <v>2</v>
      </c>
    </row>
    <row r="4" spans="1:12">
      <c r="A4" s="7" t="s">
        <v>14</v>
      </c>
      <c r="B4" s="7">
        <v>3</v>
      </c>
      <c r="C4" s="7">
        <v>1</v>
      </c>
      <c r="D4" s="7">
        <v>2021</v>
      </c>
      <c r="E4" s="7">
        <f>'Athens Daily - EL'!AL10</f>
        <v>19215</v>
      </c>
      <c r="F4" s="7"/>
      <c r="G4" s="39">
        <f>'Athens Daily - Gas'!BI11</f>
        <v>47952</v>
      </c>
      <c r="H4" s="7"/>
      <c r="I4" s="40">
        <f>'Athens Daily - Water'!S9</f>
        <v>133.4</v>
      </c>
      <c r="J4" s="7"/>
      <c r="K4" s="7">
        <v>282</v>
      </c>
      <c r="L4" s="7">
        <v>2</v>
      </c>
    </row>
    <row r="5" spans="1:12">
      <c r="A5" s="7" t="s">
        <v>14</v>
      </c>
      <c r="B5" s="7">
        <v>4</v>
      </c>
      <c r="C5" s="7">
        <v>1</v>
      </c>
      <c r="D5" s="7">
        <v>2021</v>
      </c>
      <c r="E5" s="7">
        <f>'Athens Daily - EL'!AL11</f>
        <v>31865</v>
      </c>
      <c r="F5" s="7"/>
      <c r="G5" s="39">
        <f>'Athens Daily - Gas'!BI12</f>
        <v>50784</v>
      </c>
      <c r="H5" s="7"/>
      <c r="I5" s="40">
        <f>'Athens Daily - Water'!S10</f>
        <v>137.25</v>
      </c>
      <c r="J5" s="7"/>
      <c r="K5" s="7">
        <v>284</v>
      </c>
      <c r="L5" s="7">
        <v>2</v>
      </c>
    </row>
    <row r="6" spans="1:12">
      <c r="A6" s="7" t="s">
        <v>14</v>
      </c>
      <c r="B6" s="7">
        <v>5</v>
      </c>
      <c r="C6" s="7">
        <v>1</v>
      </c>
      <c r="D6" s="7">
        <v>2021</v>
      </c>
      <c r="E6" s="7">
        <f>'Athens Daily - EL'!AL12</f>
        <v>26860</v>
      </c>
      <c r="F6" s="7"/>
      <c r="G6" s="39">
        <f>'Athens Daily - Gas'!BI13</f>
        <v>47673.600000000006</v>
      </c>
      <c r="H6" s="7"/>
      <c r="I6" s="40">
        <f>'Athens Daily - Water'!S11</f>
        <v>140.6</v>
      </c>
      <c r="J6" s="7"/>
      <c r="K6" s="7">
        <v>286</v>
      </c>
      <c r="L6" s="7">
        <v>2</v>
      </c>
    </row>
    <row r="7" spans="1:12">
      <c r="A7" s="7" t="s">
        <v>14</v>
      </c>
      <c r="B7" s="7">
        <v>6</v>
      </c>
      <c r="C7" s="7">
        <v>1</v>
      </c>
      <c r="D7" s="7">
        <v>2021</v>
      </c>
      <c r="E7" s="7">
        <f>'Athens Daily - EL'!AL13</f>
        <v>29245</v>
      </c>
      <c r="F7" s="7"/>
      <c r="G7" s="39">
        <f>'Athens Daily - Gas'!BI14</f>
        <v>52291.200000000004</v>
      </c>
      <c r="H7" s="7"/>
      <c r="I7" s="40">
        <f>'Athens Daily - Water'!S12</f>
        <v>122.5</v>
      </c>
      <c r="J7" s="7"/>
      <c r="K7" s="7">
        <v>288</v>
      </c>
      <c r="L7" s="7">
        <v>2</v>
      </c>
    </row>
    <row r="8" spans="1:12">
      <c r="A8" s="7" t="s">
        <v>14</v>
      </c>
      <c r="B8" s="7">
        <v>7</v>
      </c>
      <c r="C8" s="7">
        <v>1</v>
      </c>
      <c r="D8" s="7">
        <v>2021</v>
      </c>
      <c r="E8" s="7">
        <f>'Athens Daily - EL'!AL14</f>
        <v>28470</v>
      </c>
      <c r="F8" s="7"/>
      <c r="G8" s="39">
        <f>'Athens Daily - Gas'!BI15</f>
        <v>49094.400000000001</v>
      </c>
      <c r="H8" s="7"/>
      <c r="I8" s="40">
        <f>'Athens Daily - Water'!S13</f>
        <v>130.69999999999999</v>
      </c>
      <c r="J8" s="7"/>
      <c r="K8" s="7">
        <v>286</v>
      </c>
      <c r="L8" s="7">
        <v>2</v>
      </c>
    </row>
    <row r="9" spans="1:12">
      <c r="A9" s="7" t="s">
        <v>14</v>
      </c>
      <c r="B9" s="7">
        <v>8</v>
      </c>
      <c r="C9" s="7">
        <v>1</v>
      </c>
      <c r="D9" s="7">
        <v>2021</v>
      </c>
      <c r="E9" s="7">
        <f>'Athens Daily - EL'!AL15</f>
        <v>30545</v>
      </c>
      <c r="F9" s="7"/>
      <c r="G9" s="39">
        <f>'Athens Daily - Gas'!BI16</f>
        <v>56764.800000000003</v>
      </c>
      <c r="H9" s="7"/>
      <c r="I9" s="40">
        <f>'Athens Daily - Water'!S14</f>
        <v>133.44999999999999</v>
      </c>
      <c r="J9" s="7"/>
      <c r="K9" s="7">
        <v>287</v>
      </c>
      <c r="L9" s="7">
        <v>2</v>
      </c>
    </row>
    <row r="10" spans="1:12">
      <c r="A10" s="7" t="s">
        <v>14</v>
      </c>
      <c r="B10" s="7">
        <v>9</v>
      </c>
      <c r="C10" s="7">
        <v>1</v>
      </c>
      <c r="D10" s="7">
        <v>2021</v>
      </c>
      <c r="E10" s="7">
        <f>'Athens Daily - EL'!AL16</f>
        <v>34025</v>
      </c>
      <c r="F10" s="7"/>
      <c r="G10" s="39">
        <f>'Athens Daily - Gas'!BI17</f>
        <v>52368</v>
      </c>
      <c r="H10" s="7"/>
      <c r="I10" s="40">
        <f>'Athens Daily - Water'!S15</f>
        <v>145.25</v>
      </c>
      <c r="J10" s="7"/>
      <c r="K10" s="7">
        <v>284</v>
      </c>
      <c r="L10" s="7">
        <v>2</v>
      </c>
    </row>
    <row r="11" spans="1:12">
      <c r="A11" s="7" t="s">
        <v>14</v>
      </c>
      <c r="B11" s="7">
        <v>10</v>
      </c>
      <c r="C11" s="7">
        <v>1</v>
      </c>
      <c r="D11" s="7">
        <v>2021</v>
      </c>
      <c r="E11" s="7">
        <f>'Athens Daily - EL'!AL17</f>
        <v>34740</v>
      </c>
      <c r="F11" s="7"/>
      <c r="G11" s="39">
        <f>'Athens Daily - Gas'!BI18</f>
        <v>51753.599999999999</v>
      </c>
      <c r="H11" s="7"/>
      <c r="I11" s="40">
        <f>'Athens Daily - Water'!S16</f>
        <v>116.7</v>
      </c>
      <c r="J11" s="7"/>
      <c r="K11" s="7">
        <v>284</v>
      </c>
      <c r="L11" s="7">
        <v>2</v>
      </c>
    </row>
    <row r="12" spans="1:12">
      <c r="A12" s="7" t="s">
        <v>14</v>
      </c>
      <c r="B12" s="7">
        <v>11</v>
      </c>
      <c r="C12" s="7">
        <v>1</v>
      </c>
      <c r="D12" s="7">
        <v>2021</v>
      </c>
      <c r="E12" s="7">
        <f>'Athens Daily - EL'!AL18</f>
        <v>36250</v>
      </c>
      <c r="F12" s="7"/>
      <c r="G12" s="39">
        <f>'Athens Daily - Gas'!BI19</f>
        <v>57734.400000000001</v>
      </c>
      <c r="H12" s="7"/>
      <c r="I12" s="40">
        <f>'Athens Daily - Water'!S17</f>
        <v>132.69999999999999</v>
      </c>
      <c r="J12" s="7"/>
      <c r="K12" s="7">
        <v>284</v>
      </c>
      <c r="L12" s="7">
        <v>2</v>
      </c>
    </row>
    <row r="13" spans="1:12">
      <c r="A13" s="7" t="s">
        <v>14</v>
      </c>
      <c r="B13" s="7">
        <v>12</v>
      </c>
      <c r="C13" s="7">
        <v>1</v>
      </c>
      <c r="D13" s="7">
        <v>2021</v>
      </c>
      <c r="E13" s="7">
        <f>'Athens Daily - EL'!AL19</f>
        <v>33595</v>
      </c>
      <c r="F13" s="7"/>
      <c r="G13" s="39">
        <f>'Athens Daily - Gas'!BI20</f>
        <v>51590.400000000001</v>
      </c>
      <c r="H13" s="7"/>
      <c r="I13" s="40">
        <f>'Athens Daily - Water'!S18</f>
        <v>146.6</v>
      </c>
      <c r="J13" s="7"/>
      <c r="K13" s="7">
        <v>286</v>
      </c>
      <c r="L13" s="7">
        <v>2</v>
      </c>
    </row>
    <row r="14" spans="1:12">
      <c r="A14" s="7" t="s">
        <v>14</v>
      </c>
      <c r="B14" s="7">
        <v>13</v>
      </c>
      <c r="C14" s="7">
        <v>1</v>
      </c>
      <c r="D14" s="7">
        <v>2021</v>
      </c>
      <c r="E14" s="7">
        <f>'Athens Daily - EL'!AL20</f>
        <v>33785</v>
      </c>
      <c r="F14" s="7"/>
      <c r="G14" s="39">
        <f>'Athens Daily - Gas'!BI21</f>
        <v>56400</v>
      </c>
      <c r="H14" s="7"/>
      <c r="I14" s="40">
        <f>'Athens Daily - Water'!S19</f>
        <v>132.05000000000001</v>
      </c>
      <c r="J14" s="7"/>
      <c r="K14" s="7">
        <v>287</v>
      </c>
      <c r="L14" s="7">
        <v>2</v>
      </c>
    </row>
    <row r="15" spans="1:12">
      <c r="A15" s="7" t="s">
        <v>14</v>
      </c>
      <c r="B15" s="7">
        <v>14</v>
      </c>
      <c r="C15" s="7">
        <v>1</v>
      </c>
      <c r="D15" s="7">
        <v>2021</v>
      </c>
      <c r="E15" s="7">
        <f>'Athens Daily - EL'!AL21</f>
        <v>34395</v>
      </c>
      <c r="F15" s="7"/>
      <c r="G15" s="39">
        <f>'Athens Daily - Gas'!BI22</f>
        <v>53212.800000000003</v>
      </c>
      <c r="H15" s="7"/>
      <c r="I15" s="40">
        <f>'Athens Daily - Water'!S20</f>
        <v>136.69999999999999</v>
      </c>
      <c r="J15" s="7"/>
      <c r="K15" s="7">
        <v>287</v>
      </c>
      <c r="L15" s="7">
        <v>2</v>
      </c>
    </row>
    <row r="16" spans="1:12">
      <c r="A16" s="7" t="s">
        <v>14</v>
      </c>
      <c r="B16" s="7">
        <v>15</v>
      </c>
      <c r="C16" s="7">
        <v>1</v>
      </c>
      <c r="D16" s="7">
        <v>2021</v>
      </c>
      <c r="E16" s="7">
        <f>'Athens Daily - EL'!AL22</f>
        <v>34620</v>
      </c>
      <c r="F16" s="7"/>
      <c r="G16" s="39">
        <f>'Athens Daily - Gas'!BI23</f>
        <v>55891.200000000004</v>
      </c>
      <c r="H16" s="7"/>
      <c r="I16" s="40">
        <f>'Athens Daily - Water'!S21</f>
        <v>129.25</v>
      </c>
      <c r="J16" s="7"/>
      <c r="K16" s="7">
        <v>288</v>
      </c>
      <c r="L16" s="7">
        <v>2</v>
      </c>
    </row>
    <row r="17" spans="1:12">
      <c r="A17" s="7" t="s">
        <v>14</v>
      </c>
      <c r="B17" s="7">
        <v>16</v>
      </c>
      <c r="C17" s="7">
        <v>1</v>
      </c>
      <c r="D17" s="7">
        <v>2021</v>
      </c>
      <c r="E17" s="7">
        <f>'Athens Daily - EL'!AL23</f>
        <v>33290</v>
      </c>
      <c r="F17" s="7"/>
      <c r="G17" s="39">
        <f>'Athens Daily - Gas'!BI24</f>
        <v>55392</v>
      </c>
      <c r="H17" s="7"/>
      <c r="I17" s="40">
        <f>'Athens Daily - Water'!S22</f>
        <v>140.25</v>
      </c>
      <c r="J17" s="7"/>
      <c r="K17" s="7">
        <v>288</v>
      </c>
      <c r="L17" s="7">
        <v>2</v>
      </c>
    </row>
    <row r="18" spans="1:12">
      <c r="A18" s="7" t="s">
        <v>14</v>
      </c>
      <c r="B18" s="7">
        <v>17</v>
      </c>
      <c r="C18" s="7">
        <v>1</v>
      </c>
      <c r="D18" s="7">
        <v>2021</v>
      </c>
      <c r="E18" s="7">
        <f>'Athens Daily - EL'!AL24</f>
        <v>33730</v>
      </c>
      <c r="F18" s="7"/>
      <c r="G18" s="39">
        <f>'Athens Daily - Gas'!BI25</f>
        <v>55411.200000000004</v>
      </c>
      <c r="H18" s="7"/>
      <c r="I18" s="40">
        <f>'Athens Daily - Water'!S23</f>
        <v>122.65</v>
      </c>
      <c r="J18" s="7"/>
      <c r="K18" s="7">
        <v>288</v>
      </c>
      <c r="L18" s="7">
        <v>2</v>
      </c>
    </row>
    <row r="19" spans="1:12">
      <c r="A19" s="7" t="s">
        <v>14</v>
      </c>
      <c r="B19" s="7">
        <v>18</v>
      </c>
      <c r="C19" s="7">
        <v>1</v>
      </c>
      <c r="D19" s="7">
        <v>2021</v>
      </c>
      <c r="E19" s="7">
        <f>'Athens Daily - EL'!AL25</f>
        <v>33725</v>
      </c>
      <c r="F19" s="7"/>
      <c r="G19" s="39">
        <f>'Athens Daily - Gas'!BI26</f>
        <v>61584</v>
      </c>
      <c r="H19" s="7"/>
      <c r="I19" s="40">
        <f>'Athens Daily - Water'!S24</f>
        <v>136.9</v>
      </c>
      <c r="J19" s="7"/>
      <c r="K19" s="7">
        <v>291</v>
      </c>
      <c r="L19" s="7">
        <v>2</v>
      </c>
    </row>
    <row r="20" spans="1:12">
      <c r="A20" s="7" t="s">
        <v>14</v>
      </c>
      <c r="B20" s="7">
        <v>19</v>
      </c>
      <c r="C20" s="7">
        <v>1</v>
      </c>
      <c r="D20" s="7">
        <v>2021</v>
      </c>
      <c r="E20" s="7">
        <f>'Athens Daily - EL'!AL26</f>
        <v>30625</v>
      </c>
      <c r="F20" s="7"/>
      <c r="G20" s="39">
        <f>'Athens Daily - Gas'!BI27</f>
        <v>55209.599999999999</v>
      </c>
      <c r="H20" s="7"/>
      <c r="I20" s="40">
        <f>'Athens Daily - Water'!S25</f>
        <v>133.9</v>
      </c>
      <c r="J20" s="7"/>
      <c r="K20" s="7">
        <v>290</v>
      </c>
      <c r="L20" s="7">
        <v>2</v>
      </c>
    </row>
    <row r="21" spans="1:12">
      <c r="A21" s="7" t="s">
        <v>14</v>
      </c>
      <c r="B21" s="7">
        <v>20</v>
      </c>
      <c r="C21" s="7">
        <v>1</v>
      </c>
      <c r="D21" s="7">
        <v>2021</v>
      </c>
      <c r="E21" s="7">
        <f>'Athens Daily - EL'!AL27</f>
        <v>33435</v>
      </c>
      <c r="F21" s="7"/>
      <c r="G21" s="39">
        <f>'Athens Daily - Gas'!BI28</f>
        <v>56256</v>
      </c>
      <c r="H21" s="7"/>
      <c r="I21" s="40">
        <f>'Athens Daily - Water'!S26</f>
        <v>124.80000000000001</v>
      </c>
      <c r="J21" s="7"/>
      <c r="K21" s="7">
        <v>292</v>
      </c>
      <c r="L21" s="7">
        <v>2</v>
      </c>
    </row>
    <row r="22" spans="1:12">
      <c r="A22" s="7" t="s">
        <v>14</v>
      </c>
      <c r="B22" s="7">
        <v>21</v>
      </c>
      <c r="C22" s="7">
        <v>1</v>
      </c>
      <c r="D22" s="7">
        <v>2021</v>
      </c>
      <c r="E22" s="7">
        <f>'Athens Daily - EL'!AL28</f>
        <v>33870</v>
      </c>
      <c r="F22" s="7"/>
      <c r="G22" s="39">
        <f>'Athens Daily - Gas'!BI29</f>
        <v>54288</v>
      </c>
      <c r="H22" s="7"/>
      <c r="I22" s="40">
        <f>'Athens Daily - Water'!S27</f>
        <v>139.5</v>
      </c>
      <c r="J22" s="7"/>
      <c r="K22" s="7">
        <v>293</v>
      </c>
      <c r="L22" s="7">
        <v>2</v>
      </c>
    </row>
    <row r="23" spans="1:12">
      <c r="A23" s="7" t="s">
        <v>14</v>
      </c>
      <c r="B23" s="7">
        <v>22</v>
      </c>
      <c r="C23" s="7">
        <v>1</v>
      </c>
      <c r="D23" s="7">
        <v>2021</v>
      </c>
      <c r="E23" s="7">
        <f>'Athens Daily - EL'!AL29</f>
        <v>34005</v>
      </c>
      <c r="F23" s="7"/>
      <c r="G23" s="39">
        <f>'Athens Daily - Gas'!BI30</f>
        <v>59692.800000000003</v>
      </c>
      <c r="H23" s="7"/>
      <c r="I23" s="40">
        <f>'Athens Daily - Water'!S28</f>
        <v>131.44999999999999</v>
      </c>
      <c r="J23" s="7"/>
      <c r="K23" s="7">
        <v>293</v>
      </c>
      <c r="L23" s="7">
        <v>2</v>
      </c>
    </row>
    <row r="24" spans="1:12">
      <c r="A24" s="7" t="s">
        <v>14</v>
      </c>
      <c r="B24" s="7">
        <v>23</v>
      </c>
      <c r="C24" s="7">
        <v>1</v>
      </c>
      <c r="D24" s="7">
        <v>2021</v>
      </c>
      <c r="E24" s="7">
        <f>'Athens Daily - EL'!AL30</f>
        <v>30805</v>
      </c>
      <c r="F24" s="7"/>
      <c r="G24" s="39">
        <f>'Athens Daily - Gas'!BI31</f>
        <v>55017.599999999999</v>
      </c>
      <c r="H24" s="7"/>
      <c r="I24" s="40">
        <f>'Athens Daily - Water'!S29</f>
        <v>131.44999999999999</v>
      </c>
      <c r="J24" s="7"/>
      <c r="K24" s="7">
        <v>294</v>
      </c>
      <c r="L24" s="7">
        <v>2</v>
      </c>
    </row>
    <row r="25" spans="1:12">
      <c r="A25" s="7" t="s">
        <v>14</v>
      </c>
      <c r="B25" s="7">
        <v>24</v>
      </c>
      <c r="C25" s="7">
        <v>1</v>
      </c>
      <c r="D25" s="7">
        <v>2021</v>
      </c>
      <c r="E25" s="7">
        <f>'Athens Daily - EL'!AL31</f>
        <v>29590</v>
      </c>
      <c r="F25" s="7"/>
      <c r="G25" s="39">
        <f>'Athens Daily - Gas'!BI32</f>
        <v>55728</v>
      </c>
      <c r="H25" s="7"/>
      <c r="I25" s="40">
        <f>'Athens Daily - Water'!S30</f>
        <v>119.6</v>
      </c>
      <c r="J25" s="7"/>
      <c r="K25" s="7">
        <v>294</v>
      </c>
      <c r="L25" s="7">
        <v>2</v>
      </c>
    </row>
    <row r="26" spans="1:12">
      <c r="A26" s="7" t="s">
        <v>14</v>
      </c>
      <c r="B26" s="7">
        <v>25</v>
      </c>
      <c r="C26" s="7">
        <v>1</v>
      </c>
      <c r="D26" s="7">
        <v>2021</v>
      </c>
      <c r="E26" s="7">
        <f>'Athens Daily - EL'!AL32</f>
        <v>31175</v>
      </c>
      <c r="F26" s="7"/>
      <c r="G26" s="39">
        <f>'Athens Daily - Gas'!BI33</f>
        <v>55987.200000000004</v>
      </c>
      <c r="H26" s="7"/>
      <c r="I26" s="40">
        <f>'Athens Daily - Water'!S31</f>
        <v>137.9</v>
      </c>
      <c r="J26" s="7"/>
      <c r="K26" s="7">
        <v>291</v>
      </c>
      <c r="L26" s="7">
        <v>2</v>
      </c>
    </row>
    <row r="27" spans="1:12">
      <c r="A27" s="7" t="s">
        <v>14</v>
      </c>
      <c r="B27" s="7">
        <v>26</v>
      </c>
      <c r="C27" s="7">
        <v>1</v>
      </c>
      <c r="D27" s="7">
        <v>2021</v>
      </c>
      <c r="E27" s="7">
        <f>'Athens Daily - EL'!AL33</f>
        <v>34005</v>
      </c>
      <c r="F27" s="7"/>
      <c r="G27" s="39">
        <f>'Athens Daily - Gas'!BI34</f>
        <v>52694.400000000001</v>
      </c>
      <c r="H27" s="7"/>
      <c r="I27" s="40">
        <f>'Athens Daily - Water'!S32</f>
        <v>134.65</v>
      </c>
      <c r="J27" s="7"/>
      <c r="K27" s="7">
        <v>291</v>
      </c>
      <c r="L27" s="7">
        <v>2</v>
      </c>
    </row>
    <row r="28" spans="1:12">
      <c r="A28" s="7" t="s">
        <v>14</v>
      </c>
      <c r="B28" s="7">
        <v>27</v>
      </c>
      <c r="C28" s="7">
        <v>1</v>
      </c>
      <c r="D28" s="7">
        <v>2021</v>
      </c>
      <c r="E28" s="7">
        <f>'Athens Daily - EL'!AL34</f>
        <v>34100</v>
      </c>
      <c r="F28" s="7"/>
      <c r="G28" s="39">
        <f>'Athens Daily - Gas'!BI35</f>
        <v>55977.599999999999</v>
      </c>
      <c r="H28" s="7"/>
      <c r="I28" s="40">
        <f>'Athens Daily - Water'!S33</f>
        <v>131.5</v>
      </c>
      <c r="J28" s="7"/>
      <c r="K28" s="7">
        <v>288</v>
      </c>
      <c r="L28" s="7">
        <v>2</v>
      </c>
    </row>
    <row r="29" spans="1:12">
      <c r="A29" s="7" t="s">
        <v>14</v>
      </c>
      <c r="B29" s="7">
        <v>28</v>
      </c>
      <c r="C29" s="7">
        <v>1</v>
      </c>
      <c r="D29" s="7">
        <v>2021</v>
      </c>
      <c r="E29" s="7">
        <f>'Athens Daily - EL'!AL35</f>
        <v>34980</v>
      </c>
      <c r="F29" s="7"/>
      <c r="G29" s="39">
        <f>'Athens Daily - Gas'!BI36</f>
        <v>53462.400000000001</v>
      </c>
      <c r="H29" s="7"/>
      <c r="I29" s="40">
        <f>'Athens Daily - Water'!S34</f>
        <v>119.30000000000001</v>
      </c>
      <c r="J29" s="7"/>
      <c r="K29" s="7">
        <v>290</v>
      </c>
      <c r="L29" s="7">
        <v>2</v>
      </c>
    </row>
    <row r="30" spans="1:12">
      <c r="A30" s="7" t="s">
        <v>14</v>
      </c>
      <c r="B30" s="7">
        <v>29</v>
      </c>
      <c r="C30" s="7">
        <v>1</v>
      </c>
      <c r="D30" s="7">
        <v>2021</v>
      </c>
      <c r="E30" s="7">
        <f>'Athens Daily - EL'!AL36</f>
        <v>35130</v>
      </c>
      <c r="F30" s="7"/>
      <c r="G30" s="39">
        <f>'Athens Daily - Gas'!BI37</f>
        <v>57600</v>
      </c>
      <c r="H30" s="7"/>
      <c r="I30" s="40">
        <f>'Athens Daily - Water'!S35</f>
        <v>140.94999999999999</v>
      </c>
      <c r="J30" s="7"/>
      <c r="K30" s="7">
        <v>291</v>
      </c>
      <c r="L30" s="7">
        <v>2</v>
      </c>
    </row>
    <row r="31" spans="1:12">
      <c r="A31" s="7" t="s">
        <v>14</v>
      </c>
      <c r="B31" s="7">
        <v>30</v>
      </c>
      <c r="C31" s="7">
        <v>1</v>
      </c>
      <c r="D31" s="7">
        <v>2021</v>
      </c>
      <c r="E31" s="7">
        <f>'Athens Daily - EL'!AL37</f>
        <v>34635</v>
      </c>
      <c r="F31" s="7"/>
      <c r="G31" s="39">
        <f>'Athens Daily - Gas'!BI38</f>
        <v>55987.200000000004</v>
      </c>
      <c r="H31" s="7"/>
      <c r="I31" s="40">
        <f>'Athens Daily - Water'!S37</f>
        <v>118.15</v>
      </c>
      <c r="J31" s="7"/>
      <c r="K31" s="7">
        <v>290</v>
      </c>
      <c r="L31" s="7">
        <v>2</v>
      </c>
    </row>
    <row r="32" spans="1:12">
      <c r="A32" s="7" t="s">
        <v>14</v>
      </c>
      <c r="B32" s="7">
        <v>31</v>
      </c>
      <c r="C32" s="7">
        <v>1</v>
      </c>
      <c r="D32" s="7">
        <v>2021</v>
      </c>
      <c r="E32" s="7">
        <f>'Athens Daily - EL'!AL38</f>
        <v>34095</v>
      </c>
      <c r="F32" s="7"/>
      <c r="G32" s="39">
        <f>'Athens Daily - Gas'!BI39</f>
        <v>57100.800000000003</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abSelected="1" topLeftCell="A2" zoomScale="70" zoomScaleNormal="70" workbookViewId="0">
      <pane xSplit="2" ySplit="5" topLeftCell="K25" activePane="bottomRight" state="frozen"/>
      <selection pane="topRight" activeCell="C2" sqref="C2"/>
      <selection pane="bottomLeft" activeCell="A7" sqref="A7"/>
      <selection pane="bottomRight" activeCell="K29" sqref="K29"/>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15" t="s">
        <v>64</v>
      </c>
      <c r="D1" s="215"/>
      <c r="E1" s="215" t="s">
        <v>64</v>
      </c>
      <c r="F1" s="215"/>
      <c r="G1" s="215" t="s">
        <v>64</v>
      </c>
      <c r="H1" s="215"/>
      <c r="I1" s="109"/>
      <c r="J1" s="215" t="s">
        <v>64</v>
      </c>
      <c r="K1" s="215"/>
      <c r="L1" s="215" t="s">
        <v>64</v>
      </c>
      <c r="M1" s="215"/>
      <c r="N1" s="201" t="s">
        <v>65</v>
      </c>
      <c r="O1" s="202"/>
      <c r="P1" s="203"/>
      <c r="Q1" s="201" t="s">
        <v>65</v>
      </c>
      <c r="R1" s="202"/>
      <c r="S1" s="203"/>
      <c r="T1" s="201" t="s">
        <v>65</v>
      </c>
      <c r="U1" s="202"/>
      <c r="V1" s="203"/>
      <c r="W1" s="201" t="s">
        <v>65</v>
      </c>
      <c r="X1" s="202"/>
      <c r="Y1" s="203"/>
      <c r="Z1" s="215" t="s">
        <v>66</v>
      </c>
      <c r="AA1" s="215"/>
      <c r="AB1" s="215" t="s">
        <v>66</v>
      </c>
      <c r="AC1" s="215"/>
      <c r="AD1" s="215" t="s">
        <v>66</v>
      </c>
      <c r="AE1" s="215"/>
      <c r="AF1" s="215" t="s">
        <v>66</v>
      </c>
      <c r="AG1" s="215"/>
      <c r="AH1" s="215" t="s">
        <v>66</v>
      </c>
      <c r="AI1" s="215"/>
    </row>
    <row r="2" spans="1:38" s="3" customFormat="1" ht="113.25" customHeight="1">
      <c r="A2" s="13"/>
      <c r="B2" s="14"/>
      <c r="C2" s="214" t="s">
        <v>67</v>
      </c>
      <c r="D2" s="214"/>
      <c r="E2" s="214" t="s">
        <v>68</v>
      </c>
      <c r="F2" s="214"/>
      <c r="G2" s="204" t="s">
        <v>69</v>
      </c>
      <c r="H2" s="205"/>
      <c r="I2" s="206"/>
      <c r="J2" s="214" t="s">
        <v>70</v>
      </c>
      <c r="K2" s="214"/>
      <c r="L2" s="214" t="s">
        <v>71</v>
      </c>
      <c r="M2" s="214"/>
      <c r="N2" s="204" t="s">
        <v>72</v>
      </c>
      <c r="O2" s="205"/>
      <c r="P2" s="206"/>
      <c r="Q2" s="204" t="s">
        <v>73</v>
      </c>
      <c r="R2" s="205"/>
      <c r="S2" s="206"/>
      <c r="T2" s="204" t="s">
        <v>74</v>
      </c>
      <c r="U2" s="205"/>
      <c r="V2" s="206"/>
      <c r="W2" s="204" t="s">
        <v>75</v>
      </c>
      <c r="X2" s="205"/>
      <c r="Y2" s="206"/>
      <c r="Z2" s="214" t="s">
        <v>76</v>
      </c>
      <c r="AA2" s="214"/>
      <c r="AB2" s="214" t="s">
        <v>77</v>
      </c>
      <c r="AC2" s="214"/>
      <c r="AD2" s="214" t="s">
        <v>78</v>
      </c>
      <c r="AE2" s="214"/>
      <c r="AF2" s="214" t="s">
        <v>77</v>
      </c>
      <c r="AG2" s="214"/>
      <c r="AH2" s="214" t="s">
        <v>79</v>
      </c>
      <c r="AI2" s="214"/>
      <c r="AJ2" s="116"/>
      <c r="AK2" s="116"/>
      <c r="AL2" s="116"/>
    </row>
    <row r="3" spans="1:38" s="25" customFormat="1" ht="30" customHeight="1">
      <c r="A3" s="107"/>
      <c r="B3" s="50"/>
      <c r="C3" s="207">
        <v>5003566</v>
      </c>
      <c r="D3" s="209"/>
      <c r="E3" s="207">
        <v>5003596</v>
      </c>
      <c r="F3" s="209"/>
      <c r="G3" s="207">
        <v>507329</v>
      </c>
      <c r="H3" s="208"/>
      <c r="I3" s="209"/>
      <c r="J3" s="207">
        <v>5003563</v>
      </c>
      <c r="K3" s="209"/>
      <c r="L3" s="207">
        <v>5003562</v>
      </c>
      <c r="M3" s="209"/>
      <c r="N3" s="207">
        <v>507155</v>
      </c>
      <c r="O3" s="208"/>
      <c r="P3" s="209"/>
      <c r="Q3" s="207">
        <v>5003077</v>
      </c>
      <c r="R3" s="208"/>
      <c r="S3" s="209"/>
      <c r="T3" s="207">
        <v>5003079</v>
      </c>
      <c r="U3" s="208"/>
      <c r="V3" s="209"/>
      <c r="W3" s="207">
        <v>5003078</v>
      </c>
      <c r="X3" s="208"/>
      <c r="Y3" s="209"/>
      <c r="Z3" s="207">
        <v>5003565</v>
      </c>
      <c r="AA3" s="209"/>
      <c r="AB3" s="207">
        <v>5003564</v>
      </c>
      <c r="AC3" s="209"/>
      <c r="AD3" s="207">
        <v>5003597</v>
      </c>
      <c r="AE3" s="209"/>
      <c r="AF3" s="207">
        <v>5003598</v>
      </c>
      <c r="AG3" s="209"/>
      <c r="AH3" s="207">
        <v>5003599</v>
      </c>
      <c r="AI3" s="209"/>
      <c r="AK3" s="216" t="s">
        <v>80</v>
      </c>
      <c r="AL3" s="216"/>
    </row>
    <row r="4" spans="1:38" s="24" customFormat="1" ht="30" customHeight="1">
      <c r="A4" s="107"/>
      <c r="B4" s="113"/>
      <c r="C4" s="210" t="s">
        <v>81</v>
      </c>
      <c r="D4" s="212"/>
      <c r="E4" s="210" t="s">
        <v>82</v>
      </c>
      <c r="F4" s="212"/>
      <c r="G4" s="210" t="s">
        <v>83</v>
      </c>
      <c r="H4" s="211"/>
      <c r="I4" s="212"/>
      <c r="J4" s="210" t="s">
        <v>84</v>
      </c>
      <c r="K4" s="212"/>
      <c r="L4" s="210" t="s">
        <v>85</v>
      </c>
      <c r="M4" s="212"/>
      <c r="N4" s="210" t="s">
        <v>86</v>
      </c>
      <c r="O4" s="211"/>
      <c r="P4" s="212"/>
      <c r="Q4" s="210" t="s">
        <v>87</v>
      </c>
      <c r="R4" s="211"/>
      <c r="S4" s="212"/>
      <c r="T4" s="210" t="s">
        <v>88</v>
      </c>
      <c r="U4" s="211"/>
      <c r="V4" s="212"/>
      <c r="W4" s="210" t="s">
        <v>89</v>
      </c>
      <c r="X4" s="211"/>
      <c r="Y4" s="212"/>
      <c r="Z4" s="210" t="s">
        <v>90</v>
      </c>
      <c r="AA4" s="212"/>
      <c r="AB4" s="210" t="s">
        <v>91</v>
      </c>
      <c r="AC4" s="212"/>
      <c r="AD4" s="210" t="s">
        <v>92</v>
      </c>
      <c r="AE4" s="212"/>
      <c r="AF4" s="210" t="s">
        <v>93</v>
      </c>
      <c r="AG4" s="212"/>
      <c r="AH4" s="210" t="s">
        <v>94</v>
      </c>
      <c r="AI4" s="212"/>
      <c r="AK4" s="216"/>
      <c r="AL4" s="216"/>
    </row>
    <row r="5" spans="1:38" s="8" customFormat="1" ht="30" customHeight="1">
      <c r="A5" s="107" t="s">
        <v>95</v>
      </c>
      <c r="B5" s="51"/>
      <c r="C5" s="199" t="s">
        <v>96</v>
      </c>
      <c r="D5" s="200"/>
      <c r="E5" s="199" t="s">
        <v>96</v>
      </c>
      <c r="F5" s="200"/>
      <c r="G5" s="199" t="s">
        <v>96</v>
      </c>
      <c r="H5" s="213"/>
      <c r="I5" s="200"/>
      <c r="J5" s="51" t="s">
        <v>96</v>
      </c>
      <c r="K5" s="51"/>
      <c r="L5" s="199" t="s">
        <v>96</v>
      </c>
      <c r="M5" s="200"/>
      <c r="N5" s="199" t="s">
        <v>96</v>
      </c>
      <c r="O5" s="213"/>
      <c r="P5" s="200"/>
      <c r="Q5" s="199" t="s">
        <v>97</v>
      </c>
      <c r="R5" s="213"/>
      <c r="S5" s="200"/>
      <c r="T5" s="199" t="s">
        <v>97</v>
      </c>
      <c r="U5" s="213"/>
      <c r="V5" s="200"/>
      <c r="W5" s="199" t="s">
        <v>97</v>
      </c>
      <c r="X5" s="213"/>
      <c r="Y5" s="200"/>
      <c r="Z5" s="199" t="s">
        <v>96</v>
      </c>
      <c r="AA5" s="200"/>
      <c r="AB5" s="199" t="s">
        <v>96</v>
      </c>
      <c r="AC5" s="200"/>
      <c r="AD5" s="199" t="s">
        <v>96</v>
      </c>
      <c r="AE5" s="200"/>
      <c r="AF5" s="199" t="s">
        <v>96</v>
      </c>
      <c r="AG5" s="200"/>
      <c r="AH5" s="199" t="s">
        <v>96</v>
      </c>
      <c r="AI5" s="200"/>
    </row>
    <row r="6" spans="1:38" s="10" customFormat="1" ht="50.1" hidden="1" customHeight="1">
      <c r="A6" s="107" t="s">
        <v>98</v>
      </c>
      <c r="B6" s="107"/>
      <c r="C6" s="107" t="s">
        <v>99</v>
      </c>
      <c r="D6" s="107" t="s">
        <v>100</v>
      </c>
      <c r="E6" s="107" t="s">
        <v>99</v>
      </c>
      <c r="F6" s="107" t="s">
        <v>100</v>
      </c>
      <c r="G6" s="107" t="s">
        <v>99</v>
      </c>
      <c r="H6" s="107" t="s">
        <v>100</v>
      </c>
      <c r="I6" s="107" t="s">
        <v>101</v>
      </c>
      <c r="J6" s="107" t="s">
        <v>99</v>
      </c>
      <c r="K6" s="107" t="s">
        <v>100</v>
      </c>
      <c r="L6" s="107" t="s">
        <v>99</v>
      </c>
      <c r="M6" s="107" t="s">
        <v>100</v>
      </c>
      <c r="N6" s="107" t="s">
        <v>99</v>
      </c>
      <c r="O6" s="107" t="s">
        <v>100</v>
      </c>
      <c r="P6" s="107" t="s">
        <v>101</v>
      </c>
      <c r="Q6" s="107" t="s">
        <v>99</v>
      </c>
      <c r="R6" s="107" t="s">
        <v>100</v>
      </c>
      <c r="S6" s="107" t="s">
        <v>101</v>
      </c>
      <c r="T6" s="107" t="s">
        <v>99</v>
      </c>
      <c r="U6" s="107" t="s">
        <v>100</v>
      </c>
      <c r="V6" s="107" t="s">
        <v>101</v>
      </c>
      <c r="W6" s="107" t="s">
        <v>99</v>
      </c>
      <c r="X6" s="107" t="s">
        <v>100</v>
      </c>
      <c r="Y6" s="107" t="s">
        <v>101</v>
      </c>
      <c r="Z6" s="107" t="s">
        <v>99</v>
      </c>
      <c r="AA6" s="107" t="s">
        <v>100</v>
      </c>
      <c r="AB6" s="107" t="s">
        <v>99</v>
      </c>
      <c r="AC6" s="107" t="s">
        <v>100</v>
      </c>
      <c r="AD6" s="107" t="s">
        <v>99</v>
      </c>
      <c r="AE6" s="107" t="s">
        <v>100</v>
      </c>
      <c r="AF6" s="107" t="s">
        <v>99</v>
      </c>
      <c r="AG6" s="107" t="s">
        <v>100</v>
      </c>
      <c r="AH6" s="107" t="s">
        <v>99</v>
      </c>
      <c r="AI6" s="107" t="s">
        <v>100</v>
      </c>
      <c r="AK6" s="107" t="s">
        <v>64</v>
      </c>
      <c r="AL6" s="107" t="s">
        <v>66</v>
      </c>
    </row>
    <row r="7" spans="1:38" s="147" customFormat="1" ht="39.950000000000003" customHeight="1">
      <c r="A7" s="145">
        <v>44043</v>
      </c>
      <c r="B7" s="146"/>
      <c r="C7" s="74">
        <v>391727</v>
      </c>
      <c r="D7" s="17">
        <v>3651</v>
      </c>
      <c r="E7" s="74">
        <v>55767</v>
      </c>
      <c r="F7" s="17">
        <v>4953</v>
      </c>
      <c r="G7" s="74">
        <v>721457</v>
      </c>
      <c r="H7" s="17">
        <v>13670</v>
      </c>
      <c r="I7" s="17">
        <v>6835</v>
      </c>
      <c r="J7" s="74">
        <v>657266</v>
      </c>
      <c r="K7" s="17">
        <v>5081</v>
      </c>
      <c r="L7" s="74">
        <v>126773</v>
      </c>
      <c r="M7" s="17">
        <v>6596</v>
      </c>
      <c r="N7" s="74">
        <v>687582</v>
      </c>
      <c r="O7" s="17">
        <v>14770</v>
      </c>
      <c r="P7" s="17">
        <v>7385</v>
      </c>
      <c r="Q7" s="74">
        <v>70677</v>
      </c>
      <c r="R7" s="17">
        <v>560</v>
      </c>
      <c r="S7" s="17">
        <v>280</v>
      </c>
      <c r="T7" s="74">
        <v>23874</v>
      </c>
      <c r="U7" s="17">
        <v>920</v>
      </c>
      <c r="V7" s="17">
        <v>460</v>
      </c>
      <c r="W7" s="74">
        <v>74418</v>
      </c>
      <c r="X7" s="17">
        <v>49</v>
      </c>
      <c r="Y7" s="17">
        <v>24.5</v>
      </c>
      <c r="Z7" s="74">
        <v>2618</v>
      </c>
      <c r="AA7" s="17"/>
      <c r="AB7" s="74">
        <v>4962</v>
      </c>
      <c r="AC7" s="17"/>
      <c r="AD7" s="74">
        <v>9055</v>
      </c>
      <c r="AE7" s="17"/>
      <c r="AF7" s="74">
        <v>5085</v>
      </c>
      <c r="AG7" s="17"/>
      <c r="AH7" s="74">
        <v>24752</v>
      </c>
      <c r="AI7" s="17"/>
      <c r="AK7" s="97"/>
      <c r="AL7" s="98"/>
    </row>
    <row r="8" spans="1:38" s="2" customFormat="1" ht="39.950000000000003" customHeight="1">
      <c r="A8" s="145">
        <v>44044</v>
      </c>
      <c r="B8" s="15"/>
      <c r="C8" s="49">
        <v>395395</v>
      </c>
      <c r="D8" s="17">
        <f>(C8-C7)*10</f>
        <v>36680</v>
      </c>
      <c r="E8" s="49">
        <v>60733</v>
      </c>
      <c r="F8" s="17">
        <f>(E8-E7)*10</f>
        <v>49660</v>
      </c>
      <c r="G8" s="49">
        <v>722875</v>
      </c>
      <c r="H8" s="17">
        <f>(G8-G7)*10</f>
        <v>14180</v>
      </c>
      <c r="I8" s="17">
        <f>H8*50%</f>
        <v>7090</v>
      </c>
      <c r="J8" s="49">
        <v>661950</v>
      </c>
      <c r="K8" s="17">
        <f>(J8-J7)*10</f>
        <v>46840</v>
      </c>
      <c r="L8" s="49">
        <v>133415</v>
      </c>
      <c r="M8" s="17">
        <f>(L8-L7)*10</f>
        <v>66420</v>
      </c>
      <c r="N8" s="49">
        <v>689036</v>
      </c>
      <c r="O8" s="17">
        <f t="shared" ref="O8:O24" si="0">(N8-N7)*10</f>
        <v>14540</v>
      </c>
      <c r="P8" s="17">
        <f>O8*50%</f>
        <v>7270</v>
      </c>
      <c r="Q8" s="49">
        <v>70879</v>
      </c>
      <c r="R8" s="17">
        <f t="shared" ref="R8:R24" si="1">(Q8-Q7)*10</f>
        <v>2020</v>
      </c>
      <c r="S8" s="17">
        <f>R8*50%</f>
        <v>1010</v>
      </c>
      <c r="T8" s="49">
        <v>23876</v>
      </c>
      <c r="U8" s="17">
        <f>(T8-T7)*10</f>
        <v>20</v>
      </c>
      <c r="V8" s="17">
        <f>U8*50%</f>
        <v>10</v>
      </c>
      <c r="W8" s="49">
        <v>74841</v>
      </c>
      <c r="X8" s="17">
        <f>(W8-W7)*10</f>
        <v>4230</v>
      </c>
      <c r="Y8" s="17">
        <f>X8*50%</f>
        <v>2115</v>
      </c>
      <c r="Z8" s="49">
        <v>2713</v>
      </c>
      <c r="AA8" s="17">
        <f>(Z8-Z7)*10</f>
        <v>950</v>
      </c>
      <c r="AB8" s="49">
        <v>5136</v>
      </c>
      <c r="AC8" s="17">
        <f>(AB8-AB7)*10</f>
        <v>1740</v>
      </c>
      <c r="AD8" s="49">
        <v>9406</v>
      </c>
      <c r="AE8" s="17">
        <f>(AD8-AD7)*10</f>
        <v>3510</v>
      </c>
      <c r="AF8" s="49">
        <v>5273</v>
      </c>
      <c r="AG8" s="17">
        <f>(AF8-AF7)*10</f>
        <v>1880</v>
      </c>
      <c r="AH8" s="49">
        <v>25675</v>
      </c>
      <c r="AI8" s="17">
        <f>(AH8-AH7)*10</f>
        <v>9230</v>
      </c>
      <c r="AK8" s="97">
        <f>SUM(D8,F8,I8,K8,M8,P8,S8,V8,Y8)</f>
        <v>217095</v>
      </c>
      <c r="AL8" s="98">
        <f>SUM(P8,S8,V8,Y8,AA8,AC8,AE8,AG8,AI8)</f>
        <v>27715</v>
      </c>
    </row>
    <row r="9" spans="1:38" ht="39.950000000000003" customHeight="1">
      <c r="A9" s="145">
        <v>44045</v>
      </c>
      <c r="B9" s="16"/>
      <c r="C9" s="49">
        <v>398929</v>
      </c>
      <c r="D9" s="17">
        <f t="shared" ref="D9:F25" si="2">(C9-C8)*10</f>
        <v>35340</v>
      </c>
      <c r="E9" s="49">
        <v>65555</v>
      </c>
      <c r="F9" s="17">
        <f t="shared" si="2"/>
        <v>48220</v>
      </c>
      <c r="G9" s="49">
        <v>724281</v>
      </c>
      <c r="H9" s="17">
        <f t="shared" ref="H9" si="3">(G9-G8)*10</f>
        <v>14060</v>
      </c>
      <c r="I9" s="17">
        <f t="shared" ref="I9:I24" si="4">H9*50%</f>
        <v>7030</v>
      </c>
      <c r="J9" s="49">
        <v>666754</v>
      </c>
      <c r="K9" s="17">
        <f t="shared" ref="K9" si="5">(J9-J8)*10</f>
        <v>48040</v>
      </c>
      <c r="L9" s="49">
        <v>140191</v>
      </c>
      <c r="M9" s="17">
        <f t="shared" ref="M9" si="6">(L9-L8)*10</f>
        <v>67760</v>
      </c>
      <c r="N9" s="49">
        <v>690481</v>
      </c>
      <c r="O9" s="17">
        <f t="shared" si="0"/>
        <v>14450</v>
      </c>
      <c r="P9" s="17">
        <f t="shared" ref="P9:P24" si="7">O9*50%</f>
        <v>7225</v>
      </c>
      <c r="Q9" s="49">
        <v>70882</v>
      </c>
      <c r="R9" s="17">
        <f t="shared" si="1"/>
        <v>30</v>
      </c>
      <c r="S9" s="17">
        <f t="shared" ref="S9:S24" si="8">R9*50%</f>
        <v>15</v>
      </c>
      <c r="T9" s="49">
        <v>23878</v>
      </c>
      <c r="U9" s="17">
        <f t="shared" ref="U9" si="9">(T9-T8)*10</f>
        <v>20</v>
      </c>
      <c r="V9" s="17">
        <f t="shared" ref="V9:V24" si="10">U9*50%</f>
        <v>10</v>
      </c>
      <c r="W9" s="49">
        <v>75311</v>
      </c>
      <c r="X9" s="17">
        <f t="shared" ref="X9:X38" si="11">(W9-W8)*10</f>
        <v>4700</v>
      </c>
      <c r="Y9" s="17">
        <f t="shared" ref="Y9:Y24" si="12">X9*50%</f>
        <v>2350</v>
      </c>
      <c r="Z9" s="49">
        <v>2802</v>
      </c>
      <c r="AA9" s="17">
        <f t="shared" ref="AA9:AC38" si="13">(Z9-Z8)*10</f>
        <v>890</v>
      </c>
      <c r="AB9" s="49">
        <v>5299</v>
      </c>
      <c r="AC9" s="17">
        <f t="shared" si="13"/>
        <v>1630</v>
      </c>
      <c r="AD9" s="49">
        <v>9744</v>
      </c>
      <c r="AE9" s="17">
        <f t="shared" ref="AE9" si="14">(AD9-AD8)*10</f>
        <v>3380</v>
      </c>
      <c r="AF9" s="49">
        <v>5459</v>
      </c>
      <c r="AG9" s="17">
        <f t="shared" ref="AG9:AI9" si="15">(AF9-AF8)*10</f>
        <v>1860</v>
      </c>
      <c r="AH9" s="49">
        <v>26690</v>
      </c>
      <c r="AI9" s="17">
        <f t="shared" si="15"/>
        <v>10150</v>
      </c>
      <c r="AK9" s="97">
        <f t="shared" ref="AK9:AK24" si="16">SUM(D9,F9,I9,K9,M9,P9,S9,V9,Y9)</f>
        <v>215990</v>
      </c>
      <c r="AL9" s="98">
        <f t="shared" ref="AL9:AL24" si="17">SUM(P9,S9,V9,Y9,AA9,AC9,AE9,AG9,AI9)</f>
        <v>27510</v>
      </c>
    </row>
    <row r="10" spans="1:38" ht="39.950000000000003" customHeight="1">
      <c r="A10" s="145">
        <v>44046</v>
      </c>
      <c r="B10" s="16"/>
      <c r="C10" s="49">
        <v>402492</v>
      </c>
      <c r="D10" s="17">
        <f t="shared" si="2"/>
        <v>35630</v>
      </c>
      <c r="E10" s="49">
        <v>70194</v>
      </c>
      <c r="F10" s="17">
        <f t="shared" si="2"/>
        <v>46390</v>
      </c>
      <c r="G10" s="49">
        <v>725777</v>
      </c>
      <c r="H10" s="17">
        <f t="shared" ref="H10" si="18">(G10-G9)*10</f>
        <v>14960</v>
      </c>
      <c r="I10" s="17">
        <f t="shared" si="4"/>
        <v>7480</v>
      </c>
      <c r="J10" s="49">
        <v>671722</v>
      </c>
      <c r="K10" s="17">
        <f t="shared" ref="K10" si="19">(J10-J9)*10</f>
        <v>49680</v>
      </c>
      <c r="L10" s="49">
        <v>146843</v>
      </c>
      <c r="M10" s="17">
        <f t="shared" ref="M10" si="20">(L10-L9)*10</f>
        <v>66520</v>
      </c>
      <c r="N10" s="49">
        <v>691030</v>
      </c>
      <c r="O10" s="17">
        <f t="shared" si="0"/>
        <v>5490</v>
      </c>
      <c r="P10" s="17">
        <f t="shared" si="7"/>
        <v>2745</v>
      </c>
      <c r="Q10" s="49">
        <v>70884</v>
      </c>
      <c r="R10" s="17">
        <f t="shared" si="1"/>
        <v>20</v>
      </c>
      <c r="S10" s="17">
        <f t="shared" si="8"/>
        <v>10</v>
      </c>
      <c r="T10" s="49">
        <v>23881</v>
      </c>
      <c r="U10" s="17">
        <f t="shared" ref="U10" si="21">(T10-T9)*10</f>
        <v>30</v>
      </c>
      <c r="V10" s="17">
        <f t="shared" si="10"/>
        <v>15</v>
      </c>
      <c r="W10" s="49">
        <v>75318</v>
      </c>
      <c r="X10" s="17">
        <f t="shared" si="11"/>
        <v>70</v>
      </c>
      <c r="Y10" s="17">
        <f t="shared" si="12"/>
        <v>35</v>
      </c>
      <c r="Z10" s="49">
        <v>2897</v>
      </c>
      <c r="AA10" s="17">
        <f t="shared" si="13"/>
        <v>950</v>
      </c>
      <c r="AB10" s="49">
        <v>5477</v>
      </c>
      <c r="AC10" s="17">
        <f t="shared" si="13"/>
        <v>1780</v>
      </c>
      <c r="AD10" s="49">
        <v>10095</v>
      </c>
      <c r="AE10" s="17">
        <f t="shared" ref="AE10" si="22">(AD10-AD9)*10</f>
        <v>3510</v>
      </c>
      <c r="AF10" s="49">
        <v>5652</v>
      </c>
      <c r="AG10" s="17">
        <f t="shared" ref="AG10:AI10" si="23">(AF10-AF9)*10</f>
        <v>1930</v>
      </c>
      <c r="AH10" s="49">
        <v>27514</v>
      </c>
      <c r="AI10" s="17">
        <f t="shared" si="23"/>
        <v>8240</v>
      </c>
      <c r="AK10" s="97">
        <f t="shared" si="16"/>
        <v>208505</v>
      </c>
      <c r="AL10" s="98">
        <f t="shared" si="17"/>
        <v>19215</v>
      </c>
    </row>
    <row r="11" spans="1:38" ht="39.950000000000003" customHeight="1">
      <c r="A11" s="145">
        <v>44047</v>
      </c>
      <c r="B11" s="16"/>
      <c r="C11" s="49">
        <v>406072</v>
      </c>
      <c r="D11" s="17">
        <f t="shared" si="2"/>
        <v>35800</v>
      </c>
      <c r="E11" s="49">
        <v>74871</v>
      </c>
      <c r="F11" s="17">
        <f t="shared" si="2"/>
        <v>46770</v>
      </c>
      <c r="G11" s="49">
        <v>727116</v>
      </c>
      <c r="H11" s="17">
        <f>(G11-G10)*10</f>
        <v>13390</v>
      </c>
      <c r="I11" s="17">
        <f t="shared" si="4"/>
        <v>6695</v>
      </c>
      <c r="J11" s="49">
        <v>676642</v>
      </c>
      <c r="K11" s="17">
        <f t="shared" ref="K11" si="24">(J11-J10)*10</f>
        <v>49200</v>
      </c>
      <c r="L11" s="49">
        <v>153340</v>
      </c>
      <c r="M11" s="17">
        <f t="shared" ref="M11" si="25">(L11-L10)*10</f>
        <v>64970</v>
      </c>
      <c r="N11" s="49">
        <v>693676</v>
      </c>
      <c r="O11" s="17">
        <f t="shared" si="0"/>
        <v>26460</v>
      </c>
      <c r="P11" s="17">
        <f t="shared" si="7"/>
        <v>13230</v>
      </c>
      <c r="Q11" s="49">
        <v>71057</v>
      </c>
      <c r="R11" s="17">
        <f t="shared" si="1"/>
        <v>1730</v>
      </c>
      <c r="S11" s="17">
        <f t="shared" si="8"/>
        <v>865</v>
      </c>
      <c r="T11" s="49">
        <v>23883</v>
      </c>
      <c r="U11" s="17">
        <f t="shared" ref="U11" si="26">(T11-T10)*10</f>
        <v>20</v>
      </c>
      <c r="V11" s="17">
        <f t="shared" si="10"/>
        <v>10</v>
      </c>
      <c r="W11" s="49">
        <v>75326</v>
      </c>
      <c r="X11" s="17">
        <f t="shared" si="11"/>
        <v>80</v>
      </c>
      <c r="Y11" s="17">
        <f t="shared" si="12"/>
        <v>40</v>
      </c>
      <c r="Z11" s="49">
        <v>2992</v>
      </c>
      <c r="AA11" s="17">
        <f t="shared" si="13"/>
        <v>950</v>
      </c>
      <c r="AB11" s="49">
        <v>5655</v>
      </c>
      <c r="AC11" s="17">
        <f t="shared" si="13"/>
        <v>1780</v>
      </c>
      <c r="AD11" s="49">
        <v>10451</v>
      </c>
      <c r="AE11" s="17">
        <f t="shared" ref="AE11" si="27">(AD11-AD10)*10</f>
        <v>3560</v>
      </c>
      <c r="AF11" s="49">
        <v>5850</v>
      </c>
      <c r="AG11" s="17">
        <f t="shared" ref="AG11:AI11" si="28">(AF11-AF10)*10</f>
        <v>1980</v>
      </c>
      <c r="AH11" s="49">
        <v>28459</v>
      </c>
      <c r="AI11" s="17">
        <f t="shared" si="28"/>
        <v>9450</v>
      </c>
      <c r="AK11" s="97">
        <f t="shared" si="16"/>
        <v>217580</v>
      </c>
      <c r="AL11" s="98">
        <f t="shared" si="17"/>
        <v>31865</v>
      </c>
    </row>
    <row r="12" spans="1:38" ht="39.950000000000003" customHeight="1">
      <c r="A12" s="145">
        <v>44048</v>
      </c>
      <c r="B12" s="16"/>
      <c r="C12" s="49">
        <v>409733</v>
      </c>
      <c r="D12" s="17">
        <f t="shared" si="2"/>
        <v>36610</v>
      </c>
      <c r="E12" s="49">
        <v>79643</v>
      </c>
      <c r="F12" s="17">
        <f t="shared" si="2"/>
        <v>47720</v>
      </c>
      <c r="G12" s="49">
        <v>728552</v>
      </c>
      <c r="H12" s="17">
        <f t="shared" ref="H12" si="29">(G12-G11)*10</f>
        <v>14360</v>
      </c>
      <c r="I12" s="17">
        <f t="shared" si="4"/>
        <v>7180</v>
      </c>
      <c r="J12" s="49">
        <v>681572</v>
      </c>
      <c r="K12" s="17">
        <f t="shared" ref="K12" si="30">(J12-J11)*10</f>
        <v>49300</v>
      </c>
      <c r="L12" s="49">
        <v>159877</v>
      </c>
      <c r="M12" s="17">
        <f t="shared" ref="M12" si="31">(L12-L11)*10</f>
        <v>65370</v>
      </c>
      <c r="N12" s="49">
        <v>695165</v>
      </c>
      <c r="O12" s="17">
        <f t="shared" si="0"/>
        <v>14890</v>
      </c>
      <c r="P12" s="17">
        <f t="shared" si="7"/>
        <v>7445</v>
      </c>
      <c r="Q12" s="49">
        <v>71059</v>
      </c>
      <c r="R12" s="17">
        <f t="shared" si="1"/>
        <v>20</v>
      </c>
      <c r="S12" s="17">
        <f t="shared" si="8"/>
        <v>10</v>
      </c>
      <c r="T12" s="49">
        <v>23885</v>
      </c>
      <c r="U12" s="17">
        <f t="shared" ref="U12" si="32">(T12-T11)*10</f>
        <v>20</v>
      </c>
      <c r="V12" s="17">
        <f t="shared" si="10"/>
        <v>10</v>
      </c>
      <c r="W12" s="49">
        <v>75699</v>
      </c>
      <c r="X12" s="17">
        <f t="shared" si="11"/>
        <v>3730</v>
      </c>
      <c r="Y12" s="17">
        <f t="shared" si="12"/>
        <v>1865</v>
      </c>
      <c r="Z12" s="49">
        <v>3085</v>
      </c>
      <c r="AA12" s="17">
        <f t="shared" si="13"/>
        <v>930</v>
      </c>
      <c r="AB12" s="49">
        <v>5836</v>
      </c>
      <c r="AC12" s="17">
        <f t="shared" si="13"/>
        <v>1810</v>
      </c>
      <c r="AD12" s="49">
        <v>10796</v>
      </c>
      <c r="AE12" s="17">
        <f t="shared" ref="AE12" si="33">(AD12-AD11)*10</f>
        <v>3450</v>
      </c>
      <c r="AF12" s="49">
        <v>6051</v>
      </c>
      <c r="AG12" s="17">
        <f t="shared" ref="AG12:AI12" si="34">(AF12-AF11)*10</f>
        <v>2010</v>
      </c>
      <c r="AH12" s="49">
        <v>29392</v>
      </c>
      <c r="AI12" s="17">
        <f t="shared" si="34"/>
        <v>9330</v>
      </c>
      <c r="AK12" s="97">
        <f t="shared" si="16"/>
        <v>215510</v>
      </c>
      <c r="AL12" s="98">
        <f t="shared" si="17"/>
        <v>26860</v>
      </c>
    </row>
    <row r="13" spans="1:38" ht="39.950000000000003" customHeight="1">
      <c r="A13" s="145">
        <v>44049</v>
      </c>
      <c r="B13" s="16"/>
      <c r="C13" s="49">
        <v>413508</v>
      </c>
      <c r="D13" s="17">
        <f t="shared" si="2"/>
        <v>37750</v>
      </c>
      <c r="E13" s="49">
        <v>84503</v>
      </c>
      <c r="F13" s="17">
        <f t="shared" si="2"/>
        <v>48600</v>
      </c>
      <c r="G13" s="49">
        <v>730008</v>
      </c>
      <c r="H13" s="17">
        <f t="shared" ref="H13" si="35">(G13-G12)*10</f>
        <v>14560</v>
      </c>
      <c r="I13" s="17">
        <f t="shared" si="4"/>
        <v>7280</v>
      </c>
      <c r="J13" s="49">
        <v>686780</v>
      </c>
      <c r="K13" s="17">
        <f t="shared" ref="K13" si="36">(J13-J12)*10</f>
        <v>52080</v>
      </c>
      <c r="L13" s="49">
        <v>166952</v>
      </c>
      <c r="M13" s="17">
        <f t="shared" ref="M13" si="37">(L13-L12)*10</f>
        <v>70750</v>
      </c>
      <c r="N13" s="49">
        <v>696689</v>
      </c>
      <c r="O13" s="17">
        <f t="shared" si="0"/>
        <v>15240</v>
      </c>
      <c r="P13" s="17">
        <f t="shared" si="7"/>
        <v>7620</v>
      </c>
      <c r="Q13" s="49">
        <v>71604</v>
      </c>
      <c r="R13" s="17">
        <f t="shared" si="1"/>
        <v>5450</v>
      </c>
      <c r="S13" s="17">
        <f t="shared" si="8"/>
        <v>2725</v>
      </c>
      <c r="T13" s="49">
        <v>23888</v>
      </c>
      <c r="U13" s="17">
        <f t="shared" ref="U13" si="38">(T13-T12)*10</f>
        <v>30</v>
      </c>
      <c r="V13" s="17">
        <f t="shared" si="10"/>
        <v>15</v>
      </c>
      <c r="W13" s="49">
        <v>75696</v>
      </c>
      <c r="X13" s="17">
        <f t="shared" si="11"/>
        <v>-30</v>
      </c>
      <c r="Y13" s="17">
        <f t="shared" si="12"/>
        <v>-15</v>
      </c>
      <c r="Z13" s="49">
        <v>3184</v>
      </c>
      <c r="AA13" s="17">
        <f t="shared" si="13"/>
        <v>990</v>
      </c>
      <c r="AB13" s="49">
        <v>6029</v>
      </c>
      <c r="AC13" s="17">
        <f t="shared" si="13"/>
        <v>1930</v>
      </c>
      <c r="AD13" s="49">
        <v>11157</v>
      </c>
      <c r="AE13" s="17">
        <f t="shared" ref="AE13" si="39">(AD13-AD12)*10</f>
        <v>3610</v>
      </c>
      <c r="AF13" s="49">
        <v>6266</v>
      </c>
      <c r="AG13" s="17">
        <f t="shared" ref="AG13:AI13" si="40">(AF13-AF12)*10</f>
        <v>2150</v>
      </c>
      <c r="AH13" s="49">
        <v>30414</v>
      </c>
      <c r="AI13" s="17">
        <f t="shared" si="40"/>
        <v>10220</v>
      </c>
      <c r="AK13" s="97">
        <f t="shared" si="16"/>
        <v>226805</v>
      </c>
      <c r="AL13" s="98">
        <f t="shared" si="17"/>
        <v>29245</v>
      </c>
    </row>
    <row r="14" spans="1:38" ht="39.950000000000003" customHeight="1">
      <c r="A14" s="145">
        <v>44050</v>
      </c>
      <c r="B14" s="16"/>
      <c r="C14" s="49">
        <v>417308</v>
      </c>
      <c r="D14" s="17">
        <f t="shared" si="2"/>
        <v>38000</v>
      </c>
      <c r="E14" s="49">
        <v>89569</v>
      </c>
      <c r="F14" s="17">
        <f t="shared" si="2"/>
        <v>50660</v>
      </c>
      <c r="G14" s="49">
        <v>731544</v>
      </c>
      <c r="H14" s="17">
        <f t="shared" ref="H14" si="41">(G14-G13)*10</f>
        <v>15360</v>
      </c>
      <c r="I14" s="17">
        <f t="shared" si="4"/>
        <v>7680</v>
      </c>
      <c r="J14" s="49">
        <v>691970</v>
      </c>
      <c r="K14" s="17">
        <f t="shared" ref="K14" si="42">(J14-J13)*10</f>
        <v>51900</v>
      </c>
      <c r="L14" s="49">
        <v>174212</v>
      </c>
      <c r="M14" s="17">
        <f t="shared" ref="M14" si="43">(L14-L13)*10</f>
        <v>72600</v>
      </c>
      <c r="N14" s="49">
        <v>698273</v>
      </c>
      <c r="O14" s="17">
        <f t="shared" si="0"/>
        <v>15840</v>
      </c>
      <c r="P14" s="17">
        <f t="shared" si="7"/>
        <v>7920</v>
      </c>
      <c r="Q14" s="49">
        <v>72011</v>
      </c>
      <c r="R14" s="17">
        <f t="shared" si="1"/>
        <v>4070</v>
      </c>
      <c r="S14" s="17">
        <f t="shared" si="8"/>
        <v>2035</v>
      </c>
      <c r="T14" s="49">
        <v>23971</v>
      </c>
      <c r="U14" s="17">
        <f t="shared" ref="U14" si="44">(T14-T13)*10</f>
        <v>830</v>
      </c>
      <c r="V14" s="17">
        <f t="shared" si="10"/>
        <v>415</v>
      </c>
      <c r="W14" s="49">
        <v>75844</v>
      </c>
      <c r="X14" s="17">
        <f t="shared" si="11"/>
        <v>1480</v>
      </c>
      <c r="Y14" s="17">
        <f t="shared" si="12"/>
        <v>740</v>
      </c>
      <c r="Z14" s="49">
        <v>3282</v>
      </c>
      <c r="AA14" s="17">
        <f t="shared" si="13"/>
        <v>980</v>
      </c>
      <c r="AB14" s="49">
        <v>6201</v>
      </c>
      <c r="AC14" s="17">
        <f t="shared" si="13"/>
        <v>1720</v>
      </c>
      <c r="AD14" s="49">
        <v>11497</v>
      </c>
      <c r="AE14" s="17">
        <f t="shared" ref="AE14" si="45">(AD14-AD13)*10</f>
        <v>3400</v>
      </c>
      <c r="AF14" s="49">
        <v>6451</v>
      </c>
      <c r="AG14" s="17">
        <f t="shared" ref="AG14:AI14" si="46">(AF14-AF13)*10</f>
        <v>1850</v>
      </c>
      <c r="AH14" s="49">
        <v>31355</v>
      </c>
      <c r="AI14" s="17">
        <f t="shared" si="46"/>
        <v>9410</v>
      </c>
      <c r="AK14" s="97">
        <f t="shared" si="16"/>
        <v>231950</v>
      </c>
      <c r="AL14" s="98">
        <f t="shared" si="17"/>
        <v>28470</v>
      </c>
    </row>
    <row r="15" spans="1:38" ht="39.950000000000003" customHeight="1">
      <c r="A15" s="145">
        <v>44051</v>
      </c>
      <c r="B15" s="16"/>
      <c r="C15" s="49">
        <v>421269</v>
      </c>
      <c r="D15" s="17">
        <f t="shared" si="2"/>
        <v>39610</v>
      </c>
      <c r="E15" s="49">
        <v>95148</v>
      </c>
      <c r="F15" s="17">
        <f t="shared" si="2"/>
        <v>55790</v>
      </c>
      <c r="G15" s="49">
        <v>732712</v>
      </c>
      <c r="H15" s="17">
        <f t="shared" ref="H15" si="47">(G15-G14)*10</f>
        <v>11680</v>
      </c>
      <c r="I15" s="17">
        <f t="shared" si="4"/>
        <v>5840</v>
      </c>
      <c r="J15" s="49">
        <v>697124</v>
      </c>
      <c r="K15" s="17">
        <f t="shared" ref="K15" si="48">(J15-J14)*10</f>
        <v>51540</v>
      </c>
      <c r="L15" s="49">
        <v>181962</v>
      </c>
      <c r="M15" s="17">
        <f t="shared" ref="M15" si="49">(L15-L14)*10</f>
        <v>77500</v>
      </c>
      <c r="N15" s="49">
        <v>699886</v>
      </c>
      <c r="O15" s="17">
        <f t="shared" si="0"/>
        <v>16130</v>
      </c>
      <c r="P15" s="17">
        <f t="shared" si="7"/>
        <v>8065</v>
      </c>
      <c r="Q15" s="49">
        <v>72700</v>
      </c>
      <c r="R15" s="17">
        <f t="shared" si="1"/>
        <v>6890</v>
      </c>
      <c r="S15" s="17">
        <f t="shared" si="8"/>
        <v>3445</v>
      </c>
      <c r="T15" s="49">
        <v>23973</v>
      </c>
      <c r="U15" s="17">
        <f t="shared" ref="U15" si="50">(T15-T14)*10</f>
        <v>20</v>
      </c>
      <c r="V15" s="17">
        <f t="shared" si="10"/>
        <v>10</v>
      </c>
      <c r="W15" s="49">
        <v>76115</v>
      </c>
      <c r="X15" s="17">
        <f t="shared" si="11"/>
        <v>2710</v>
      </c>
      <c r="Y15" s="17">
        <f t="shared" si="12"/>
        <v>1355</v>
      </c>
      <c r="Z15" s="49">
        <v>3377</v>
      </c>
      <c r="AA15" s="17">
        <f t="shared" si="13"/>
        <v>950</v>
      </c>
      <c r="AB15" s="49">
        <v>6371</v>
      </c>
      <c r="AC15" s="17">
        <f t="shared" si="13"/>
        <v>1700</v>
      </c>
      <c r="AD15" s="49">
        <v>11841</v>
      </c>
      <c r="AE15" s="17">
        <f t="shared" ref="AE15" si="51">(AD15-AD14)*10</f>
        <v>3440</v>
      </c>
      <c r="AF15" s="49">
        <v>6642</v>
      </c>
      <c r="AG15" s="17">
        <f t="shared" ref="AG15:AI15" si="52">(AF15-AF14)*10</f>
        <v>1910</v>
      </c>
      <c r="AH15" s="49">
        <v>32322</v>
      </c>
      <c r="AI15" s="17">
        <f t="shared" si="52"/>
        <v>9670</v>
      </c>
      <c r="AK15" s="97">
        <f t="shared" si="16"/>
        <v>243155</v>
      </c>
      <c r="AL15" s="98">
        <f t="shared" si="17"/>
        <v>30545</v>
      </c>
    </row>
    <row r="16" spans="1:38" ht="39.950000000000003" customHeight="1">
      <c r="A16" s="145">
        <v>44052</v>
      </c>
      <c r="B16" s="16"/>
      <c r="C16" s="49">
        <v>425251</v>
      </c>
      <c r="D16" s="17">
        <f t="shared" si="2"/>
        <v>39820</v>
      </c>
      <c r="E16" s="49">
        <v>100789</v>
      </c>
      <c r="F16" s="17">
        <f t="shared" si="2"/>
        <v>56410</v>
      </c>
      <c r="G16" s="49">
        <v>733055</v>
      </c>
      <c r="H16" s="17">
        <f t="shared" ref="H16" si="53">(G16-G15)*10</f>
        <v>3430</v>
      </c>
      <c r="I16" s="17">
        <f t="shared" si="4"/>
        <v>1715</v>
      </c>
      <c r="J16" s="49">
        <v>702342</v>
      </c>
      <c r="K16" s="17">
        <f t="shared" ref="K16" si="54">(J16-J15)*10</f>
        <v>52180</v>
      </c>
      <c r="L16" s="49">
        <v>189962</v>
      </c>
      <c r="M16" s="17">
        <f t="shared" ref="M16" si="55">(L16-L15)*10</f>
        <v>80000</v>
      </c>
      <c r="N16" s="49">
        <v>701462</v>
      </c>
      <c r="O16" s="17">
        <f t="shared" si="0"/>
        <v>15760</v>
      </c>
      <c r="P16" s="17">
        <f t="shared" si="7"/>
        <v>7880</v>
      </c>
      <c r="Q16" s="49">
        <v>73716</v>
      </c>
      <c r="R16" s="17">
        <f t="shared" si="1"/>
        <v>10160</v>
      </c>
      <c r="S16" s="17">
        <f t="shared" si="8"/>
        <v>5080</v>
      </c>
      <c r="T16" s="49">
        <v>24625</v>
      </c>
      <c r="U16" s="17">
        <f t="shared" ref="U16" si="56">(T16-T15)*10</f>
        <v>6520</v>
      </c>
      <c r="V16" s="17">
        <f t="shared" si="10"/>
        <v>3260</v>
      </c>
      <c r="W16" s="49">
        <v>76158</v>
      </c>
      <c r="X16" s="17">
        <f t="shared" si="11"/>
        <v>430</v>
      </c>
      <c r="Y16" s="17">
        <f t="shared" si="12"/>
        <v>215</v>
      </c>
      <c r="Z16" s="49">
        <v>3471</v>
      </c>
      <c r="AA16" s="17">
        <f t="shared" si="13"/>
        <v>940</v>
      </c>
      <c r="AB16" s="49">
        <v>6538</v>
      </c>
      <c r="AC16" s="17">
        <f t="shared" si="13"/>
        <v>1670</v>
      </c>
      <c r="AD16" s="49">
        <v>12176</v>
      </c>
      <c r="AE16" s="17">
        <f t="shared" ref="AE16" si="57">(AD16-AD15)*10</f>
        <v>3350</v>
      </c>
      <c r="AF16" s="49">
        <v>6829</v>
      </c>
      <c r="AG16" s="17">
        <f t="shared" ref="AG16:AI16" si="58">(AF16-AF15)*10</f>
        <v>1870</v>
      </c>
      <c r="AH16" s="49">
        <v>33298</v>
      </c>
      <c r="AI16" s="17">
        <f t="shared" si="58"/>
        <v>9760</v>
      </c>
      <c r="AK16" s="97">
        <f t="shared" si="16"/>
        <v>246560</v>
      </c>
      <c r="AL16" s="98">
        <f t="shared" si="17"/>
        <v>34025</v>
      </c>
    </row>
    <row r="17" spans="1:38" ht="39.950000000000003" customHeight="1">
      <c r="A17" s="145">
        <v>44053</v>
      </c>
      <c r="B17" s="16"/>
      <c r="C17" s="49">
        <v>429239</v>
      </c>
      <c r="D17" s="17">
        <f t="shared" si="2"/>
        <v>39880</v>
      </c>
      <c r="E17" s="49">
        <v>106269</v>
      </c>
      <c r="F17" s="17">
        <f t="shared" si="2"/>
        <v>54800</v>
      </c>
      <c r="G17" s="49">
        <v>733404</v>
      </c>
      <c r="H17" s="17">
        <f t="shared" ref="H17" si="59">(G17-G16)*10</f>
        <v>3490</v>
      </c>
      <c r="I17" s="17">
        <f t="shared" si="4"/>
        <v>1745</v>
      </c>
      <c r="J17" s="49">
        <v>707479</v>
      </c>
      <c r="K17" s="17">
        <f t="shared" ref="K17" si="60">(J17-J16)*10</f>
        <v>51370</v>
      </c>
      <c r="L17" s="49">
        <v>197975</v>
      </c>
      <c r="M17" s="17">
        <f t="shared" ref="M17" si="61">(L17-L16)*10</f>
        <v>80130</v>
      </c>
      <c r="N17" s="49">
        <v>703065</v>
      </c>
      <c r="O17" s="17">
        <f t="shared" si="0"/>
        <v>16030</v>
      </c>
      <c r="P17" s="17">
        <f t="shared" si="7"/>
        <v>8015</v>
      </c>
      <c r="Q17" s="49">
        <v>74734</v>
      </c>
      <c r="R17" s="17">
        <f t="shared" si="1"/>
        <v>10180</v>
      </c>
      <c r="S17" s="17">
        <f t="shared" si="8"/>
        <v>5090</v>
      </c>
      <c r="T17" s="49">
        <v>25324</v>
      </c>
      <c r="U17" s="17">
        <f t="shared" ref="U17" si="62">(T17-T16)*10</f>
        <v>6990</v>
      </c>
      <c r="V17" s="17">
        <f t="shared" si="10"/>
        <v>3495</v>
      </c>
      <c r="W17" s="49">
        <v>76202</v>
      </c>
      <c r="X17" s="17">
        <f t="shared" si="11"/>
        <v>440</v>
      </c>
      <c r="Y17" s="17">
        <f t="shared" si="12"/>
        <v>220</v>
      </c>
      <c r="Z17" s="49">
        <v>3567</v>
      </c>
      <c r="AA17" s="17">
        <f t="shared" si="13"/>
        <v>960</v>
      </c>
      <c r="AB17" s="49">
        <v>6713</v>
      </c>
      <c r="AC17" s="17">
        <f t="shared" si="13"/>
        <v>1750</v>
      </c>
      <c r="AD17" s="49">
        <v>12523</v>
      </c>
      <c r="AE17" s="17">
        <f t="shared" ref="AE17" si="63">(AD17-AD16)*10</f>
        <v>3470</v>
      </c>
      <c r="AF17" s="49">
        <v>7022</v>
      </c>
      <c r="AG17" s="17">
        <f t="shared" ref="AG17:AI17" si="64">(AF17-AF16)*10</f>
        <v>1930</v>
      </c>
      <c r="AH17" s="49">
        <v>34279</v>
      </c>
      <c r="AI17" s="17">
        <f t="shared" si="64"/>
        <v>9810</v>
      </c>
      <c r="AK17" s="97">
        <f t="shared" si="16"/>
        <v>244745</v>
      </c>
      <c r="AL17" s="98">
        <f t="shared" si="17"/>
        <v>34740</v>
      </c>
    </row>
    <row r="18" spans="1:38" ht="39.950000000000003" customHeight="1">
      <c r="A18" s="145">
        <v>44054</v>
      </c>
      <c r="B18" s="16"/>
      <c r="C18" s="49">
        <v>433079</v>
      </c>
      <c r="D18" s="17">
        <f t="shared" si="2"/>
        <v>38400</v>
      </c>
      <c r="E18" s="49">
        <v>111607</v>
      </c>
      <c r="F18" s="17">
        <f t="shared" si="2"/>
        <v>53380</v>
      </c>
      <c r="G18" s="49">
        <v>733724</v>
      </c>
      <c r="H18" s="17">
        <f t="shared" ref="H18" si="65">(G18-G17)*10</f>
        <v>3200</v>
      </c>
      <c r="I18" s="17">
        <f t="shared" si="4"/>
        <v>1600</v>
      </c>
      <c r="J18" s="49">
        <v>712722</v>
      </c>
      <c r="K18" s="17">
        <f t="shared" ref="K18" si="66">(J18-J17)*10</f>
        <v>52430</v>
      </c>
      <c r="L18" s="49">
        <v>205837</v>
      </c>
      <c r="M18" s="17">
        <f t="shared" ref="M18" si="67">(L18-L17)*10</f>
        <v>78620</v>
      </c>
      <c r="N18" s="49">
        <v>704062</v>
      </c>
      <c r="O18" s="17">
        <f t="shared" si="0"/>
        <v>9970</v>
      </c>
      <c r="P18" s="17">
        <f t="shared" si="7"/>
        <v>4985</v>
      </c>
      <c r="Q18" s="49">
        <v>75814</v>
      </c>
      <c r="R18" s="17">
        <f t="shared" si="1"/>
        <v>10800</v>
      </c>
      <c r="S18" s="17">
        <f t="shared" si="8"/>
        <v>5400</v>
      </c>
      <c r="T18" s="49">
        <v>26112</v>
      </c>
      <c r="U18" s="17">
        <f t="shared" ref="U18" si="68">(T18-T17)*10</f>
        <v>7880</v>
      </c>
      <c r="V18" s="17">
        <f t="shared" si="10"/>
        <v>3940</v>
      </c>
      <c r="W18" s="49">
        <v>76889</v>
      </c>
      <c r="X18" s="17">
        <f t="shared" si="11"/>
        <v>6870</v>
      </c>
      <c r="Y18" s="17">
        <f t="shared" si="12"/>
        <v>3435</v>
      </c>
      <c r="Z18" s="49">
        <v>3664</v>
      </c>
      <c r="AA18" s="17">
        <f t="shared" si="13"/>
        <v>970</v>
      </c>
      <c r="AB18" s="49">
        <v>6895</v>
      </c>
      <c r="AC18" s="17">
        <f t="shared" si="13"/>
        <v>1820</v>
      </c>
      <c r="AD18" s="49">
        <v>12877</v>
      </c>
      <c r="AE18" s="17">
        <f t="shared" ref="AE18" si="69">(AD18-AD17)*10</f>
        <v>3540</v>
      </c>
      <c r="AF18" s="49">
        <v>7223</v>
      </c>
      <c r="AG18" s="17">
        <f t="shared" ref="AG18:AI18" si="70">(AF18-AF17)*10</f>
        <v>2010</v>
      </c>
      <c r="AH18" s="49">
        <v>35294</v>
      </c>
      <c r="AI18" s="17">
        <f t="shared" si="70"/>
        <v>10150</v>
      </c>
      <c r="AK18" s="97">
        <f t="shared" si="16"/>
        <v>242190</v>
      </c>
      <c r="AL18" s="98">
        <f t="shared" si="17"/>
        <v>36250</v>
      </c>
    </row>
    <row r="19" spans="1:38" ht="39.950000000000003" customHeight="1">
      <c r="A19" s="145">
        <v>44055</v>
      </c>
      <c r="B19" s="16"/>
      <c r="C19" s="49">
        <v>436882</v>
      </c>
      <c r="D19" s="17">
        <f t="shared" si="2"/>
        <v>38030</v>
      </c>
      <c r="E19" s="49">
        <v>116709</v>
      </c>
      <c r="F19" s="17">
        <f t="shared" si="2"/>
        <v>51020</v>
      </c>
      <c r="G19" s="49">
        <v>734025</v>
      </c>
      <c r="H19" s="17">
        <f t="shared" ref="H19" si="71">(G19-G18)*10</f>
        <v>3010</v>
      </c>
      <c r="I19" s="17">
        <f t="shared" si="4"/>
        <v>1505</v>
      </c>
      <c r="J19" s="49">
        <v>717928</v>
      </c>
      <c r="K19" s="17">
        <f t="shared" ref="K19" si="72">(J19-J18)*10</f>
        <v>52060</v>
      </c>
      <c r="L19" s="49">
        <v>213689</v>
      </c>
      <c r="M19" s="17">
        <f t="shared" ref="M19" si="73">(L19-L18)*10</f>
        <v>78520</v>
      </c>
      <c r="N19" s="49">
        <v>704552</v>
      </c>
      <c r="O19" s="17">
        <f t="shared" si="0"/>
        <v>4900</v>
      </c>
      <c r="P19" s="17">
        <f t="shared" si="7"/>
        <v>2450</v>
      </c>
      <c r="Q19" s="49">
        <v>76713</v>
      </c>
      <c r="R19" s="17">
        <f t="shared" si="1"/>
        <v>8990</v>
      </c>
      <c r="S19" s="17">
        <f t="shared" si="8"/>
        <v>4495</v>
      </c>
      <c r="T19" s="49">
        <v>26762</v>
      </c>
      <c r="U19" s="17">
        <f t="shared" ref="U19" si="74">(T19-T18)*10</f>
        <v>6500</v>
      </c>
      <c r="V19" s="17">
        <f t="shared" si="10"/>
        <v>3250</v>
      </c>
      <c r="W19" s="49">
        <v>77933</v>
      </c>
      <c r="X19" s="17">
        <f t="shared" si="11"/>
        <v>10440</v>
      </c>
      <c r="Y19" s="17">
        <f t="shared" si="12"/>
        <v>5220</v>
      </c>
      <c r="Z19" s="49">
        <v>3764</v>
      </c>
      <c r="AA19" s="17">
        <f t="shared" si="13"/>
        <v>1000</v>
      </c>
      <c r="AB19" s="49">
        <v>7075</v>
      </c>
      <c r="AC19" s="17">
        <f t="shared" si="13"/>
        <v>1800</v>
      </c>
      <c r="AD19" s="49">
        <v>13229</v>
      </c>
      <c r="AE19" s="17">
        <f t="shared" ref="AE19" si="75">(AD19-AD18)*10</f>
        <v>3520</v>
      </c>
      <c r="AF19" s="49">
        <v>7422</v>
      </c>
      <c r="AG19" s="17">
        <f t="shared" ref="AG19:AI19" si="76">(AF19-AF18)*10</f>
        <v>1990</v>
      </c>
      <c r="AH19" s="49">
        <v>36281</v>
      </c>
      <c r="AI19" s="17">
        <f t="shared" si="76"/>
        <v>9870</v>
      </c>
      <c r="AK19" s="97">
        <f t="shared" si="16"/>
        <v>236550</v>
      </c>
      <c r="AL19" s="98">
        <f t="shared" si="17"/>
        <v>33595</v>
      </c>
    </row>
    <row r="20" spans="1:38" ht="39.950000000000003" customHeight="1">
      <c r="A20" s="145">
        <v>44056</v>
      </c>
      <c r="B20" s="16"/>
      <c r="C20" s="49">
        <v>440687</v>
      </c>
      <c r="D20" s="17">
        <f t="shared" si="2"/>
        <v>38050</v>
      </c>
      <c r="E20" s="49">
        <v>122048</v>
      </c>
      <c r="F20" s="17">
        <f t="shared" si="2"/>
        <v>53390</v>
      </c>
      <c r="G20" s="49">
        <v>734318</v>
      </c>
      <c r="H20" s="17">
        <f t="shared" ref="H20" si="77">(G20-G19)*10</f>
        <v>2930</v>
      </c>
      <c r="I20" s="17">
        <f t="shared" si="4"/>
        <v>1465</v>
      </c>
      <c r="J20" s="49">
        <v>723226</v>
      </c>
      <c r="K20" s="17">
        <f t="shared" ref="K20" si="78">(J20-J19)*10</f>
        <v>52980</v>
      </c>
      <c r="L20" s="49">
        <v>221662</v>
      </c>
      <c r="M20" s="17">
        <f t="shared" ref="M20" si="79">(L20-L19)*10</f>
        <v>79730</v>
      </c>
      <c r="N20" s="49">
        <v>705047</v>
      </c>
      <c r="O20" s="17">
        <f t="shared" si="0"/>
        <v>4950</v>
      </c>
      <c r="P20" s="17">
        <f t="shared" si="7"/>
        <v>2475</v>
      </c>
      <c r="Q20" s="49">
        <v>77416</v>
      </c>
      <c r="R20" s="17">
        <f t="shared" si="1"/>
        <v>7030</v>
      </c>
      <c r="S20" s="17">
        <f t="shared" si="8"/>
        <v>3515</v>
      </c>
      <c r="T20" s="49">
        <v>27726</v>
      </c>
      <c r="U20" s="17">
        <f t="shared" ref="U20" si="80">(T20-T19)*10</f>
        <v>9640</v>
      </c>
      <c r="V20" s="17">
        <f t="shared" si="10"/>
        <v>4820</v>
      </c>
      <c r="W20" s="49">
        <v>78984</v>
      </c>
      <c r="X20" s="17">
        <f t="shared" si="11"/>
        <v>10510</v>
      </c>
      <c r="Y20" s="17">
        <f t="shared" si="12"/>
        <v>5255</v>
      </c>
      <c r="Z20" s="49">
        <v>3862</v>
      </c>
      <c r="AA20" s="17">
        <f t="shared" si="13"/>
        <v>980</v>
      </c>
      <c r="AB20" s="49">
        <v>7250</v>
      </c>
      <c r="AC20" s="17">
        <f t="shared" si="13"/>
        <v>1750</v>
      </c>
      <c r="AD20" s="49">
        <v>13566</v>
      </c>
      <c r="AE20" s="17">
        <f t="shared" ref="AE20" si="81">(AD20-AD19)*10</f>
        <v>3370</v>
      </c>
      <c r="AF20" s="49">
        <v>7611</v>
      </c>
      <c r="AG20" s="17">
        <f t="shared" ref="AG20:AI20" si="82">(AF20-AF19)*10</f>
        <v>1890</v>
      </c>
      <c r="AH20" s="49">
        <v>37254</v>
      </c>
      <c r="AI20" s="17">
        <f t="shared" si="82"/>
        <v>9730</v>
      </c>
      <c r="AK20" s="97">
        <f t="shared" si="16"/>
        <v>241680</v>
      </c>
      <c r="AL20" s="98">
        <f t="shared" si="17"/>
        <v>33785</v>
      </c>
    </row>
    <row r="21" spans="1:38" ht="39.950000000000003" customHeight="1">
      <c r="A21" s="145">
        <v>44057</v>
      </c>
      <c r="B21" s="16"/>
      <c r="C21" s="49">
        <v>444704</v>
      </c>
      <c r="D21" s="17">
        <f t="shared" si="2"/>
        <v>40170</v>
      </c>
      <c r="E21" s="49">
        <v>127591</v>
      </c>
      <c r="F21" s="17">
        <f t="shared" si="2"/>
        <v>55430</v>
      </c>
      <c r="G21" s="49">
        <v>734628</v>
      </c>
      <c r="H21" s="17">
        <f t="shared" ref="H21" si="83">(G21-G20)*10</f>
        <v>3100</v>
      </c>
      <c r="I21" s="17">
        <f t="shared" si="4"/>
        <v>1550</v>
      </c>
      <c r="J21" s="49">
        <v>728600</v>
      </c>
      <c r="K21" s="17">
        <f t="shared" ref="K21" si="84">(J21-J20)*10</f>
        <v>53740</v>
      </c>
      <c r="L21" s="49">
        <v>229726</v>
      </c>
      <c r="M21" s="17">
        <f t="shared" ref="M21" si="85">(L21-L20)*10</f>
        <v>80640</v>
      </c>
      <c r="N21" s="49">
        <v>705545</v>
      </c>
      <c r="O21" s="17">
        <f t="shared" si="0"/>
        <v>4980</v>
      </c>
      <c r="P21" s="17">
        <f t="shared" si="7"/>
        <v>2490</v>
      </c>
      <c r="Q21" s="49">
        <v>78446</v>
      </c>
      <c r="R21" s="17">
        <f t="shared" si="1"/>
        <v>10300</v>
      </c>
      <c r="S21" s="17">
        <f t="shared" si="8"/>
        <v>5150</v>
      </c>
      <c r="T21" s="49">
        <v>28721</v>
      </c>
      <c r="U21" s="17">
        <f t="shared" ref="U21" si="86">(T21-T20)*10</f>
        <v>9950</v>
      </c>
      <c r="V21" s="17">
        <f t="shared" si="10"/>
        <v>4975</v>
      </c>
      <c r="W21" s="49">
        <v>79680</v>
      </c>
      <c r="X21" s="17">
        <f t="shared" si="11"/>
        <v>6960</v>
      </c>
      <c r="Y21" s="17">
        <f t="shared" si="12"/>
        <v>3480</v>
      </c>
      <c r="Z21" s="49">
        <v>3961</v>
      </c>
      <c r="AA21" s="17">
        <f t="shared" si="13"/>
        <v>990</v>
      </c>
      <c r="AB21" s="49">
        <v>7429</v>
      </c>
      <c r="AC21" s="17">
        <f t="shared" si="13"/>
        <v>1790</v>
      </c>
      <c r="AD21" s="49">
        <v>13920</v>
      </c>
      <c r="AE21" s="17">
        <f t="shared" ref="AE21" si="87">(AD21-AD20)*10</f>
        <v>3540</v>
      </c>
      <c r="AF21" s="49">
        <v>7810</v>
      </c>
      <c r="AG21" s="17">
        <f t="shared" ref="AG21:AI21" si="88">(AF21-AF20)*10</f>
        <v>1990</v>
      </c>
      <c r="AH21" s="49">
        <v>38253</v>
      </c>
      <c r="AI21" s="17">
        <f t="shared" si="88"/>
        <v>9990</v>
      </c>
      <c r="AK21" s="97">
        <f t="shared" si="16"/>
        <v>247625</v>
      </c>
      <c r="AL21" s="98">
        <f t="shared" si="17"/>
        <v>34395</v>
      </c>
    </row>
    <row r="22" spans="1:38" ht="39.950000000000003" customHeight="1">
      <c r="A22" s="145">
        <v>44058</v>
      </c>
      <c r="B22" s="16"/>
      <c r="C22" s="49">
        <v>448735</v>
      </c>
      <c r="D22" s="17">
        <f t="shared" si="2"/>
        <v>40310</v>
      </c>
      <c r="E22" s="49">
        <v>133246</v>
      </c>
      <c r="F22" s="17">
        <f t="shared" si="2"/>
        <v>56550</v>
      </c>
      <c r="G22" s="49">
        <v>734938</v>
      </c>
      <c r="H22" s="17">
        <f t="shared" ref="H22" si="89">(G22-G21)*10</f>
        <v>3100</v>
      </c>
      <c r="I22" s="17">
        <f t="shared" si="4"/>
        <v>1550</v>
      </c>
      <c r="J22" s="49">
        <v>734115</v>
      </c>
      <c r="K22" s="17">
        <f t="shared" ref="K22" si="90">(J22-J21)*10</f>
        <v>55150</v>
      </c>
      <c r="L22" s="49">
        <v>238046</v>
      </c>
      <c r="M22" s="17">
        <f t="shared" ref="M22" si="91">(L22-L21)*10</f>
        <v>83200</v>
      </c>
      <c r="N22" s="49">
        <v>706045</v>
      </c>
      <c r="O22" s="17">
        <f t="shared" si="0"/>
        <v>5000</v>
      </c>
      <c r="P22" s="17">
        <f t="shared" si="7"/>
        <v>2500</v>
      </c>
      <c r="Q22" s="49">
        <v>79510</v>
      </c>
      <c r="R22" s="17">
        <f t="shared" si="1"/>
        <v>10640</v>
      </c>
      <c r="S22" s="17">
        <f t="shared" si="8"/>
        <v>5320</v>
      </c>
      <c r="T22" s="49">
        <v>29757</v>
      </c>
      <c r="U22" s="17">
        <f t="shared" ref="U22" si="92">(T22-T21)*10</f>
        <v>10360</v>
      </c>
      <c r="V22" s="17">
        <f t="shared" si="10"/>
        <v>5180</v>
      </c>
      <c r="W22" s="49">
        <v>80436</v>
      </c>
      <c r="X22" s="17">
        <f t="shared" si="11"/>
        <v>7560</v>
      </c>
      <c r="Y22" s="17">
        <f t="shared" si="12"/>
        <v>3780</v>
      </c>
      <c r="Z22" s="49">
        <v>4059</v>
      </c>
      <c r="AA22" s="17">
        <f t="shared" si="13"/>
        <v>980</v>
      </c>
      <c r="AB22" s="49">
        <v>7598</v>
      </c>
      <c r="AC22" s="17">
        <f t="shared" si="13"/>
        <v>1690</v>
      </c>
      <c r="AD22" s="49">
        <v>14239</v>
      </c>
      <c r="AE22" s="17">
        <f t="shared" ref="AE22" si="93">(AD22-AD21)*10</f>
        <v>3190</v>
      </c>
      <c r="AF22" s="49">
        <v>8006</v>
      </c>
      <c r="AG22" s="17">
        <f t="shared" ref="AG22:AI22" si="94">(AF22-AF21)*10</f>
        <v>1960</v>
      </c>
      <c r="AH22" s="49">
        <v>39255</v>
      </c>
      <c r="AI22" s="17">
        <f t="shared" si="94"/>
        <v>10020</v>
      </c>
      <c r="AK22" s="97">
        <f t="shared" si="16"/>
        <v>253540</v>
      </c>
      <c r="AL22" s="98">
        <f t="shared" si="17"/>
        <v>34620</v>
      </c>
    </row>
    <row r="23" spans="1:38" ht="39.950000000000003" customHeight="1">
      <c r="A23" s="145">
        <v>44059</v>
      </c>
      <c r="B23" s="16"/>
      <c r="C23" s="49">
        <v>452718</v>
      </c>
      <c r="D23" s="17">
        <f t="shared" si="2"/>
        <v>39830</v>
      </c>
      <c r="E23" s="49">
        <v>139018</v>
      </c>
      <c r="F23" s="17">
        <f t="shared" si="2"/>
        <v>57720</v>
      </c>
      <c r="G23" s="49">
        <v>735250</v>
      </c>
      <c r="H23" s="17">
        <f t="shared" ref="H23" si="95">(G23-G22)*10</f>
        <v>3120</v>
      </c>
      <c r="I23" s="17">
        <f t="shared" si="4"/>
        <v>1560</v>
      </c>
      <c r="J23" s="49">
        <v>739385</v>
      </c>
      <c r="K23" s="17">
        <f t="shared" ref="K23" si="96">(J23-J22)*10</f>
        <v>52700</v>
      </c>
      <c r="L23" s="49">
        <v>245923</v>
      </c>
      <c r="M23" s="17">
        <f t="shared" ref="M23" si="97">(L23-L22)*10</f>
        <v>78770</v>
      </c>
      <c r="N23" s="49">
        <v>706540</v>
      </c>
      <c r="O23" s="17">
        <f t="shared" si="0"/>
        <v>4950</v>
      </c>
      <c r="P23" s="17">
        <f t="shared" si="7"/>
        <v>2475</v>
      </c>
      <c r="Q23" s="49">
        <v>80484</v>
      </c>
      <c r="R23" s="17">
        <f t="shared" si="1"/>
        <v>9740</v>
      </c>
      <c r="S23" s="17">
        <f t="shared" si="8"/>
        <v>4870</v>
      </c>
      <c r="T23" s="49">
        <v>30687</v>
      </c>
      <c r="U23" s="17">
        <f t="shared" ref="U23" si="98">(T23-T22)*10</f>
        <v>9300</v>
      </c>
      <c r="V23" s="17">
        <f t="shared" si="10"/>
        <v>4650</v>
      </c>
      <c r="W23" s="49">
        <v>81215</v>
      </c>
      <c r="X23" s="17">
        <f t="shared" si="11"/>
        <v>7790</v>
      </c>
      <c r="Y23" s="17">
        <f t="shared" si="12"/>
        <v>3895</v>
      </c>
      <c r="Z23" s="49">
        <v>4153</v>
      </c>
      <c r="AA23" s="17">
        <f t="shared" si="13"/>
        <v>940</v>
      </c>
      <c r="AB23" s="49">
        <v>7756</v>
      </c>
      <c r="AC23" s="17">
        <f t="shared" si="13"/>
        <v>1580</v>
      </c>
      <c r="AD23" s="49">
        <v>14593</v>
      </c>
      <c r="AE23" s="17">
        <f t="shared" ref="AE23" si="99">(AD23-AD22)*10</f>
        <v>3540</v>
      </c>
      <c r="AF23" s="49">
        <v>8184</v>
      </c>
      <c r="AG23" s="17">
        <f t="shared" ref="AG23:AI23" si="100">(AF23-AF22)*10</f>
        <v>1780</v>
      </c>
      <c r="AH23" s="49">
        <v>40211</v>
      </c>
      <c r="AI23" s="17">
        <f t="shared" si="100"/>
        <v>9560</v>
      </c>
      <c r="AK23" s="97">
        <f t="shared" si="16"/>
        <v>246470</v>
      </c>
      <c r="AL23" s="98">
        <f t="shared" si="17"/>
        <v>33290</v>
      </c>
    </row>
    <row r="24" spans="1:38" ht="39.950000000000003" customHeight="1">
      <c r="A24" s="145">
        <v>44060</v>
      </c>
      <c r="B24" s="16"/>
      <c r="C24" s="49">
        <v>456759</v>
      </c>
      <c r="D24" s="17">
        <f t="shared" si="2"/>
        <v>40410</v>
      </c>
      <c r="E24" s="49">
        <v>144460</v>
      </c>
      <c r="F24" s="17">
        <f t="shared" si="2"/>
        <v>54420</v>
      </c>
      <c r="G24" s="49">
        <v>735571</v>
      </c>
      <c r="H24" s="17">
        <f t="shared" ref="H24" si="101">(G24-G23)*10</f>
        <v>3210</v>
      </c>
      <c r="I24" s="17">
        <f t="shared" si="4"/>
        <v>1605</v>
      </c>
      <c r="J24" s="49">
        <v>744876</v>
      </c>
      <c r="K24" s="17">
        <f t="shared" ref="K24:K25" si="102">(J24-J23)*10</f>
        <v>54910</v>
      </c>
      <c r="L24" s="49">
        <v>254043</v>
      </c>
      <c r="M24" s="17">
        <f t="shared" ref="M24:M25" si="103">(L24-L23)*10</f>
        <v>81200</v>
      </c>
      <c r="N24" s="49">
        <v>707035</v>
      </c>
      <c r="O24" s="17">
        <f t="shared" si="0"/>
        <v>4950</v>
      </c>
      <c r="P24" s="17">
        <f t="shared" si="7"/>
        <v>2475</v>
      </c>
      <c r="Q24" s="49">
        <v>81436</v>
      </c>
      <c r="R24" s="17">
        <f t="shared" si="1"/>
        <v>9520</v>
      </c>
      <c r="S24" s="17">
        <f t="shared" si="8"/>
        <v>4760</v>
      </c>
      <c r="T24" s="49">
        <v>31338</v>
      </c>
      <c r="U24" s="17">
        <f t="shared" ref="U24" si="104">(T24-T23)*10</f>
        <v>6510</v>
      </c>
      <c r="V24" s="17">
        <f t="shared" si="10"/>
        <v>3255</v>
      </c>
      <c r="W24" s="49">
        <v>82245</v>
      </c>
      <c r="X24" s="17">
        <f t="shared" si="11"/>
        <v>10300</v>
      </c>
      <c r="Y24" s="17">
        <f t="shared" si="12"/>
        <v>5150</v>
      </c>
      <c r="Z24" s="49">
        <v>4253</v>
      </c>
      <c r="AA24" s="17">
        <f t="shared" si="13"/>
        <v>1000</v>
      </c>
      <c r="AB24" s="49">
        <v>7935</v>
      </c>
      <c r="AC24" s="17">
        <f t="shared" si="13"/>
        <v>1790</v>
      </c>
      <c r="AD24" s="49">
        <v>14946</v>
      </c>
      <c r="AE24" s="17">
        <f t="shared" ref="AE24" si="105">(AD24-AD23)*10</f>
        <v>3530</v>
      </c>
      <c r="AF24" s="49">
        <v>8377</v>
      </c>
      <c r="AG24" s="17">
        <f t="shared" ref="AG24:AI24" si="106">(AF24-AF23)*10</f>
        <v>1930</v>
      </c>
      <c r="AH24" s="49">
        <v>41195</v>
      </c>
      <c r="AI24" s="17">
        <f t="shared" si="106"/>
        <v>9840</v>
      </c>
      <c r="AK24" s="97">
        <f t="shared" si="16"/>
        <v>248185</v>
      </c>
      <c r="AL24" s="98">
        <f t="shared" si="17"/>
        <v>33730</v>
      </c>
    </row>
    <row r="25" spans="1:38" ht="39.950000000000003" customHeight="1">
      <c r="A25" s="145">
        <v>44061</v>
      </c>
      <c r="B25" s="16"/>
      <c r="C25" s="49">
        <v>460642</v>
      </c>
      <c r="D25" s="17">
        <f t="shared" si="2"/>
        <v>38830</v>
      </c>
      <c r="E25" s="49">
        <v>150110</v>
      </c>
      <c r="F25" s="17">
        <f t="shared" si="2"/>
        <v>56500</v>
      </c>
      <c r="G25" s="49">
        <v>735882</v>
      </c>
      <c r="H25" s="17">
        <f t="shared" ref="H25:H35" si="107">(G25-G24)*10</f>
        <v>3110</v>
      </c>
      <c r="I25" s="17">
        <f t="shared" ref="I25:I35" si="108">H25*50%</f>
        <v>1555</v>
      </c>
      <c r="J25" s="49">
        <v>750395</v>
      </c>
      <c r="K25" s="17">
        <f t="shared" si="102"/>
        <v>55190</v>
      </c>
      <c r="L25" s="49">
        <v>262434</v>
      </c>
      <c r="M25" s="17">
        <f t="shared" si="103"/>
        <v>83910</v>
      </c>
      <c r="N25" s="49">
        <v>707536</v>
      </c>
      <c r="O25" s="17">
        <f t="shared" ref="O25:O35" si="109">(N25-N24)*10</f>
        <v>5010</v>
      </c>
      <c r="P25" s="17">
        <f t="shared" ref="P25:P35" si="110">O25*50%</f>
        <v>2505</v>
      </c>
      <c r="Q25" s="49">
        <v>82417</v>
      </c>
      <c r="R25" s="17">
        <f t="shared" ref="R25:R35" si="111">(Q25-Q24)*10</f>
        <v>9810</v>
      </c>
      <c r="S25" s="17">
        <f t="shared" ref="S25:S35" si="112">R25*50%</f>
        <v>4905</v>
      </c>
      <c r="T25" s="49">
        <v>31968</v>
      </c>
      <c r="U25" s="17">
        <f t="shared" ref="U25:U35" si="113">(T25-T24)*10</f>
        <v>6300</v>
      </c>
      <c r="V25" s="17">
        <f t="shared" ref="V25:V35" si="114">U25*50%</f>
        <v>3150</v>
      </c>
      <c r="W25" s="49">
        <v>83182</v>
      </c>
      <c r="X25" s="17">
        <f t="shared" si="11"/>
        <v>9370</v>
      </c>
      <c r="Y25" s="17">
        <f t="shared" ref="Y25:Y35" si="115">X25*50%</f>
        <v>4685</v>
      </c>
      <c r="Z25" s="49">
        <v>4355</v>
      </c>
      <c r="AA25" s="17">
        <f t="shared" si="13"/>
        <v>1020</v>
      </c>
      <c r="AB25" s="49">
        <v>8123</v>
      </c>
      <c r="AC25" s="17">
        <f t="shared" si="13"/>
        <v>1880</v>
      </c>
      <c r="AD25" s="49">
        <v>15308</v>
      </c>
      <c r="AE25" s="17">
        <f t="shared" ref="AE25" si="116">(AD25-AD24)*10</f>
        <v>3620</v>
      </c>
      <c r="AF25" s="49">
        <v>8578</v>
      </c>
      <c r="AG25" s="17">
        <f t="shared" ref="AG25:AI25" si="117">(AF25-AF24)*10</f>
        <v>2010</v>
      </c>
      <c r="AH25" s="49">
        <v>42190</v>
      </c>
      <c r="AI25" s="17">
        <f t="shared" si="117"/>
        <v>9950</v>
      </c>
      <c r="AK25" s="97">
        <f t="shared" ref="AK25:AK35" si="118">SUM(D25,F25,I25,K25,M25,P25,S25,V25,Y25)</f>
        <v>251230</v>
      </c>
      <c r="AL25" s="98">
        <f t="shared" ref="AL25:AL35" si="119">SUM(P25,S25,V25,Y25,AA25,AC25,AE25,AG25,AI25)</f>
        <v>33725</v>
      </c>
    </row>
    <row r="26" spans="1:38" ht="39.950000000000003" customHeight="1">
      <c r="A26" s="145">
        <v>44062</v>
      </c>
      <c r="B26" s="16"/>
      <c r="C26" s="49">
        <v>473</v>
      </c>
      <c r="D26" s="17">
        <v>40000</v>
      </c>
      <c r="E26" s="49">
        <v>524</v>
      </c>
      <c r="F26" s="17">
        <v>56000</v>
      </c>
      <c r="G26" s="49">
        <v>736181</v>
      </c>
      <c r="H26" s="17">
        <f t="shared" si="107"/>
        <v>2990</v>
      </c>
      <c r="I26" s="17">
        <f t="shared" si="108"/>
        <v>1495</v>
      </c>
      <c r="J26" s="49">
        <v>490</v>
      </c>
      <c r="K26" s="17">
        <v>52000</v>
      </c>
      <c r="L26" s="49">
        <v>654</v>
      </c>
      <c r="M26" s="17">
        <v>80000</v>
      </c>
      <c r="N26" s="49">
        <v>708015</v>
      </c>
      <c r="O26" s="17">
        <f t="shared" si="109"/>
        <v>4790</v>
      </c>
      <c r="P26" s="17">
        <f t="shared" si="110"/>
        <v>2395</v>
      </c>
      <c r="Q26" s="49">
        <v>83322</v>
      </c>
      <c r="R26" s="17">
        <f t="shared" si="111"/>
        <v>9050</v>
      </c>
      <c r="S26" s="17">
        <f t="shared" si="112"/>
        <v>4525</v>
      </c>
      <c r="T26" s="49">
        <v>32753</v>
      </c>
      <c r="U26" s="17">
        <f t="shared" si="113"/>
        <v>7850</v>
      </c>
      <c r="V26" s="17">
        <f t="shared" si="114"/>
        <v>3925</v>
      </c>
      <c r="W26" s="49">
        <v>83814</v>
      </c>
      <c r="X26" s="17">
        <f t="shared" si="11"/>
        <v>6320</v>
      </c>
      <c r="Y26" s="17">
        <f t="shared" si="115"/>
        <v>3160</v>
      </c>
      <c r="Z26" s="49">
        <v>4451</v>
      </c>
      <c r="AA26" s="17">
        <f t="shared" si="13"/>
        <v>960</v>
      </c>
      <c r="AB26" s="49">
        <v>8288</v>
      </c>
      <c r="AC26" s="17">
        <f t="shared" si="13"/>
        <v>1650</v>
      </c>
      <c r="AD26" s="49">
        <v>15632</v>
      </c>
      <c r="AE26" s="17">
        <f t="shared" ref="AE26" si="120">(AD26-AD25)*10</f>
        <v>3240</v>
      </c>
      <c r="AF26" s="49">
        <v>8758</v>
      </c>
      <c r="AG26" s="17">
        <f t="shared" ref="AG26:AI26" si="121">(AF26-AF25)*10</f>
        <v>1800</v>
      </c>
      <c r="AH26" s="49">
        <v>43087</v>
      </c>
      <c r="AI26" s="17">
        <f t="shared" si="121"/>
        <v>8970</v>
      </c>
      <c r="AK26" s="97">
        <f t="shared" si="118"/>
        <v>243500</v>
      </c>
      <c r="AL26" s="98">
        <f t="shared" si="119"/>
        <v>30625</v>
      </c>
    </row>
    <row r="27" spans="1:38" ht="39.950000000000003" customHeight="1">
      <c r="A27" s="145">
        <v>44063</v>
      </c>
      <c r="B27" s="16"/>
      <c r="C27" s="49">
        <v>876</v>
      </c>
      <c r="D27" s="17">
        <f>(C27-C26)*100</f>
        <v>40300</v>
      </c>
      <c r="E27" s="49">
        <v>1084</v>
      </c>
      <c r="F27" s="17">
        <f>(E27-E26)*100</f>
        <v>56000</v>
      </c>
      <c r="G27" s="49">
        <v>736491</v>
      </c>
      <c r="H27" s="17">
        <f t="shared" si="107"/>
        <v>3100</v>
      </c>
      <c r="I27" s="17">
        <f t="shared" si="108"/>
        <v>1550</v>
      </c>
      <c r="J27" s="49">
        <v>1010</v>
      </c>
      <c r="K27" s="17">
        <f>(J27-J26)*100</f>
        <v>52000</v>
      </c>
      <c r="L27" s="49">
        <v>1452</v>
      </c>
      <c r="M27" s="17">
        <f>(L27-L26)*100</f>
        <v>79800</v>
      </c>
      <c r="N27" s="49">
        <v>708521</v>
      </c>
      <c r="O27" s="17">
        <f t="shared" si="109"/>
        <v>5060</v>
      </c>
      <c r="P27" s="17">
        <f t="shared" si="110"/>
        <v>2530</v>
      </c>
      <c r="Q27" s="49">
        <v>84331</v>
      </c>
      <c r="R27" s="17">
        <f t="shared" si="111"/>
        <v>10090</v>
      </c>
      <c r="S27" s="17">
        <f t="shared" si="112"/>
        <v>5045</v>
      </c>
      <c r="T27" s="49">
        <v>33323</v>
      </c>
      <c r="U27" s="17">
        <f t="shared" si="113"/>
        <v>5700</v>
      </c>
      <c r="V27" s="17">
        <f t="shared" si="114"/>
        <v>2850</v>
      </c>
      <c r="W27" s="49">
        <v>84892</v>
      </c>
      <c r="X27" s="17">
        <f t="shared" si="11"/>
        <v>10780</v>
      </c>
      <c r="Y27" s="17">
        <f t="shared" si="115"/>
        <v>5390</v>
      </c>
      <c r="Z27" s="49">
        <v>4547</v>
      </c>
      <c r="AA27" s="17">
        <f t="shared" si="13"/>
        <v>960</v>
      </c>
      <c r="AB27" s="49">
        <v>8465</v>
      </c>
      <c r="AC27" s="17">
        <f t="shared" si="13"/>
        <v>1770</v>
      </c>
      <c r="AD27" s="49">
        <v>15983</v>
      </c>
      <c r="AE27" s="17">
        <f t="shared" ref="AE27" si="122">(AD27-AD26)*10</f>
        <v>3510</v>
      </c>
      <c r="AF27" s="49">
        <v>8950</v>
      </c>
      <c r="AG27" s="17">
        <f t="shared" ref="AG27:AI27" si="123">(AF27-AF26)*10</f>
        <v>1920</v>
      </c>
      <c r="AH27" s="49">
        <v>44033</v>
      </c>
      <c r="AI27" s="17">
        <f t="shared" si="123"/>
        <v>9460</v>
      </c>
      <c r="AK27" s="97">
        <f t="shared" si="118"/>
        <v>245465</v>
      </c>
      <c r="AL27" s="98">
        <f t="shared" si="119"/>
        <v>33435</v>
      </c>
    </row>
    <row r="28" spans="1:38" ht="39.950000000000003" customHeight="1">
      <c r="A28" s="145">
        <v>44064</v>
      </c>
      <c r="B28" s="16"/>
      <c r="C28" s="49">
        <v>1276</v>
      </c>
      <c r="D28" s="17">
        <f t="shared" ref="D28:D38" si="124">(C28-C27)*100</f>
        <v>40000</v>
      </c>
      <c r="E28" s="49">
        <v>1643</v>
      </c>
      <c r="F28" s="17">
        <f t="shared" ref="F28:F38" si="125">(E28-E27)*100</f>
        <v>55900</v>
      </c>
      <c r="G28" s="49">
        <v>736801</v>
      </c>
      <c r="H28" s="17">
        <f t="shared" si="107"/>
        <v>3100</v>
      </c>
      <c r="I28" s="17">
        <f t="shared" si="108"/>
        <v>1550</v>
      </c>
      <c r="J28" s="49">
        <v>1545</v>
      </c>
      <c r="K28" s="17">
        <f t="shared" ref="K28:K38" si="126">(J28-J27)*100</f>
        <v>53500</v>
      </c>
      <c r="L28" s="49">
        <v>2276</v>
      </c>
      <c r="M28" s="17">
        <f t="shared" ref="M28:M38" si="127">(L28-L27)*100</f>
        <v>82400</v>
      </c>
      <c r="N28" s="49">
        <v>709008</v>
      </c>
      <c r="O28" s="17">
        <f t="shared" si="109"/>
        <v>4870</v>
      </c>
      <c r="P28" s="17">
        <f t="shared" si="110"/>
        <v>2435</v>
      </c>
      <c r="Q28" s="49">
        <v>85359</v>
      </c>
      <c r="R28" s="17">
        <f t="shared" si="111"/>
        <v>10280</v>
      </c>
      <c r="S28" s="17">
        <f t="shared" si="112"/>
        <v>5140</v>
      </c>
      <c r="T28" s="49">
        <v>33954</v>
      </c>
      <c r="U28" s="17">
        <f t="shared" si="113"/>
        <v>6310</v>
      </c>
      <c r="V28" s="17">
        <f t="shared" si="114"/>
        <v>3155</v>
      </c>
      <c r="W28" s="49">
        <v>85990</v>
      </c>
      <c r="X28" s="17">
        <f t="shared" si="11"/>
        <v>10980</v>
      </c>
      <c r="Y28" s="17">
        <f t="shared" si="115"/>
        <v>5490</v>
      </c>
      <c r="Z28" s="49">
        <v>4647</v>
      </c>
      <c r="AA28" s="17">
        <f t="shared" si="13"/>
        <v>1000</v>
      </c>
      <c r="AB28" s="49">
        <v>8640</v>
      </c>
      <c r="AC28" s="17">
        <f t="shared" si="13"/>
        <v>1750</v>
      </c>
      <c r="AD28" s="49">
        <v>16334</v>
      </c>
      <c r="AE28" s="17">
        <f t="shared" ref="AE28" si="128">(AD28-AD27)*10</f>
        <v>3510</v>
      </c>
      <c r="AF28" s="49">
        <v>9139</v>
      </c>
      <c r="AG28" s="17">
        <f t="shared" ref="AG28:AI28" si="129">(AF28-AF27)*10</f>
        <v>1890</v>
      </c>
      <c r="AH28" s="49">
        <v>44983</v>
      </c>
      <c r="AI28" s="17">
        <f t="shared" si="129"/>
        <v>9500</v>
      </c>
      <c r="AK28" s="97">
        <f t="shared" si="118"/>
        <v>249570</v>
      </c>
      <c r="AL28" s="98">
        <f t="shared" si="119"/>
        <v>33870</v>
      </c>
    </row>
    <row r="29" spans="1:38" ht="39.950000000000003" customHeight="1">
      <c r="A29" s="145">
        <v>44065</v>
      </c>
      <c r="B29" s="16"/>
      <c r="C29" s="49">
        <v>1682</v>
      </c>
      <c r="D29" s="17">
        <f t="shared" si="124"/>
        <v>40600</v>
      </c>
      <c r="E29" s="49">
        <v>2232</v>
      </c>
      <c r="F29" s="17">
        <f t="shared" si="125"/>
        <v>58900</v>
      </c>
      <c r="G29" s="49">
        <v>737114</v>
      </c>
      <c r="H29" s="17">
        <f t="shared" si="107"/>
        <v>3130</v>
      </c>
      <c r="I29" s="17">
        <f t="shared" si="108"/>
        <v>1565</v>
      </c>
      <c r="J29" s="49">
        <v>2085</v>
      </c>
      <c r="K29" s="17">
        <f t="shared" si="126"/>
        <v>54000</v>
      </c>
      <c r="L29" s="49">
        <v>3102</v>
      </c>
      <c r="M29" s="17">
        <f t="shared" si="127"/>
        <v>82600</v>
      </c>
      <c r="N29" s="49">
        <v>709493</v>
      </c>
      <c r="O29" s="17">
        <f t="shared" si="109"/>
        <v>4850</v>
      </c>
      <c r="P29" s="17">
        <f t="shared" si="110"/>
        <v>2425</v>
      </c>
      <c r="Q29" s="49">
        <v>86394</v>
      </c>
      <c r="R29" s="17">
        <f t="shared" si="111"/>
        <v>10350</v>
      </c>
      <c r="S29" s="17">
        <f t="shared" si="112"/>
        <v>5175</v>
      </c>
      <c r="T29" s="49">
        <v>34625</v>
      </c>
      <c r="U29" s="17">
        <f t="shared" si="113"/>
        <v>6710</v>
      </c>
      <c r="V29" s="17">
        <f t="shared" si="114"/>
        <v>3355</v>
      </c>
      <c r="W29" s="49">
        <v>87106</v>
      </c>
      <c r="X29" s="17">
        <f t="shared" si="11"/>
        <v>11160</v>
      </c>
      <c r="Y29" s="17">
        <f t="shared" si="115"/>
        <v>5580</v>
      </c>
      <c r="Z29" s="49">
        <v>4746</v>
      </c>
      <c r="AA29" s="17">
        <f t="shared" si="13"/>
        <v>990</v>
      </c>
      <c r="AB29" s="49">
        <v>8809</v>
      </c>
      <c r="AC29" s="17">
        <f t="shared" si="13"/>
        <v>1690</v>
      </c>
      <c r="AD29" s="49">
        <v>16675</v>
      </c>
      <c r="AE29" s="17">
        <f t="shared" ref="AE29" si="130">(AD29-AD28)*10</f>
        <v>3410</v>
      </c>
      <c r="AF29" s="49">
        <v>9326</v>
      </c>
      <c r="AG29" s="17">
        <f t="shared" ref="AG29:AI29" si="131">(AF29-AF28)*10</f>
        <v>1870</v>
      </c>
      <c r="AH29" s="49">
        <v>45934</v>
      </c>
      <c r="AI29" s="17">
        <f t="shared" si="131"/>
        <v>9510</v>
      </c>
      <c r="AK29" s="97">
        <f t="shared" si="118"/>
        <v>254200</v>
      </c>
      <c r="AL29" s="98">
        <f t="shared" si="119"/>
        <v>34005</v>
      </c>
    </row>
    <row r="30" spans="1:38" ht="39.950000000000003" customHeight="1">
      <c r="A30" s="145">
        <v>44066</v>
      </c>
      <c r="B30" s="16"/>
      <c r="C30" s="49">
        <v>2102</v>
      </c>
      <c r="D30" s="17">
        <f t="shared" si="124"/>
        <v>42000</v>
      </c>
      <c r="E30" s="49">
        <v>2832</v>
      </c>
      <c r="F30" s="17">
        <f t="shared" si="125"/>
        <v>60000</v>
      </c>
      <c r="G30" s="49">
        <v>738082</v>
      </c>
      <c r="H30" s="17">
        <f t="shared" si="107"/>
        <v>9680</v>
      </c>
      <c r="I30" s="17">
        <f t="shared" si="108"/>
        <v>4840</v>
      </c>
      <c r="J30" s="49">
        <v>2620</v>
      </c>
      <c r="K30" s="17">
        <f t="shared" si="126"/>
        <v>53500</v>
      </c>
      <c r="L30" s="49">
        <v>3910</v>
      </c>
      <c r="M30" s="17">
        <f t="shared" si="127"/>
        <v>80800</v>
      </c>
      <c r="N30" s="49">
        <v>709988</v>
      </c>
      <c r="O30" s="17">
        <f t="shared" si="109"/>
        <v>4950</v>
      </c>
      <c r="P30" s="17">
        <f t="shared" si="110"/>
        <v>2475</v>
      </c>
      <c r="Q30" s="49">
        <v>86673</v>
      </c>
      <c r="R30" s="17">
        <f t="shared" si="111"/>
        <v>2790</v>
      </c>
      <c r="S30" s="17">
        <f t="shared" si="112"/>
        <v>1395</v>
      </c>
      <c r="T30" s="49">
        <v>35355</v>
      </c>
      <c r="U30" s="17">
        <f t="shared" si="113"/>
        <v>7300</v>
      </c>
      <c r="V30" s="17">
        <f t="shared" si="114"/>
        <v>3650</v>
      </c>
      <c r="W30" s="49">
        <v>88285</v>
      </c>
      <c r="X30" s="17">
        <f t="shared" si="11"/>
        <v>11790</v>
      </c>
      <c r="Y30" s="17">
        <f t="shared" si="115"/>
        <v>5895</v>
      </c>
      <c r="Z30" s="49">
        <v>4840</v>
      </c>
      <c r="AA30" s="17">
        <f t="shared" si="13"/>
        <v>940</v>
      </c>
      <c r="AB30" s="49">
        <v>8972</v>
      </c>
      <c r="AC30" s="17">
        <f t="shared" si="13"/>
        <v>1630</v>
      </c>
      <c r="AD30" s="49">
        <v>17007</v>
      </c>
      <c r="AE30" s="17">
        <f t="shared" ref="AE30" si="132">(AD30-AD29)*10</f>
        <v>3320</v>
      </c>
      <c r="AF30" s="49">
        <v>9511</v>
      </c>
      <c r="AG30" s="17">
        <f t="shared" ref="AG30:AI30" si="133">(AF30-AF29)*10</f>
        <v>1850</v>
      </c>
      <c r="AH30" s="49">
        <v>46899</v>
      </c>
      <c r="AI30" s="17">
        <f t="shared" si="133"/>
        <v>9650</v>
      </c>
      <c r="AK30" s="97">
        <f t="shared" si="118"/>
        <v>254555</v>
      </c>
      <c r="AL30" s="98">
        <f t="shared" si="119"/>
        <v>30805</v>
      </c>
    </row>
    <row r="31" spans="1:38" ht="39.950000000000003" customHeight="1">
      <c r="A31" s="145">
        <v>44067</v>
      </c>
      <c r="B31" s="16"/>
      <c r="C31" s="49">
        <v>2504</v>
      </c>
      <c r="D31" s="17">
        <f t="shared" si="124"/>
        <v>40200</v>
      </c>
      <c r="E31" s="49">
        <v>3407</v>
      </c>
      <c r="F31" s="17">
        <f t="shared" si="125"/>
        <v>57500</v>
      </c>
      <c r="G31" s="49">
        <v>739578</v>
      </c>
      <c r="H31" s="17">
        <f t="shared" si="107"/>
        <v>14960</v>
      </c>
      <c r="I31" s="17">
        <f t="shared" si="108"/>
        <v>7480</v>
      </c>
      <c r="J31" s="49">
        <v>3167</v>
      </c>
      <c r="K31" s="17">
        <f t="shared" si="126"/>
        <v>54700</v>
      </c>
      <c r="L31" s="49">
        <v>4703</v>
      </c>
      <c r="M31" s="17">
        <f t="shared" si="127"/>
        <v>79300</v>
      </c>
      <c r="N31" s="49">
        <v>710834</v>
      </c>
      <c r="O31" s="17">
        <f t="shared" si="109"/>
        <v>8460</v>
      </c>
      <c r="P31" s="17">
        <f t="shared" si="110"/>
        <v>4230</v>
      </c>
      <c r="Q31" s="49">
        <v>87005</v>
      </c>
      <c r="R31" s="17">
        <f t="shared" si="111"/>
        <v>3320</v>
      </c>
      <c r="S31" s="17">
        <f t="shared" si="112"/>
        <v>1660</v>
      </c>
      <c r="T31" s="49">
        <v>36029</v>
      </c>
      <c r="U31" s="17">
        <f t="shared" si="113"/>
        <v>6740</v>
      </c>
      <c r="V31" s="17">
        <f t="shared" si="114"/>
        <v>3370</v>
      </c>
      <c r="W31" s="49">
        <v>88795</v>
      </c>
      <c r="X31" s="17">
        <f t="shared" si="11"/>
        <v>5100</v>
      </c>
      <c r="Y31" s="17">
        <f t="shared" si="115"/>
        <v>2550</v>
      </c>
      <c r="Z31" s="49">
        <v>4933</v>
      </c>
      <c r="AA31" s="17">
        <f t="shared" si="13"/>
        <v>930</v>
      </c>
      <c r="AB31" s="49">
        <v>9147</v>
      </c>
      <c r="AC31" s="17">
        <f t="shared" si="13"/>
        <v>1750</v>
      </c>
      <c r="AD31" s="49">
        <v>17355</v>
      </c>
      <c r="AE31" s="17">
        <f t="shared" ref="AE31" si="134">(AD31-AD30)*10</f>
        <v>3480</v>
      </c>
      <c r="AF31" s="49">
        <v>9707</v>
      </c>
      <c r="AG31" s="17">
        <f t="shared" ref="AG31:AI31" si="135">(AF31-AF30)*10</f>
        <v>1960</v>
      </c>
      <c r="AH31" s="49">
        <v>47865</v>
      </c>
      <c r="AI31" s="17">
        <f t="shared" si="135"/>
        <v>9660</v>
      </c>
      <c r="AK31" s="97">
        <f t="shared" si="118"/>
        <v>250990</v>
      </c>
      <c r="AL31" s="98">
        <f t="shared" si="119"/>
        <v>29590</v>
      </c>
    </row>
    <row r="32" spans="1:38" ht="39.950000000000003" customHeight="1">
      <c r="A32" s="145">
        <v>44068</v>
      </c>
      <c r="B32" s="16"/>
      <c r="C32" s="74">
        <v>2895</v>
      </c>
      <c r="D32" s="17">
        <f t="shared" si="124"/>
        <v>39100</v>
      </c>
      <c r="E32" s="74">
        <v>3983</v>
      </c>
      <c r="F32" s="17">
        <f t="shared" si="125"/>
        <v>57600</v>
      </c>
      <c r="G32" s="74">
        <v>741176</v>
      </c>
      <c r="H32" s="17">
        <f t="shared" si="107"/>
        <v>15980</v>
      </c>
      <c r="I32" s="17">
        <f t="shared" si="108"/>
        <v>7990</v>
      </c>
      <c r="J32" s="74">
        <v>3722</v>
      </c>
      <c r="K32" s="17">
        <f t="shared" si="126"/>
        <v>55500</v>
      </c>
      <c r="L32" s="74">
        <v>5518</v>
      </c>
      <c r="M32" s="17">
        <f t="shared" si="127"/>
        <v>81500</v>
      </c>
      <c r="N32" s="74">
        <v>712482</v>
      </c>
      <c r="O32" s="17">
        <f t="shared" si="109"/>
        <v>16480</v>
      </c>
      <c r="P32" s="17">
        <f t="shared" si="110"/>
        <v>8240</v>
      </c>
      <c r="Q32" s="74">
        <v>87819</v>
      </c>
      <c r="R32" s="17">
        <f t="shared" si="111"/>
        <v>8140</v>
      </c>
      <c r="S32" s="17">
        <f t="shared" si="112"/>
        <v>4070</v>
      </c>
      <c r="T32" s="74">
        <v>36143</v>
      </c>
      <c r="U32" s="17">
        <f t="shared" si="113"/>
        <v>1140</v>
      </c>
      <c r="V32" s="17">
        <f t="shared" si="114"/>
        <v>570</v>
      </c>
      <c r="W32" s="74">
        <v>88808</v>
      </c>
      <c r="X32" s="17">
        <f t="shared" si="11"/>
        <v>130</v>
      </c>
      <c r="Y32" s="17">
        <f t="shared" si="115"/>
        <v>65</v>
      </c>
      <c r="Z32" s="74">
        <v>5053</v>
      </c>
      <c r="AA32" s="17">
        <f t="shared" si="13"/>
        <v>1200</v>
      </c>
      <c r="AB32" s="74">
        <v>9324</v>
      </c>
      <c r="AC32" s="17">
        <f t="shared" si="13"/>
        <v>1770</v>
      </c>
      <c r="AD32" s="74">
        <v>17705</v>
      </c>
      <c r="AE32" s="17">
        <f t="shared" ref="AE32" si="136">(AD32-AD31)*10</f>
        <v>3500</v>
      </c>
      <c r="AF32" s="74">
        <v>9905</v>
      </c>
      <c r="AG32" s="17">
        <f t="shared" ref="AG32:AI32" si="137">(AF32-AF31)*10</f>
        <v>1980</v>
      </c>
      <c r="AH32" s="74">
        <v>48843</v>
      </c>
      <c r="AI32" s="17">
        <f t="shared" si="137"/>
        <v>9780</v>
      </c>
      <c r="AK32" s="97">
        <f t="shared" si="118"/>
        <v>254635</v>
      </c>
      <c r="AL32" s="98">
        <f t="shared" si="119"/>
        <v>31175</v>
      </c>
    </row>
    <row r="33" spans="1:38" ht="39.950000000000003" customHeight="1">
      <c r="A33" s="145">
        <v>44069</v>
      </c>
      <c r="B33" s="16"/>
      <c r="C33" s="74">
        <v>3295</v>
      </c>
      <c r="D33" s="17">
        <f t="shared" si="124"/>
        <v>40000</v>
      </c>
      <c r="E33" s="74">
        <v>4565</v>
      </c>
      <c r="F33" s="17">
        <f t="shared" si="125"/>
        <v>58200</v>
      </c>
      <c r="G33" s="74">
        <v>742382</v>
      </c>
      <c r="H33" s="17">
        <f t="shared" si="107"/>
        <v>12060</v>
      </c>
      <c r="I33" s="17">
        <f t="shared" si="108"/>
        <v>6030</v>
      </c>
      <c r="J33" s="74">
        <v>4287</v>
      </c>
      <c r="K33" s="17">
        <f t="shared" si="126"/>
        <v>56500</v>
      </c>
      <c r="L33" s="74">
        <v>6341</v>
      </c>
      <c r="M33" s="17">
        <f t="shared" si="127"/>
        <v>82300</v>
      </c>
      <c r="N33" s="74">
        <v>714166</v>
      </c>
      <c r="O33" s="17">
        <f t="shared" si="109"/>
        <v>16840</v>
      </c>
      <c r="P33" s="17">
        <f t="shared" si="110"/>
        <v>8420</v>
      </c>
      <c r="Q33" s="74">
        <v>88664</v>
      </c>
      <c r="R33" s="17">
        <f t="shared" si="111"/>
        <v>8450</v>
      </c>
      <c r="S33" s="17">
        <f t="shared" si="112"/>
        <v>4225</v>
      </c>
      <c r="T33" s="74">
        <v>36145</v>
      </c>
      <c r="U33" s="17">
        <f t="shared" si="113"/>
        <v>20</v>
      </c>
      <c r="V33" s="17">
        <f t="shared" si="114"/>
        <v>10</v>
      </c>
      <c r="W33" s="74">
        <v>89374</v>
      </c>
      <c r="X33" s="17">
        <f t="shared" si="11"/>
        <v>5660</v>
      </c>
      <c r="Y33" s="17">
        <f t="shared" si="115"/>
        <v>2830</v>
      </c>
      <c r="Z33" s="74">
        <v>5127</v>
      </c>
      <c r="AA33" s="17">
        <f t="shared" si="13"/>
        <v>740</v>
      </c>
      <c r="AB33" s="74">
        <v>9571</v>
      </c>
      <c r="AC33" s="17">
        <f t="shared" si="13"/>
        <v>2470</v>
      </c>
      <c r="AD33" s="74">
        <v>18061</v>
      </c>
      <c r="AE33" s="17">
        <f t="shared" ref="AE33" si="138">(AD33-AD32)*10</f>
        <v>3560</v>
      </c>
      <c r="AF33" s="74">
        <v>10100</v>
      </c>
      <c r="AG33" s="17">
        <f t="shared" ref="AG33:AI33" si="139">(AF33-AF32)*10</f>
        <v>1950</v>
      </c>
      <c r="AH33" s="74">
        <v>49823</v>
      </c>
      <c r="AI33" s="17">
        <f t="shared" si="139"/>
        <v>9800</v>
      </c>
      <c r="AK33" s="97">
        <f t="shared" si="118"/>
        <v>258515</v>
      </c>
      <c r="AL33" s="98">
        <f t="shared" si="119"/>
        <v>34005</v>
      </c>
    </row>
    <row r="34" spans="1:38" ht="39.950000000000003" customHeight="1">
      <c r="A34" s="145">
        <v>44070</v>
      </c>
      <c r="B34" s="16"/>
      <c r="C34" s="74">
        <v>3695</v>
      </c>
      <c r="D34" s="17">
        <f t="shared" si="124"/>
        <v>40000</v>
      </c>
      <c r="E34" s="74">
        <v>5143</v>
      </c>
      <c r="F34" s="17">
        <f t="shared" si="125"/>
        <v>57800</v>
      </c>
      <c r="G34" s="74">
        <v>742729</v>
      </c>
      <c r="H34" s="17">
        <f t="shared" si="107"/>
        <v>3470</v>
      </c>
      <c r="I34" s="17">
        <f t="shared" si="108"/>
        <v>1735</v>
      </c>
      <c r="J34" s="74">
        <v>4835</v>
      </c>
      <c r="K34" s="17">
        <f t="shared" si="126"/>
        <v>54800</v>
      </c>
      <c r="L34" s="74">
        <v>7164</v>
      </c>
      <c r="M34" s="17">
        <f t="shared" si="127"/>
        <v>82300</v>
      </c>
      <c r="N34" s="74">
        <v>715746</v>
      </c>
      <c r="O34" s="17">
        <f t="shared" si="109"/>
        <v>15800</v>
      </c>
      <c r="P34" s="17">
        <f t="shared" si="110"/>
        <v>7900</v>
      </c>
      <c r="Q34" s="74">
        <v>89426</v>
      </c>
      <c r="R34" s="17">
        <f t="shared" si="111"/>
        <v>7620</v>
      </c>
      <c r="S34" s="17">
        <f t="shared" si="112"/>
        <v>3810</v>
      </c>
      <c r="T34" s="74">
        <v>36147</v>
      </c>
      <c r="U34" s="17">
        <f t="shared" si="113"/>
        <v>20</v>
      </c>
      <c r="V34" s="17">
        <f t="shared" si="114"/>
        <v>10</v>
      </c>
      <c r="W34" s="74">
        <v>90418</v>
      </c>
      <c r="X34" s="17">
        <f t="shared" si="11"/>
        <v>10440</v>
      </c>
      <c r="Y34" s="17">
        <f t="shared" si="115"/>
        <v>5220</v>
      </c>
      <c r="Z34" s="74">
        <v>5220</v>
      </c>
      <c r="AA34" s="17">
        <f t="shared" si="13"/>
        <v>930</v>
      </c>
      <c r="AB34" s="74">
        <v>9689</v>
      </c>
      <c r="AC34" s="17">
        <f t="shared" si="13"/>
        <v>1180</v>
      </c>
      <c r="AD34" s="74">
        <v>18409</v>
      </c>
      <c r="AE34" s="17">
        <f t="shared" ref="AE34" si="140">(AD34-AD33)*10</f>
        <v>3480</v>
      </c>
      <c r="AF34" s="74">
        <v>10294</v>
      </c>
      <c r="AG34" s="17">
        <f t="shared" ref="AG34:AI34" si="141">(AF34-AF33)*10</f>
        <v>1940</v>
      </c>
      <c r="AH34" s="74">
        <v>50786</v>
      </c>
      <c r="AI34" s="17">
        <f t="shared" si="141"/>
        <v>9630</v>
      </c>
      <c r="AK34" s="97">
        <f t="shared" si="118"/>
        <v>253575</v>
      </c>
      <c r="AL34" s="98">
        <f t="shared" si="119"/>
        <v>34100</v>
      </c>
    </row>
    <row r="35" spans="1:38" ht="39.950000000000003" customHeight="1">
      <c r="A35" s="145">
        <v>44071</v>
      </c>
      <c r="B35" s="16"/>
      <c r="C35" s="74">
        <v>4111</v>
      </c>
      <c r="D35" s="17">
        <f t="shared" si="124"/>
        <v>41600</v>
      </c>
      <c r="E35" s="74">
        <v>5747</v>
      </c>
      <c r="F35" s="17">
        <f t="shared" si="125"/>
        <v>60400</v>
      </c>
      <c r="G35" s="74">
        <v>743092</v>
      </c>
      <c r="H35" s="17">
        <f t="shared" si="107"/>
        <v>3630</v>
      </c>
      <c r="I35" s="17">
        <f t="shared" si="108"/>
        <v>1815</v>
      </c>
      <c r="J35" s="74">
        <v>5398</v>
      </c>
      <c r="K35" s="17">
        <f t="shared" si="126"/>
        <v>56300</v>
      </c>
      <c r="L35" s="74">
        <v>8027</v>
      </c>
      <c r="M35" s="17">
        <f t="shared" si="127"/>
        <v>86300</v>
      </c>
      <c r="N35" s="74">
        <v>717333</v>
      </c>
      <c r="O35" s="17">
        <f t="shared" si="109"/>
        <v>15870</v>
      </c>
      <c r="P35" s="17">
        <f t="shared" si="110"/>
        <v>7935</v>
      </c>
      <c r="Q35" s="74">
        <v>90226</v>
      </c>
      <c r="R35" s="17">
        <f t="shared" si="111"/>
        <v>8000</v>
      </c>
      <c r="S35" s="17">
        <f t="shared" si="112"/>
        <v>4000</v>
      </c>
      <c r="T35" s="74">
        <v>36149</v>
      </c>
      <c r="U35" s="17">
        <f t="shared" si="113"/>
        <v>20</v>
      </c>
      <c r="V35" s="17">
        <f t="shared" si="114"/>
        <v>10</v>
      </c>
      <c r="W35" s="74">
        <v>91481</v>
      </c>
      <c r="X35" s="17">
        <f t="shared" si="11"/>
        <v>10630</v>
      </c>
      <c r="Y35" s="17">
        <f t="shared" si="115"/>
        <v>5315</v>
      </c>
      <c r="Z35" s="74">
        <v>5317</v>
      </c>
      <c r="AA35" s="17">
        <f t="shared" si="13"/>
        <v>970</v>
      </c>
      <c r="AB35" s="74">
        <v>9865</v>
      </c>
      <c r="AC35" s="17">
        <f t="shared" si="13"/>
        <v>1760</v>
      </c>
      <c r="AD35" s="74">
        <v>18767</v>
      </c>
      <c r="AE35" s="17">
        <f t="shared" ref="AE35" si="142">(AD35-AD34)*10</f>
        <v>3580</v>
      </c>
      <c r="AF35" s="74">
        <v>10479</v>
      </c>
      <c r="AG35" s="17">
        <f t="shared" ref="AG35:AI35" si="143">(AF35-AF34)*10</f>
        <v>1850</v>
      </c>
      <c r="AH35" s="74">
        <v>51742</v>
      </c>
      <c r="AI35" s="17">
        <f t="shared" si="143"/>
        <v>9560</v>
      </c>
      <c r="AK35" s="97">
        <f t="shared" si="118"/>
        <v>263675</v>
      </c>
      <c r="AL35" s="98">
        <f t="shared" si="119"/>
        <v>34980</v>
      </c>
    </row>
    <row r="36" spans="1:38" ht="39.950000000000003" customHeight="1">
      <c r="A36" s="145">
        <v>44072</v>
      </c>
      <c r="B36" s="16"/>
      <c r="C36" s="74">
        <v>4527</v>
      </c>
      <c r="D36" s="17">
        <f t="shared" si="124"/>
        <v>41600</v>
      </c>
      <c r="E36" s="74">
        <v>6348</v>
      </c>
      <c r="F36" s="17">
        <f t="shared" si="125"/>
        <v>60100</v>
      </c>
      <c r="G36" s="74">
        <v>743456</v>
      </c>
      <c r="H36" s="17">
        <f t="shared" ref="H36:H37" si="144">(G36-G35)*10</f>
        <v>3640</v>
      </c>
      <c r="I36" s="17">
        <f t="shared" ref="I36:I37" si="145">H36*50%</f>
        <v>1820</v>
      </c>
      <c r="J36" s="74">
        <v>5969</v>
      </c>
      <c r="K36" s="17">
        <f t="shared" si="126"/>
        <v>57100</v>
      </c>
      <c r="L36" s="74">
        <v>8890</v>
      </c>
      <c r="M36" s="17">
        <f t="shared" si="127"/>
        <v>86300</v>
      </c>
      <c r="N36" s="74">
        <v>718640</v>
      </c>
      <c r="O36" s="17">
        <f t="shared" ref="O36:O37" si="146">(N36-N35)*10</f>
        <v>13070</v>
      </c>
      <c r="P36" s="17">
        <f t="shared" ref="P36:P37" si="147">O36*50%</f>
        <v>6535</v>
      </c>
      <c r="Q36" s="74">
        <v>91263</v>
      </c>
      <c r="R36" s="17">
        <f t="shared" ref="R36:R37" si="148">(Q36-Q35)*10</f>
        <v>10370</v>
      </c>
      <c r="S36" s="17">
        <f t="shared" ref="S36:S37" si="149">R36*50%</f>
        <v>5185</v>
      </c>
      <c r="T36" s="74">
        <v>36244</v>
      </c>
      <c r="U36" s="17">
        <f t="shared" ref="U36:U37" si="150">(T36-T35)*10</f>
        <v>950</v>
      </c>
      <c r="V36" s="17">
        <f t="shared" ref="V36:V37" si="151">U36*50%</f>
        <v>475</v>
      </c>
      <c r="W36" s="74">
        <v>92576</v>
      </c>
      <c r="X36" s="17">
        <f t="shared" si="11"/>
        <v>10950</v>
      </c>
      <c r="Y36" s="17">
        <f t="shared" ref="Y36:Y37" si="152">X36*50%</f>
        <v>5475</v>
      </c>
      <c r="Z36" s="74">
        <v>5414</v>
      </c>
      <c r="AA36" s="17">
        <f t="shared" si="13"/>
        <v>970</v>
      </c>
      <c r="AB36" s="74">
        <v>10032</v>
      </c>
      <c r="AC36" s="17">
        <f t="shared" si="13"/>
        <v>1670</v>
      </c>
      <c r="AD36" s="74">
        <v>19111</v>
      </c>
      <c r="AE36" s="17">
        <f t="shared" ref="AE36" si="153">(AD36-AD35)*10</f>
        <v>3440</v>
      </c>
      <c r="AF36" s="74">
        <v>10664</v>
      </c>
      <c r="AG36" s="17">
        <f t="shared" ref="AG36:AI36" si="154">(AF36-AF35)*10</f>
        <v>1850</v>
      </c>
      <c r="AH36" s="74">
        <v>52695</v>
      </c>
      <c r="AI36" s="17">
        <f t="shared" si="154"/>
        <v>9530</v>
      </c>
      <c r="AK36" s="97">
        <f t="shared" ref="AK36:AK37" si="155">SUM(D36,F36,I36,K36,M36,P36,S36,V36,Y36)</f>
        <v>264590</v>
      </c>
      <c r="AL36" s="98">
        <f t="shared" ref="AL36:AL37" si="156">SUM(P36,S36,V36,Y36,AA36,AC36,AE36,AG36,AI36)</f>
        <v>35130</v>
      </c>
    </row>
    <row r="37" spans="1:38" ht="39.950000000000003" customHeight="1">
      <c r="A37" s="145">
        <v>44073</v>
      </c>
      <c r="B37" s="16"/>
      <c r="C37" s="74">
        <v>4940</v>
      </c>
      <c r="D37" s="17">
        <f t="shared" si="124"/>
        <v>41300</v>
      </c>
      <c r="E37" s="74">
        <v>6965</v>
      </c>
      <c r="F37" s="17">
        <f t="shared" si="125"/>
        <v>61700</v>
      </c>
      <c r="G37" s="74">
        <v>743819</v>
      </c>
      <c r="H37" s="17">
        <f t="shared" si="144"/>
        <v>3630</v>
      </c>
      <c r="I37" s="17">
        <f t="shared" si="145"/>
        <v>1815</v>
      </c>
      <c r="J37" s="74">
        <v>6521</v>
      </c>
      <c r="K37" s="17">
        <f t="shared" si="126"/>
        <v>55200</v>
      </c>
      <c r="L37" s="74">
        <v>9757</v>
      </c>
      <c r="M37" s="17">
        <f t="shared" si="127"/>
        <v>86700</v>
      </c>
      <c r="N37" s="74">
        <v>720266</v>
      </c>
      <c r="O37" s="17">
        <f t="shared" si="146"/>
        <v>16260</v>
      </c>
      <c r="P37" s="17">
        <f t="shared" si="147"/>
        <v>8130</v>
      </c>
      <c r="Q37" s="74">
        <v>92009</v>
      </c>
      <c r="R37" s="17">
        <f t="shared" si="148"/>
        <v>7460</v>
      </c>
      <c r="S37" s="17">
        <f t="shared" si="149"/>
        <v>3730</v>
      </c>
      <c r="T37" s="74">
        <v>36246</v>
      </c>
      <c r="U37" s="17">
        <f t="shared" si="150"/>
        <v>20</v>
      </c>
      <c r="V37" s="17">
        <f t="shared" si="151"/>
        <v>10</v>
      </c>
      <c r="W37" s="74">
        <v>93685</v>
      </c>
      <c r="X37" s="17">
        <f t="shared" si="11"/>
        <v>11090</v>
      </c>
      <c r="Y37" s="17">
        <f t="shared" si="152"/>
        <v>5545</v>
      </c>
      <c r="Z37" s="74">
        <v>5508</v>
      </c>
      <c r="AA37" s="17">
        <f t="shared" si="13"/>
        <v>940</v>
      </c>
      <c r="AB37" s="74">
        <v>10198</v>
      </c>
      <c r="AC37" s="17">
        <f t="shared" si="13"/>
        <v>1660</v>
      </c>
      <c r="AD37" s="74">
        <v>19446</v>
      </c>
      <c r="AE37" s="17">
        <f t="shared" ref="AE37" si="157">(AD37-AD36)*10</f>
        <v>3350</v>
      </c>
      <c r="AF37" s="74">
        <v>10846</v>
      </c>
      <c r="AG37" s="17">
        <f t="shared" ref="AG37:AI37" si="158">(AF37-AF36)*10</f>
        <v>1820</v>
      </c>
      <c r="AH37" s="74">
        <v>53640</v>
      </c>
      <c r="AI37" s="17">
        <f t="shared" si="158"/>
        <v>9450</v>
      </c>
      <c r="AK37" s="97">
        <f t="shared" si="155"/>
        <v>264130</v>
      </c>
      <c r="AL37" s="98">
        <f t="shared" si="156"/>
        <v>34635</v>
      </c>
    </row>
    <row r="38" spans="1:38" s="147" customFormat="1" ht="39.950000000000003" customHeight="1">
      <c r="A38" s="145">
        <v>44074</v>
      </c>
      <c r="B38" s="146"/>
      <c r="C38" s="74">
        <v>5343</v>
      </c>
      <c r="D38" s="17">
        <f t="shared" si="124"/>
        <v>40300</v>
      </c>
      <c r="E38" s="74">
        <v>7570</v>
      </c>
      <c r="F38" s="17">
        <f t="shared" si="125"/>
        <v>60500</v>
      </c>
      <c r="G38" s="74">
        <v>744169</v>
      </c>
      <c r="H38" s="17">
        <f t="shared" ref="H38" si="159">(G38-G37)*10</f>
        <v>3500</v>
      </c>
      <c r="I38" s="17">
        <f t="shared" ref="I38" si="160">H38*50%</f>
        <v>1750</v>
      </c>
      <c r="J38" s="74">
        <v>7066</v>
      </c>
      <c r="K38" s="17">
        <f t="shared" si="126"/>
        <v>54500</v>
      </c>
      <c r="L38" s="74">
        <v>10623</v>
      </c>
      <c r="M38" s="17">
        <f t="shared" si="127"/>
        <v>86600</v>
      </c>
      <c r="N38" s="74">
        <v>721791</v>
      </c>
      <c r="O38" s="17">
        <f t="shared" ref="O38" si="161">(N38-N37)*10</f>
        <v>15250</v>
      </c>
      <c r="P38" s="17">
        <f t="shared" ref="P38" si="162">O38*50%</f>
        <v>7625</v>
      </c>
      <c r="Q38" s="74">
        <v>92722</v>
      </c>
      <c r="R38" s="17">
        <f t="shared" ref="R38" si="163">(Q38-Q37)*10</f>
        <v>7130</v>
      </c>
      <c r="S38" s="17">
        <f t="shared" ref="S38" si="164">R38*50%</f>
        <v>3565</v>
      </c>
      <c r="T38" s="74">
        <v>36289</v>
      </c>
      <c r="U38" s="17">
        <f t="shared" ref="U38" si="165">(T38-T37)*10</f>
        <v>430</v>
      </c>
      <c r="V38" s="17">
        <f t="shared" ref="V38" si="166">U38*50%</f>
        <v>215</v>
      </c>
      <c r="W38" s="74">
        <v>94735</v>
      </c>
      <c r="X38" s="17">
        <f t="shared" si="11"/>
        <v>10500</v>
      </c>
      <c r="Y38" s="17">
        <f t="shared" ref="Y38" si="167">X38*50%</f>
        <v>5250</v>
      </c>
      <c r="Z38" s="74">
        <v>5602</v>
      </c>
      <c r="AA38" s="17">
        <f t="shared" si="13"/>
        <v>940</v>
      </c>
      <c r="AB38" s="74">
        <v>10375</v>
      </c>
      <c r="AC38" s="17">
        <f t="shared" si="13"/>
        <v>1770</v>
      </c>
      <c r="AD38" s="74">
        <v>19798</v>
      </c>
      <c r="AE38" s="17">
        <f t="shared" ref="AE38" si="168">(AD38-AD37)*10</f>
        <v>3520</v>
      </c>
      <c r="AF38" s="74">
        <v>11035</v>
      </c>
      <c r="AG38" s="17">
        <f t="shared" ref="AG38:AI38" si="169">(AF38-AF37)*10</f>
        <v>1890</v>
      </c>
      <c r="AH38" s="74">
        <v>54572</v>
      </c>
      <c r="AI38" s="17">
        <f t="shared" si="169"/>
        <v>9320</v>
      </c>
      <c r="AK38" s="97">
        <f t="shared" ref="AK38" si="170">SUM(D38,F38,I38,K38,M38,P38,S38,V38,Y38)</f>
        <v>260305</v>
      </c>
      <c r="AL38" s="98">
        <f t="shared" ref="AL38" si="171">SUM(P38,S38,V38,Y38,AA38,AC38,AE38,AG38,AI38)</f>
        <v>34095</v>
      </c>
    </row>
    <row r="39" spans="1:38" s="22" customFormat="1" ht="39.950000000000003" customHeight="1">
      <c r="A39" s="21"/>
      <c r="C39" s="75"/>
      <c r="D39" s="23"/>
      <c r="F39" s="23"/>
      <c r="H39" s="23"/>
      <c r="I39" s="23"/>
      <c r="K39" s="23"/>
      <c r="M39" s="23"/>
      <c r="O39" s="23"/>
      <c r="P39" s="276">
        <f>SUM(P7:P38)</f>
        <v>178430</v>
      </c>
      <c r="R39" s="23"/>
      <c r="S39" s="276">
        <f>SUM(S7:S38)</f>
        <v>110505</v>
      </c>
      <c r="U39" s="23"/>
      <c r="V39" s="276">
        <f>SUM(V7:V38)</f>
        <v>62535</v>
      </c>
      <c r="X39" s="23"/>
      <c r="Y39" s="276">
        <f>SUM(Y7:Y38)</f>
        <v>101609.5</v>
      </c>
      <c r="AA39" s="23">
        <f>SUM(AA7:AA38)</f>
        <v>29840</v>
      </c>
      <c r="AC39" s="23">
        <f>SUM(AC7:AC38)</f>
        <v>54130</v>
      </c>
      <c r="AE39" s="23">
        <f>SUM(AE7:AE38)</f>
        <v>107430</v>
      </c>
      <c r="AG39" s="23">
        <f>SUM(AG7:AG38)</f>
        <v>59500</v>
      </c>
      <c r="AI39" s="23">
        <f>SUM(AI7:AI38)</f>
        <v>298200</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E17" activePane="bottomRight" state="frozen"/>
      <selection pane="topRight" activeCell="C1" sqref="C1"/>
      <selection pane="bottomLeft" activeCell="A5" sqref="A5"/>
      <selection pane="bottomRight" activeCell="U40" sqref="U40"/>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9"/>
      <c r="B1" s="109"/>
      <c r="C1" s="215" t="s">
        <v>64</v>
      </c>
      <c r="D1" s="215"/>
      <c r="E1" s="215" t="s">
        <v>64</v>
      </c>
      <c r="F1" s="215"/>
      <c r="G1" s="215" t="s">
        <v>64</v>
      </c>
      <c r="H1" s="215"/>
      <c r="I1" s="215" t="s">
        <v>64</v>
      </c>
      <c r="J1" s="215"/>
      <c r="K1" s="201" t="s">
        <v>65</v>
      </c>
      <c r="L1" s="202"/>
      <c r="M1" s="202"/>
      <c r="N1" s="203"/>
      <c r="O1" s="215" t="s">
        <v>66</v>
      </c>
      <c r="P1" s="215"/>
    </row>
    <row r="2" spans="1:19" s="27" customFormat="1" ht="113.25" customHeight="1">
      <c r="A2" s="26"/>
      <c r="B2" s="26"/>
      <c r="C2" s="217" t="s">
        <v>102</v>
      </c>
      <c r="D2" s="218"/>
      <c r="E2" s="217" t="s">
        <v>103</v>
      </c>
      <c r="F2" s="218"/>
      <c r="G2" s="217" t="s">
        <v>104</v>
      </c>
      <c r="H2" s="218"/>
      <c r="I2" s="217" t="s">
        <v>105</v>
      </c>
      <c r="J2" s="218"/>
      <c r="K2" s="219" t="s">
        <v>106</v>
      </c>
      <c r="L2" s="220"/>
      <c r="M2" s="220"/>
      <c r="N2" s="221"/>
      <c r="O2" s="217" t="s">
        <v>107</v>
      </c>
      <c r="P2" s="218"/>
    </row>
    <row r="3" spans="1:19" s="32" customFormat="1" ht="50.1" customHeight="1">
      <c r="A3" s="41"/>
      <c r="B3" s="41"/>
      <c r="C3" s="222" t="s">
        <v>108</v>
      </c>
      <c r="D3" s="223"/>
      <c r="E3" s="224" t="s">
        <v>109</v>
      </c>
      <c r="F3" s="225"/>
      <c r="G3" s="224" t="s">
        <v>110</v>
      </c>
      <c r="H3" s="225"/>
      <c r="I3" s="224" t="s">
        <v>111</v>
      </c>
      <c r="J3" s="225"/>
      <c r="K3" s="226" t="s">
        <v>112</v>
      </c>
      <c r="L3" s="227"/>
      <c r="M3" s="227"/>
      <c r="N3" s="228"/>
      <c r="O3" s="222" t="s">
        <v>113</v>
      </c>
      <c r="P3" s="223"/>
      <c r="R3" s="216" t="s">
        <v>80</v>
      </c>
      <c r="S3" s="216"/>
    </row>
    <row r="4" spans="1:19" s="8" customFormat="1" ht="30" customHeight="1">
      <c r="A4" s="107" t="s">
        <v>95</v>
      </c>
      <c r="B4" s="51"/>
      <c r="C4" s="199"/>
      <c r="D4" s="200"/>
      <c r="E4" s="199"/>
      <c r="F4" s="200"/>
      <c r="G4" s="199"/>
      <c r="H4" s="200"/>
      <c r="I4" s="199"/>
      <c r="J4" s="200"/>
      <c r="K4" s="199"/>
      <c r="L4" s="213"/>
      <c r="M4" s="213"/>
      <c r="N4" s="200"/>
      <c r="O4" s="51"/>
      <c r="P4" s="51"/>
      <c r="R4" s="216"/>
      <c r="S4" s="216"/>
    </row>
    <row r="5" spans="1:19" s="10" customFormat="1" ht="50.1" customHeight="1">
      <c r="A5" s="107" t="s">
        <v>98</v>
      </c>
      <c r="B5" s="107"/>
      <c r="C5" s="107" t="s">
        <v>114</v>
      </c>
      <c r="D5" s="107" t="s">
        <v>115</v>
      </c>
      <c r="E5" s="107" t="s">
        <v>114</v>
      </c>
      <c r="F5" s="107" t="s">
        <v>115</v>
      </c>
      <c r="G5" s="107" t="s">
        <v>114</v>
      </c>
      <c r="H5" s="107" t="s">
        <v>115</v>
      </c>
      <c r="I5" s="107" t="s">
        <v>114</v>
      </c>
      <c r="J5" s="107" t="s">
        <v>115</v>
      </c>
      <c r="K5" s="107" t="s">
        <v>114</v>
      </c>
      <c r="L5" s="107" t="s">
        <v>115</v>
      </c>
      <c r="M5" s="107" t="s">
        <v>64</v>
      </c>
      <c r="N5" s="107" t="s">
        <v>66</v>
      </c>
      <c r="O5" s="107" t="s">
        <v>114</v>
      </c>
      <c r="P5" s="107" t="s">
        <v>115</v>
      </c>
      <c r="R5" s="107"/>
      <c r="S5" s="107"/>
    </row>
    <row r="6" spans="1:19" ht="39.950000000000003" customHeight="1">
      <c r="A6" s="145">
        <v>44043</v>
      </c>
      <c r="B6" s="16"/>
      <c r="C6" s="84">
        <v>165121</v>
      </c>
      <c r="D6" s="182"/>
      <c r="E6" s="84">
        <v>141947</v>
      </c>
      <c r="F6" s="182"/>
      <c r="G6" s="84">
        <v>5199.7105000000001</v>
      </c>
      <c r="H6" s="182"/>
      <c r="I6" s="84">
        <v>9889</v>
      </c>
      <c r="J6" s="182"/>
      <c r="K6" s="84">
        <v>111742</v>
      </c>
      <c r="L6" s="76"/>
      <c r="M6" s="182"/>
      <c r="N6" s="182"/>
      <c r="O6" s="84">
        <v>82413</v>
      </c>
      <c r="P6" s="182"/>
      <c r="R6" s="97"/>
      <c r="S6" s="98"/>
    </row>
    <row r="7" spans="1:19" s="2" customFormat="1" ht="39.950000000000003" customHeight="1">
      <c r="A7" s="145">
        <v>44044</v>
      </c>
      <c r="B7" s="15"/>
      <c r="C7" s="84">
        <v>165237</v>
      </c>
      <c r="D7" s="182">
        <f>(C7-C6)</f>
        <v>116</v>
      </c>
      <c r="E7" s="84">
        <v>142084</v>
      </c>
      <c r="F7" s="182">
        <f>(E7-E6)</f>
        <v>137</v>
      </c>
      <c r="G7" s="84">
        <v>5199.9152999999997</v>
      </c>
      <c r="H7" s="182">
        <f>(G7-G6)</f>
        <v>0.2047999999995227</v>
      </c>
      <c r="I7" s="84">
        <v>9897</v>
      </c>
      <c r="J7" s="182">
        <f>(I7-I6)</f>
        <v>8</v>
      </c>
      <c r="K7" s="84">
        <v>111826</v>
      </c>
      <c r="L7" s="76">
        <f>(K7-K6)</f>
        <v>84</v>
      </c>
      <c r="M7" s="182">
        <f>L7*55%</f>
        <v>46.2</v>
      </c>
      <c r="N7" s="182">
        <f>L7*45%</f>
        <v>37.800000000000004</v>
      </c>
      <c r="O7" s="84">
        <v>82504</v>
      </c>
      <c r="P7" s="182">
        <f>(O7-O6)</f>
        <v>91</v>
      </c>
      <c r="R7" s="106">
        <f t="shared" ref="R7:R34" si="0">SUM(D7,F7,M71,H7)</f>
        <v>253.20479999999952</v>
      </c>
      <c r="S7" s="98">
        <f>SUM(N7,P7)</f>
        <v>128.80000000000001</v>
      </c>
    </row>
    <row r="8" spans="1:19" ht="39.950000000000003" customHeight="1">
      <c r="A8" s="145">
        <v>44045</v>
      </c>
      <c r="B8" s="16"/>
      <c r="C8" s="84">
        <v>165355</v>
      </c>
      <c r="D8" s="182">
        <f t="shared" ref="D8:F35" si="1">(C8-C7)</f>
        <v>118</v>
      </c>
      <c r="E8" s="84">
        <v>142251</v>
      </c>
      <c r="F8" s="182">
        <f t="shared" si="1"/>
        <v>167</v>
      </c>
      <c r="G8" s="84">
        <v>5200.8172000000004</v>
      </c>
      <c r="H8" s="182">
        <f t="shared" ref="H8" si="2">(G8-G7)</f>
        <v>0.90190000000075088</v>
      </c>
      <c r="I8" s="84">
        <v>9903</v>
      </c>
      <c r="J8" s="182">
        <f t="shared" ref="J8" si="3">(I8-I7)</f>
        <v>6</v>
      </c>
      <c r="K8" s="84">
        <v>111897</v>
      </c>
      <c r="L8" s="76">
        <f t="shared" ref="L8" si="4">(K8-K7)</f>
        <v>71</v>
      </c>
      <c r="M8" s="182">
        <f t="shared" ref="M8:M34" si="5">L8*55%</f>
        <v>39.050000000000004</v>
      </c>
      <c r="N8" s="182">
        <f t="shared" ref="N8:N34" si="6">L8*45%</f>
        <v>31.95</v>
      </c>
      <c r="O8" s="84">
        <v>82597</v>
      </c>
      <c r="P8" s="182">
        <f t="shared" ref="P8" si="7">(O8-O7)</f>
        <v>93</v>
      </c>
      <c r="R8" s="106">
        <f t="shared" si="0"/>
        <v>285.90190000000075</v>
      </c>
      <c r="S8" s="98">
        <f t="shared" ref="S8:S34" si="8">SUM(N8,P8)</f>
        <v>124.95</v>
      </c>
    </row>
    <row r="9" spans="1:19" ht="39.950000000000003" customHeight="1">
      <c r="A9" s="145">
        <v>44046</v>
      </c>
      <c r="B9" s="16"/>
      <c r="C9" s="84">
        <v>165460</v>
      </c>
      <c r="D9" s="182">
        <f t="shared" si="1"/>
        <v>105</v>
      </c>
      <c r="E9" s="84">
        <v>142411</v>
      </c>
      <c r="F9" s="182">
        <f t="shared" si="1"/>
        <v>160</v>
      </c>
      <c r="G9" s="84">
        <v>5204.9784</v>
      </c>
      <c r="H9" s="182">
        <f t="shared" ref="H9" si="9">(G9-G8)</f>
        <v>4.1611999999995533</v>
      </c>
      <c r="I9" s="84">
        <v>9914</v>
      </c>
      <c r="J9" s="182">
        <f t="shared" ref="J9" si="10">(I9-I8)</f>
        <v>11</v>
      </c>
      <c r="K9" s="84">
        <v>112009</v>
      </c>
      <c r="L9" s="76">
        <f t="shared" ref="L9" si="11">(K9-K8)</f>
        <v>112</v>
      </c>
      <c r="M9" s="182">
        <f t="shared" si="5"/>
        <v>61.600000000000009</v>
      </c>
      <c r="N9" s="182">
        <f t="shared" si="6"/>
        <v>50.4</v>
      </c>
      <c r="O9" s="84">
        <v>82680</v>
      </c>
      <c r="P9" s="182">
        <f t="shared" ref="P9" si="12">(O9-O8)</f>
        <v>83</v>
      </c>
      <c r="R9" s="106">
        <f t="shared" si="0"/>
        <v>269.16119999999955</v>
      </c>
      <c r="S9" s="98">
        <f t="shared" si="8"/>
        <v>133.4</v>
      </c>
    </row>
    <row r="10" spans="1:19" ht="39.950000000000003" customHeight="1">
      <c r="A10" s="145">
        <v>44047</v>
      </c>
      <c r="B10" s="16"/>
      <c r="C10" s="84">
        <v>165546</v>
      </c>
      <c r="D10" s="182">
        <f t="shared" si="1"/>
        <v>86</v>
      </c>
      <c r="E10" s="84">
        <v>142563</v>
      </c>
      <c r="F10" s="182">
        <f t="shared" si="1"/>
        <v>152</v>
      </c>
      <c r="G10" s="84">
        <v>5207.7956999999997</v>
      </c>
      <c r="H10" s="182">
        <f t="shared" ref="H10" si="13">(G10-G9)</f>
        <v>2.8172999999997046</v>
      </c>
      <c r="I10" s="84">
        <v>9920</v>
      </c>
      <c r="J10" s="182">
        <f t="shared" ref="J10" si="14">(I10-I9)</f>
        <v>6</v>
      </c>
      <c r="K10" s="84">
        <v>112114</v>
      </c>
      <c r="L10" s="76">
        <f t="shared" ref="L10" si="15">(K10-K9)</f>
        <v>105</v>
      </c>
      <c r="M10" s="182">
        <f t="shared" si="5"/>
        <v>57.750000000000007</v>
      </c>
      <c r="N10" s="182">
        <f t="shared" si="6"/>
        <v>47.25</v>
      </c>
      <c r="O10" s="84">
        <v>82770</v>
      </c>
      <c r="P10" s="182">
        <f t="shared" ref="P10" si="16">(O10-O9)</f>
        <v>90</v>
      </c>
      <c r="R10" s="106">
        <f t="shared" si="0"/>
        <v>240.8172999999997</v>
      </c>
      <c r="S10" s="98">
        <f t="shared" si="8"/>
        <v>137.25</v>
      </c>
    </row>
    <row r="11" spans="1:19" ht="39.950000000000003" customHeight="1">
      <c r="A11" s="145">
        <v>44048</v>
      </c>
      <c r="B11" s="16"/>
      <c r="C11" s="84">
        <v>165614</v>
      </c>
      <c r="D11" s="182">
        <f t="shared" si="1"/>
        <v>68</v>
      </c>
      <c r="E11" s="84">
        <v>142736</v>
      </c>
      <c r="F11" s="182">
        <f t="shared" si="1"/>
        <v>173</v>
      </c>
      <c r="G11" s="84">
        <v>5214.6670999999997</v>
      </c>
      <c r="H11" s="182">
        <f t="shared" ref="H11" si="17">(G11-G10)</f>
        <v>6.8713999999999942</v>
      </c>
      <c r="I11" s="83">
        <f>(I10+I12)/2</f>
        <v>9500.5</v>
      </c>
      <c r="J11" s="182">
        <f t="shared" ref="J11" si="18">(I11-I10)</f>
        <v>-419.5</v>
      </c>
      <c r="K11" s="84">
        <v>112222</v>
      </c>
      <c r="L11" s="76">
        <f t="shared" ref="L11" si="19">(K11-K10)</f>
        <v>108</v>
      </c>
      <c r="M11" s="182">
        <f t="shared" si="5"/>
        <v>59.400000000000006</v>
      </c>
      <c r="N11" s="182">
        <f t="shared" si="6"/>
        <v>48.6</v>
      </c>
      <c r="O11" s="84">
        <v>82862</v>
      </c>
      <c r="P11" s="182">
        <f t="shared" ref="P11" si="20">(O11-O10)</f>
        <v>92</v>
      </c>
      <c r="R11" s="106">
        <f t="shared" si="0"/>
        <v>247.87139999999999</v>
      </c>
      <c r="S11" s="98">
        <f t="shared" si="8"/>
        <v>140.6</v>
      </c>
    </row>
    <row r="12" spans="1:19" ht="39.950000000000003" customHeight="1">
      <c r="A12" s="145">
        <v>44049</v>
      </c>
      <c r="B12" s="16"/>
      <c r="C12" s="84">
        <v>165725</v>
      </c>
      <c r="D12" s="182">
        <f t="shared" si="1"/>
        <v>111</v>
      </c>
      <c r="E12" s="84">
        <v>142891</v>
      </c>
      <c r="F12" s="182">
        <f t="shared" si="1"/>
        <v>155</v>
      </c>
      <c r="G12" s="84">
        <v>5216.4426000000003</v>
      </c>
      <c r="H12" s="182">
        <f t="shared" ref="H12" si="21">(G12-G11)</f>
        <v>1.7755000000006476</v>
      </c>
      <c r="I12" s="84">
        <v>9081</v>
      </c>
      <c r="J12" s="182">
        <f t="shared" ref="J12" si="22">(I12-I11)</f>
        <v>-419.5</v>
      </c>
      <c r="K12" s="84">
        <v>112312</v>
      </c>
      <c r="L12" s="76">
        <f t="shared" ref="L12" si="23">(K12-K11)</f>
        <v>90</v>
      </c>
      <c r="M12" s="182">
        <f t="shared" si="5"/>
        <v>49.500000000000007</v>
      </c>
      <c r="N12" s="182">
        <f t="shared" si="6"/>
        <v>40.5</v>
      </c>
      <c r="O12" s="84">
        <v>82944</v>
      </c>
      <c r="P12" s="182">
        <f t="shared" ref="P12" si="24">(O12-O11)</f>
        <v>82</v>
      </c>
      <c r="R12" s="106">
        <f t="shared" si="0"/>
        <v>267.77550000000065</v>
      </c>
      <c r="S12" s="98">
        <f t="shared" si="8"/>
        <v>122.5</v>
      </c>
    </row>
    <row r="13" spans="1:19" ht="39.950000000000003" customHeight="1">
      <c r="A13" s="145">
        <v>44050</v>
      </c>
      <c r="B13" s="16"/>
      <c r="C13" s="84">
        <v>165838</v>
      </c>
      <c r="D13" s="182">
        <f t="shared" si="1"/>
        <v>113</v>
      </c>
      <c r="E13" s="84">
        <v>143066</v>
      </c>
      <c r="F13" s="182">
        <f t="shared" si="1"/>
        <v>175</v>
      </c>
      <c r="G13" s="84">
        <v>5218.0113000000001</v>
      </c>
      <c r="H13" s="182">
        <f t="shared" ref="H13" si="25">(G13-G12)</f>
        <v>1.5686999999998079</v>
      </c>
      <c r="I13" s="84">
        <v>9993</v>
      </c>
      <c r="J13" s="182">
        <f t="shared" ref="J13" si="26">(I13-I12)</f>
        <v>912</v>
      </c>
      <c r="K13" s="84">
        <v>112398</v>
      </c>
      <c r="L13" s="76">
        <f t="shared" ref="L13" si="27">(K13-K12)</f>
        <v>86</v>
      </c>
      <c r="M13" s="182">
        <f t="shared" si="5"/>
        <v>47.300000000000004</v>
      </c>
      <c r="N13" s="182">
        <f t="shared" si="6"/>
        <v>38.700000000000003</v>
      </c>
      <c r="O13" s="84">
        <v>83036</v>
      </c>
      <c r="P13" s="182">
        <f t="shared" ref="P13" si="28">(O13-O12)</f>
        <v>92</v>
      </c>
      <c r="R13" s="106">
        <f t="shared" si="0"/>
        <v>289.56869999999981</v>
      </c>
      <c r="S13" s="98">
        <f t="shared" si="8"/>
        <v>130.69999999999999</v>
      </c>
    </row>
    <row r="14" spans="1:19" ht="39.950000000000003" customHeight="1">
      <c r="A14" s="145">
        <v>44051</v>
      </c>
      <c r="B14" s="16"/>
      <c r="C14" s="84">
        <v>165973</v>
      </c>
      <c r="D14" s="182">
        <f t="shared" si="1"/>
        <v>135</v>
      </c>
      <c r="E14" s="84">
        <v>143243</v>
      </c>
      <c r="F14" s="182">
        <f t="shared" si="1"/>
        <v>177</v>
      </c>
      <c r="G14" s="84">
        <v>5222.8104999999996</v>
      </c>
      <c r="H14" s="182">
        <f t="shared" ref="H14" si="29">(G14-G13)</f>
        <v>4.7991999999994732</v>
      </c>
      <c r="I14" s="83">
        <f>(I13+I15)/2</f>
        <v>54996.5</v>
      </c>
      <c r="J14" s="182">
        <f t="shared" ref="J14" si="30">(I14-I13)</f>
        <v>45003.5</v>
      </c>
      <c r="K14" s="84">
        <v>112519</v>
      </c>
      <c r="L14" s="76">
        <f t="shared" ref="L14" si="31">(K14-K13)</f>
        <v>121</v>
      </c>
      <c r="M14" s="182">
        <f t="shared" si="5"/>
        <v>66.550000000000011</v>
      </c>
      <c r="N14" s="182">
        <f t="shared" si="6"/>
        <v>54.45</v>
      </c>
      <c r="O14" s="84">
        <v>83115</v>
      </c>
      <c r="P14" s="182">
        <f t="shared" ref="P14" si="32">(O14-O13)</f>
        <v>79</v>
      </c>
      <c r="R14" s="106">
        <f t="shared" si="0"/>
        <v>316.79919999999947</v>
      </c>
      <c r="S14" s="98">
        <f t="shared" si="8"/>
        <v>133.44999999999999</v>
      </c>
    </row>
    <row r="15" spans="1:19" ht="39.950000000000003" customHeight="1">
      <c r="A15" s="145">
        <v>44052</v>
      </c>
      <c r="B15" s="16"/>
      <c r="C15" s="84">
        <v>166217</v>
      </c>
      <c r="D15" s="182">
        <f t="shared" si="1"/>
        <v>244</v>
      </c>
      <c r="E15" s="84">
        <v>143456</v>
      </c>
      <c r="F15" s="182">
        <f t="shared" si="1"/>
        <v>213</v>
      </c>
      <c r="G15" s="84">
        <v>5226.3931000000002</v>
      </c>
      <c r="H15" s="182">
        <f t="shared" ref="H15" si="33">(G15-G14)</f>
        <v>3.5826000000006388</v>
      </c>
      <c r="I15" s="84">
        <v>100000</v>
      </c>
      <c r="J15" s="182">
        <f t="shared" ref="J15" si="34">(I15-I14)</f>
        <v>45003.5</v>
      </c>
      <c r="K15" s="84">
        <v>112624</v>
      </c>
      <c r="L15" s="76">
        <f t="shared" ref="L15" si="35">(K15-K14)</f>
        <v>105</v>
      </c>
      <c r="M15" s="182">
        <f t="shared" si="5"/>
        <v>57.750000000000007</v>
      </c>
      <c r="N15" s="182">
        <f t="shared" si="6"/>
        <v>47.25</v>
      </c>
      <c r="O15" s="84">
        <v>83213</v>
      </c>
      <c r="P15" s="182">
        <f t="shared" ref="P15" si="36">(O15-O14)</f>
        <v>98</v>
      </c>
      <c r="R15" s="106">
        <f t="shared" si="0"/>
        <v>460.58260000000064</v>
      </c>
      <c r="S15" s="98">
        <f t="shared" si="8"/>
        <v>145.25</v>
      </c>
    </row>
    <row r="16" spans="1:19" ht="39.950000000000003" customHeight="1">
      <c r="A16" s="145">
        <v>44053</v>
      </c>
      <c r="B16" s="16"/>
      <c r="C16" s="84">
        <v>166391</v>
      </c>
      <c r="D16" s="182">
        <f t="shared" si="1"/>
        <v>174</v>
      </c>
      <c r="E16" s="84">
        <v>143663</v>
      </c>
      <c r="F16" s="182">
        <f t="shared" si="1"/>
        <v>207</v>
      </c>
      <c r="G16" s="83">
        <f>(G15+G17)/2</f>
        <v>5231.2521500000003</v>
      </c>
      <c r="H16" s="182">
        <f t="shared" ref="H16" si="37">(G16-G15)</f>
        <v>4.8590500000000247</v>
      </c>
      <c r="I16" s="84">
        <v>10010</v>
      </c>
      <c r="J16" s="182">
        <f t="shared" ref="J16" si="38">(I16-I15)</f>
        <v>-89990</v>
      </c>
      <c r="K16" s="84">
        <v>112730</v>
      </c>
      <c r="L16" s="76">
        <f t="shared" ref="L16" si="39">(K16-K15)</f>
        <v>106</v>
      </c>
      <c r="M16" s="182">
        <f t="shared" si="5"/>
        <v>58.300000000000004</v>
      </c>
      <c r="N16" s="182">
        <f t="shared" si="6"/>
        <v>47.7</v>
      </c>
      <c r="O16" s="84">
        <v>83282</v>
      </c>
      <c r="P16" s="182">
        <f t="shared" ref="P16" si="40">(O16-O15)</f>
        <v>69</v>
      </c>
      <c r="R16" s="106">
        <f t="shared" si="0"/>
        <v>385.85905000000002</v>
      </c>
      <c r="S16" s="98">
        <f t="shared" si="8"/>
        <v>116.7</v>
      </c>
    </row>
    <row r="17" spans="1:19" ht="39.950000000000003" customHeight="1">
      <c r="A17" s="145">
        <v>44054</v>
      </c>
      <c r="B17" s="16"/>
      <c r="C17" s="83">
        <v>166542</v>
      </c>
      <c r="D17" s="182">
        <f t="shared" si="1"/>
        <v>151</v>
      </c>
      <c r="E17" s="83">
        <v>143875</v>
      </c>
      <c r="F17" s="182">
        <f t="shared" si="1"/>
        <v>212</v>
      </c>
      <c r="G17" s="83">
        <v>5236.1112000000003</v>
      </c>
      <c r="H17" s="182">
        <f t="shared" ref="H17" si="41">(G17-G16)</f>
        <v>4.8590500000000247</v>
      </c>
      <c r="I17" s="83">
        <v>10023</v>
      </c>
      <c r="J17" s="182">
        <f t="shared" ref="J17" si="42">(I17-I16)</f>
        <v>13</v>
      </c>
      <c r="K17" s="83">
        <v>112836</v>
      </c>
      <c r="L17" s="76">
        <f t="shared" ref="L17" si="43">(K17-K16)</f>
        <v>106</v>
      </c>
      <c r="M17" s="182">
        <f t="shared" si="5"/>
        <v>58.300000000000004</v>
      </c>
      <c r="N17" s="182">
        <f t="shared" si="6"/>
        <v>47.7</v>
      </c>
      <c r="O17" s="83">
        <v>83367</v>
      </c>
      <c r="P17" s="182">
        <f t="shared" ref="P17" si="44">(O17-O16)</f>
        <v>85</v>
      </c>
      <c r="R17" s="106">
        <f t="shared" si="0"/>
        <v>367.85905000000002</v>
      </c>
      <c r="S17" s="98">
        <f t="shared" si="8"/>
        <v>132.69999999999999</v>
      </c>
    </row>
    <row r="18" spans="1:19" ht="39.950000000000003" customHeight="1">
      <c r="A18" s="145">
        <v>44055</v>
      </c>
      <c r="B18" s="16"/>
      <c r="C18" s="83">
        <v>166668</v>
      </c>
      <c r="D18" s="182">
        <f t="shared" si="1"/>
        <v>126</v>
      </c>
      <c r="E18" s="83">
        <v>144076</v>
      </c>
      <c r="F18" s="182">
        <f t="shared" si="1"/>
        <v>201</v>
      </c>
      <c r="G18" s="83">
        <v>5239.7782999999999</v>
      </c>
      <c r="H18" s="182">
        <f t="shared" ref="H18" si="45">(G18-G17)</f>
        <v>3.6670999999996639</v>
      </c>
      <c r="I18" s="83">
        <v>10032</v>
      </c>
      <c r="J18" s="182">
        <f t="shared" ref="J18" si="46">(I18-I17)</f>
        <v>9</v>
      </c>
      <c r="K18" s="83">
        <v>112964</v>
      </c>
      <c r="L18" s="76">
        <f t="shared" ref="L18" si="47">(K18-K17)</f>
        <v>128</v>
      </c>
      <c r="M18" s="182">
        <f t="shared" si="5"/>
        <v>70.400000000000006</v>
      </c>
      <c r="N18" s="182">
        <f t="shared" si="6"/>
        <v>57.6</v>
      </c>
      <c r="O18" s="83">
        <v>83456</v>
      </c>
      <c r="P18" s="182">
        <f t="shared" ref="P18" si="48">(O18-O17)</f>
        <v>89</v>
      </c>
      <c r="R18" s="106">
        <f t="shared" si="0"/>
        <v>330.66709999999966</v>
      </c>
      <c r="S18" s="98">
        <f t="shared" si="8"/>
        <v>146.6</v>
      </c>
    </row>
    <row r="19" spans="1:19" s="79" customFormat="1" ht="39.950000000000003" customHeight="1">
      <c r="A19" s="145">
        <v>44056</v>
      </c>
      <c r="B19" s="82"/>
      <c r="C19" s="84">
        <v>166805</v>
      </c>
      <c r="D19" s="182">
        <f t="shared" si="1"/>
        <v>137</v>
      </c>
      <c r="E19" s="84">
        <v>144252</v>
      </c>
      <c r="F19" s="182">
        <f t="shared" si="1"/>
        <v>176</v>
      </c>
      <c r="G19" s="84">
        <v>5243.1670999999997</v>
      </c>
      <c r="H19" s="182">
        <f t="shared" ref="H19" si="49">(G19-G18)</f>
        <v>3.3887999999997191</v>
      </c>
      <c r="I19" s="83">
        <f>(I18+I20)/2</f>
        <v>10037.5</v>
      </c>
      <c r="J19" s="182">
        <f t="shared" ref="J19" si="50">(I19-I18)</f>
        <v>5.5</v>
      </c>
      <c r="K19" s="84">
        <v>113073</v>
      </c>
      <c r="L19" s="76">
        <f t="shared" ref="L19" si="51">(K19-K18)</f>
        <v>109</v>
      </c>
      <c r="M19" s="182">
        <f t="shared" si="5"/>
        <v>59.95</v>
      </c>
      <c r="N19" s="182">
        <f t="shared" si="6"/>
        <v>49.050000000000004</v>
      </c>
      <c r="O19" s="84">
        <v>83539</v>
      </c>
      <c r="P19" s="182">
        <f t="shared" ref="P19" si="52">(O19-O18)</f>
        <v>83</v>
      </c>
      <c r="R19" s="168">
        <f t="shared" si="0"/>
        <v>316.38879999999972</v>
      </c>
      <c r="S19" s="105">
        <f t="shared" si="8"/>
        <v>132.05000000000001</v>
      </c>
    </row>
    <row r="20" spans="1:19" s="79" customFormat="1" ht="39.950000000000003" customHeight="1">
      <c r="A20" s="145">
        <v>44057</v>
      </c>
      <c r="B20" s="82"/>
      <c r="C20" s="84">
        <v>166952</v>
      </c>
      <c r="D20" s="182">
        <f t="shared" si="1"/>
        <v>147</v>
      </c>
      <c r="E20" s="84">
        <v>144453</v>
      </c>
      <c r="F20" s="182">
        <f t="shared" si="1"/>
        <v>201</v>
      </c>
      <c r="G20" s="84">
        <v>5244.9530000000004</v>
      </c>
      <c r="H20" s="182">
        <f t="shared" ref="H20" si="53">(G20-G19)</f>
        <v>1.7859000000007654</v>
      </c>
      <c r="I20" s="84">
        <v>10043</v>
      </c>
      <c r="J20" s="182">
        <f t="shared" ref="J20" si="54">(I20-I19)</f>
        <v>5.5</v>
      </c>
      <c r="K20" s="84">
        <v>113199</v>
      </c>
      <c r="L20" s="76">
        <f t="shared" ref="L20" si="55">(K20-K19)</f>
        <v>126</v>
      </c>
      <c r="M20" s="182">
        <f t="shared" si="5"/>
        <v>69.300000000000011</v>
      </c>
      <c r="N20" s="182">
        <f t="shared" si="6"/>
        <v>56.7</v>
      </c>
      <c r="O20" s="84">
        <v>83619</v>
      </c>
      <c r="P20" s="182">
        <f t="shared" ref="P20" si="56">(O20-O19)</f>
        <v>80</v>
      </c>
      <c r="R20" s="168">
        <f t="shared" si="0"/>
        <v>349.78590000000077</v>
      </c>
      <c r="S20" s="105">
        <f t="shared" si="8"/>
        <v>136.69999999999999</v>
      </c>
    </row>
    <row r="21" spans="1:19" s="79" customFormat="1" ht="39.950000000000003" customHeight="1">
      <c r="A21" s="145">
        <v>44058</v>
      </c>
      <c r="B21" s="82"/>
      <c r="C21" s="84">
        <v>167119</v>
      </c>
      <c r="D21" s="182">
        <f t="shared" si="1"/>
        <v>167</v>
      </c>
      <c r="E21" s="84">
        <v>144655</v>
      </c>
      <c r="F21" s="182">
        <f>(E21-E20)</f>
        <v>202</v>
      </c>
      <c r="G21" s="84">
        <v>5245.3029999999999</v>
      </c>
      <c r="H21" s="182">
        <f t="shared" ref="H21" si="57">(G21-G20)</f>
        <v>0.3499999999994543</v>
      </c>
      <c r="I21" s="84">
        <v>10049</v>
      </c>
      <c r="J21" s="182">
        <f t="shared" ref="J21" si="58">(I21-I20)</f>
        <v>6</v>
      </c>
      <c r="K21" s="84">
        <v>113304</v>
      </c>
      <c r="L21" s="76">
        <f t="shared" ref="L21" si="59">(K21-K20)</f>
        <v>105</v>
      </c>
      <c r="M21" s="182">
        <f t="shared" si="5"/>
        <v>57.750000000000007</v>
      </c>
      <c r="N21" s="182">
        <f t="shared" si="6"/>
        <v>47.25</v>
      </c>
      <c r="O21" s="84">
        <v>83701</v>
      </c>
      <c r="P21" s="182">
        <f t="shared" ref="P21" si="60">(O21-O20)</f>
        <v>82</v>
      </c>
      <c r="R21" s="168">
        <f t="shared" si="0"/>
        <v>369.34999999999945</v>
      </c>
      <c r="S21" s="105">
        <f t="shared" si="8"/>
        <v>129.25</v>
      </c>
    </row>
    <row r="22" spans="1:19" s="79" customFormat="1" ht="39.950000000000003" customHeight="1">
      <c r="A22" s="145">
        <v>44059</v>
      </c>
      <c r="B22" s="82"/>
      <c r="C22" s="83">
        <v>167292</v>
      </c>
      <c r="D22" s="182">
        <f t="shared" si="1"/>
        <v>173</v>
      </c>
      <c r="E22" s="83">
        <v>144877</v>
      </c>
      <c r="F22" s="182">
        <f>(E22-E21)</f>
        <v>222</v>
      </c>
      <c r="G22" s="83">
        <v>5249.1472000000003</v>
      </c>
      <c r="H22" s="182">
        <f t="shared" ref="H22" si="61">(G22-G21)</f>
        <v>3.8442000000004555</v>
      </c>
      <c r="I22" s="83">
        <v>10055</v>
      </c>
      <c r="J22" s="182">
        <f t="shared" ref="J22" si="62">(I22-I21)</f>
        <v>6</v>
      </c>
      <c r="K22" s="83">
        <v>113429</v>
      </c>
      <c r="L22" s="76">
        <f t="shared" ref="L22" si="63">(K22-K21)</f>
        <v>125</v>
      </c>
      <c r="M22" s="182">
        <f t="shared" si="5"/>
        <v>68.75</v>
      </c>
      <c r="N22" s="182">
        <f t="shared" si="6"/>
        <v>56.25</v>
      </c>
      <c r="O22" s="83">
        <v>83785</v>
      </c>
      <c r="P22" s="182">
        <f t="shared" ref="P22" si="64">(O22-O21)</f>
        <v>84</v>
      </c>
      <c r="R22" s="168">
        <f t="shared" si="0"/>
        <v>398.84420000000046</v>
      </c>
      <c r="S22" s="105">
        <f t="shared" si="8"/>
        <v>140.25</v>
      </c>
    </row>
    <row r="23" spans="1:19" s="79" customFormat="1" ht="39.950000000000003" customHeight="1">
      <c r="A23" s="145">
        <v>44060</v>
      </c>
      <c r="B23" s="82"/>
      <c r="C23" s="83">
        <v>167464</v>
      </c>
      <c r="D23" s="182">
        <f t="shared" si="1"/>
        <v>172</v>
      </c>
      <c r="E23" s="83">
        <v>145075</v>
      </c>
      <c r="F23" s="182">
        <f>(E23-E22)</f>
        <v>198</v>
      </c>
      <c r="G23" s="83">
        <v>5251.1338999999998</v>
      </c>
      <c r="H23" s="182">
        <f t="shared" ref="H23" si="65">(G23-G22)</f>
        <v>1.9866999999994732</v>
      </c>
      <c r="I23" s="83">
        <v>10062</v>
      </c>
      <c r="J23" s="182">
        <f t="shared" ref="J23" si="66">(I23-I22)</f>
        <v>7</v>
      </c>
      <c r="K23" s="83">
        <v>113546</v>
      </c>
      <c r="L23" s="76">
        <f t="shared" ref="L23" si="67">(K23-K22)</f>
        <v>117</v>
      </c>
      <c r="M23" s="182">
        <f t="shared" si="5"/>
        <v>64.350000000000009</v>
      </c>
      <c r="N23" s="182">
        <f t="shared" si="6"/>
        <v>52.65</v>
      </c>
      <c r="O23" s="83">
        <v>83855</v>
      </c>
      <c r="P23" s="182">
        <f t="shared" ref="P23" si="68">(O23-O22)</f>
        <v>70</v>
      </c>
      <c r="R23" s="168">
        <f t="shared" si="0"/>
        <v>371.98669999999947</v>
      </c>
      <c r="S23" s="105">
        <f t="shared" si="8"/>
        <v>122.65</v>
      </c>
    </row>
    <row r="24" spans="1:19" s="79" customFormat="1" ht="39.950000000000003" customHeight="1">
      <c r="A24" s="145">
        <v>44061</v>
      </c>
      <c r="B24" s="82"/>
      <c r="C24" s="83">
        <v>167647</v>
      </c>
      <c r="D24" s="182">
        <f t="shared" si="1"/>
        <v>183</v>
      </c>
      <c r="E24" s="83">
        <v>145276</v>
      </c>
      <c r="F24" s="182">
        <f t="shared" si="1"/>
        <v>201</v>
      </c>
      <c r="G24" s="83">
        <v>5253.8130000000001</v>
      </c>
      <c r="H24" s="182">
        <f t="shared" ref="H24" si="69">(G24-G23)</f>
        <v>2.6791000000002896</v>
      </c>
      <c r="I24" s="83">
        <v>10068</v>
      </c>
      <c r="J24" s="182">
        <f t="shared" ref="J24" si="70">(I24-I23)</f>
        <v>6</v>
      </c>
      <c r="K24" s="83">
        <v>113668</v>
      </c>
      <c r="L24" s="76">
        <f t="shared" ref="L24" si="71">(K24-K23)</f>
        <v>122</v>
      </c>
      <c r="M24" s="182">
        <f t="shared" si="5"/>
        <v>67.100000000000009</v>
      </c>
      <c r="N24" s="182">
        <f t="shared" si="6"/>
        <v>54.9</v>
      </c>
      <c r="O24" s="83">
        <v>83937</v>
      </c>
      <c r="P24" s="182">
        <f t="shared" ref="P24" si="72">(O24-O23)</f>
        <v>82</v>
      </c>
      <c r="R24" s="168">
        <f t="shared" si="0"/>
        <v>386.67910000000029</v>
      </c>
      <c r="S24" s="105">
        <f t="shared" si="8"/>
        <v>136.9</v>
      </c>
    </row>
    <row r="25" spans="1:19" s="79" customFormat="1" ht="39.950000000000003" customHeight="1">
      <c r="A25" s="145">
        <v>44062</v>
      </c>
      <c r="B25" s="82"/>
      <c r="C25" s="83">
        <v>167799</v>
      </c>
      <c r="D25" s="182">
        <f t="shared" si="1"/>
        <v>152</v>
      </c>
      <c r="E25" s="83">
        <v>145481</v>
      </c>
      <c r="F25" s="182">
        <f t="shared" si="1"/>
        <v>205</v>
      </c>
      <c r="G25" s="83">
        <v>5254.2137000000002</v>
      </c>
      <c r="H25" s="182">
        <f t="shared" ref="H25" si="73">(G25-G24)</f>
        <v>0.40070000000014261</v>
      </c>
      <c r="I25" s="83">
        <v>10080</v>
      </c>
      <c r="J25" s="182">
        <f t="shared" ref="J25" si="74">(I25-I24)</f>
        <v>12</v>
      </c>
      <c r="K25" s="83">
        <v>113790</v>
      </c>
      <c r="L25" s="76">
        <f t="shared" ref="L25" si="75">(K25-K24)</f>
        <v>122</v>
      </c>
      <c r="M25" s="182">
        <f t="shared" si="5"/>
        <v>67.100000000000009</v>
      </c>
      <c r="N25" s="182">
        <f t="shared" si="6"/>
        <v>54.9</v>
      </c>
      <c r="O25" s="83">
        <v>84016</v>
      </c>
      <c r="P25" s="182">
        <f t="shared" ref="P25" si="76">(O25-O24)</f>
        <v>79</v>
      </c>
      <c r="R25" s="168">
        <f t="shared" si="0"/>
        <v>357.40070000000014</v>
      </c>
      <c r="S25" s="105">
        <f t="shared" si="8"/>
        <v>133.9</v>
      </c>
    </row>
    <row r="26" spans="1:19" ht="39.950000000000003" customHeight="1">
      <c r="A26" s="145">
        <v>44063</v>
      </c>
      <c r="B26" s="82"/>
      <c r="C26" s="83">
        <v>167919</v>
      </c>
      <c r="D26" s="182">
        <f t="shared" si="1"/>
        <v>120</v>
      </c>
      <c r="E26" s="83">
        <v>145670</v>
      </c>
      <c r="F26" s="182">
        <f t="shared" si="1"/>
        <v>189</v>
      </c>
      <c r="G26" s="83">
        <v>5255.6467000000002</v>
      </c>
      <c r="H26" s="182">
        <f t="shared" ref="H26" si="77">(G26-G25)</f>
        <v>1.4329999999999927</v>
      </c>
      <c r="I26" s="83">
        <v>10091</v>
      </c>
      <c r="J26" s="182">
        <f t="shared" ref="J26" si="78">(I26-I25)</f>
        <v>11</v>
      </c>
      <c r="K26" s="83">
        <v>113914</v>
      </c>
      <c r="L26" s="76">
        <f t="shared" ref="L26" si="79">(K26-K25)</f>
        <v>124</v>
      </c>
      <c r="M26" s="182">
        <f t="shared" si="5"/>
        <v>68.2</v>
      </c>
      <c r="N26" s="182">
        <f t="shared" si="6"/>
        <v>55.800000000000004</v>
      </c>
      <c r="O26" s="83">
        <v>84085</v>
      </c>
      <c r="P26" s="182">
        <f t="shared" ref="P26" si="80">(O26-O25)</f>
        <v>69</v>
      </c>
      <c r="R26" s="106">
        <f t="shared" si="0"/>
        <v>310.43299999999999</v>
      </c>
      <c r="S26" s="98">
        <f t="shared" si="8"/>
        <v>124.80000000000001</v>
      </c>
    </row>
    <row r="27" spans="1:19" ht="39.950000000000003" customHeight="1">
      <c r="A27" s="145">
        <v>44064</v>
      </c>
      <c r="B27" s="82"/>
      <c r="C27" s="84">
        <v>168080</v>
      </c>
      <c r="D27" s="182">
        <f t="shared" si="1"/>
        <v>161</v>
      </c>
      <c r="E27" s="84">
        <v>145872</v>
      </c>
      <c r="F27" s="182">
        <f t="shared" si="1"/>
        <v>202</v>
      </c>
      <c r="G27" s="84">
        <v>5263.3310000000001</v>
      </c>
      <c r="H27" s="182">
        <f t="shared" ref="H27" si="81">(G27-G26)</f>
        <v>7.6842999999998938</v>
      </c>
      <c r="I27" s="84">
        <v>10099</v>
      </c>
      <c r="J27" s="182">
        <f t="shared" ref="J27" si="82">(I27-I26)</f>
        <v>8</v>
      </c>
      <c r="K27" s="84">
        <v>114024</v>
      </c>
      <c r="L27" s="76">
        <f t="shared" ref="L27" si="83">(K27-K26)</f>
        <v>110</v>
      </c>
      <c r="M27" s="182">
        <f t="shared" si="5"/>
        <v>60.500000000000007</v>
      </c>
      <c r="N27" s="182">
        <f t="shared" si="6"/>
        <v>49.5</v>
      </c>
      <c r="O27" s="84">
        <v>84175</v>
      </c>
      <c r="P27" s="182">
        <f t="shared" ref="P27" si="84">(O27-O26)</f>
        <v>90</v>
      </c>
      <c r="R27" s="106">
        <f t="shared" si="0"/>
        <v>370.68429999999989</v>
      </c>
      <c r="S27" s="98">
        <f t="shared" si="8"/>
        <v>139.5</v>
      </c>
    </row>
    <row r="28" spans="1:19" ht="39.950000000000003" customHeight="1">
      <c r="A28" s="145">
        <v>44065</v>
      </c>
      <c r="B28" s="82"/>
      <c r="C28" s="83">
        <f>(C27+C29)/2</f>
        <v>168280</v>
      </c>
      <c r="D28" s="182">
        <f t="shared" si="1"/>
        <v>200</v>
      </c>
      <c r="E28" s="83">
        <f>(E27+E29)/2</f>
        <v>146101</v>
      </c>
      <c r="F28" s="182">
        <f t="shared" si="1"/>
        <v>229</v>
      </c>
      <c r="G28" s="83">
        <v>5264.7276000000002</v>
      </c>
      <c r="H28" s="182">
        <f t="shared" ref="H28" si="85">(G28-G27)</f>
        <v>1.3966000000000349</v>
      </c>
      <c r="I28" s="83">
        <v>10107</v>
      </c>
      <c r="J28" s="182">
        <f t="shared" ref="J28" si="86">(I28-I27)</f>
        <v>8</v>
      </c>
      <c r="K28" s="83">
        <f>(K27+K29)/2</f>
        <v>114145</v>
      </c>
      <c r="L28" s="76">
        <f t="shared" ref="L28" si="87">(K28-K27)</f>
        <v>121</v>
      </c>
      <c r="M28" s="182">
        <f t="shared" si="5"/>
        <v>66.550000000000011</v>
      </c>
      <c r="N28" s="182">
        <f t="shared" si="6"/>
        <v>54.45</v>
      </c>
      <c r="O28" s="83">
        <f>(O27+O29)/2</f>
        <v>84252</v>
      </c>
      <c r="P28" s="182">
        <f t="shared" ref="P28" si="88">(O28-O27)</f>
        <v>77</v>
      </c>
      <c r="R28" s="106">
        <f t="shared" si="0"/>
        <v>430.39660000000003</v>
      </c>
      <c r="S28" s="98">
        <f t="shared" si="8"/>
        <v>131.44999999999999</v>
      </c>
    </row>
    <row r="29" spans="1:19" ht="39.950000000000003" customHeight="1">
      <c r="A29" s="145">
        <v>44066</v>
      </c>
      <c r="B29" s="82"/>
      <c r="C29" s="83">
        <v>168480</v>
      </c>
      <c r="D29" s="182">
        <f t="shared" si="1"/>
        <v>200</v>
      </c>
      <c r="E29" s="83">
        <v>146330</v>
      </c>
      <c r="F29" s="182">
        <f t="shared" si="1"/>
        <v>229</v>
      </c>
      <c r="G29" s="83">
        <v>5266.9246999999996</v>
      </c>
      <c r="H29" s="182">
        <f t="shared" ref="H29" si="89">(G29-G28)</f>
        <v>2.1970999999994092</v>
      </c>
      <c r="I29" s="83">
        <v>10115</v>
      </c>
      <c r="J29" s="182">
        <f t="shared" ref="J29" si="90">(I29-I28)</f>
        <v>8</v>
      </c>
      <c r="K29" s="83">
        <v>114266</v>
      </c>
      <c r="L29" s="76">
        <f t="shared" ref="L29" si="91">(K29-K28)</f>
        <v>121</v>
      </c>
      <c r="M29" s="182">
        <f t="shared" si="5"/>
        <v>66.550000000000011</v>
      </c>
      <c r="N29" s="182">
        <f t="shared" si="6"/>
        <v>54.45</v>
      </c>
      <c r="O29" s="83">
        <v>84329</v>
      </c>
      <c r="P29" s="182">
        <f t="shared" ref="P29" si="92">(O29-O28)</f>
        <v>77</v>
      </c>
      <c r="R29" s="106">
        <f t="shared" si="0"/>
        <v>431.19709999999941</v>
      </c>
      <c r="S29" s="98">
        <f t="shared" si="8"/>
        <v>131.44999999999999</v>
      </c>
    </row>
    <row r="30" spans="1:19" ht="39.950000000000003" customHeight="1">
      <c r="A30" s="145">
        <v>44067</v>
      </c>
      <c r="B30" s="82"/>
      <c r="C30" s="83">
        <v>168667</v>
      </c>
      <c r="D30" s="182">
        <f t="shared" si="1"/>
        <v>187</v>
      </c>
      <c r="E30" s="83">
        <v>146532</v>
      </c>
      <c r="F30" s="182">
        <f t="shared" si="1"/>
        <v>202</v>
      </c>
      <c r="G30" s="83">
        <v>5268.9525999999996</v>
      </c>
      <c r="H30" s="182">
        <f t="shared" ref="H30" si="93">(G30-G29)</f>
        <v>2.0279000000000451</v>
      </c>
      <c r="I30" s="83">
        <v>10123</v>
      </c>
      <c r="J30" s="182">
        <f t="shared" ref="J30" si="94">(I30-I29)</f>
        <v>8</v>
      </c>
      <c r="K30" s="83">
        <v>114374</v>
      </c>
      <c r="L30" s="76">
        <f t="shared" ref="L30" si="95">(K30-K29)</f>
        <v>108</v>
      </c>
      <c r="M30" s="182">
        <f t="shared" si="5"/>
        <v>59.400000000000006</v>
      </c>
      <c r="N30" s="182">
        <f t="shared" si="6"/>
        <v>48.6</v>
      </c>
      <c r="O30" s="83">
        <v>84400</v>
      </c>
      <c r="P30" s="182">
        <f t="shared" ref="P30" si="96">(O30-O29)</f>
        <v>71</v>
      </c>
      <c r="R30" s="106">
        <f t="shared" si="0"/>
        <v>391.02790000000005</v>
      </c>
      <c r="S30" s="98">
        <f t="shared" si="8"/>
        <v>119.6</v>
      </c>
    </row>
    <row r="31" spans="1:19" ht="39.950000000000003" customHeight="1">
      <c r="A31" s="145">
        <v>44068</v>
      </c>
      <c r="B31" s="82"/>
      <c r="C31" s="83">
        <v>168845</v>
      </c>
      <c r="D31" s="182">
        <f t="shared" si="1"/>
        <v>178</v>
      </c>
      <c r="E31" s="83">
        <v>146735</v>
      </c>
      <c r="F31" s="182">
        <f t="shared" si="1"/>
        <v>203</v>
      </c>
      <c r="G31" s="83">
        <v>5271.4951000000001</v>
      </c>
      <c r="H31" s="182">
        <f t="shared" ref="H31" si="97">(G31-G30)</f>
        <v>2.5425000000004729</v>
      </c>
      <c r="I31" s="83">
        <v>10130</v>
      </c>
      <c r="J31" s="182">
        <f t="shared" ref="J31" si="98">(I31-I30)</f>
        <v>7</v>
      </c>
      <c r="K31" s="83">
        <v>114496</v>
      </c>
      <c r="L31" s="76">
        <f t="shared" ref="L31" si="99">(K31-K30)</f>
        <v>122</v>
      </c>
      <c r="M31" s="182">
        <f t="shared" si="5"/>
        <v>67.100000000000009</v>
      </c>
      <c r="N31" s="182">
        <f t="shared" si="6"/>
        <v>54.9</v>
      </c>
      <c r="O31" s="83">
        <v>84483</v>
      </c>
      <c r="P31" s="182">
        <f t="shared" ref="P31" si="100">(O31-O30)</f>
        <v>83</v>
      </c>
      <c r="R31" s="106">
        <f t="shared" si="0"/>
        <v>383.54250000000047</v>
      </c>
      <c r="S31" s="98">
        <f t="shared" si="8"/>
        <v>137.9</v>
      </c>
    </row>
    <row r="32" spans="1:19" ht="39.950000000000003" customHeight="1">
      <c r="A32" s="145">
        <v>44069</v>
      </c>
      <c r="B32" s="82"/>
      <c r="C32" s="83">
        <v>168995</v>
      </c>
      <c r="D32" s="182">
        <f t="shared" si="1"/>
        <v>150</v>
      </c>
      <c r="E32" s="83">
        <v>146986</v>
      </c>
      <c r="F32" s="182">
        <f t="shared" si="1"/>
        <v>251</v>
      </c>
      <c r="G32" s="83">
        <v>5274.2627000000002</v>
      </c>
      <c r="H32" s="182">
        <f t="shared" ref="H32" si="101">(G32-G31)</f>
        <v>2.7676000000001295</v>
      </c>
      <c r="I32" s="83">
        <v>10145</v>
      </c>
      <c r="J32" s="182">
        <f t="shared" ref="J32" si="102">(I32-I31)</f>
        <v>15</v>
      </c>
      <c r="K32" s="83">
        <v>114613</v>
      </c>
      <c r="L32" s="76">
        <f t="shared" ref="L32" si="103">(K32-K31)</f>
        <v>117</v>
      </c>
      <c r="M32" s="182">
        <f t="shared" si="5"/>
        <v>64.350000000000009</v>
      </c>
      <c r="N32" s="182">
        <f t="shared" si="6"/>
        <v>52.65</v>
      </c>
      <c r="O32" s="83">
        <v>84565</v>
      </c>
      <c r="P32" s="182">
        <f t="shared" ref="P32" si="104">(O32-O31)</f>
        <v>82</v>
      </c>
      <c r="R32" s="106">
        <f t="shared" si="0"/>
        <v>403.76760000000013</v>
      </c>
      <c r="S32" s="98">
        <f t="shared" si="8"/>
        <v>134.65</v>
      </c>
    </row>
    <row r="33" spans="1:19" ht="39.950000000000003" customHeight="1">
      <c r="A33" s="145">
        <v>44070</v>
      </c>
      <c r="B33" s="82"/>
      <c r="C33" s="83">
        <v>169144</v>
      </c>
      <c r="D33" s="182">
        <f t="shared" si="1"/>
        <v>149</v>
      </c>
      <c r="E33" s="83">
        <v>147208</v>
      </c>
      <c r="F33" s="182">
        <f t="shared" si="1"/>
        <v>222</v>
      </c>
      <c r="G33" s="83">
        <v>5276.7076999999999</v>
      </c>
      <c r="H33" s="182">
        <f t="shared" ref="H33" si="105">(G33-G32)</f>
        <v>2.444999999999709</v>
      </c>
      <c r="I33" s="83">
        <v>10152</v>
      </c>
      <c r="J33" s="182">
        <f t="shared" ref="J33" si="106">(I33-I32)</f>
        <v>7</v>
      </c>
      <c r="K33" s="83">
        <v>114723</v>
      </c>
      <c r="L33" s="76">
        <f t="shared" ref="L33" si="107">(K33-K32)</f>
        <v>110</v>
      </c>
      <c r="M33" s="182">
        <f t="shared" si="5"/>
        <v>60.500000000000007</v>
      </c>
      <c r="N33" s="182">
        <f t="shared" si="6"/>
        <v>49.5</v>
      </c>
      <c r="O33" s="83">
        <v>84647</v>
      </c>
      <c r="P33" s="182">
        <f t="shared" ref="P33" si="108">(O33-O32)</f>
        <v>82</v>
      </c>
      <c r="R33" s="106">
        <f t="shared" si="0"/>
        <v>373.44499999999971</v>
      </c>
      <c r="S33" s="98">
        <f t="shared" si="8"/>
        <v>131.5</v>
      </c>
    </row>
    <row r="34" spans="1:19" ht="39.950000000000003" customHeight="1">
      <c r="A34" s="145">
        <v>44071</v>
      </c>
      <c r="B34" s="82"/>
      <c r="C34" s="83">
        <v>169313</v>
      </c>
      <c r="D34" s="182">
        <f t="shared" si="1"/>
        <v>169</v>
      </c>
      <c r="E34" s="83">
        <v>147439</v>
      </c>
      <c r="F34" s="182">
        <f t="shared" si="1"/>
        <v>231</v>
      </c>
      <c r="G34" s="83">
        <v>5278.5108</v>
      </c>
      <c r="H34" s="182">
        <f t="shared" ref="H34:H37" si="109">(G34-G33)</f>
        <v>1.8031000000000859</v>
      </c>
      <c r="I34" s="83">
        <v>10158</v>
      </c>
      <c r="J34" s="182">
        <f t="shared" ref="J34:J37" si="110">(I34-I33)</f>
        <v>6</v>
      </c>
      <c r="K34" s="83">
        <v>114837</v>
      </c>
      <c r="L34" s="76">
        <f t="shared" ref="L34" si="111">(K34-K33)</f>
        <v>114</v>
      </c>
      <c r="M34" s="182">
        <f t="shared" si="5"/>
        <v>62.7</v>
      </c>
      <c r="N34" s="182">
        <f t="shared" si="6"/>
        <v>51.300000000000004</v>
      </c>
      <c r="O34" s="83">
        <v>84715</v>
      </c>
      <c r="P34" s="182">
        <f t="shared" ref="P34:P37" si="112">(O34-O33)</f>
        <v>68</v>
      </c>
      <c r="R34" s="106">
        <f t="shared" si="0"/>
        <v>401.80310000000009</v>
      </c>
      <c r="S34" s="98">
        <f t="shared" si="8"/>
        <v>119.30000000000001</v>
      </c>
    </row>
    <row r="35" spans="1:19" ht="39.950000000000003" customHeight="1">
      <c r="A35" s="145">
        <v>44072</v>
      </c>
      <c r="B35" s="82"/>
      <c r="C35" s="83">
        <v>169497</v>
      </c>
      <c r="D35" s="182">
        <f t="shared" si="1"/>
        <v>184</v>
      </c>
      <c r="E35" s="83">
        <v>147673</v>
      </c>
      <c r="F35" s="182">
        <f t="shared" si="1"/>
        <v>234</v>
      </c>
      <c r="G35" s="83">
        <v>5281.7820000000002</v>
      </c>
      <c r="H35" s="182">
        <f t="shared" si="109"/>
        <v>3.2712000000001353</v>
      </c>
      <c r="I35" s="83">
        <v>10165</v>
      </c>
      <c r="J35" s="182">
        <f t="shared" si="110"/>
        <v>7</v>
      </c>
      <c r="K35" s="83">
        <v>114968</v>
      </c>
      <c r="L35" s="76">
        <f t="shared" ref="L35:L36" si="113">(K35-K34)</f>
        <v>131</v>
      </c>
      <c r="M35" s="182">
        <f t="shared" ref="M35:M36" si="114">L35*55%</f>
        <v>72.050000000000011</v>
      </c>
      <c r="N35" s="182">
        <f t="shared" ref="N35:N36" si="115">L35*45%</f>
        <v>58.95</v>
      </c>
      <c r="O35" s="83">
        <v>84797</v>
      </c>
      <c r="P35" s="182">
        <f t="shared" si="112"/>
        <v>82</v>
      </c>
      <c r="R35" s="106">
        <f t="shared" ref="R35:R36" si="116">SUM(D35,F35,M99,H35)</f>
        <v>421.27120000000014</v>
      </c>
      <c r="S35" s="98">
        <f t="shared" ref="S35:S36" si="117">SUM(N35,P35)</f>
        <v>140.94999999999999</v>
      </c>
    </row>
    <row r="36" spans="1:19" ht="39.950000000000003" customHeight="1">
      <c r="A36" s="145">
        <v>44073</v>
      </c>
      <c r="B36" s="82"/>
      <c r="C36" s="83">
        <v>169699</v>
      </c>
      <c r="D36" s="182">
        <f t="shared" ref="D36:D37" si="118">(C36-C35)</f>
        <v>202</v>
      </c>
      <c r="E36" s="83">
        <v>147924</v>
      </c>
      <c r="F36" s="182">
        <f t="shared" ref="F36:F37" si="119">(E36-E35)</f>
        <v>251</v>
      </c>
      <c r="G36" s="83">
        <v>5288.7025000000003</v>
      </c>
      <c r="H36" s="182">
        <f t="shared" si="109"/>
        <v>6.9205000000001746</v>
      </c>
      <c r="I36" s="83">
        <v>10171</v>
      </c>
      <c r="J36" s="182">
        <f t="shared" si="110"/>
        <v>6</v>
      </c>
      <c r="K36" s="83">
        <v>115095</v>
      </c>
      <c r="L36" s="76">
        <f t="shared" si="113"/>
        <v>127</v>
      </c>
      <c r="M36" s="182">
        <f t="shared" si="114"/>
        <v>69.850000000000009</v>
      </c>
      <c r="N36" s="182">
        <f t="shared" si="115"/>
        <v>57.15</v>
      </c>
      <c r="O36" s="83">
        <v>84883</v>
      </c>
      <c r="P36" s="182">
        <f t="shared" si="112"/>
        <v>86</v>
      </c>
      <c r="R36" s="106">
        <f t="shared" si="116"/>
        <v>459.92050000000017</v>
      </c>
      <c r="S36" s="98">
        <f t="shared" si="117"/>
        <v>143.15</v>
      </c>
    </row>
    <row r="37" spans="1:19" ht="39.950000000000003" customHeight="1">
      <c r="A37" s="145">
        <v>44074</v>
      </c>
      <c r="B37" s="16"/>
      <c r="C37" s="84">
        <v>170085</v>
      </c>
      <c r="D37" s="182">
        <f t="shared" si="118"/>
        <v>386</v>
      </c>
      <c r="E37" s="84">
        <v>148152</v>
      </c>
      <c r="F37" s="182">
        <f t="shared" si="119"/>
        <v>228</v>
      </c>
      <c r="G37" s="84">
        <v>5292.5994000000001</v>
      </c>
      <c r="H37" s="182">
        <f t="shared" si="109"/>
        <v>3.8968999999997322</v>
      </c>
      <c r="I37" s="84">
        <v>10177</v>
      </c>
      <c r="J37" s="182">
        <f t="shared" si="110"/>
        <v>6</v>
      </c>
      <c r="K37" s="84">
        <v>115202</v>
      </c>
      <c r="L37" s="76">
        <f t="shared" ref="L37" si="120">(K37-K36)</f>
        <v>107</v>
      </c>
      <c r="M37" s="182">
        <f t="shared" ref="M37" si="121">L37*55%</f>
        <v>58.85</v>
      </c>
      <c r="N37" s="182">
        <f t="shared" ref="N37" si="122">L37*45%</f>
        <v>48.15</v>
      </c>
      <c r="O37" s="84">
        <v>84953</v>
      </c>
      <c r="P37" s="182">
        <f t="shared" si="112"/>
        <v>70</v>
      </c>
      <c r="R37" s="106">
        <f t="shared" ref="R37" si="123">SUM(D37,F37,M101,H37)</f>
        <v>617.89689999999973</v>
      </c>
      <c r="S37" s="98">
        <f t="shared" ref="S37" si="124">SUM(N37,P37)</f>
        <v>118.15</v>
      </c>
    </row>
    <row r="38" spans="1:19" s="22" customFormat="1" ht="39.950000000000003" customHeight="1">
      <c r="A38" s="21"/>
      <c r="D38" s="23">
        <f>SUM(D7:D37)</f>
        <v>4964</v>
      </c>
      <c r="F38" s="23">
        <f>SUM(F7:F37)</f>
        <v>6205</v>
      </c>
      <c r="H38" s="23">
        <f>SUM(H7:H37)</f>
        <v>92.888899999999921</v>
      </c>
      <c r="J38" s="23">
        <f>SUM(J7:J37)</f>
        <v>288</v>
      </c>
      <c r="L38" s="23">
        <f>SUM(L7:L37)</f>
        <v>3460</v>
      </c>
      <c r="M38" s="23"/>
      <c r="N38" s="23"/>
      <c r="P38" s="23">
        <f>SUM(P7:P37)</f>
        <v>2540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40" zoomScaleNormal="40" workbookViewId="0">
      <pane xSplit="2" ySplit="7" topLeftCell="AO14" activePane="bottomRight" state="frozen"/>
      <selection pane="topRight" activeCell="C1" sqref="C1"/>
      <selection pane="bottomLeft" activeCell="A8" sqref="A8"/>
      <selection pane="bottomRight" activeCell="BL13" sqref="BL13"/>
    </sheetView>
  </sheetViews>
  <sheetFormatPr defaultRowHeight="31.5"/>
  <cols>
    <col min="1" max="1" width="15.710937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15" t="s">
        <v>65</v>
      </c>
      <c r="D1" s="215"/>
      <c r="E1" s="215"/>
      <c r="F1" s="215"/>
      <c r="G1" s="215" t="s">
        <v>64</v>
      </c>
      <c r="H1" s="215"/>
      <c r="I1" s="215" t="s">
        <v>64</v>
      </c>
      <c r="J1" s="215"/>
      <c r="K1" s="215" t="s">
        <v>64</v>
      </c>
      <c r="L1" s="215"/>
      <c r="M1" s="215" t="s">
        <v>64</v>
      </c>
      <c r="N1" s="215"/>
      <c r="O1" s="215" t="s">
        <v>64</v>
      </c>
      <c r="P1" s="215"/>
      <c r="Q1" s="201" t="s">
        <v>64</v>
      </c>
      <c r="R1" s="202"/>
      <c r="S1" s="201" t="s">
        <v>64</v>
      </c>
      <c r="T1" s="202"/>
      <c r="U1" s="201" t="s">
        <v>64</v>
      </c>
      <c r="V1" s="202"/>
      <c r="W1" s="201" t="s">
        <v>64</v>
      </c>
      <c r="X1" s="203"/>
      <c r="Y1" s="215" t="s">
        <v>64</v>
      </c>
      <c r="Z1" s="215"/>
      <c r="AA1" s="201" t="s">
        <v>64</v>
      </c>
      <c r="AB1" s="202"/>
      <c r="AC1" s="215" t="s">
        <v>64</v>
      </c>
      <c r="AD1" s="215"/>
      <c r="AE1" s="215" t="s">
        <v>64</v>
      </c>
      <c r="AF1" s="215"/>
      <c r="AG1" s="215" t="s">
        <v>64</v>
      </c>
      <c r="AH1" s="215"/>
      <c r="AI1" s="215" t="s">
        <v>64</v>
      </c>
      <c r="AJ1" s="215"/>
      <c r="AK1" s="215" t="s">
        <v>64</v>
      </c>
      <c r="AL1" s="215"/>
      <c r="AM1" s="215" t="s">
        <v>66</v>
      </c>
      <c r="AN1" s="215"/>
      <c r="AO1" s="215" t="s">
        <v>66</v>
      </c>
      <c r="AP1" s="215"/>
      <c r="AQ1" s="215" t="s">
        <v>66</v>
      </c>
      <c r="AR1" s="215"/>
      <c r="AS1" s="215" t="s">
        <v>66</v>
      </c>
      <c r="AT1" s="215"/>
      <c r="AU1" s="215" t="s">
        <v>66</v>
      </c>
      <c r="AV1" s="215"/>
      <c r="AW1" s="215" t="s">
        <v>66</v>
      </c>
      <c r="AX1" s="215"/>
      <c r="AY1" s="215" t="s">
        <v>66</v>
      </c>
      <c r="AZ1" s="215"/>
      <c r="BA1" s="215" t="s">
        <v>66</v>
      </c>
      <c r="BB1" s="215"/>
      <c r="BC1" s="215" t="s">
        <v>66</v>
      </c>
      <c r="BD1" s="215"/>
      <c r="BE1" s="215" t="s">
        <v>66</v>
      </c>
      <c r="BF1" s="215"/>
      <c r="BH1" s="33"/>
      <c r="BI1" s="33"/>
    </row>
    <row r="2" spans="1:61" s="25" customFormat="1" ht="75.75" customHeight="1">
      <c r="A2" s="50"/>
      <c r="B2" s="50"/>
      <c r="C2" s="231" t="s">
        <v>116</v>
      </c>
      <c r="D2" s="231"/>
      <c r="E2" s="231"/>
      <c r="F2" s="231"/>
      <c r="G2" s="231" t="s">
        <v>117</v>
      </c>
      <c r="H2" s="231"/>
      <c r="I2" s="231" t="s">
        <v>118</v>
      </c>
      <c r="J2" s="231"/>
      <c r="K2" s="231" t="s">
        <v>119</v>
      </c>
      <c r="L2" s="231"/>
      <c r="M2" s="231" t="s">
        <v>120</v>
      </c>
      <c r="N2" s="231"/>
      <c r="O2" s="229" t="s">
        <v>121</v>
      </c>
      <c r="P2" s="230"/>
      <c r="Q2" s="229" t="s">
        <v>122</v>
      </c>
      <c r="R2" s="230"/>
      <c r="S2" s="229" t="s">
        <v>123</v>
      </c>
      <c r="T2" s="230"/>
      <c r="U2" s="229" t="s">
        <v>124</v>
      </c>
      <c r="V2" s="230"/>
      <c r="W2" s="229" t="s">
        <v>125</v>
      </c>
      <c r="X2" s="232"/>
      <c r="Y2" s="231" t="s">
        <v>126</v>
      </c>
      <c r="Z2" s="231"/>
      <c r="AA2" s="229" t="s">
        <v>127</v>
      </c>
      <c r="AB2" s="230"/>
      <c r="AC2" s="231" t="s">
        <v>128</v>
      </c>
      <c r="AD2" s="231"/>
      <c r="AE2" s="231" t="s">
        <v>129</v>
      </c>
      <c r="AF2" s="231"/>
      <c r="AG2" s="231" t="s">
        <v>129</v>
      </c>
      <c r="AH2" s="231"/>
      <c r="AI2" s="231" t="s">
        <v>129</v>
      </c>
      <c r="AJ2" s="231"/>
      <c r="AK2" s="231" t="s">
        <v>129</v>
      </c>
      <c r="AL2" s="231"/>
      <c r="AM2" s="231" t="s">
        <v>130</v>
      </c>
      <c r="AN2" s="231"/>
      <c r="AO2" s="231" t="s">
        <v>131</v>
      </c>
      <c r="AP2" s="231"/>
      <c r="AQ2" s="231" t="s">
        <v>132</v>
      </c>
      <c r="AR2" s="231"/>
      <c r="AS2" s="231" t="s">
        <v>132</v>
      </c>
      <c r="AT2" s="231"/>
      <c r="AU2" s="231" t="s">
        <v>133</v>
      </c>
      <c r="AV2" s="231"/>
      <c r="AW2" s="231" t="s">
        <v>134</v>
      </c>
      <c r="AX2" s="231"/>
      <c r="AY2" s="231" t="s">
        <v>135</v>
      </c>
      <c r="AZ2" s="231"/>
      <c r="BA2" s="231" t="s">
        <v>135</v>
      </c>
      <c r="BB2" s="231"/>
      <c r="BC2" s="231" t="s">
        <v>136</v>
      </c>
      <c r="BD2" s="231"/>
      <c r="BE2" s="231" t="s">
        <v>136</v>
      </c>
      <c r="BF2" s="231"/>
      <c r="BH2" s="33"/>
      <c r="BI2" s="33"/>
    </row>
    <row r="3" spans="1:61" s="10" customFormat="1" ht="87.75" customHeight="1">
      <c r="A3" s="107"/>
      <c r="B3" s="107"/>
      <c r="C3" s="236" t="s">
        <v>137</v>
      </c>
      <c r="D3" s="237"/>
      <c r="E3" s="107" t="s">
        <v>64</v>
      </c>
      <c r="F3" s="109" t="s">
        <v>66</v>
      </c>
      <c r="G3" s="235" t="s">
        <v>138</v>
      </c>
      <c r="H3" s="234"/>
      <c r="I3" s="235" t="s">
        <v>138</v>
      </c>
      <c r="J3" s="234"/>
      <c r="K3" s="235" t="s">
        <v>138</v>
      </c>
      <c r="L3" s="234"/>
      <c r="M3" s="238" t="s">
        <v>139</v>
      </c>
      <c r="N3" s="239"/>
      <c r="O3" s="235" t="s">
        <v>138</v>
      </c>
      <c r="P3" s="234"/>
      <c r="Q3" s="235" t="s">
        <v>138</v>
      </c>
      <c r="R3" s="234"/>
      <c r="S3" s="242" t="s">
        <v>138</v>
      </c>
      <c r="T3" s="243"/>
      <c r="U3" s="235" t="s">
        <v>138</v>
      </c>
      <c r="V3" s="234"/>
      <c r="W3" s="235" t="s">
        <v>138</v>
      </c>
      <c r="X3" s="234"/>
      <c r="Y3" s="233" t="s">
        <v>140</v>
      </c>
      <c r="Z3" s="234"/>
      <c r="AA3" s="235" t="s">
        <v>141</v>
      </c>
      <c r="AB3" s="234"/>
      <c r="AC3" s="235" t="s">
        <v>142</v>
      </c>
      <c r="AD3" s="234"/>
      <c r="AE3" s="235" t="s">
        <v>142</v>
      </c>
      <c r="AF3" s="234"/>
      <c r="AG3" s="233" t="s">
        <v>143</v>
      </c>
      <c r="AH3" s="234"/>
      <c r="AI3" s="235" t="s">
        <v>144</v>
      </c>
      <c r="AJ3" s="234"/>
      <c r="AK3" s="233" t="s">
        <v>145</v>
      </c>
      <c r="AL3" s="234"/>
      <c r="AM3" s="235" t="s">
        <v>146</v>
      </c>
      <c r="AN3" s="234"/>
      <c r="AO3" s="235" t="s">
        <v>146</v>
      </c>
      <c r="AP3" s="234"/>
      <c r="AQ3" s="233" t="s">
        <v>147</v>
      </c>
      <c r="AR3" s="234"/>
      <c r="AS3" s="235" t="s">
        <v>148</v>
      </c>
      <c r="AT3" s="234"/>
      <c r="AU3" s="233" t="s">
        <v>149</v>
      </c>
      <c r="AV3" s="234"/>
      <c r="AW3" s="233" t="s">
        <v>149</v>
      </c>
      <c r="AX3" s="234"/>
      <c r="AY3" s="235" t="s">
        <v>144</v>
      </c>
      <c r="AZ3" s="234"/>
      <c r="BA3" s="233" t="s">
        <v>145</v>
      </c>
      <c r="BB3" s="234"/>
      <c r="BC3" s="235" t="s">
        <v>144</v>
      </c>
      <c r="BD3" s="234"/>
      <c r="BE3" s="233" t="s">
        <v>145</v>
      </c>
      <c r="BF3" s="234"/>
      <c r="BH3" s="33"/>
      <c r="BI3" s="33"/>
    </row>
    <row r="4" spans="1:61" s="25" customFormat="1" ht="50.1" customHeight="1">
      <c r="A4" s="107"/>
      <c r="B4" s="50"/>
      <c r="C4" s="207" t="s">
        <v>150</v>
      </c>
      <c r="D4" s="209"/>
      <c r="E4" s="240" t="s">
        <v>151</v>
      </c>
      <c r="F4" s="241"/>
      <c r="G4" s="207" t="s">
        <v>152</v>
      </c>
      <c r="H4" s="209"/>
      <c r="I4" s="207" t="s">
        <v>153</v>
      </c>
      <c r="J4" s="209"/>
      <c r="K4" s="207" t="s">
        <v>154</v>
      </c>
      <c r="L4" s="209"/>
      <c r="M4" s="207">
        <v>7092801222</v>
      </c>
      <c r="N4" s="209"/>
      <c r="O4" s="207" t="s">
        <v>155</v>
      </c>
      <c r="P4" s="208"/>
      <c r="Q4" s="207" t="s">
        <v>156</v>
      </c>
      <c r="R4" s="208"/>
      <c r="S4" s="207" t="s">
        <v>157</v>
      </c>
      <c r="T4" s="208"/>
      <c r="U4" s="207" t="s">
        <v>158</v>
      </c>
      <c r="V4" s="208"/>
      <c r="W4" s="207" t="s">
        <v>159</v>
      </c>
      <c r="X4" s="209"/>
      <c r="Y4" s="207" t="s">
        <v>160</v>
      </c>
      <c r="Z4" s="209"/>
      <c r="AA4" s="207" t="s">
        <v>161</v>
      </c>
      <c r="AB4" s="208"/>
      <c r="AC4" s="207" t="s">
        <v>162</v>
      </c>
      <c r="AD4" s="209"/>
      <c r="AE4" s="207" t="s">
        <v>163</v>
      </c>
      <c r="AF4" s="209"/>
      <c r="AG4" s="207" t="s">
        <v>164</v>
      </c>
      <c r="AH4" s="209"/>
      <c r="AI4" s="207">
        <v>7105826734</v>
      </c>
      <c r="AJ4" s="209"/>
      <c r="AK4" s="207">
        <v>7105825932</v>
      </c>
      <c r="AL4" s="209"/>
      <c r="AM4" s="207" t="s">
        <v>165</v>
      </c>
      <c r="AN4" s="209"/>
      <c r="AO4" s="207" t="s">
        <v>166</v>
      </c>
      <c r="AP4" s="209"/>
      <c r="AQ4" s="207" t="s">
        <v>167</v>
      </c>
      <c r="AR4" s="209"/>
      <c r="AS4" s="207" t="s">
        <v>168</v>
      </c>
      <c r="AT4" s="209"/>
      <c r="AU4" s="207" t="s">
        <v>169</v>
      </c>
      <c r="AV4" s="209"/>
      <c r="AW4" s="207" t="s">
        <v>170</v>
      </c>
      <c r="AX4" s="209"/>
      <c r="AY4" s="207">
        <v>7111912486</v>
      </c>
      <c r="AZ4" s="209"/>
      <c r="BA4" s="207">
        <v>7111911842</v>
      </c>
      <c r="BB4" s="209"/>
      <c r="BC4" s="207">
        <v>7111913281</v>
      </c>
      <c r="BD4" s="209"/>
      <c r="BE4" s="207">
        <v>7111912723</v>
      </c>
      <c r="BF4" s="209"/>
      <c r="BH4" s="216" t="s">
        <v>80</v>
      </c>
      <c r="BI4" s="216"/>
    </row>
    <row r="5" spans="1:61" s="25" customFormat="1" ht="50.1" customHeight="1">
      <c r="A5" s="50" t="s">
        <v>171</v>
      </c>
      <c r="B5" s="50"/>
      <c r="C5" s="207" t="s">
        <v>172</v>
      </c>
      <c r="D5" s="209"/>
      <c r="E5" s="80">
        <v>0.6</v>
      </c>
      <c r="F5" s="31">
        <v>0.4</v>
      </c>
      <c r="G5" s="207" t="s">
        <v>173</v>
      </c>
      <c r="H5" s="209"/>
      <c r="I5" s="207" t="s">
        <v>174</v>
      </c>
      <c r="J5" s="209"/>
      <c r="K5" s="207" t="s">
        <v>175</v>
      </c>
      <c r="L5" s="209"/>
      <c r="M5" s="207" t="s">
        <v>176</v>
      </c>
      <c r="N5" s="209"/>
      <c r="O5" s="207" t="s">
        <v>177</v>
      </c>
      <c r="P5" s="208"/>
      <c r="Q5" s="207" t="s">
        <v>178</v>
      </c>
      <c r="R5" s="208"/>
      <c r="S5" s="207" t="s">
        <v>179</v>
      </c>
      <c r="T5" s="208"/>
      <c r="U5" s="207" t="s">
        <v>180</v>
      </c>
      <c r="V5" s="208"/>
      <c r="W5" s="207" t="s">
        <v>181</v>
      </c>
      <c r="X5" s="209"/>
      <c r="Y5" s="207" t="s">
        <v>182</v>
      </c>
      <c r="Z5" s="209"/>
      <c r="AA5" s="207" t="s">
        <v>183</v>
      </c>
      <c r="AB5" s="208"/>
      <c r="AC5" s="207" t="s">
        <v>184</v>
      </c>
      <c r="AD5" s="209"/>
      <c r="AE5" s="207" t="s">
        <v>185</v>
      </c>
      <c r="AF5" s="209"/>
      <c r="AG5" s="207" t="s">
        <v>186</v>
      </c>
      <c r="AH5" s="209"/>
      <c r="AI5" s="207" t="s">
        <v>187</v>
      </c>
      <c r="AJ5" s="209"/>
      <c r="AK5" s="207" t="s">
        <v>188</v>
      </c>
      <c r="AL5" s="209"/>
      <c r="AM5" s="207" t="s">
        <v>189</v>
      </c>
      <c r="AN5" s="209"/>
      <c r="AO5" s="207" t="s">
        <v>190</v>
      </c>
      <c r="AP5" s="209"/>
      <c r="AQ5" s="207" t="s">
        <v>191</v>
      </c>
      <c r="AR5" s="209"/>
      <c r="AS5" s="207" t="s">
        <v>192</v>
      </c>
      <c r="AT5" s="209"/>
      <c r="AU5" s="207" t="s">
        <v>193</v>
      </c>
      <c r="AV5" s="209"/>
      <c r="AW5" s="207" t="s">
        <v>194</v>
      </c>
      <c r="AX5" s="209"/>
      <c r="AY5" s="207">
        <v>744483</v>
      </c>
      <c r="AZ5" s="209"/>
      <c r="BA5" s="207">
        <v>119314</v>
      </c>
      <c r="BB5" s="209"/>
      <c r="BC5" s="207">
        <v>1053229</v>
      </c>
      <c r="BD5" s="209"/>
      <c r="BE5" s="207">
        <v>1053215</v>
      </c>
      <c r="BF5" s="209"/>
      <c r="BH5" s="216"/>
      <c r="BI5" s="216"/>
    </row>
    <row r="6" spans="1:61" s="8" customFormat="1" ht="30" customHeight="1">
      <c r="A6" s="107" t="s">
        <v>95</v>
      </c>
      <c r="B6" s="51"/>
      <c r="C6" s="199"/>
      <c r="D6" s="200"/>
      <c r="E6" s="81"/>
      <c r="F6" s="112"/>
      <c r="G6" s="107"/>
      <c r="H6" s="51"/>
      <c r="I6" s="199"/>
      <c r="J6" s="200"/>
      <c r="K6" s="199"/>
      <c r="L6" s="200"/>
      <c r="M6" s="199"/>
      <c r="N6" s="200"/>
      <c r="O6" s="199"/>
      <c r="P6" s="213"/>
      <c r="Q6" s="199"/>
      <c r="R6" s="213"/>
      <c r="S6" s="199"/>
      <c r="T6" s="213"/>
      <c r="U6" s="199"/>
      <c r="V6" s="213"/>
      <c r="W6" s="199"/>
      <c r="X6" s="200"/>
      <c r="Y6" s="199"/>
      <c r="Z6" s="200"/>
      <c r="AA6" s="199"/>
      <c r="AB6" s="213"/>
      <c r="AC6" s="199"/>
      <c r="AD6" s="200"/>
      <c r="AE6" s="199"/>
      <c r="AF6" s="200"/>
      <c r="AG6" s="199"/>
      <c r="AH6" s="200"/>
      <c r="AI6" s="199"/>
      <c r="AJ6" s="200"/>
      <c r="AK6" s="199"/>
      <c r="AL6" s="200"/>
      <c r="AM6" s="199"/>
      <c r="AN6" s="200"/>
      <c r="AO6" s="199"/>
      <c r="AP6" s="200"/>
      <c r="AQ6" s="199"/>
      <c r="AR6" s="200"/>
      <c r="AS6" s="199"/>
      <c r="AT6" s="200"/>
      <c r="AU6" s="199"/>
      <c r="AV6" s="200"/>
      <c r="AW6" s="199"/>
      <c r="AX6" s="200"/>
      <c r="AY6" s="199"/>
      <c r="AZ6" s="200"/>
      <c r="BA6" s="199"/>
      <c r="BB6" s="200"/>
      <c r="BC6" s="199"/>
      <c r="BD6" s="200"/>
      <c r="BE6" s="199"/>
      <c r="BF6" s="200"/>
      <c r="BH6" s="33"/>
      <c r="BI6" s="33"/>
    </row>
    <row r="7" spans="1:61" s="10" customFormat="1" ht="50.1" customHeight="1">
      <c r="A7" s="107" t="s">
        <v>98</v>
      </c>
      <c r="B7" s="107"/>
      <c r="C7" s="107" t="s">
        <v>114</v>
      </c>
      <c r="D7" s="107" t="s">
        <v>195</v>
      </c>
      <c r="E7" s="107" t="s">
        <v>195</v>
      </c>
      <c r="F7" s="107" t="s">
        <v>195</v>
      </c>
      <c r="G7" s="107" t="s">
        <v>114</v>
      </c>
      <c r="H7" s="107" t="s">
        <v>195</v>
      </c>
      <c r="I7" s="107" t="s">
        <v>114</v>
      </c>
      <c r="J7" s="107" t="s">
        <v>195</v>
      </c>
      <c r="K7" s="107" t="s">
        <v>114</v>
      </c>
      <c r="L7" s="107" t="s">
        <v>195</v>
      </c>
      <c r="M7" s="107" t="s">
        <v>114</v>
      </c>
      <c r="N7" s="107" t="s">
        <v>195</v>
      </c>
      <c r="O7" s="107" t="s">
        <v>114</v>
      </c>
      <c r="P7" s="107" t="s">
        <v>195</v>
      </c>
      <c r="Q7" s="107" t="s">
        <v>114</v>
      </c>
      <c r="R7" s="107" t="s">
        <v>195</v>
      </c>
      <c r="S7" s="107" t="s">
        <v>114</v>
      </c>
      <c r="T7" s="107" t="s">
        <v>195</v>
      </c>
      <c r="U7" s="107" t="s">
        <v>114</v>
      </c>
      <c r="V7" s="107" t="s">
        <v>195</v>
      </c>
      <c r="W7" s="107" t="s">
        <v>114</v>
      </c>
      <c r="X7" s="107" t="s">
        <v>195</v>
      </c>
      <c r="Y7" s="107" t="s">
        <v>114</v>
      </c>
      <c r="Z7" s="107" t="s">
        <v>195</v>
      </c>
      <c r="AA7" s="107" t="s">
        <v>114</v>
      </c>
      <c r="AB7" s="107" t="s">
        <v>195</v>
      </c>
      <c r="AC7" s="107" t="s">
        <v>114</v>
      </c>
      <c r="AD7" s="107" t="s">
        <v>195</v>
      </c>
      <c r="AE7" s="13" t="s">
        <v>114</v>
      </c>
      <c r="AF7" s="107" t="s">
        <v>195</v>
      </c>
      <c r="AG7" s="13" t="s">
        <v>114</v>
      </c>
      <c r="AH7" s="107" t="s">
        <v>195</v>
      </c>
      <c r="AI7" s="13" t="s">
        <v>114</v>
      </c>
      <c r="AJ7" s="107" t="s">
        <v>195</v>
      </c>
      <c r="AK7" s="13" t="s">
        <v>114</v>
      </c>
      <c r="AL7" s="107" t="s">
        <v>195</v>
      </c>
      <c r="AM7" s="13" t="s">
        <v>114</v>
      </c>
      <c r="AN7" s="107" t="s">
        <v>195</v>
      </c>
      <c r="AO7" s="13" t="s">
        <v>114</v>
      </c>
      <c r="AP7" s="107" t="s">
        <v>195</v>
      </c>
      <c r="AQ7" s="13" t="s">
        <v>114</v>
      </c>
      <c r="AR7" s="107" t="s">
        <v>195</v>
      </c>
      <c r="AS7" s="13" t="s">
        <v>114</v>
      </c>
      <c r="AT7" s="107" t="s">
        <v>195</v>
      </c>
      <c r="AU7" s="13" t="s">
        <v>114</v>
      </c>
      <c r="AV7" s="107" t="s">
        <v>195</v>
      </c>
      <c r="AW7" s="13" t="s">
        <v>114</v>
      </c>
      <c r="AX7" s="107" t="s">
        <v>195</v>
      </c>
      <c r="AY7" s="13" t="s">
        <v>114</v>
      </c>
      <c r="AZ7" s="107" t="s">
        <v>195</v>
      </c>
      <c r="BA7" s="13" t="s">
        <v>114</v>
      </c>
      <c r="BB7" s="107" t="s">
        <v>195</v>
      </c>
      <c r="BC7" s="13" t="s">
        <v>114</v>
      </c>
      <c r="BD7" s="107" t="s">
        <v>195</v>
      </c>
      <c r="BE7" s="13" t="s">
        <v>114</v>
      </c>
      <c r="BF7" s="107" t="s">
        <v>195</v>
      </c>
      <c r="BH7" s="107" t="s">
        <v>64</v>
      </c>
      <c r="BI7" s="107" t="s">
        <v>66</v>
      </c>
    </row>
    <row r="8" spans="1:61" s="36" customFormat="1" ht="39.950000000000003" customHeight="1">
      <c r="A8" s="145">
        <v>44043</v>
      </c>
      <c r="B8" s="35"/>
      <c r="C8" s="77">
        <v>5387532</v>
      </c>
      <c r="D8" s="104"/>
      <c r="E8" s="38"/>
      <c r="F8" s="104"/>
      <c r="G8" s="78">
        <v>273287</v>
      </c>
      <c r="H8" s="104"/>
      <c r="I8" s="78">
        <v>74844</v>
      </c>
      <c r="J8" s="104"/>
      <c r="K8" s="78">
        <v>254240</v>
      </c>
      <c r="L8" s="104"/>
      <c r="M8" s="78">
        <v>24364</v>
      </c>
      <c r="N8" s="104"/>
      <c r="O8" s="77">
        <v>210536</v>
      </c>
      <c r="P8" s="104"/>
      <c r="Q8" s="77">
        <v>429930</v>
      </c>
      <c r="R8" s="104"/>
      <c r="S8" s="77">
        <v>687062</v>
      </c>
      <c r="T8" s="104"/>
      <c r="U8" s="84">
        <v>93705.572</v>
      </c>
      <c r="V8" s="104"/>
      <c r="W8" s="77">
        <v>77193</v>
      </c>
      <c r="X8" s="104"/>
      <c r="Y8" s="77">
        <v>1474042</v>
      </c>
      <c r="Z8" s="104"/>
      <c r="AA8" s="77">
        <v>13166</v>
      </c>
      <c r="AB8" s="104"/>
      <c r="AC8" s="77">
        <v>425947</v>
      </c>
      <c r="AD8" s="104"/>
      <c r="AE8" s="77">
        <v>502870</v>
      </c>
      <c r="AF8" s="104"/>
      <c r="AG8" s="77">
        <v>48532</v>
      </c>
      <c r="AH8" s="104"/>
      <c r="AI8" s="77">
        <v>386294</v>
      </c>
      <c r="AJ8" s="104"/>
      <c r="AK8" s="78">
        <v>102371</v>
      </c>
      <c r="AL8" s="104"/>
      <c r="AM8" s="77">
        <v>548463</v>
      </c>
      <c r="AN8" s="104"/>
      <c r="AO8" s="77">
        <v>880471</v>
      </c>
      <c r="AP8" s="104"/>
      <c r="AQ8" s="77">
        <v>65480</v>
      </c>
      <c r="AR8" s="104"/>
      <c r="AS8" s="78">
        <v>2204</v>
      </c>
      <c r="AT8" s="104"/>
      <c r="AU8" s="78">
        <v>918</v>
      </c>
      <c r="AV8" s="104"/>
      <c r="AW8" s="78">
        <v>3108</v>
      </c>
      <c r="AX8" s="104"/>
      <c r="AY8" s="77">
        <v>294735</v>
      </c>
      <c r="AZ8" s="104"/>
      <c r="BA8" s="78">
        <v>160167</v>
      </c>
      <c r="BB8" s="104"/>
      <c r="BC8" s="77">
        <v>201816</v>
      </c>
      <c r="BD8" s="104"/>
      <c r="BE8" s="78">
        <v>5347</v>
      </c>
      <c r="BF8" s="104"/>
      <c r="BH8" s="105"/>
      <c r="BI8" s="105"/>
    </row>
    <row r="9" spans="1:61" s="29" customFormat="1" ht="39.950000000000003" customHeight="1">
      <c r="A9" s="145">
        <v>44044</v>
      </c>
      <c r="B9" s="28"/>
      <c r="C9" s="78">
        <v>5389424</v>
      </c>
      <c r="D9" s="38">
        <f>(+C9-+C8)*48</f>
        <v>90816</v>
      </c>
      <c r="E9" s="38">
        <f>D9*0.6</f>
        <v>54489.599999999999</v>
      </c>
      <c r="F9" s="38">
        <f>D9*0.4</f>
        <v>36326.400000000001</v>
      </c>
      <c r="G9" s="78">
        <v>273303</v>
      </c>
      <c r="H9" s="38">
        <f t="shared" ref="H9:H38" si="0">(+G10-+G9)*48</f>
        <v>1104</v>
      </c>
      <c r="I9" s="78">
        <v>75012</v>
      </c>
      <c r="J9" s="38">
        <f t="shared" ref="J9:J38" si="1">(+I10-+I9)*48</f>
        <v>8064</v>
      </c>
      <c r="K9" s="78">
        <v>254242</v>
      </c>
      <c r="L9" s="38">
        <f t="shared" ref="L9:L38" si="2">(+K10-+K9)*48</f>
        <v>0</v>
      </c>
      <c r="M9" s="78">
        <v>24364</v>
      </c>
      <c r="N9" s="38">
        <f t="shared" ref="N9:N38" si="3">(+M10-+M9)*48</f>
        <v>0</v>
      </c>
      <c r="O9" s="78">
        <v>210595</v>
      </c>
      <c r="P9" s="38">
        <f>(+O9-+O8)*48</f>
        <v>2832</v>
      </c>
      <c r="Q9" s="78">
        <v>429949</v>
      </c>
      <c r="R9" s="38">
        <f>(+Q9-+Q8)*48</f>
        <v>912</v>
      </c>
      <c r="S9" s="78">
        <v>687179</v>
      </c>
      <c r="T9" s="38">
        <f>(+S9-+S8)*48</f>
        <v>5616</v>
      </c>
      <c r="U9" s="83">
        <v>93721.907000000007</v>
      </c>
      <c r="V9" s="104">
        <f>(+U9-+U8)*48</f>
        <v>784.08000000030734</v>
      </c>
      <c r="W9" s="78">
        <v>77193</v>
      </c>
      <c r="X9" s="38">
        <f>(+W9-+W8)*48</f>
        <v>0</v>
      </c>
      <c r="Y9" s="78">
        <v>1474042</v>
      </c>
      <c r="Z9" s="38">
        <f>(+Y9-+Y8)*48</f>
        <v>0</v>
      </c>
      <c r="AA9" s="78">
        <v>13166</v>
      </c>
      <c r="AB9" s="38">
        <f>(+AA9-+AA8)*48</f>
        <v>0</v>
      </c>
      <c r="AC9" s="78">
        <v>426035</v>
      </c>
      <c r="AD9" s="38">
        <f>(+AC9-+AC8)*48</f>
        <v>4224</v>
      </c>
      <c r="AE9" s="78">
        <v>502968</v>
      </c>
      <c r="AF9" s="38">
        <f>(+AE9-+AE8)*48</f>
        <v>4704</v>
      </c>
      <c r="AG9" s="78">
        <v>48536</v>
      </c>
      <c r="AH9" s="38">
        <f>(+AG9-+AG8)*48</f>
        <v>192</v>
      </c>
      <c r="AI9" s="78">
        <v>386354</v>
      </c>
      <c r="AJ9" s="38">
        <f>(+AI9-+AI8)*48</f>
        <v>2880</v>
      </c>
      <c r="AK9" s="78">
        <v>102371</v>
      </c>
      <c r="AL9" s="38">
        <f>(+AK9-+AK8)*48</f>
        <v>0</v>
      </c>
      <c r="AM9" s="78">
        <v>548581</v>
      </c>
      <c r="AN9" s="38">
        <f>(+AM9-+AM8)*48</f>
        <v>5664</v>
      </c>
      <c r="AO9" s="78">
        <v>880633</v>
      </c>
      <c r="AP9" s="38">
        <f>(+AO9-+AO8)*48</f>
        <v>7776</v>
      </c>
      <c r="AQ9" s="78">
        <v>65483</v>
      </c>
      <c r="AR9" s="38">
        <f>(+AQ9-+AQ8)*48</f>
        <v>144</v>
      </c>
      <c r="AS9" s="78">
        <v>2204</v>
      </c>
      <c r="AT9" s="38">
        <f>(+AS9-+AS8)*48</f>
        <v>0</v>
      </c>
      <c r="AU9" s="78">
        <v>918</v>
      </c>
      <c r="AV9" s="38">
        <f>(+AU9-+AU8)*48</f>
        <v>0</v>
      </c>
      <c r="AW9" s="78">
        <v>3108</v>
      </c>
      <c r="AX9" s="38">
        <f>(+AW9-+AW8)*48</f>
        <v>0</v>
      </c>
      <c r="AY9" s="78">
        <v>294802</v>
      </c>
      <c r="AZ9" s="38">
        <f>(+AY9-+AY8)*48</f>
        <v>3216</v>
      </c>
      <c r="BA9" s="78">
        <v>160167</v>
      </c>
      <c r="BB9" s="38">
        <f>(+BA9-+BA8)*48</f>
        <v>0</v>
      </c>
      <c r="BC9" s="78">
        <v>201837</v>
      </c>
      <c r="BD9" s="38">
        <f>(+BC9-+BC8)*48</f>
        <v>1008</v>
      </c>
      <c r="BE9" s="78">
        <v>5347</v>
      </c>
      <c r="BF9" s="38">
        <f>(+BE9-+BE8)*48</f>
        <v>0</v>
      </c>
      <c r="BH9" s="105">
        <f t="shared" ref="BH9:BH36" si="4">SUM(E9,J9,P9,H9,L9,R9,T9,V9,X9,N9,AB9,Z9,AD9,AF9,AH9,AL9,AJ9)</f>
        <v>85801.680000000313</v>
      </c>
      <c r="BI9" s="105">
        <f t="shared" ref="BI9:BI36" si="5">SUM(F9,AN9,AP9,AT9,AV9,AX9,AR9,AZ9,BB9,BD9,BF9)</f>
        <v>54134.400000000001</v>
      </c>
    </row>
    <row r="10" spans="1:61" s="36" customFormat="1" ht="39.950000000000003" customHeight="1">
      <c r="A10" s="145">
        <v>44045</v>
      </c>
      <c r="B10" s="35"/>
      <c r="C10" s="84">
        <v>5391041</v>
      </c>
      <c r="D10" s="38">
        <f t="shared" ref="D10" si="6">(+C10-+C9)*48</f>
        <v>77616</v>
      </c>
      <c r="E10" s="38">
        <f t="shared" ref="E10:E38" si="7">D10*0.6</f>
        <v>46569.599999999999</v>
      </c>
      <c r="F10" s="104">
        <f t="shared" ref="F10:F36" si="8">D10*0.4</f>
        <v>31046.400000000001</v>
      </c>
      <c r="G10" s="84">
        <v>273326</v>
      </c>
      <c r="H10" s="38">
        <f t="shared" si="0"/>
        <v>624</v>
      </c>
      <c r="I10" s="84">
        <v>75180</v>
      </c>
      <c r="J10" s="38">
        <f t="shared" si="1"/>
        <v>8256</v>
      </c>
      <c r="K10" s="84">
        <v>254242</v>
      </c>
      <c r="L10" s="38">
        <f t="shared" si="2"/>
        <v>0</v>
      </c>
      <c r="M10" s="84">
        <v>24364</v>
      </c>
      <c r="N10" s="38">
        <f t="shared" si="3"/>
        <v>0</v>
      </c>
      <c r="O10" s="84">
        <v>210747</v>
      </c>
      <c r="P10" s="38">
        <f t="shared" ref="P10" si="9">(+O10-+O9)*48</f>
        <v>7296</v>
      </c>
      <c r="Q10" s="84">
        <v>429957</v>
      </c>
      <c r="R10" s="38">
        <f t="shared" ref="R10" si="10">(+Q10-+Q9)*48</f>
        <v>384</v>
      </c>
      <c r="S10" s="84">
        <v>687306</v>
      </c>
      <c r="T10" s="38">
        <f t="shared" ref="T10" si="11">(+S10-+S9)*48</f>
        <v>6096</v>
      </c>
      <c r="U10" s="84">
        <v>93731.918999999994</v>
      </c>
      <c r="V10" s="104">
        <f t="shared" ref="V10" si="12">(+U10-+U9)*48</f>
        <v>480.57599999941885</v>
      </c>
      <c r="W10" s="84">
        <v>77193</v>
      </c>
      <c r="X10" s="38">
        <f t="shared" ref="X10" si="13">(+W10-+W9)*48</f>
        <v>0</v>
      </c>
      <c r="Y10" s="84">
        <v>1474042</v>
      </c>
      <c r="Z10" s="38">
        <f t="shared" ref="Z10" si="14">(+Y10-+Y9)*48</f>
        <v>0</v>
      </c>
      <c r="AA10" s="84">
        <v>13166</v>
      </c>
      <c r="AB10" s="38">
        <f t="shared" ref="AB10" si="15">(+AA10-+AA9)*48</f>
        <v>0</v>
      </c>
      <c r="AC10" s="84">
        <v>426127</v>
      </c>
      <c r="AD10" s="38">
        <f t="shared" ref="AD10:AF37" si="16">(+AC10-+AC9)*48</f>
        <v>4416</v>
      </c>
      <c r="AE10" s="84">
        <v>503068</v>
      </c>
      <c r="AF10" s="38">
        <f t="shared" si="16"/>
        <v>4800</v>
      </c>
      <c r="AG10" s="84">
        <v>48539</v>
      </c>
      <c r="AH10" s="38">
        <f t="shared" ref="AH10" si="17">(+AG10-+AG9)*48</f>
        <v>144</v>
      </c>
      <c r="AI10" s="84">
        <v>386414</v>
      </c>
      <c r="AJ10" s="38">
        <f t="shared" ref="AJ10" si="18">(+AI10-+AI9)*48</f>
        <v>2880</v>
      </c>
      <c r="AK10" s="84">
        <v>102371</v>
      </c>
      <c r="AL10" s="38">
        <f t="shared" ref="AL10" si="19">(+AK10-+AK9)*48</f>
        <v>0</v>
      </c>
      <c r="AM10" s="84">
        <v>548700</v>
      </c>
      <c r="AN10" s="38">
        <f t="shared" ref="AN10" si="20">(+AM10-+AM9)*48</f>
        <v>5712</v>
      </c>
      <c r="AO10" s="84">
        <v>880766</v>
      </c>
      <c r="AP10" s="38">
        <f t="shared" ref="AP10" si="21">(+AO10-+AO9)*48</f>
        <v>6384</v>
      </c>
      <c r="AQ10" s="84">
        <v>65485</v>
      </c>
      <c r="AR10" s="38">
        <f t="shared" ref="AR10" si="22">(+AQ10-+AQ9)*48</f>
        <v>96</v>
      </c>
      <c r="AS10" s="84">
        <v>2204</v>
      </c>
      <c r="AT10" s="38">
        <f t="shared" ref="AT10" si="23">(+AS10-+AS9)*48</f>
        <v>0</v>
      </c>
      <c r="AU10" s="84">
        <v>918</v>
      </c>
      <c r="AV10" s="38">
        <f t="shared" ref="AV10" si="24">(+AU10-+AU9)*48</f>
        <v>0</v>
      </c>
      <c r="AW10" s="78">
        <v>3108</v>
      </c>
      <c r="AX10" s="38">
        <f t="shared" ref="AX10" si="25">(+AW10-+AW9)*48</f>
        <v>0</v>
      </c>
      <c r="AY10" s="84">
        <v>294872</v>
      </c>
      <c r="AZ10" s="38">
        <f t="shared" ref="AZ10" si="26">(+AY10-+AY9)*48</f>
        <v>3360</v>
      </c>
      <c r="BA10" s="84">
        <v>160167</v>
      </c>
      <c r="BB10" s="38">
        <f t="shared" ref="BB10" si="27">(+BA10-+BA9)*48</f>
        <v>0</v>
      </c>
      <c r="BC10" s="84">
        <v>201882</v>
      </c>
      <c r="BD10" s="38">
        <f t="shared" ref="BD10" si="28">(+BC10-+BC9)*48</f>
        <v>2160</v>
      </c>
      <c r="BE10" s="84">
        <v>5347</v>
      </c>
      <c r="BF10" s="38">
        <f t="shared" ref="BF10" si="29">(+BE10-+BE9)*48</f>
        <v>0</v>
      </c>
      <c r="BH10" s="105">
        <f t="shared" si="4"/>
        <v>81946.175999999425</v>
      </c>
      <c r="BI10" s="105">
        <f t="shared" si="5"/>
        <v>48758.400000000001</v>
      </c>
    </row>
    <row r="11" spans="1:61" s="36" customFormat="1" ht="39.950000000000003" customHeight="1">
      <c r="A11" s="145">
        <v>44046</v>
      </c>
      <c r="B11" s="35"/>
      <c r="C11" s="84">
        <v>5392711</v>
      </c>
      <c r="D11" s="38">
        <f t="shared" ref="D11" si="30">(+C11-+C10)*48</f>
        <v>80160</v>
      </c>
      <c r="E11" s="38">
        <f t="shared" si="7"/>
        <v>48096</v>
      </c>
      <c r="F11" s="104">
        <f t="shared" si="8"/>
        <v>32064</v>
      </c>
      <c r="G11" s="84">
        <v>273339</v>
      </c>
      <c r="H11" s="38">
        <f t="shared" si="0"/>
        <v>1104</v>
      </c>
      <c r="I11" s="84">
        <v>75352</v>
      </c>
      <c r="J11" s="38">
        <f t="shared" si="1"/>
        <v>7680</v>
      </c>
      <c r="K11" s="84">
        <v>254242</v>
      </c>
      <c r="L11" s="38">
        <f t="shared" si="2"/>
        <v>0</v>
      </c>
      <c r="M11" s="84">
        <v>24364</v>
      </c>
      <c r="N11" s="38">
        <f t="shared" si="3"/>
        <v>0</v>
      </c>
      <c r="O11" s="84">
        <v>210906</v>
      </c>
      <c r="P11" s="38">
        <f t="shared" ref="P11" si="31">(+O11-+O10)*48</f>
        <v>7632</v>
      </c>
      <c r="Q11" s="84">
        <v>429967</v>
      </c>
      <c r="R11" s="38">
        <f t="shared" ref="R11" si="32">(+Q11-+Q10)*48</f>
        <v>480</v>
      </c>
      <c r="S11" s="84">
        <v>687401</v>
      </c>
      <c r="T11" s="38">
        <f t="shared" ref="T11" si="33">(+S11-+S10)*48</f>
        <v>4560</v>
      </c>
      <c r="U11" s="84">
        <v>93741.004000000001</v>
      </c>
      <c r="V11" s="104">
        <f t="shared" ref="V11" si="34">(+U11-+U10)*48</f>
        <v>436.08000000030734</v>
      </c>
      <c r="W11" s="84">
        <v>77193</v>
      </c>
      <c r="X11" s="38">
        <f t="shared" ref="X11" si="35">(+W11-+W10)*48</f>
        <v>0</v>
      </c>
      <c r="Y11" s="84">
        <v>1474042</v>
      </c>
      <c r="Z11" s="38">
        <f t="shared" ref="Z11" si="36">(+Y11-+Y10)*48</f>
        <v>0</v>
      </c>
      <c r="AA11" s="84">
        <v>13166</v>
      </c>
      <c r="AB11" s="38">
        <f t="shared" ref="AB11" si="37">(+AA11-+AA10)*48</f>
        <v>0</v>
      </c>
      <c r="AC11" s="84">
        <v>426223</v>
      </c>
      <c r="AD11" s="38">
        <f t="shared" si="16"/>
        <v>4608</v>
      </c>
      <c r="AE11" s="84">
        <v>503171</v>
      </c>
      <c r="AF11" s="38">
        <f t="shared" si="16"/>
        <v>4944</v>
      </c>
      <c r="AG11" s="84">
        <v>48543</v>
      </c>
      <c r="AH11" s="38">
        <f t="shared" ref="AH11" si="38">(+AG11-+AG10)*48</f>
        <v>192</v>
      </c>
      <c r="AI11" s="84">
        <v>386481</v>
      </c>
      <c r="AJ11" s="38">
        <f t="shared" ref="AJ11" si="39">(+AI11-+AI10)*48</f>
        <v>3216</v>
      </c>
      <c r="AK11" s="84">
        <v>102371</v>
      </c>
      <c r="AL11" s="38">
        <f t="shared" ref="AL11" si="40">(+AK11-+AK10)*48</f>
        <v>0</v>
      </c>
      <c r="AM11" s="84">
        <v>548821</v>
      </c>
      <c r="AN11" s="38">
        <f t="shared" ref="AN11" si="41">(+AM11-+AM10)*48</f>
        <v>5808</v>
      </c>
      <c r="AO11" s="84">
        <v>880862</v>
      </c>
      <c r="AP11" s="38">
        <f t="shared" ref="AP11" si="42">(+AO11-+AO10)*48</f>
        <v>4608</v>
      </c>
      <c r="AQ11" s="84">
        <v>65487</v>
      </c>
      <c r="AR11" s="38">
        <f t="shared" ref="AR11" si="43">(+AQ11-+AQ10)*48</f>
        <v>96</v>
      </c>
      <c r="AS11" s="84">
        <v>2204</v>
      </c>
      <c r="AT11" s="38">
        <f t="shared" ref="AT11" si="44">(+AS11-+AS10)*48</f>
        <v>0</v>
      </c>
      <c r="AU11" s="84">
        <v>918</v>
      </c>
      <c r="AV11" s="38">
        <f t="shared" ref="AV11" si="45">(+AU11-+AU10)*48</f>
        <v>0</v>
      </c>
      <c r="AW11" s="78">
        <v>3108</v>
      </c>
      <c r="AX11" s="38">
        <f t="shared" ref="AX11" si="46">(+AW11-+AW10)*48</f>
        <v>0</v>
      </c>
      <c r="AY11" s="84">
        <v>294940</v>
      </c>
      <c r="AZ11" s="38">
        <f t="shared" ref="AZ11" si="47">(+AY11-+AY10)*48</f>
        <v>3264</v>
      </c>
      <c r="BA11" s="84">
        <v>160167</v>
      </c>
      <c r="BB11" s="38">
        <f t="shared" ref="BB11" si="48">(+BA11-+BA10)*48</f>
        <v>0</v>
      </c>
      <c r="BC11" s="84">
        <v>201926</v>
      </c>
      <c r="BD11" s="38">
        <f t="shared" ref="BD11" si="49">(+BC11-+BC10)*48</f>
        <v>2112</v>
      </c>
      <c r="BE11" s="84">
        <v>5347</v>
      </c>
      <c r="BF11" s="38">
        <f t="shared" ref="BF11" si="50">(+BE11-+BE10)*48</f>
        <v>0</v>
      </c>
      <c r="BH11" s="105">
        <f t="shared" si="4"/>
        <v>82948.080000000307</v>
      </c>
      <c r="BI11" s="105">
        <f t="shared" si="5"/>
        <v>47952</v>
      </c>
    </row>
    <row r="12" spans="1:61" s="36" customFormat="1" ht="39.950000000000003" customHeight="1">
      <c r="A12" s="145">
        <v>44047</v>
      </c>
      <c r="B12" s="35"/>
      <c r="C12" s="84">
        <v>5394476</v>
      </c>
      <c r="D12" s="38">
        <f t="shared" ref="D12" si="51">(+C12-+C11)*48</f>
        <v>84720</v>
      </c>
      <c r="E12" s="38">
        <f t="shared" si="7"/>
        <v>50832</v>
      </c>
      <c r="F12" s="104">
        <f t="shared" si="8"/>
        <v>33888</v>
      </c>
      <c r="G12" s="84">
        <v>273362</v>
      </c>
      <c r="H12" s="38">
        <f t="shared" si="0"/>
        <v>864</v>
      </c>
      <c r="I12" s="84">
        <v>75512</v>
      </c>
      <c r="J12" s="38">
        <f t="shared" si="1"/>
        <v>7872</v>
      </c>
      <c r="K12" s="84">
        <v>254242</v>
      </c>
      <c r="L12" s="38">
        <f t="shared" si="2"/>
        <v>0</v>
      </c>
      <c r="M12" s="84">
        <v>24364</v>
      </c>
      <c r="N12" s="38">
        <f t="shared" si="3"/>
        <v>0</v>
      </c>
      <c r="O12" s="84">
        <v>211030</v>
      </c>
      <c r="P12" s="38">
        <f t="shared" ref="P12" si="52">(+O12-+O11)*48</f>
        <v>5952</v>
      </c>
      <c r="Q12" s="84">
        <v>429975</v>
      </c>
      <c r="R12" s="38">
        <f t="shared" ref="R12" si="53">(+Q12-+Q11)*48</f>
        <v>384</v>
      </c>
      <c r="S12" s="84">
        <v>687535</v>
      </c>
      <c r="T12" s="38">
        <f t="shared" ref="T12" si="54">(+S12-+S11)*48</f>
        <v>6432</v>
      </c>
      <c r="U12" s="84">
        <v>93756.415999999997</v>
      </c>
      <c r="V12" s="104">
        <f t="shared" ref="V12" si="55">(+U12-+U11)*48</f>
        <v>739.77599999983795</v>
      </c>
      <c r="W12" s="84">
        <v>77193</v>
      </c>
      <c r="X12" s="38">
        <f t="shared" ref="X12" si="56">(+W12-+W11)*48</f>
        <v>0</v>
      </c>
      <c r="Y12" s="84">
        <v>1474042</v>
      </c>
      <c r="Z12" s="38">
        <f t="shared" ref="Z12" si="57">(+Y12-+Y11)*48</f>
        <v>0</v>
      </c>
      <c r="AA12" s="84">
        <v>13166</v>
      </c>
      <c r="AB12" s="38">
        <f t="shared" ref="AB12" si="58">(+AA12-+AA11)*48</f>
        <v>0</v>
      </c>
      <c r="AC12" s="84">
        <v>426321</v>
      </c>
      <c r="AD12" s="38">
        <f t="shared" si="16"/>
        <v>4704</v>
      </c>
      <c r="AE12" s="84">
        <v>503275</v>
      </c>
      <c r="AF12" s="38">
        <f t="shared" si="16"/>
        <v>4992</v>
      </c>
      <c r="AG12" s="84">
        <v>48547</v>
      </c>
      <c r="AH12" s="38">
        <f t="shared" ref="AH12" si="59">(+AG12-+AG11)*48</f>
        <v>192</v>
      </c>
      <c r="AI12" s="84">
        <v>386539</v>
      </c>
      <c r="AJ12" s="38">
        <f t="shared" ref="AJ12" si="60">(+AI12-+AI11)*48</f>
        <v>2784</v>
      </c>
      <c r="AK12" s="84">
        <v>102371</v>
      </c>
      <c r="AL12" s="38">
        <f t="shared" ref="AL12" si="61">(+AK12-+AK11)*48</f>
        <v>0</v>
      </c>
      <c r="AM12" s="84">
        <v>548945</v>
      </c>
      <c r="AN12" s="38">
        <f t="shared" ref="AN12" si="62">(+AM12-+AM11)*48</f>
        <v>5952</v>
      </c>
      <c r="AO12" s="84">
        <v>880972</v>
      </c>
      <c r="AP12" s="38">
        <f t="shared" ref="AP12" si="63">(+AO12-+AO11)*48</f>
        <v>5280</v>
      </c>
      <c r="AQ12" s="84">
        <v>65490</v>
      </c>
      <c r="AR12" s="38">
        <f t="shared" ref="AR12" si="64">(+AQ12-+AQ11)*48</f>
        <v>144</v>
      </c>
      <c r="AS12" s="84">
        <v>2204</v>
      </c>
      <c r="AT12" s="38">
        <f t="shared" ref="AT12" si="65">(+AS12-+AS11)*48</f>
        <v>0</v>
      </c>
      <c r="AU12" s="84">
        <v>918</v>
      </c>
      <c r="AV12" s="38">
        <f t="shared" ref="AV12" si="66">(+AU12-+AU11)*48</f>
        <v>0</v>
      </c>
      <c r="AW12" s="78">
        <v>3108</v>
      </c>
      <c r="AX12" s="38">
        <f t="shared" ref="AX12" si="67">(+AW12-+AW11)*48</f>
        <v>0</v>
      </c>
      <c r="AY12" s="84">
        <v>295008</v>
      </c>
      <c r="AZ12" s="38">
        <f t="shared" ref="AZ12" si="68">(+AY12-+AY11)*48</f>
        <v>3264</v>
      </c>
      <c r="BA12" s="84">
        <v>160167</v>
      </c>
      <c r="BB12" s="38">
        <f t="shared" ref="BB12" si="69">(+BA12-+BA11)*48</f>
        <v>0</v>
      </c>
      <c r="BC12" s="84">
        <v>201973</v>
      </c>
      <c r="BD12" s="38">
        <f t="shared" ref="BD12" si="70">(+BC12-+BC11)*48</f>
        <v>2256</v>
      </c>
      <c r="BE12" s="84">
        <v>5347</v>
      </c>
      <c r="BF12" s="38">
        <f t="shared" ref="BF12" si="71">(+BE12-+BE11)*48</f>
        <v>0</v>
      </c>
      <c r="BH12" s="105">
        <f t="shared" si="4"/>
        <v>85747.775999999838</v>
      </c>
      <c r="BI12" s="105">
        <f t="shared" si="5"/>
        <v>50784</v>
      </c>
    </row>
    <row r="13" spans="1:61" s="36" customFormat="1" ht="39.950000000000003" customHeight="1">
      <c r="A13" s="145">
        <v>44048</v>
      </c>
      <c r="B13" s="35"/>
      <c r="C13" s="84">
        <v>5396029</v>
      </c>
      <c r="D13" s="38">
        <f t="shared" ref="D13" si="72">(+C13-+C12)*48</f>
        <v>74544</v>
      </c>
      <c r="E13" s="38">
        <f t="shared" si="7"/>
        <v>44726.400000000001</v>
      </c>
      <c r="F13" s="104">
        <f t="shared" si="8"/>
        <v>29817.600000000002</v>
      </c>
      <c r="G13" s="84">
        <v>273380</v>
      </c>
      <c r="H13" s="38">
        <f t="shared" si="0"/>
        <v>768</v>
      </c>
      <c r="I13" s="84">
        <v>75676</v>
      </c>
      <c r="J13" s="38">
        <f t="shared" si="1"/>
        <v>7824</v>
      </c>
      <c r="K13" s="84">
        <v>254242</v>
      </c>
      <c r="L13" s="38">
        <f t="shared" si="2"/>
        <v>0</v>
      </c>
      <c r="M13" s="84">
        <v>24364</v>
      </c>
      <c r="N13" s="38">
        <f t="shared" si="3"/>
        <v>0</v>
      </c>
      <c r="O13" s="84">
        <v>211187</v>
      </c>
      <c r="P13" s="38">
        <f t="shared" ref="P13" si="73">(+O13-+O12)*48</f>
        <v>7536</v>
      </c>
      <c r="Q13" s="84">
        <v>429995</v>
      </c>
      <c r="R13" s="38">
        <f t="shared" ref="R13" si="74">(+Q13-+Q12)*48</f>
        <v>960</v>
      </c>
      <c r="S13" s="84">
        <v>687678</v>
      </c>
      <c r="T13" s="38">
        <f t="shared" ref="T13" si="75">(+S13-+S12)*48</f>
        <v>6864</v>
      </c>
      <c r="U13" s="84">
        <v>93774.33</v>
      </c>
      <c r="V13" s="104">
        <f t="shared" ref="V13" si="76">(+U13-+U12)*48</f>
        <v>859.87200000020675</v>
      </c>
      <c r="W13" s="84">
        <v>77193</v>
      </c>
      <c r="X13" s="38">
        <f t="shared" ref="X13" si="77">(+W13-+W12)*48</f>
        <v>0</v>
      </c>
      <c r="Y13" s="84">
        <v>1474042</v>
      </c>
      <c r="Z13" s="38">
        <f t="shared" ref="Z13" si="78">(+Y13-+Y12)*48</f>
        <v>0</v>
      </c>
      <c r="AA13" s="84">
        <v>13166</v>
      </c>
      <c r="AB13" s="38">
        <f t="shared" ref="AB13" si="79">(+AA13-+AA12)*48</f>
        <v>0</v>
      </c>
      <c r="AC13" s="84">
        <v>426416</v>
      </c>
      <c r="AD13" s="38">
        <f t="shared" si="16"/>
        <v>4560</v>
      </c>
      <c r="AE13" s="84">
        <v>503378</v>
      </c>
      <c r="AF13" s="38">
        <f t="shared" si="16"/>
        <v>4944</v>
      </c>
      <c r="AG13" s="84">
        <v>48551</v>
      </c>
      <c r="AH13" s="38">
        <f t="shared" ref="AH13" si="80">(+AG13-+AG12)*48</f>
        <v>192</v>
      </c>
      <c r="AI13" s="84">
        <v>386596</v>
      </c>
      <c r="AJ13" s="38">
        <f t="shared" ref="AJ13:AJ14" si="81">(+AI13-+AI12)*48</f>
        <v>2736</v>
      </c>
      <c r="AK13" s="84">
        <v>102371</v>
      </c>
      <c r="AL13" s="38">
        <f t="shared" ref="AL13" si="82">(+AK13-+AK12)*48</f>
        <v>0</v>
      </c>
      <c r="AM13" s="84">
        <v>549064</v>
      </c>
      <c r="AN13" s="38">
        <f t="shared" ref="AN13" si="83">(+AM13-+AM12)*48</f>
        <v>5712</v>
      </c>
      <c r="AO13" s="84">
        <v>881103</v>
      </c>
      <c r="AP13" s="38">
        <f t="shared" ref="AP13" si="84">(+AO13-+AO12)*48</f>
        <v>6288</v>
      </c>
      <c r="AQ13" s="84">
        <v>65493</v>
      </c>
      <c r="AR13" s="38">
        <f t="shared" ref="AR13" si="85">(+AQ13-+AQ12)*48</f>
        <v>144</v>
      </c>
      <c r="AS13" s="84">
        <v>2204</v>
      </c>
      <c r="AT13" s="38">
        <f t="shared" ref="AT13" si="86">(+AS13-+AS12)*48</f>
        <v>0</v>
      </c>
      <c r="AU13" s="84">
        <v>918</v>
      </c>
      <c r="AV13" s="38">
        <f t="shared" ref="AV13" si="87">(+AU13-+AU12)*48</f>
        <v>0</v>
      </c>
      <c r="AW13" s="78">
        <v>3108</v>
      </c>
      <c r="AX13" s="38">
        <f t="shared" ref="AX13" si="88">(+AW13-+AW12)*48</f>
        <v>0</v>
      </c>
      <c r="AY13" s="84">
        <v>295080</v>
      </c>
      <c r="AZ13" s="38">
        <f t="shared" ref="AZ13" si="89">(+AY13-+AY12)*48</f>
        <v>3456</v>
      </c>
      <c r="BA13" s="84">
        <v>160167</v>
      </c>
      <c r="BB13" s="38">
        <f t="shared" ref="BB13" si="90">(+BA13-+BA12)*48</f>
        <v>0</v>
      </c>
      <c r="BC13" s="84">
        <v>202020</v>
      </c>
      <c r="BD13" s="38">
        <f t="shared" ref="BD13" si="91">(+BC13-+BC12)*48</f>
        <v>2256</v>
      </c>
      <c r="BE13" s="84">
        <v>5347</v>
      </c>
      <c r="BF13" s="38">
        <f t="shared" ref="BF13" si="92">(+BE13-+BE12)*48</f>
        <v>0</v>
      </c>
      <c r="BH13" s="105">
        <f t="shared" si="4"/>
        <v>81970.272000000201</v>
      </c>
      <c r="BI13" s="105">
        <f t="shared" si="5"/>
        <v>47673.600000000006</v>
      </c>
    </row>
    <row r="14" spans="1:61" s="36" customFormat="1" ht="39.950000000000003" customHeight="1">
      <c r="A14" s="145">
        <v>44049</v>
      </c>
      <c r="B14" s="35"/>
      <c r="C14" s="84">
        <v>5397760</v>
      </c>
      <c r="D14" s="38">
        <f t="shared" ref="D14" si="93">(+C14-+C13)*48</f>
        <v>83088</v>
      </c>
      <c r="E14" s="38">
        <f t="shared" si="7"/>
        <v>49852.799999999996</v>
      </c>
      <c r="F14" s="104">
        <f t="shared" si="8"/>
        <v>33235.200000000004</v>
      </c>
      <c r="G14" s="84">
        <v>273396</v>
      </c>
      <c r="H14" s="38">
        <f t="shared" si="0"/>
        <v>1008</v>
      </c>
      <c r="I14" s="84">
        <v>75839</v>
      </c>
      <c r="J14" s="38">
        <f t="shared" si="1"/>
        <v>7872</v>
      </c>
      <c r="K14" s="84">
        <v>254242</v>
      </c>
      <c r="L14" s="38">
        <f t="shared" si="2"/>
        <v>96</v>
      </c>
      <c r="M14" s="84">
        <v>24364</v>
      </c>
      <c r="N14" s="38">
        <f t="shared" si="3"/>
        <v>0</v>
      </c>
      <c r="O14" s="84">
        <v>211322</v>
      </c>
      <c r="P14" s="38">
        <f t="shared" ref="P14" si="94">(+O14-+O13)*48</f>
        <v>6480</v>
      </c>
      <c r="Q14" s="84">
        <v>430032</v>
      </c>
      <c r="R14" s="38">
        <f t="shared" ref="R14" si="95">(+Q14-+Q13)*48</f>
        <v>1776</v>
      </c>
      <c r="S14" s="84">
        <v>687817</v>
      </c>
      <c r="T14" s="38">
        <f t="shared" ref="T14" si="96">(+S14-+S13)*48</f>
        <v>6672</v>
      </c>
      <c r="U14" s="84">
        <v>93791.085000000006</v>
      </c>
      <c r="V14" s="104">
        <f>(+U14-+U13)*48</f>
        <v>804.24000000022352</v>
      </c>
      <c r="W14" s="84">
        <v>77193</v>
      </c>
      <c r="X14" s="38">
        <f t="shared" ref="X14" si="97">(+W14-+W13)*48</f>
        <v>0</v>
      </c>
      <c r="Y14" s="84">
        <v>1474042</v>
      </c>
      <c r="Z14" s="38">
        <f t="shared" ref="Z14" si="98">(+Y14-+Y13)*48</f>
        <v>0</v>
      </c>
      <c r="AA14" s="84">
        <v>13166</v>
      </c>
      <c r="AB14" s="38">
        <f t="shared" ref="AB14" si="99">(+AA14-+AA13)*48</f>
        <v>0</v>
      </c>
      <c r="AC14" s="84">
        <v>426509</v>
      </c>
      <c r="AD14" s="38">
        <f t="shared" si="16"/>
        <v>4464</v>
      </c>
      <c r="AE14" s="84">
        <v>503480</v>
      </c>
      <c r="AF14" s="38">
        <f t="shared" si="16"/>
        <v>4896</v>
      </c>
      <c r="AG14" s="84">
        <v>48554</v>
      </c>
      <c r="AH14" s="38">
        <f t="shared" ref="AH14" si="100">(+AG14-+AG13)*48</f>
        <v>144</v>
      </c>
      <c r="AI14" s="84">
        <v>386657</v>
      </c>
      <c r="AJ14" s="38">
        <f t="shared" si="81"/>
        <v>2928</v>
      </c>
      <c r="AK14" s="84">
        <v>102371</v>
      </c>
      <c r="AL14" s="38">
        <f t="shared" ref="AL14" si="101">(+AK14-+AK13)*48</f>
        <v>0</v>
      </c>
      <c r="AM14" s="84">
        <v>549183</v>
      </c>
      <c r="AN14" s="38">
        <f t="shared" ref="AN14" si="102">(+AM14-+AM13)*48</f>
        <v>5712</v>
      </c>
      <c r="AO14" s="84">
        <v>881266</v>
      </c>
      <c r="AP14" s="38">
        <f t="shared" ref="AP14" si="103">(+AO14-+AO13)*48</f>
        <v>7824</v>
      </c>
      <c r="AQ14" s="84">
        <v>65495</v>
      </c>
      <c r="AR14" s="38">
        <f t="shared" ref="AR14" si="104">(+AQ14-+AQ13)*48</f>
        <v>96</v>
      </c>
      <c r="AS14" s="84">
        <v>2204</v>
      </c>
      <c r="AT14" s="38">
        <f t="shared" ref="AT14" si="105">(+AS14-+AS13)*48</f>
        <v>0</v>
      </c>
      <c r="AU14" s="84">
        <v>918</v>
      </c>
      <c r="AV14" s="38">
        <f t="shared" ref="AV14" si="106">(+AU14-+AU13)*48</f>
        <v>0</v>
      </c>
      <c r="AW14" s="78">
        <v>3108</v>
      </c>
      <c r="AX14" s="38">
        <f t="shared" ref="AX14" si="107">(+AW14-+AW13)*48</f>
        <v>0</v>
      </c>
      <c r="AY14" s="84">
        <v>295147</v>
      </c>
      <c r="AZ14" s="38">
        <f t="shared" ref="AZ14" si="108">(+AY14-+AY13)*48</f>
        <v>3216</v>
      </c>
      <c r="BA14" s="84">
        <v>160167</v>
      </c>
      <c r="BB14" s="38">
        <f t="shared" ref="BB14" si="109">(+BA14-+BA13)*48</f>
        <v>0</v>
      </c>
      <c r="BC14" s="84">
        <v>202066</v>
      </c>
      <c r="BD14" s="38">
        <f t="shared" ref="BD14" si="110">(+BC14-+BC13)*48</f>
        <v>2208</v>
      </c>
      <c r="BE14" s="84">
        <v>5347</v>
      </c>
      <c r="BF14" s="38">
        <f t="shared" ref="BF14" si="111">(+BE14-+BE13)*48</f>
        <v>0</v>
      </c>
      <c r="BH14" s="105">
        <f t="shared" si="4"/>
        <v>86993.040000000212</v>
      </c>
      <c r="BI14" s="105">
        <f t="shared" si="5"/>
        <v>52291.200000000004</v>
      </c>
    </row>
    <row r="15" spans="1:61" s="36" customFormat="1" ht="39.950000000000003" customHeight="1">
      <c r="A15" s="145">
        <v>44050</v>
      </c>
      <c r="B15" s="35"/>
      <c r="C15" s="78">
        <v>5399317</v>
      </c>
      <c r="D15" s="38">
        <f t="shared" ref="D15" si="112">(+C15-+C14)*48</f>
        <v>74736</v>
      </c>
      <c r="E15" s="38">
        <f t="shared" si="7"/>
        <v>44841.599999999999</v>
      </c>
      <c r="F15" s="104">
        <f t="shared" si="8"/>
        <v>29894.400000000001</v>
      </c>
      <c r="G15" s="78">
        <v>273417</v>
      </c>
      <c r="H15" s="38">
        <f t="shared" si="0"/>
        <v>816</v>
      </c>
      <c r="I15" s="78">
        <v>76003</v>
      </c>
      <c r="J15" s="38">
        <f t="shared" si="1"/>
        <v>7584</v>
      </c>
      <c r="K15" s="78">
        <v>254244</v>
      </c>
      <c r="L15" s="38">
        <f t="shared" si="2"/>
        <v>48</v>
      </c>
      <c r="M15" s="78">
        <v>24364</v>
      </c>
      <c r="N15" s="38">
        <f t="shared" si="3"/>
        <v>0</v>
      </c>
      <c r="O15" s="78">
        <v>211458</v>
      </c>
      <c r="P15" s="38">
        <f t="shared" ref="P15" si="113">(+O15-+O14)*48</f>
        <v>6528</v>
      </c>
      <c r="Q15" s="78">
        <v>430044</v>
      </c>
      <c r="R15" s="38">
        <f t="shared" ref="R15" si="114">(+Q15-+Q14)*48</f>
        <v>576</v>
      </c>
      <c r="S15" s="78">
        <v>687950</v>
      </c>
      <c r="T15" s="38">
        <f t="shared" ref="T15" si="115">(+S15-+S14)*48</f>
        <v>6384</v>
      </c>
      <c r="U15" s="83">
        <v>93807.762000000002</v>
      </c>
      <c r="V15" s="104">
        <f t="shared" ref="V15" si="116">(+U15-+U14)*48</f>
        <v>800.49599999981001</v>
      </c>
      <c r="W15" s="78">
        <v>77193</v>
      </c>
      <c r="X15" s="38">
        <f t="shared" ref="X15" si="117">(+W15-+W14)*48</f>
        <v>0</v>
      </c>
      <c r="Y15" s="78">
        <v>1474042</v>
      </c>
      <c r="Z15" s="38">
        <f t="shared" ref="Z15" si="118">(+Y15-+Y14)*48</f>
        <v>0</v>
      </c>
      <c r="AA15" s="78">
        <v>13166</v>
      </c>
      <c r="AB15" s="38">
        <f t="shared" ref="AB15" si="119">(+AA15-+AA14)*48</f>
        <v>0</v>
      </c>
      <c r="AC15" s="78">
        <v>426602</v>
      </c>
      <c r="AD15" s="38">
        <f t="shared" si="16"/>
        <v>4464</v>
      </c>
      <c r="AE15" s="78">
        <v>503581</v>
      </c>
      <c r="AF15" s="38">
        <f t="shared" si="16"/>
        <v>4848</v>
      </c>
      <c r="AG15" s="78">
        <v>48558</v>
      </c>
      <c r="AH15" s="38">
        <f t="shared" ref="AH15" si="120">(+AG15-+AG14)*48</f>
        <v>192</v>
      </c>
      <c r="AI15" s="78">
        <v>386722</v>
      </c>
      <c r="AJ15" s="38">
        <f t="shared" ref="AJ15" si="121">(+AI15-+AI14)*48</f>
        <v>3120</v>
      </c>
      <c r="AK15" s="78">
        <v>102371</v>
      </c>
      <c r="AL15" s="38">
        <f t="shared" ref="AL15" si="122">(+AK15-+AK14)*48</f>
        <v>0</v>
      </c>
      <c r="AM15" s="78">
        <v>549298</v>
      </c>
      <c r="AN15" s="38">
        <f t="shared" ref="AN15" si="123">(+AM15-+AM14)*48</f>
        <v>5520</v>
      </c>
      <c r="AO15" s="78">
        <v>881436</v>
      </c>
      <c r="AP15" s="38">
        <f t="shared" ref="AP15" si="124">(+AO15-+AO14)*48</f>
        <v>8160</v>
      </c>
      <c r="AQ15" s="78">
        <v>65497</v>
      </c>
      <c r="AR15" s="38">
        <f t="shared" ref="AR15" si="125">(+AQ15-+AQ14)*48</f>
        <v>96</v>
      </c>
      <c r="AS15" s="78">
        <v>2204</v>
      </c>
      <c r="AT15" s="38">
        <f t="shared" ref="AT15" si="126">(+AS15-+AS14)*48</f>
        <v>0</v>
      </c>
      <c r="AU15" s="78">
        <v>918</v>
      </c>
      <c r="AV15" s="38">
        <f t="shared" ref="AV15" si="127">(+AU15-+AU14)*48</f>
        <v>0</v>
      </c>
      <c r="AW15" s="78">
        <v>3108</v>
      </c>
      <c r="AX15" s="38">
        <f t="shared" ref="AX15" si="128">(+AW15-+AW14)*48</f>
        <v>0</v>
      </c>
      <c r="AY15" s="78">
        <v>295214</v>
      </c>
      <c r="AZ15" s="38">
        <f t="shared" ref="AZ15" si="129">(+AY15-+AY14)*48</f>
        <v>3216</v>
      </c>
      <c r="BA15" s="78">
        <v>160167</v>
      </c>
      <c r="BB15" s="38">
        <f t="shared" ref="BB15" si="130">(+BA15-+BA14)*48</f>
        <v>0</v>
      </c>
      <c r="BC15" s="78">
        <v>202112</v>
      </c>
      <c r="BD15" s="38">
        <f t="shared" ref="BD15" si="131">(+BC15-+BC14)*48</f>
        <v>2208</v>
      </c>
      <c r="BE15" s="78">
        <v>5347</v>
      </c>
      <c r="BF15" s="38">
        <f t="shared" ref="BF15" si="132">(+BE15-+BE14)*48</f>
        <v>0</v>
      </c>
      <c r="BH15" s="105">
        <f t="shared" si="4"/>
        <v>80202.095999999816</v>
      </c>
      <c r="BI15" s="105">
        <f t="shared" si="5"/>
        <v>49094.400000000001</v>
      </c>
    </row>
    <row r="16" spans="1:61" s="36" customFormat="1" ht="39.950000000000003" customHeight="1">
      <c r="A16" s="145">
        <v>44051</v>
      </c>
      <c r="B16" s="35"/>
      <c r="C16" s="78">
        <v>5401281</v>
      </c>
      <c r="D16" s="38">
        <f t="shared" ref="D16" si="133">(+C16-+C15)*48</f>
        <v>94272</v>
      </c>
      <c r="E16" s="38">
        <f t="shared" si="7"/>
        <v>56563.199999999997</v>
      </c>
      <c r="F16" s="104">
        <f t="shared" si="8"/>
        <v>37708.800000000003</v>
      </c>
      <c r="G16" s="78">
        <v>273434</v>
      </c>
      <c r="H16" s="38">
        <f t="shared" si="0"/>
        <v>1008</v>
      </c>
      <c r="I16" s="78">
        <v>76161</v>
      </c>
      <c r="J16" s="38">
        <f t="shared" si="1"/>
        <v>7824</v>
      </c>
      <c r="K16" s="78">
        <v>254245</v>
      </c>
      <c r="L16" s="38">
        <f t="shared" si="2"/>
        <v>96</v>
      </c>
      <c r="M16" s="78">
        <v>24364</v>
      </c>
      <c r="N16" s="38">
        <f t="shared" si="3"/>
        <v>0</v>
      </c>
      <c r="O16" s="78">
        <v>211583</v>
      </c>
      <c r="P16" s="38">
        <f t="shared" ref="P16" si="134">(+O16-+O15)*48</f>
        <v>6000</v>
      </c>
      <c r="Q16" s="78">
        <v>430100</v>
      </c>
      <c r="R16" s="38">
        <f t="shared" ref="R16" si="135">(+Q16-+Q15)*48</f>
        <v>2688</v>
      </c>
      <c r="S16" s="78">
        <v>688076</v>
      </c>
      <c r="T16" s="38">
        <f t="shared" ref="T16" si="136">(+S16-+S15)*48</f>
        <v>6048</v>
      </c>
      <c r="U16" s="83">
        <v>93827.027000000002</v>
      </c>
      <c r="V16" s="104">
        <f t="shared" ref="V16" si="137">(+U16-+U15)*48</f>
        <v>924.71999999997206</v>
      </c>
      <c r="W16" s="78">
        <v>77193</v>
      </c>
      <c r="X16" s="38">
        <f t="shared" ref="X16" si="138">(+W16-+W15)*48</f>
        <v>0</v>
      </c>
      <c r="Y16" s="78">
        <v>1474042</v>
      </c>
      <c r="Z16" s="38">
        <f t="shared" ref="Z16" si="139">(+Y16-+Y15)*48</f>
        <v>0</v>
      </c>
      <c r="AA16" s="78">
        <v>13166</v>
      </c>
      <c r="AB16" s="38">
        <f t="shared" ref="AB16" si="140">(+AA16-+AA15)*48</f>
        <v>0</v>
      </c>
      <c r="AC16" s="78">
        <v>426692</v>
      </c>
      <c r="AD16" s="38">
        <f t="shared" si="16"/>
        <v>4320</v>
      </c>
      <c r="AE16" s="78">
        <v>503679</v>
      </c>
      <c r="AF16" s="38">
        <f t="shared" si="16"/>
        <v>4704</v>
      </c>
      <c r="AG16" s="78">
        <v>48561</v>
      </c>
      <c r="AH16" s="38">
        <f t="shared" ref="AH16" si="141">(+AG16-+AG15)*48</f>
        <v>144</v>
      </c>
      <c r="AI16" s="78">
        <v>386792</v>
      </c>
      <c r="AJ16" s="38">
        <f t="shared" ref="AJ16" si="142">(+AI16-+AI15)*48</f>
        <v>3360</v>
      </c>
      <c r="AK16" s="78">
        <v>102371</v>
      </c>
      <c r="AL16" s="38">
        <f t="shared" ref="AL16" si="143">(+AK16-+AK15)*48</f>
        <v>0</v>
      </c>
      <c r="AM16" s="78">
        <v>549410</v>
      </c>
      <c r="AN16" s="38">
        <f t="shared" ref="AN16" si="144">(+AM16-+AM15)*48</f>
        <v>5376</v>
      </c>
      <c r="AO16" s="78">
        <v>881604</v>
      </c>
      <c r="AP16" s="38">
        <f t="shared" ref="AP16" si="145">(+AO16-+AO15)*48</f>
        <v>8064</v>
      </c>
      <c r="AQ16" s="78">
        <v>65499</v>
      </c>
      <c r="AR16" s="38">
        <f t="shared" ref="AR16" si="146">(+AQ16-+AQ15)*48</f>
        <v>96</v>
      </c>
      <c r="AS16" s="78">
        <v>2204</v>
      </c>
      <c r="AT16" s="38">
        <f t="shared" ref="AT16" si="147">(+AS16-+AS15)*48</f>
        <v>0</v>
      </c>
      <c r="AU16" s="78">
        <v>918</v>
      </c>
      <c r="AV16" s="38">
        <f t="shared" ref="AV16" si="148">(+AU16-+AU15)*48</f>
        <v>0</v>
      </c>
      <c r="AW16" s="78">
        <v>3108</v>
      </c>
      <c r="AX16" s="38">
        <f t="shared" ref="AX16" si="149">(+AW16-+AW15)*48</f>
        <v>0</v>
      </c>
      <c r="AY16" s="78">
        <v>295281</v>
      </c>
      <c r="AZ16" s="38">
        <f t="shared" ref="AZ16" si="150">(+AY16-+AY15)*48</f>
        <v>3216</v>
      </c>
      <c r="BA16" s="78">
        <v>160167</v>
      </c>
      <c r="BB16" s="38">
        <f t="shared" ref="BB16" si="151">(+BA16-+BA15)*48</f>
        <v>0</v>
      </c>
      <c r="BC16" s="78">
        <v>202160</v>
      </c>
      <c r="BD16" s="38">
        <f t="shared" ref="BD16" si="152">(+BC16-+BC15)*48</f>
        <v>2304</v>
      </c>
      <c r="BE16" s="78">
        <v>5347</v>
      </c>
      <c r="BF16" s="38">
        <f t="shared" ref="BF16" si="153">(+BE16-+BE15)*48</f>
        <v>0</v>
      </c>
      <c r="BH16" s="105">
        <f t="shared" si="4"/>
        <v>93679.919999999969</v>
      </c>
      <c r="BI16" s="105">
        <f t="shared" si="5"/>
        <v>56764.800000000003</v>
      </c>
    </row>
    <row r="17" spans="1:61" s="36" customFormat="1" ht="39.950000000000003" customHeight="1">
      <c r="A17" s="145">
        <v>44052</v>
      </c>
      <c r="B17" s="35"/>
      <c r="C17" s="78">
        <v>5403031</v>
      </c>
      <c r="D17" s="38">
        <f t="shared" ref="D17" si="154">(+C17-+C16)*48</f>
        <v>84000</v>
      </c>
      <c r="E17" s="38">
        <f t="shared" si="7"/>
        <v>50400</v>
      </c>
      <c r="F17" s="104">
        <f t="shared" si="8"/>
        <v>33600</v>
      </c>
      <c r="G17" s="78">
        <v>273455</v>
      </c>
      <c r="H17" s="38">
        <f t="shared" si="0"/>
        <v>864</v>
      </c>
      <c r="I17" s="78">
        <v>76324</v>
      </c>
      <c r="J17" s="38">
        <f t="shared" si="1"/>
        <v>7680</v>
      </c>
      <c r="K17" s="78">
        <v>254247</v>
      </c>
      <c r="L17" s="38">
        <f t="shared" si="2"/>
        <v>48</v>
      </c>
      <c r="M17" s="78">
        <v>24364</v>
      </c>
      <c r="N17" s="38">
        <f t="shared" si="3"/>
        <v>0</v>
      </c>
      <c r="O17" s="78">
        <v>211725</v>
      </c>
      <c r="P17" s="38">
        <f t="shared" ref="P17" si="155">(+O17-+O16)*48</f>
        <v>6816</v>
      </c>
      <c r="Q17" s="78">
        <v>430151</v>
      </c>
      <c r="R17" s="38">
        <f t="shared" ref="R17" si="156">(+Q17-+Q16)*48</f>
        <v>2448</v>
      </c>
      <c r="S17" s="78">
        <v>688208</v>
      </c>
      <c r="T17" s="38">
        <f t="shared" ref="T17" si="157">(+S17-+S16)*48</f>
        <v>6336</v>
      </c>
      <c r="U17" s="83">
        <v>93848.702000000005</v>
      </c>
      <c r="V17" s="104">
        <f t="shared" ref="V17" si="158">(+U17-+U16)*48</f>
        <v>1040.4000000001397</v>
      </c>
      <c r="W17" s="78">
        <v>77200</v>
      </c>
      <c r="X17" s="38">
        <f t="shared" ref="X17" si="159">(+W17-+W16)*48</f>
        <v>336</v>
      </c>
      <c r="Y17" s="78">
        <v>1474042</v>
      </c>
      <c r="Z17" s="38">
        <f t="shared" ref="Z17" si="160">(+Y17-+Y16)*48</f>
        <v>0</v>
      </c>
      <c r="AA17" s="78">
        <v>13166</v>
      </c>
      <c r="AB17" s="38">
        <f t="shared" ref="AB17" si="161">(+AA17-+AA16)*48</f>
        <v>0</v>
      </c>
      <c r="AC17" s="78">
        <v>426780</v>
      </c>
      <c r="AD17" s="38">
        <f t="shared" si="16"/>
        <v>4224</v>
      </c>
      <c r="AE17" s="78">
        <v>503777</v>
      </c>
      <c r="AF17" s="38">
        <f t="shared" si="16"/>
        <v>4704</v>
      </c>
      <c r="AG17" s="78">
        <v>48564</v>
      </c>
      <c r="AH17" s="38">
        <f t="shared" ref="AH17" si="162">(+AG17-+AG16)*48</f>
        <v>144</v>
      </c>
      <c r="AI17" s="78">
        <v>386881</v>
      </c>
      <c r="AJ17" s="38">
        <f t="shared" ref="AJ17" si="163">(+AI17-+AI16)*48</f>
        <v>4272</v>
      </c>
      <c r="AK17" s="78">
        <v>102371</v>
      </c>
      <c r="AL17" s="38">
        <f t="shared" ref="AL17" si="164">(+AK17-+AK16)*48</f>
        <v>0</v>
      </c>
      <c r="AM17" s="78">
        <v>549517</v>
      </c>
      <c r="AN17" s="38">
        <f t="shared" ref="AN17" si="165">(+AM17-+AM16)*48</f>
        <v>5136</v>
      </c>
      <c r="AO17" s="78">
        <v>881772</v>
      </c>
      <c r="AP17" s="38">
        <f t="shared" ref="AP17" si="166">(+AO17-+AO16)*48</f>
        <v>8064</v>
      </c>
      <c r="AQ17" s="78">
        <v>65500</v>
      </c>
      <c r="AR17" s="38">
        <f t="shared" ref="AR17" si="167">(+AQ17-+AQ16)*48</f>
        <v>48</v>
      </c>
      <c r="AS17" s="78">
        <v>2204</v>
      </c>
      <c r="AT17" s="38">
        <f t="shared" ref="AT17" si="168">(+AS17-+AS16)*48</f>
        <v>0</v>
      </c>
      <c r="AU17" s="78">
        <v>918</v>
      </c>
      <c r="AV17" s="38">
        <f t="shared" ref="AV17" si="169">(+AU17-+AU16)*48</f>
        <v>0</v>
      </c>
      <c r="AW17" s="78">
        <v>3108</v>
      </c>
      <c r="AX17" s="38">
        <f t="shared" ref="AX17" si="170">(+AW17-+AW16)*48</f>
        <v>0</v>
      </c>
      <c r="AY17" s="78">
        <v>295349</v>
      </c>
      <c r="AZ17" s="38">
        <f t="shared" ref="AZ17" si="171">(+AY17-+AY16)*48</f>
        <v>3264</v>
      </c>
      <c r="BA17" s="78">
        <v>160167</v>
      </c>
      <c r="BB17" s="38">
        <f t="shared" ref="BB17" si="172">(+BA17-+BA16)*48</f>
        <v>0</v>
      </c>
      <c r="BC17" s="78">
        <v>202207</v>
      </c>
      <c r="BD17" s="38">
        <f t="shared" ref="BD17" si="173">(+BC17-+BC16)*48</f>
        <v>2256</v>
      </c>
      <c r="BE17" s="78">
        <v>5347</v>
      </c>
      <c r="BF17" s="38">
        <f t="shared" ref="BF17" si="174">(+BE17-+BE16)*48</f>
        <v>0</v>
      </c>
      <c r="BH17" s="105">
        <f t="shared" si="4"/>
        <v>89312.40000000014</v>
      </c>
      <c r="BI17" s="105">
        <f t="shared" si="5"/>
        <v>52368</v>
      </c>
    </row>
    <row r="18" spans="1:61" s="36" customFormat="1" ht="39.950000000000003" customHeight="1">
      <c r="A18" s="145">
        <v>44053</v>
      </c>
      <c r="B18" s="35"/>
      <c r="C18" s="78">
        <v>5404794</v>
      </c>
      <c r="D18" s="38">
        <f t="shared" ref="D18" si="175">(+C18-+C17)*48</f>
        <v>84624</v>
      </c>
      <c r="E18" s="38">
        <f t="shared" si="7"/>
        <v>50774.400000000001</v>
      </c>
      <c r="F18" s="104">
        <f t="shared" si="8"/>
        <v>33849.599999999999</v>
      </c>
      <c r="G18" s="78">
        <v>273473</v>
      </c>
      <c r="H18" s="38">
        <f t="shared" si="0"/>
        <v>1008</v>
      </c>
      <c r="I18" s="78">
        <v>76484</v>
      </c>
      <c r="J18" s="38">
        <f t="shared" si="1"/>
        <v>7488</v>
      </c>
      <c r="K18" s="78">
        <v>254248</v>
      </c>
      <c r="L18" s="38">
        <f t="shared" si="2"/>
        <v>192</v>
      </c>
      <c r="M18" s="78">
        <v>24364</v>
      </c>
      <c r="N18" s="38">
        <f t="shared" si="3"/>
        <v>0</v>
      </c>
      <c r="O18" s="78">
        <v>211879</v>
      </c>
      <c r="P18" s="38">
        <f t="shared" ref="P18" si="176">(+O18-+O17)*48</f>
        <v>7392</v>
      </c>
      <c r="Q18" s="78">
        <v>430209</v>
      </c>
      <c r="R18" s="38">
        <f t="shared" ref="R18" si="177">(+Q18-+Q17)*48</f>
        <v>2784</v>
      </c>
      <c r="S18" s="78">
        <v>688313</v>
      </c>
      <c r="T18" s="38">
        <f t="shared" ref="T18" si="178">(+S18-+S17)*48</f>
        <v>5040</v>
      </c>
      <c r="U18" s="83">
        <v>93866.267999999996</v>
      </c>
      <c r="V18" s="104">
        <f>(+U18-+U17)*48</f>
        <v>843.16799999959767</v>
      </c>
      <c r="W18" s="78">
        <v>77204</v>
      </c>
      <c r="X18" s="38">
        <f t="shared" ref="X18" si="179">(+W18-+W17)*48</f>
        <v>192</v>
      </c>
      <c r="Y18" s="78">
        <v>1474042</v>
      </c>
      <c r="Z18" s="38">
        <f t="shared" ref="Z18" si="180">(+Y18-+Y17)*48</f>
        <v>0</v>
      </c>
      <c r="AA18" s="78">
        <v>13166</v>
      </c>
      <c r="AB18" s="38">
        <f t="shared" ref="AB18" si="181">(+AA18-+AA17)*48</f>
        <v>0</v>
      </c>
      <c r="AC18" s="78">
        <v>426868</v>
      </c>
      <c r="AD18" s="38">
        <f t="shared" si="16"/>
        <v>4224</v>
      </c>
      <c r="AE18" s="78">
        <v>503876</v>
      </c>
      <c r="AF18" s="38">
        <f t="shared" si="16"/>
        <v>4752</v>
      </c>
      <c r="AG18" s="78">
        <v>48567</v>
      </c>
      <c r="AH18" s="38">
        <f t="shared" ref="AH18" si="182">(+AG18-+AG17)*48</f>
        <v>144</v>
      </c>
      <c r="AI18" s="78">
        <v>386966</v>
      </c>
      <c r="AJ18" s="38">
        <f t="shared" ref="AJ18" si="183">(+AI18-+AI17)*48</f>
        <v>4080</v>
      </c>
      <c r="AK18" s="78">
        <v>102371</v>
      </c>
      <c r="AL18" s="38">
        <f t="shared" ref="AL18" si="184">(+AK18-+AK17)*48</f>
        <v>0</v>
      </c>
      <c r="AM18" s="78">
        <v>549620</v>
      </c>
      <c r="AN18" s="38">
        <f t="shared" ref="AN18" si="185">(+AM18-+AM17)*48</f>
        <v>4944</v>
      </c>
      <c r="AO18" s="78">
        <v>881933</v>
      </c>
      <c r="AP18" s="38">
        <f t="shared" ref="AP18" si="186">(+AO18-+AO17)*48</f>
        <v>7728</v>
      </c>
      <c r="AQ18" s="78">
        <v>65500</v>
      </c>
      <c r="AR18" s="38">
        <f t="shared" ref="AR18" si="187">(+AQ18-+AQ17)*48</f>
        <v>0</v>
      </c>
      <c r="AS18" s="78">
        <v>2204</v>
      </c>
      <c r="AT18" s="38">
        <f t="shared" ref="AT18" si="188">(+AS18-+AS17)*48</f>
        <v>0</v>
      </c>
      <c r="AU18" s="78">
        <v>918</v>
      </c>
      <c r="AV18" s="38">
        <f t="shared" ref="AV18" si="189">(+AU18-+AU17)*48</f>
        <v>0</v>
      </c>
      <c r="AW18" s="78">
        <v>3108</v>
      </c>
      <c r="AX18" s="38">
        <f t="shared" ref="AX18" si="190">(+AW18-+AW17)*48</f>
        <v>0</v>
      </c>
      <c r="AY18" s="78">
        <v>295412</v>
      </c>
      <c r="AZ18" s="38">
        <f t="shared" ref="AZ18" si="191">(+AY18-+AY17)*48</f>
        <v>3024</v>
      </c>
      <c r="BA18" s="78">
        <v>160167</v>
      </c>
      <c r="BB18" s="38">
        <f t="shared" ref="BB18" si="192">(+BA18-+BA17)*48</f>
        <v>0</v>
      </c>
      <c r="BC18" s="78">
        <v>202253</v>
      </c>
      <c r="BD18" s="38">
        <f t="shared" ref="BD18" si="193">(+BC18-+BC17)*48</f>
        <v>2208</v>
      </c>
      <c r="BE18" s="78">
        <v>5347</v>
      </c>
      <c r="BF18" s="38">
        <f t="shared" ref="BF18" si="194">(+BE18-+BE17)*48</f>
        <v>0</v>
      </c>
      <c r="BH18" s="105">
        <f t="shared" si="4"/>
        <v>88913.567999999592</v>
      </c>
      <c r="BI18" s="105">
        <f t="shared" si="5"/>
        <v>51753.599999999999</v>
      </c>
    </row>
    <row r="19" spans="1:61" s="36" customFormat="1" ht="39.950000000000003" customHeight="1">
      <c r="A19" s="145">
        <v>44054</v>
      </c>
      <c r="B19" s="35"/>
      <c r="C19" s="83">
        <v>5406806</v>
      </c>
      <c r="D19" s="38">
        <f t="shared" ref="D19" si="195">(+C19-+C18)*48</f>
        <v>96576</v>
      </c>
      <c r="E19" s="38">
        <f t="shared" si="7"/>
        <v>57945.599999999999</v>
      </c>
      <c r="F19" s="104">
        <f t="shared" si="8"/>
        <v>38630.400000000001</v>
      </c>
      <c r="G19" s="83">
        <v>273494</v>
      </c>
      <c r="H19" s="38">
        <f t="shared" si="0"/>
        <v>864</v>
      </c>
      <c r="I19" s="83">
        <v>76640</v>
      </c>
      <c r="J19" s="38">
        <f t="shared" si="1"/>
        <v>7728</v>
      </c>
      <c r="K19" s="83">
        <v>254252</v>
      </c>
      <c r="L19" s="38">
        <f t="shared" si="2"/>
        <v>0</v>
      </c>
      <c r="M19" s="83">
        <v>24364</v>
      </c>
      <c r="N19" s="38">
        <f t="shared" si="3"/>
        <v>0</v>
      </c>
      <c r="O19" s="83">
        <v>212005</v>
      </c>
      <c r="P19" s="38">
        <f t="shared" ref="P19" si="196">(+O19-+O18)*48</f>
        <v>6048</v>
      </c>
      <c r="Q19" s="83">
        <v>430268</v>
      </c>
      <c r="R19" s="38">
        <f t="shared" ref="R19" si="197">(+Q19-+Q18)*48</f>
        <v>2832</v>
      </c>
      <c r="S19" s="83">
        <v>688431</v>
      </c>
      <c r="T19" s="38">
        <f t="shared" ref="T19" si="198">(+S19-+S18)*48</f>
        <v>5664</v>
      </c>
      <c r="U19" s="83">
        <v>93882.036999999997</v>
      </c>
      <c r="V19" s="104">
        <f t="shared" ref="V19" si="199">(+U19-+U18)*48</f>
        <v>756.91200000001118</v>
      </c>
      <c r="W19" s="83">
        <v>77207</v>
      </c>
      <c r="X19" s="38">
        <f t="shared" ref="X19" si="200">(+W19-+W18)*48</f>
        <v>144</v>
      </c>
      <c r="Y19" s="83">
        <v>1474042</v>
      </c>
      <c r="Z19" s="38">
        <f t="shared" ref="Z19" si="201">(+Y19-+Y18)*48</f>
        <v>0</v>
      </c>
      <c r="AA19" s="83">
        <v>13166</v>
      </c>
      <c r="AB19" s="38">
        <f t="shared" ref="AB19" si="202">(+AA19-+AA18)*48</f>
        <v>0</v>
      </c>
      <c r="AC19" s="83">
        <v>426954</v>
      </c>
      <c r="AD19" s="38">
        <f t="shared" si="16"/>
        <v>4128</v>
      </c>
      <c r="AE19" s="83">
        <v>503973</v>
      </c>
      <c r="AF19" s="38">
        <f t="shared" si="16"/>
        <v>4656</v>
      </c>
      <c r="AG19" s="83">
        <v>48571</v>
      </c>
      <c r="AH19" s="38">
        <f t="shared" ref="AH19" si="203">(+AG19-+AG18)*48</f>
        <v>192</v>
      </c>
      <c r="AI19" s="83">
        <v>387041</v>
      </c>
      <c r="AJ19" s="38">
        <f t="shared" ref="AJ19" si="204">(+AI19-+AI18)*48</f>
        <v>3600</v>
      </c>
      <c r="AK19" s="83">
        <v>102371</v>
      </c>
      <c r="AL19" s="38">
        <f t="shared" ref="AL19" si="205">(+AK19-+AK18)*48</f>
        <v>0</v>
      </c>
      <c r="AM19" s="83">
        <v>549725</v>
      </c>
      <c r="AN19" s="38">
        <f t="shared" ref="AN19" si="206">(+AM19-+AM18)*48</f>
        <v>5040</v>
      </c>
      <c r="AO19" s="83">
        <v>882114</v>
      </c>
      <c r="AP19" s="38">
        <f t="shared" ref="AP19" si="207">(+AO19-+AO18)*48</f>
        <v>8688</v>
      </c>
      <c r="AQ19" s="83">
        <v>65500</v>
      </c>
      <c r="AR19" s="38">
        <f t="shared" ref="AR19" si="208">(+AQ19-+AQ18)*48</f>
        <v>0</v>
      </c>
      <c r="AS19" s="83">
        <v>2204</v>
      </c>
      <c r="AT19" s="38">
        <f t="shared" ref="AT19" si="209">(+AS19-+AS18)*48</f>
        <v>0</v>
      </c>
      <c r="AU19" s="83">
        <v>918</v>
      </c>
      <c r="AV19" s="38">
        <f t="shared" ref="AV19" si="210">(+AU19-+AU18)*48</f>
        <v>0</v>
      </c>
      <c r="AW19" s="78">
        <v>3108</v>
      </c>
      <c r="AX19" s="38">
        <f t="shared" ref="AX19" si="211">(+AW19-+AW18)*48</f>
        <v>0</v>
      </c>
      <c r="AY19" s="83">
        <v>295477</v>
      </c>
      <c r="AZ19" s="38">
        <f t="shared" ref="AZ19" si="212">(+AY19-+AY18)*48</f>
        <v>3120</v>
      </c>
      <c r="BA19" s="83">
        <v>160167</v>
      </c>
      <c r="BB19" s="38">
        <f t="shared" ref="BB19" si="213">(+BA19-+BA18)*48</f>
        <v>0</v>
      </c>
      <c r="BC19" s="83">
        <v>202300</v>
      </c>
      <c r="BD19" s="38">
        <f t="shared" ref="BD19" si="214">(+BC19-+BC18)*48</f>
        <v>2256</v>
      </c>
      <c r="BE19" s="83">
        <v>5347</v>
      </c>
      <c r="BF19" s="38">
        <f t="shared" ref="BF19" si="215">(+BE19-+BE18)*48</f>
        <v>0</v>
      </c>
      <c r="BH19" s="169">
        <f t="shared" si="4"/>
        <v>94558.512000000017</v>
      </c>
      <c r="BI19" s="169">
        <f t="shared" si="5"/>
        <v>57734.400000000001</v>
      </c>
    </row>
    <row r="20" spans="1:61" s="36" customFormat="1" ht="39.950000000000003" customHeight="1">
      <c r="A20" s="145">
        <v>44055</v>
      </c>
      <c r="B20" s="35"/>
      <c r="C20" s="83">
        <v>5408443</v>
      </c>
      <c r="D20" s="38">
        <f t="shared" ref="D20" si="216">(+C20-+C19)*48</f>
        <v>78576</v>
      </c>
      <c r="E20" s="38">
        <f t="shared" si="7"/>
        <v>47145.599999999999</v>
      </c>
      <c r="F20" s="104">
        <f t="shared" si="8"/>
        <v>31430.400000000001</v>
      </c>
      <c r="G20" s="83">
        <v>273512</v>
      </c>
      <c r="H20" s="38">
        <f t="shared" si="0"/>
        <v>1008</v>
      </c>
      <c r="I20" s="83">
        <v>76801</v>
      </c>
      <c r="J20" s="38">
        <f t="shared" si="1"/>
        <v>7968</v>
      </c>
      <c r="K20" s="83">
        <v>254252</v>
      </c>
      <c r="L20" s="38">
        <f t="shared" si="2"/>
        <v>96</v>
      </c>
      <c r="M20" s="83">
        <v>24364</v>
      </c>
      <c r="N20" s="38">
        <f t="shared" si="3"/>
        <v>0</v>
      </c>
      <c r="O20" s="83">
        <v>212149</v>
      </c>
      <c r="P20" s="38">
        <f t="shared" ref="P20" si="217">(+O20-+O19)*48</f>
        <v>6912</v>
      </c>
      <c r="Q20" s="83">
        <v>430282</v>
      </c>
      <c r="R20" s="38">
        <f t="shared" ref="R20" si="218">(+Q20-+Q19)*48</f>
        <v>672</v>
      </c>
      <c r="S20" s="83">
        <v>688546</v>
      </c>
      <c r="T20" s="38">
        <f t="shared" ref="T20" si="219">(+S20-+S19)*48</f>
        <v>5520</v>
      </c>
      <c r="U20" s="83">
        <v>93898.183000000005</v>
      </c>
      <c r="V20" s="104">
        <f t="shared" ref="V20" si="220">(+U20-+U19)*48</f>
        <v>775.00800000037998</v>
      </c>
      <c r="W20" s="83">
        <v>77208</v>
      </c>
      <c r="X20" s="38">
        <f t="shared" ref="X20" si="221">(+W20-+W19)*48</f>
        <v>48</v>
      </c>
      <c r="Y20" s="83">
        <v>1474042</v>
      </c>
      <c r="Z20" s="38">
        <f t="shared" ref="Z20" si="222">(+Y20-+Y19)*48</f>
        <v>0</v>
      </c>
      <c r="AA20" s="83">
        <v>13166</v>
      </c>
      <c r="AB20" s="38">
        <f t="shared" ref="AB20" si="223">(+AA20-+AA19)*48</f>
        <v>0</v>
      </c>
      <c r="AC20" s="83">
        <v>427041</v>
      </c>
      <c r="AD20" s="38">
        <f t="shared" si="16"/>
        <v>4176</v>
      </c>
      <c r="AE20" s="83">
        <v>504069</v>
      </c>
      <c r="AF20" s="38">
        <f t="shared" si="16"/>
        <v>4608</v>
      </c>
      <c r="AG20" s="83">
        <v>48574</v>
      </c>
      <c r="AH20" s="38">
        <f t="shared" ref="AH20" si="224">(+AG20-+AG19)*48</f>
        <v>144</v>
      </c>
      <c r="AI20" s="83">
        <v>387104</v>
      </c>
      <c r="AJ20" s="38">
        <f t="shared" ref="AJ20" si="225">(+AI20-+AI19)*48</f>
        <v>3024</v>
      </c>
      <c r="AK20" s="83">
        <v>102371</v>
      </c>
      <c r="AL20" s="38">
        <f t="shared" ref="AL20" si="226">(+AK20-+AK19)*48</f>
        <v>0</v>
      </c>
      <c r="AM20" s="83">
        <v>549831</v>
      </c>
      <c r="AN20" s="38">
        <f t="shared" ref="AN20" si="227">(+AM20-+AM19)*48</f>
        <v>5088</v>
      </c>
      <c r="AO20" s="83">
        <v>882316</v>
      </c>
      <c r="AP20" s="38">
        <f t="shared" ref="AP20" si="228">(+AO20-+AO19)*48</f>
        <v>9696</v>
      </c>
      <c r="AQ20" s="83">
        <v>65500</v>
      </c>
      <c r="AR20" s="38">
        <f t="shared" ref="AR20" si="229">(+AQ20-+AQ19)*48</f>
        <v>0</v>
      </c>
      <c r="AS20" s="83">
        <v>2204</v>
      </c>
      <c r="AT20" s="38">
        <f t="shared" ref="AT20" si="230">(+AS20-+AS19)*48</f>
        <v>0</v>
      </c>
      <c r="AU20" s="83">
        <v>918</v>
      </c>
      <c r="AV20" s="38">
        <f t="shared" ref="AV20" si="231">(+AU20-+AU19)*48</f>
        <v>0</v>
      </c>
      <c r="AW20" s="78">
        <v>3108</v>
      </c>
      <c r="AX20" s="38">
        <f t="shared" ref="AX20" si="232">(+AW20-+AW19)*48</f>
        <v>0</v>
      </c>
      <c r="AY20" s="83">
        <v>295543</v>
      </c>
      <c r="AZ20" s="38">
        <f t="shared" ref="AZ20" si="233">(+AY20-+AY19)*48</f>
        <v>3168</v>
      </c>
      <c r="BA20" s="83">
        <v>160167</v>
      </c>
      <c r="BB20" s="38">
        <f t="shared" ref="BB20" si="234">(+BA20-+BA19)*48</f>
        <v>0</v>
      </c>
      <c r="BC20" s="83">
        <v>202346</v>
      </c>
      <c r="BD20" s="38">
        <f t="shared" ref="BD20" si="235">(+BC20-+BC19)*48</f>
        <v>2208</v>
      </c>
      <c r="BE20" s="83">
        <v>5347</v>
      </c>
      <c r="BF20" s="38">
        <f t="shared" ref="BF20" si="236">(+BE20-+BE19)*48</f>
        <v>0</v>
      </c>
      <c r="BH20" s="169">
        <f t="shared" si="4"/>
        <v>82096.608000000386</v>
      </c>
      <c r="BI20" s="169">
        <f t="shared" si="5"/>
        <v>51590.400000000001</v>
      </c>
    </row>
    <row r="21" spans="1:61" s="36" customFormat="1" ht="39.950000000000003" customHeight="1">
      <c r="A21" s="145">
        <v>44056</v>
      </c>
      <c r="B21" s="35"/>
      <c r="C21" s="83">
        <v>5410283</v>
      </c>
      <c r="D21" s="38">
        <f t="shared" ref="D21" si="237">(+C21-+C20)*48</f>
        <v>88320</v>
      </c>
      <c r="E21" s="38">
        <f t="shared" si="7"/>
        <v>52992</v>
      </c>
      <c r="F21" s="104">
        <f t="shared" si="8"/>
        <v>35328</v>
      </c>
      <c r="G21" s="83">
        <v>273533</v>
      </c>
      <c r="H21" s="38">
        <f t="shared" si="0"/>
        <v>1008</v>
      </c>
      <c r="I21" s="83">
        <v>76967</v>
      </c>
      <c r="J21" s="38">
        <f t="shared" si="1"/>
        <v>8496</v>
      </c>
      <c r="K21" s="83">
        <v>254254</v>
      </c>
      <c r="L21" s="38">
        <f t="shared" si="2"/>
        <v>96</v>
      </c>
      <c r="M21" s="83">
        <v>24364</v>
      </c>
      <c r="N21" s="38">
        <f t="shared" si="3"/>
        <v>0</v>
      </c>
      <c r="O21" s="83">
        <v>212297</v>
      </c>
      <c r="P21" s="38">
        <f t="shared" ref="P21" si="238">(+O21-+O20)*48</f>
        <v>7104</v>
      </c>
      <c r="Q21" s="83">
        <v>430344</v>
      </c>
      <c r="R21" s="38">
        <f t="shared" ref="R21" si="239">(+Q21-+Q20)*48</f>
        <v>2976</v>
      </c>
      <c r="S21" s="83">
        <v>688653</v>
      </c>
      <c r="T21" s="38">
        <f t="shared" ref="T21" si="240">(+S21-+S20)*48</f>
        <v>5136</v>
      </c>
      <c r="U21" s="83">
        <v>93917.040999999997</v>
      </c>
      <c r="V21" s="104">
        <f t="shared" ref="V21" si="241">(+U21-+U20)*48</f>
        <v>905.18399999965914</v>
      </c>
      <c r="W21" s="83">
        <v>77210</v>
      </c>
      <c r="X21" s="38">
        <f t="shared" ref="X21" si="242">(+W21-+W20)*48</f>
        <v>96</v>
      </c>
      <c r="Y21" s="83">
        <v>1474042</v>
      </c>
      <c r="Z21" s="38">
        <f t="shared" ref="Z21" si="243">(+Y21-+Y20)*48</f>
        <v>0</v>
      </c>
      <c r="AA21" s="83">
        <v>13166</v>
      </c>
      <c r="AB21" s="38">
        <f t="shared" ref="AB21" si="244">(+AA21-+AA20)*48</f>
        <v>0</v>
      </c>
      <c r="AC21" s="83">
        <v>427134</v>
      </c>
      <c r="AD21" s="38">
        <f t="shared" si="16"/>
        <v>4464</v>
      </c>
      <c r="AE21" s="83">
        <v>504173</v>
      </c>
      <c r="AF21" s="38">
        <f t="shared" si="16"/>
        <v>4992</v>
      </c>
      <c r="AG21" s="83">
        <v>48578</v>
      </c>
      <c r="AH21" s="38">
        <f t="shared" ref="AH21" si="245">(+AG21-+AG20)*48</f>
        <v>192</v>
      </c>
      <c r="AI21" s="83">
        <v>387170</v>
      </c>
      <c r="AJ21" s="38">
        <f t="shared" ref="AJ21" si="246">(+AI21-+AI20)*48</f>
        <v>3168</v>
      </c>
      <c r="AK21" s="83">
        <v>102371</v>
      </c>
      <c r="AL21" s="38">
        <f t="shared" ref="AL21" si="247">(+AK21-+AK20)*48</f>
        <v>0</v>
      </c>
      <c r="AM21" s="83">
        <v>549948</v>
      </c>
      <c r="AN21" s="38">
        <f t="shared" ref="AN21" si="248">(+AM21-+AM20)*48</f>
        <v>5616</v>
      </c>
      <c r="AO21" s="83">
        <v>882525</v>
      </c>
      <c r="AP21" s="38">
        <f t="shared" ref="AP21" si="249">(+AO21-+AO20)*48</f>
        <v>10032</v>
      </c>
      <c r="AQ21" s="83">
        <v>65500</v>
      </c>
      <c r="AR21" s="38">
        <f t="shared" ref="AR21" si="250">(+AQ21-+AQ20)*48</f>
        <v>0</v>
      </c>
      <c r="AS21" s="83">
        <v>2204</v>
      </c>
      <c r="AT21" s="38">
        <f t="shared" ref="AT21" si="251">(+AS21-+AS20)*48</f>
        <v>0</v>
      </c>
      <c r="AU21" s="83">
        <v>918</v>
      </c>
      <c r="AV21" s="38">
        <f t="shared" ref="AV21" si="252">(+AU21-+AU20)*48</f>
        <v>0</v>
      </c>
      <c r="AW21" s="78">
        <v>3108</v>
      </c>
      <c r="AX21" s="38">
        <f t="shared" ref="AX21" si="253">(+AW21-+AW20)*48</f>
        <v>0</v>
      </c>
      <c r="AY21" s="83">
        <v>295608</v>
      </c>
      <c r="AZ21" s="38">
        <f t="shared" ref="AZ21" si="254">(+AY21-+AY20)*48</f>
        <v>3120</v>
      </c>
      <c r="BA21" s="83">
        <v>160167</v>
      </c>
      <c r="BB21" s="38">
        <f t="shared" ref="BB21" si="255">(+BA21-+BA20)*48</f>
        <v>0</v>
      </c>
      <c r="BC21" s="83">
        <v>202394</v>
      </c>
      <c r="BD21" s="38">
        <f t="shared" ref="BD21" si="256">(+BC21-+BC20)*48</f>
        <v>2304</v>
      </c>
      <c r="BE21" s="83">
        <v>5347</v>
      </c>
      <c r="BF21" s="38">
        <f t="shared" ref="BF21" si="257">(+BE21-+BE20)*48</f>
        <v>0</v>
      </c>
      <c r="BH21" s="169">
        <f t="shared" si="4"/>
        <v>91625.183999999659</v>
      </c>
      <c r="BI21" s="169">
        <f t="shared" si="5"/>
        <v>56400</v>
      </c>
    </row>
    <row r="22" spans="1:61" s="36" customFormat="1" ht="39.950000000000003" customHeight="1">
      <c r="A22" s="145">
        <v>44057</v>
      </c>
      <c r="B22" s="35"/>
      <c r="C22" s="78">
        <v>5411952</v>
      </c>
      <c r="D22" s="38">
        <f t="shared" ref="D22" si="258">(+C22-+C21)*48</f>
        <v>80112</v>
      </c>
      <c r="E22" s="38">
        <f t="shared" si="7"/>
        <v>48067.199999999997</v>
      </c>
      <c r="F22" s="104">
        <f t="shared" si="8"/>
        <v>32044.800000000003</v>
      </c>
      <c r="G22" s="78">
        <v>273554</v>
      </c>
      <c r="H22" s="38">
        <f t="shared" si="0"/>
        <v>864</v>
      </c>
      <c r="I22" s="78">
        <v>77144</v>
      </c>
      <c r="J22" s="38">
        <f t="shared" si="1"/>
        <v>8160</v>
      </c>
      <c r="K22" s="78">
        <v>254256</v>
      </c>
      <c r="L22" s="38">
        <f t="shared" si="2"/>
        <v>48</v>
      </c>
      <c r="M22" s="78">
        <v>24364</v>
      </c>
      <c r="N22" s="38">
        <f t="shared" si="3"/>
        <v>0</v>
      </c>
      <c r="O22" s="78">
        <v>212429</v>
      </c>
      <c r="P22" s="38">
        <f t="shared" ref="P22" si="259">(+O22-+O21)*48</f>
        <v>6336</v>
      </c>
      <c r="Q22" s="78">
        <v>430402</v>
      </c>
      <c r="R22" s="38">
        <f t="shared" ref="R22" si="260">(+Q22-+Q21)*48</f>
        <v>2784</v>
      </c>
      <c r="S22" s="78">
        <v>688779</v>
      </c>
      <c r="T22" s="38">
        <f t="shared" ref="T22" si="261">(+S22-+S21)*48</f>
        <v>6048</v>
      </c>
      <c r="U22" s="83">
        <v>93930.73</v>
      </c>
      <c r="V22" s="104">
        <f t="shared" ref="V22" si="262">(+U22-+U21)*48</f>
        <v>657.07199999992736</v>
      </c>
      <c r="W22" s="78">
        <v>77212</v>
      </c>
      <c r="X22" s="38">
        <f t="shared" ref="X22" si="263">(+W22-+W21)*48</f>
        <v>96</v>
      </c>
      <c r="Y22" s="78">
        <v>1474042</v>
      </c>
      <c r="Z22" s="38">
        <f t="shared" ref="Z22" si="264">(+Y22-+Y21)*48</f>
        <v>0</v>
      </c>
      <c r="AA22" s="78">
        <v>13166</v>
      </c>
      <c r="AB22" s="38">
        <f t="shared" ref="AB22" si="265">(+AA22-+AA21)*48</f>
        <v>0</v>
      </c>
      <c r="AC22" s="78">
        <v>427226</v>
      </c>
      <c r="AD22" s="38">
        <f t="shared" si="16"/>
        <v>4416</v>
      </c>
      <c r="AE22" s="78">
        <v>504274</v>
      </c>
      <c r="AF22" s="38">
        <f t="shared" si="16"/>
        <v>4848</v>
      </c>
      <c r="AG22" s="78">
        <v>48581</v>
      </c>
      <c r="AH22" s="38">
        <f t="shared" ref="AH22" si="266">(+AG22-+AG21)*48</f>
        <v>144</v>
      </c>
      <c r="AI22" s="78">
        <v>387240</v>
      </c>
      <c r="AJ22" s="38">
        <f t="shared" ref="AJ22" si="267">(+AI22-+AI21)*48</f>
        <v>3360</v>
      </c>
      <c r="AK22" s="78">
        <v>102371</v>
      </c>
      <c r="AL22" s="38">
        <f t="shared" ref="AL22" si="268">(+AK22-+AK21)*48</f>
        <v>0</v>
      </c>
      <c r="AM22" s="78">
        <v>550063</v>
      </c>
      <c r="AN22" s="38">
        <f t="shared" ref="AN22" si="269">(+AM22-+AM21)*48</f>
        <v>5520</v>
      </c>
      <c r="AO22" s="78">
        <v>882736</v>
      </c>
      <c r="AP22" s="38">
        <f t="shared" ref="AP22" si="270">(+AO22-+AO21)*48</f>
        <v>10128</v>
      </c>
      <c r="AQ22" s="78">
        <v>65500</v>
      </c>
      <c r="AR22" s="38">
        <f t="shared" ref="AR22" si="271">(+AQ22-+AQ21)*48</f>
        <v>0</v>
      </c>
      <c r="AS22" s="78">
        <v>2204</v>
      </c>
      <c r="AT22" s="38">
        <f t="shared" ref="AT22" si="272">(+AS22-+AS21)*48</f>
        <v>0</v>
      </c>
      <c r="AU22" s="78">
        <v>918</v>
      </c>
      <c r="AV22" s="38">
        <f t="shared" ref="AV22" si="273">(+AU22-+AU21)*48</f>
        <v>0</v>
      </c>
      <c r="AW22" s="78">
        <v>3108</v>
      </c>
      <c r="AX22" s="38">
        <f t="shared" ref="AX22" si="274">(+AW22-+AW21)*48</f>
        <v>0</v>
      </c>
      <c r="AY22" s="78">
        <v>295675</v>
      </c>
      <c r="AZ22" s="38">
        <f t="shared" ref="AZ22" si="275">(+AY22-+AY21)*48</f>
        <v>3216</v>
      </c>
      <c r="BA22" s="78">
        <v>160167</v>
      </c>
      <c r="BB22" s="38">
        <f>(+BA23-+BA21)*48</f>
        <v>0</v>
      </c>
      <c r="BC22" s="78">
        <v>202442</v>
      </c>
      <c r="BD22" s="38">
        <f t="shared" ref="BD22" si="276">(+BC22-+BC21)*48</f>
        <v>2304</v>
      </c>
      <c r="BE22" s="78">
        <v>5347</v>
      </c>
      <c r="BF22" s="38">
        <f t="shared" ref="BF22" si="277">(+BE22-+BE21)*48</f>
        <v>0</v>
      </c>
      <c r="BH22" s="169">
        <f t="shared" si="4"/>
        <v>85828.271999999924</v>
      </c>
      <c r="BI22" s="169">
        <f t="shared" si="5"/>
        <v>53212.800000000003</v>
      </c>
    </row>
    <row r="23" spans="1:61" s="36" customFormat="1" ht="39.950000000000003" customHeight="1">
      <c r="A23" s="145">
        <v>44058</v>
      </c>
      <c r="B23" s="35"/>
      <c r="C23" s="78">
        <v>5413818</v>
      </c>
      <c r="D23" s="38">
        <f t="shared" ref="D23" si="278">(+C23-+C22)*48</f>
        <v>89568</v>
      </c>
      <c r="E23" s="38">
        <f t="shared" si="7"/>
        <v>53740.799999999996</v>
      </c>
      <c r="F23" s="104">
        <f t="shared" si="8"/>
        <v>35827.200000000004</v>
      </c>
      <c r="G23" s="78">
        <v>273572</v>
      </c>
      <c r="H23" s="38">
        <f t="shared" si="0"/>
        <v>864</v>
      </c>
      <c r="I23" s="78">
        <v>77314</v>
      </c>
      <c r="J23" s="38">
        <f t="shared" si="1"/>
        <v>8208</v>
      </c>
      <c r="K23" s="78">
        <v>254257</v>
      </c>
      <c r="L23" s="38">
        <f t="shared" si="2"/>
        <v>96</v>
      </c>
      <c r="M23" s="78">
        <v>24364</v>
      </c>
      <c r="N23" s="38">
        <f t="shared" si="3"/>
        <v>0</v>
      </c>
      <c r="O23" s="78">
        <v>212584</v>
      </c>
      <c r="P23" s="38">
        <f t="shared" ref="P23" si="279">(+O23-+O22)*48</f>
        <v>7440</v>
      </c>
      <c r="Q23" s="78">
        <v>430495</v>
      </c>
      <c r="R23" s="38">
        <f t="shared" ref="R23" si="280">(+Q23-+Q22)*48</f>
        <v>4464</v>
      </c>
      <c r="S23" s="78">
        <v>688916</v>
      </c>
      <c r="T23" s="38">
        <f t="shared" ref="T23" si="281">(+S23-+S22)*48</f>
        <v>6576</v>
      </c>
      <c r="U23" s="83">
        <v>93947.505999999994</v>
      </c>
      <c r="V23" s="104">
        <f t="shared" ref="V23" si="282">(+U23-+U22)*48</f>
        <v>805.24799999990501</v>
      </c>
      <c r="W23" s="78">
        <v>77213</v>
      </c>
      <c r="X23" s="38">
        <f t="shared" ref="X23" si="283">(+W23-+W22)*48</f>
        <v>48</v>
      </c>
      <c r="Y23" s="78">
        <v>1474042</v>
      </c>
      <c r="Z23" s="38">
        <f t="shared" ref="Z23" si="284">(+Y23-+Y22)*48</f>
        <v>0</v>
      </c>
      <c r="AA23" s="78">
        <v>13166</v>
      </c>
      <c r="AB23" s="38">
        <f t="shared" ref="AB23" si="285">(+AA23-+AA22)*48</f>
        <v>0</v>
      </c>
      <c r="AC23" s="78">
        <v>427313</v>
      </c>
      <c r="AD23" s="38">
        <f t="shared" si="16"/>
        <v>4176</v>
      </c>
      <c r="AE23" s="78">
        <v>504373</v>
      </c>
      <c r="AF23" s="38">
        <f t="shared" si="16"/>
        <v>4752</v>
      </c>
      <c r="AG23" s="78">
        <v>48584</v>
      </c>
      <c r="AH23" s="38">
        <f t="shared" ref="AH23" si="286">(+AG23-+AG22)*48</f>
        <v>144</v>
      </c>
      <c r="AI23" s="78">
        <v>387324</v>
      </c>
      <c r="AJ23" s="38">
        <f t="shared" ref="AJ23" si="287">(+AI23-+AI22)*48</f>
        <v>4032</v>
      </c>
      <c r="AK23" s="78">
        <v>102371</v>
      </c>
      <c r="AL23" s="38">
        <f t="shared" ref="AL23" si="288">(+AK23-+AK22)*48</f>
        <v>0</v>
      </c>
      <c r="AM23" s="78">
        <v>550170</v>
      </c>
      <c r="AN23" s="38">
        <f t="shared" ref="AN23" si="289">(+AM23-+AM22)*48</f>
        <v>5136</v>
      </c>
      <c r="AO23" s="78">
        <v>882937</v>
      </c>
      <c r="AP23" s="38">
        <f t="shared" ref="AP23" si="290">(+AO23-+AO22)*48</f>
        <v>9648</v>
      </c>
      <c r="AQ23" s="78">
        <v>65500</v>
      </c>
      <c r="AR23" s="38">
        <f t="shared" ref="AR23" si="291">(+AQ23-+AQ22)*48</f>
        <v>0</v>
      </c>
      <c r="AS23" s="78">
        <v>2204</v>
      </c>
      <c r="AT23" s="38">
        <f t="shared" ref="AT23" si="292">(+AS23-+AS22)*48</f>
        <v>0</v>
      </c>
      <c r="AU23" s="78">
        <v>918</v>
      </c>
      <c r="AV23" s="38">
        <f t="shared" ref="AV23" si="293">(+AU23-+AU22)*48</f>
        <v>0</v>
      </c>
      <c r="AW23" s="78">
        <v>3108</v>
      </c>
      <c r="AX23" s="38">
        <f t="shared" ref="AX23" si="294">(+AW23-+AW22)*48</f>
        <v>0</v>
      </c>
      <c r="AY23" s="78">
        <v>295739</v>
      </c>
      <c r="AZ23" s="38">
        <f t="shared" ref="AZ23" si="295">(+AY23-+AY22)*48</f>
        <v>3072</v>
      </c>
      <c r="BA23" s="78">
        <v>160167</v>
      </c>
      <c r="BB23" s="104">
        <f t="shared" ref="BB23:BB25" si="296">(+BA23-+BA22)*48</f>
        <v>0</v>
      </c>
      <c r="BC23" s="78">
        <v>202488</v>
      </c>
      <c r="BD23" s="38">
        <f t="shared" ref="BD23" si="297">(+BC23-+BC22)*48</f>
        <v>2208</v>
      </c>
      <c r="BE23" s="78">
        <v>5347</v>
      </c>
      <c r="BF23" s="38">
        <f t="shared" ref="BF23" si="298">(+BE23-+BE22)*48</f>
        <v>0</v>
      </c>
      <c r="BH23" s="105">
        <f t="shared" si="4"/>
        <v>95346.047999999893</v>
      </c>
      <c r="BI23" s="105">
        <f t="shared" si="5"/>
        <v>55891.200000000004</v>
      </c>
    </row>
    <row r="24" spans="1:61" s="36" customFormat="1" ht="39.950000000000003" customHeight="1">
      <c r="A24" s="145">
        <v>44059</v>
      </c>
      <c r="B24" s="35"/>
      <c r="C24" s="78">
        <v>5415643</v>
      </c>
      <c r="D24" s="104">
        <f t="shared" ref="D24" si="299">(+C24-+C23)*48</f>
        <v>87600</v>
      </c>
      <c r="E24" s="38">
        <f t="shared" si="7"/>
        <v>52560</v>
      </c>
      <c r="F24" s="104">
        <f t="shared" si="8"/>
        <v>35040</v>
      </c>
      <c r="G24" s="78">
        <v>273590</v>
      </c>
      <c r="H24" s="104">
        <f t="shared" si="0"/>
        <v>816</v>
      </c>
      <c r="I24" s="78">
        <v>77485</v>
      </c>
      <c r="J24" s="104">
        <f t="shared" si="1"/>
        <v>7680</v>
      </c>
      <c r="K24" s="78">
        <v>254259</v>
      </c>
      <c r="L24" s="104">
        <f t="shared" si="2"/>
        <v>96</v>
      </c>
      <c r="M24" s="78">
        <v>24364</v>
      </c>
      <c r="N24" s="38">
        <f t="shared" si="3"/>
        <v>0</v>
      </c>
      <c r="O24" s="78">
        <v>212745</v>
      </c>
      <c r="P24" s="104">
        <f t="shared" ref="P24" si="300">(+O24-+O23)*48</f>
        <v>7728</v>
      </c>
      <c r="Q24" s="78">
        <v>430584</v>
      </c>
      <c r="R24" s="104">
        <f t="shared" ref="R24" si="301">(+Q24-+Q23)*48</f>
        <v>4272</v>
      </c>
      <c r="S24" s="78">
        <v>689046</v>
      </c>
      <c r="T24" s="104">
        <f t="shared" ref="T24" si="302">(+S24-+S23)*48</f>
        <v>6240</v>
      </c>
      <c r="U24" s="83">
        <v>93968.414999999994</v>
      </c>
      <c r="V24" s="104">
        <f t="shared" ref="V24" si="303">(+U24-+U23)*48</f>
        <v>1003.6319999999832</v>
      </c>
      <c r="W24" s="78">
        <v>77213</v>
      </c>
      <c r="X24" s="104">
        <f t="shared" ref="X24" si="304">(+W24-+W23)*48</f>
        <v>0</v>
      </c>
      <c r="Y24" s="78">
        <v>1474042</v>
      </c>
      <c r="Z24" s="104">
        <f t="shared" ref="Z24" si="305">(+Y24-+Y23)*48</f>
        <v>0</v>
      </c>
      <c r="AA24" s="78">
        <v>13166</v>
      </c>
      <c r="AB24" s="104">
        <f t="shared" ref="AB24" si="306">(+AA24-+AA23)*48</f>
        <v>0</v>
      </c>
      <c r="AC24" s="78">
        <v>427401</v>
      </c>
      <c r="AD24" s="104">
        <f t="shared" si="16"/>
        <v>4224</v>
      </c>
      <c r="AE24" s="78">
        <v>504473</v>
      </c>
      <c r="AF24" s="104">
        <f t="shared" si="16"/>
        <v>4800</v>
      </c>
      <c r="AG24" s="78">
        <v>48587</v>
      </c>
      <c r="AH24" s="104">
        <f t="shared" ref="AH24" si="307">(+AG24-+AG23)*48</f>
        <v>144</v>
      </c>
      <c r="AI24" s="78">
        <v>387416</v>
      </c>
      <c r="AJ24" s="104">
        <f t="shared" ref="AJ24" si="308">(+AI24-+AI23)*48</f>
        <v>4416</v>
      </c>
      <c r="AK24" s="78">
        <v>102371</v>
      </c>
      <c r="AL24" s="104">
        <f t="shared" ref="AL24" si="309">(+AK24-+AK23)*48</f>
        <v>0</v>
      </c>
      <c r="AM24" s="78">
        <v>550281</v>
      </c>
      <c r="AN24" s="104">
        <f t="shared" ref="AN24" si="310">(+AM24-+AM23)*48</f>
        <v>5328</v>
      </c>
      <c r="AO24" s="78">
        <v>883137</v>
      </c>
      <c r="AP24" s="104">
        <f t="shared" ref="AP24" si="311">(+AO24-+AO23)*48</f>
        <v>9600</v>
      </c>
      <c r="AQ24" s="78">
        <v>65500</v>
      </c>
      <c r="AR24" s="104">
        <f t="shared" ref="AR24" si="312">(+AQ24-+AQ23)*48</f>
        <v>0</v>
      </c>
      <c r="AS24" s="78">
        <v>2204</v>
      </c>
      <c r="AT24" s="104">
        <f t="shared" ref="AT24" si="313">(+AS24-+AS23)*48</f>
        <v>0</v>
      </c>
      <c r="AU24" s="78">
        <v>918</v>
      </c>
      <c r="AV24" s="104">
        <f t="shared" ref="AV24" si="314">(+AU24-+AU23)*48</f>
        <v>0</v>
      </c>
      <c r="AW24" s="78">
        <v>3108</v>
      </c>
      <c r="AX24" s="104">
        <f t="shared" ref="AX24" si="315">(+AW24-+AW23)*48</f>
        <v>0</v>
      </c>
      <c r="AY24" s="78">
        <v>295805</v>
      </c>
      <c r="AZ24" s="104">
        <f t="shared" ref="AZ24" si="316">(+AY24-+AY23)*48</f>
        <v>3168</v>
      </c>
      <c r="BA24" s="78">
        <v>160167</v>
      </c>
      <c r="BB24" s="104">
        <f t="shared" si="296"/>
        <v>0</v>
      </c>
      <c r="BC24" s="78">
        <v>202535</v>
      </c>
      <c r="BD24" s="104">
        <f t="shared" ref="BD24" si="317">(+BC24-+BC23)*48</f>
        <v>2256</v>
      </c>
      <c r="BE24" s="78">
        <v>5347</v>
      </c>
      <c r="BF24" s="104">
        <f t="shared" ref="BF24" si="318">(+BE24-+BE23)*48</f>
        <v>0</v>
      </c>
      <c r="BH24" s="105">
        <f t="shared" si="4"/>
        <v>93979.631999999983</v>
      </c>
      <c r="BI24" s="105">
        <f t="shared" si="5"/>
        <v>55392</v>
      </c>
    </row>
    <row r="25" spans="1:61" s="36" customFormat="1" ht="39.950000000000003" customHeight="1">
      <c r="A25" s="145">
        <v>44060</v>
      </c>
      <c r="B25" s="35"/>
      <c r="C25" s="78">
        <v>5417494</v>
      </c>
      <c r="D25" s="104">
        <f t="shared" ref="D25" si="319">(+C25-+C24)*48</f>
        <v>88848</v>
      </c>
      <c r="E25" s="38">
        <f t="shared" si="7"/>
        <v>53308.799999999996</v>
      </c>
      <c r="F25" s="104">
        <f t="shared" si="8"/>
        <v>35539.200000000004</v>
      </c>
      <c r="G25" s="78">
        <v>273607</v>
      </c>
      <c r="H25" s="104">
        <f t="shared" si="0"/>
        <v>1056</v>
      </c>
      <c r="I25" s="78">
        <v>77645</v>
      </c>
      <c r="J25" s="104">
        <f t="shared" si="1"/>
        <v>8064</v>
      </c>
      <c r="K25" s="78">
        <v>254261</v>
      </c>
      <c r="L25" s="104">
        <f t="shared" si="2"/>
        <v>48</v>
      </c>
      <c r="M25" s="78">
        <v>24364</v>
      </c>
      <c r="N25" s="38">
        <f t="shared" si="3"/>
        <v>0</v>
      </c>
      <c r="O25" s="78">
        <v>212900</v>
      </c>
      <c r="P25" s="104">
        <f t="shared" ref="P25" si="320">(+O25-+O24)*48</f>
        <v>7440</v>
      </c>
      <c r="Q25" s="78">
        <v>430673</v>
      </c>
      <c r="R25" s="104">
        <f t="shared" ref="R25" si="321">(+Q25-+Q24)*48</f>
        <v>4272</v>
      </c>
      <c r="S25" s="78">
        <v>689148</v>
      </c>
      <c r="T25" s="104">
        <f t="shared" ref="T25" si="322">(+S25-+S24)*48</f>
        <v>4896</v>
      </c>
      <c r="U25" s="83">
        <v>93986.732000000004</v>
      </c>
      <c r="V25" s="104">
        <f t="shared" ref="V25" si="323">(+U25-+U24)*48</f>
        <v>879.21600000048056</v>
      </c>
      <c r="W25" s="78">
        <v>77218</v>
      </c>
      <c r="X25" s="104">
        <f t="shared" ref="X25" si="324">(+W25-+W24)*48</f>
        <v>240</v>
      </c>
      <c r="Y25" s="78">
        <v>1474042</v>
      </c>
      <c r="Z25" s="104">
        <f t="shared" ref="Z25" si="325">(+Y25-+Y24)*48</f>
        <v>0</v>
      </c>
      <c r="AA25" s="78">
        <v>13166</v>
      </c>
      <c r="AB25" s="104">
        <f t="shared" ref="AB25" si="326">(+AA25-+AA24)*48</f>
        <v>0</v>
      </c>
      <c r="AC25" s="78">
        <v>427487</v>
      </c>
      <c r="AD25" s="104">
        <f t="shared" si="16"/>
        <v>4128</v>
      </c>
      <c r="AE25" s="78">
        <v>504569</v>
      </c>
      <c r="AF25" s="104">
        <f t="shared" si="16"/>
        <v>4608</v>
      </c>
      <c r="AG25" s="78">
        <v>48591</v>
      </c>
      <c r="AH25" s="104">
        <f t="shared" ref="AH25" si="327">(+AG25-+AG24)*48</f>
        <v>192</v>
      </c>
      <c r="AI25" s="78">
        <v>387504</v>
      </c>
      <c r="AJ25" s="104">
        <f t="shared" ref="AJ25" si="328">(+AI25-+AI24)*48</f>
        <v>4224</v>
      </c>
      <c r="AK25" s="78">
        <v>102371</v>
      </c>
      <c r="AL25" s="104">
        <f t="shared" ref="AL25" si="329">(+AK25-+AK24)*48</f>
        <v>0</v>
      </c>
      <c r="AM25" s="78">
        <v>550383</v>
      </c>
      <c r="AN25" s="104">
        <f t="shared" ref="AN25" si="330">(+AM25-+AM24)*48</f>
        <v>4896</v>
      </c>
      <c r="AO25" s="78">
        <v>883343</v>
      </c>
      <c r="AP25" s="104">
        <f t="shared" ref="AP25" si="331">(+AO25-+AO24)*48</f>
        <v>9888</v>
      </c>
      <c r="AQ25" s="78">
        <v>65500</v>
      </c>
      <c r="AR25" s="104">
        <f t="shared" ref="AR25" si="332">(+AQ25-+AQ24)*48</f>
        <v>0</v>
      </c>
      <c r="AS25" s="78">
        <v>2204</v>
      </c>
      <c r="AT25" s="104">
        <f t="shared" ref="AT25" si="333">(+AS25-+AS24)*48</f>
        <v>0</v>
      </c>
      <c r="AU25" s="78">
        <v>918</v>
      </c>
      <c r="AV25" s="104">
        <f t="shared" ref="AV25" si="334">(+AU25-+AU24)*48</f>
        <v>0</v>
      </c>
      <c r="AW25" s="78">
        <v>3108</v>
      </c>
      <c r="AX25" s="104">
        <f t="shared" ref="AX25" si="335">(+AW25-+AW24)*48</f>
        <v>0</v>
      </c>
      <c r="AY25" s="78">
        <v>295867</v>
      </c>
      <c r="AZ25" s="104">
        <f t="shared" ref="AZ25" si="336">(+AY25-+AY24)*48</f>
        <v>2976</v>
      </c>
      <c r="BA25" s="78">
        <v>160167</v>
      </c>
      <c r="BB25" s="104">
        <f t="shared" si="296"/>
        <v>0</v>
      </c>
      <c r="BC25" s="78">
        <v>202579</v>
      </c>
      <c r="BD25" s="104">
        <f t="shared" ref="BD25" si="337">(+BC25-+BC24)*48</f>
        <v>2112</v>
      </c>
      <c r="BE25" s="78">
        <v>5347</v>
      </c>
      <c r="BF25" s="104">
        <f t="shared" ref="BF25" si="338">(+BE25-+BE24)*48</f>
        <v>0</v>
      </c>
      <c r="BH25" s="105">
        <f t="shared" si="4"/>
        <v>93356.016000000469</v>
      </c>
      <c r="BI25" s="105">
        <f t="shared" si="5"/>
        <v>55411.200000000004</v>
      </c>
    </row>
    <row r="26" spans="1:61" s="36" customFormat="1" ht="39.950000000000003" customHeight="1">
      <c r="A26" s="145">
        <v>44061</v>
      </c>
      <c r="B26" s="35"/>
      <c r="C26" s="78">
        <v>5419679</v>
      </c>
      <c r="D26" s="104">
        <f t="shared" ref="D26" si="339">(+C26-+C25)*48</f>
        <v>104880</v>
      </c>
      <c r="E26" s="38">
        <f t="shared" si="7"/>
        <v>62928</v>
      </c>
      <c r="F26" s="104">
        <f t="shared" si="8"/>
        <v>41952</v>
      </c>
      <c r="G26" s="78">
        <v>273629</v>
      </c>
      <c r="H26" s="104">
        <f t="shared" si="0"/>
        <v>1056</v>
      </c>
      <c r="I26" s="78">
        <v>77813</v>
      </c>
      <c r="J26" s="104">
        <f t="shared" si="1"/>
        <v>7728</v>
      </c>
      <c r="K26" s="78">
        <v>254262</v>
      </c>
      <c r="L26" s="104">
        <f t="shared" si="2"/>
        <v>96</v>
      </c>
      <c r="M26" s="78">
        <v>24364</v>
      </c>
      <c r="N26" s="38">
        <f t="shared" si="3"/>
        <v>0</v>
      </c>
      <c r="O26" s="78">
        <v>213029</v>
      </c>
      <c r="P26" s="104">
        <f t="shared" ref="P26" si="340">(+O26-+O25)*48</f>
        <v>6192</v>
      </c>
      <c r="Q26" s="78">
        <v>430762</v>
      </c>
      <c r="R26" s="104">
        <f t="shared" ref="R26" si="341">(+Q26-+Q25)*48</f>
        <v>4272</v>
      </c>
      <c r="S26" s="78">
        <v>689274</v>
      </c>
      <c r="T26" s="104">
        <f t="shared" ref="T26" si="342">(+S26-+S25)*48</f>
        <v>6048</v>
      </c>
      <c r="U26" s="83">
        <v>94002.115000000005</v>
      </c>
      <c r="V26" s="104">
        <f t="shared" ref="V26" si="343">(+U26-+U25)*48</f>
        <v>738.38400000007823</v>
      </c>
      <c r="W26" s="78">
        <v>77219</v>
      </c>
      <c r="X26" s="104">
        <f t="shared" ref="X26" si="344">(+W26-+W25)*48</f>
        <v>48</v>
      </c>
      <c r="Y26" s="78">
        <v>1474042</v>
      </c>
      <c r="Z26" s="104">
        <f t="shared" ref="Z26" si="345">(+Y26-+Y25)*48</f>
        <v>0</v>
      </c>
      <c r="AA26" s="78">
        <v>13166</v>
      </c>
      <c r="AB26" s="104">
        <f t="shared" ref="AB26" si="346">(+AA26-+AA25)*48</f>
        <v>0</v>
      </c>
      <c r="AC26" s="78">
        <v>427581</v>
      </c>
      <c r="AD26" s="104">
        <f t="shared" si="16"/>
        <v>4512</v>
      </c>
      <c r="AE26" s="78">
        <v>504674</v>
      </c>
      <c r="AF26" s="104">
        <f t="shared" si="16"/>
        <v>5040</v>
      </c>
      <c r="AG26" s="78">
        <v>48594</v>
      </c>
      <c r="AH26" s="104">
        <f t="shared" ref="AH26" si="347">(+AG26-+AG25)*48</f>
        <v>144</v>
      </c>
      <c r="AI26" s="78">
        <v>387589</v>
      </c>
      <c r="AJ26" s="104">
        <f t="shared" ref="AJ26" si="348">(+AI26-+AI25)*48</f>
        <v>4080</v>
      </c>
      <c r="AK26" s="78">
        <v>102371</v>
      </c>
      <c r="AL26" s="104">
        <f t="shared" ref="AL26" si="349">(+AK26-+AK25)*48</f>
        <v>0</v>
      </c>
      <c r="AM26" s="78">
        <v>550497</v>
      </c>
      <c r="AN26" s="104">
        <f t="shared" ref="AN26" si="350">(+AM26-+AM25)*48</f>
        <v>5472</v>
      </c>
      <c r="AO26" s="78">
        <v>883526</v>
      </c>
      <c r="AP26" s="104">
        <f t="shared" ref="AP26" si="351">(+AO26-+AO25)*48</f>
        <v>8784</v>
      </c>
      <c r="AQ26" s="78">
        <v>65500</v>
      </c>
      <c r="AR26" s="104">
        <f t="shared" ref="AR26" si="352">(+AQ26-+AQ25)*48</f>
        <v>0</v>
      </c>
      <c r="AS26" s="78">
        <v>2204</v>
      </c>
      <c r="AT26" s="104">
        <f t="shared" ref="AT26" si="353">(+AS26-+AS25)*48</f>
        <v>0</v>
      </c>
      <c r="AU26" s="78">
        <v>918</v>
      </c>
      <c r="AV26" s="104">
        <f t="shared" ref="AV26" si="354">(+AU26-+AU25)*48</f>
        <v>0</v>
      </c>
      <c r="AW26" s="78">
        <v>3108</v>
      </c>
      <c r="AX26" s="104">
        <f t="shared" ref="AX26" si="355">(+AW26-+AW25)*48</f>
        <v>0</v>
      </c>
      <c r="AY26" s="78">
        <v>295933</v>
      </c>
      <c r="AZ26" s="104">
        <f>(+AY26-+AY25)*48</f>
        <v>3168</v>
      </c>
      <c r="BA26" s="78">
        <v>160167</v>
      </c>
      <c r="BB26" s="104">
        <f>(+BA26-+BA25)*48</f>
        <v>0</v>
      </c>
      <c r="BC26" s="78">
        <v>202625</v>
      </c>
      <c r="BD26" s="104">
        <f t="shared" ref="BD26" si="356">(+BC26-+BC25)*48</f>
        <v>2208</v>
      </c>
      <c r="BE26" s="78">
        <v>5347</v>
      </c>
      <c r="BF26" s="104">
        <f t="shared" ref="BF26" si="357">(+BE26-+BE25)*48</f>
        <v>0</v>
      </c>
      <c r="BH26" s="105">
        <f t="shared" si="4"/>
        <v>102882.38400000008</v>
      </c>
      <c r="BI26" s="105">
        <f t="shared" si="5"/>
        <v>61584</v>
      </c>
    </row>
    <row r="27" spans="1:61" s="36" customFormat="1" ht="39.950000000000003" customHeight="1">
      <c r="A27" s="145">
        <v>44062</v>
      </c>
      <c r="B27" s="35"/>
      <c r="C27" s="78">
        <v>5421497</v>
      </c>
      <c r="D27" s="104">
        <f t="shared" ref="D27" si="358">(+C27-+C26)*48</f>
        <v>87264</v>
      </c>
      <c r="E27" s="38">
        <f t="shared" si="7"/>
        <v>52358.400000000001</v>
      </c>
      <c r="F27" s="104">
        <f t="shared" si="8"/>
        <v>34905.599999999999</v>
      </c>
      <c r="G27" s="78">
        <v>273651</v>
      </c>
      <c r="H27" s="104">
        <f t="shared" si="0"/>
        <v>1152</v>
      </c>
      <c r="I27" s="78">
        <v>77974</v>
      </c>
      <c r="J27" s="104">
        <f t="shared" si="1"/>
        <v>7680</v>
      </c>
      <c r="K27" s="78">
        <v>254264</v>
      </c>
      <c r="L27" s="104">
        <f t="shared" si="2"/>
        <v>48</v>
      </c>
      <c r="M27" s="78">
        <v>24364</v>
      </c>
      <c r="N27" s="38">
        <f t="shared" si="3"/>
        <v>0</v>
      </c>
      <c r="O27" s="78">
        <v>213166</v>
      </c>
      <c r="P27" s="104">
        <f t="shared" ref="P27" si="359">(+O27-+O26)*48</f>
        <v>6576</v>
      </c>
      <c r="Q27" s="78">
        <v>430835</v>
      </c>
      <c r="R27" s="104">
        <f t="shared" ref="R27" si="360">(+Q27-+Q26)*48</f>
        <v>3504</v>
      </c>
      <c r="S27" s="78">
        <v>689397</v>
      </c>
      <c r="T27" s="104">
        <f t="shared" ref="T27" si="361">(+S27-+S26)*48</f>
        <v>5904</v>
      </c>
      <c r="U27" s="83">
        <v>94013.873999999996</v>
      </c>
      <c r="V27" s="104">
        <f t="shared" ref="V27" si="362">(+U27-+U26)*48</f>
        <v>564.43199999956414</v>
      </c>
      <c r="W27" s="78">
        <v>77219</v>
      </c>
      <c r="X27" s="104">
        <f t="shared" ref="X27" si="363">(+W27-+W26)*48</f>
        <v>0</v>
      </c>
      <c r="Y27" s="78">
        <v>1474042</v>
      </c>
      <c r="Z27" s="104">
        <f t="shared" ref="Z27" si="364">(+Y27-+Y26)*48</f>
        <v>0</v>
      </c>
      <c r="AA27" s="78">
        <v>13166</v>
      </c>
      <c r="AB27" s="104">
        <f t="shared" ref="AB27" si="365">(+AA27-+AA26)*48</f>
        <v>0</v>
      </c>
      <c r="AC27" s="78">
        <v>427672</v>
      </c>
      <c r="AD27" s="104">
        <f t="shared" si="16"/>
        <v>4368</v>
      </c>
      <c r="AE27" s="78">
        <v>504772</v>
      </c>
      <c r="AF27" s="104">
        <f t="shared" si="16"/>
        <v>4704</v>
      </c>
      <c r="AG27" s="78">
        <v>48598</v>
      </c>
      <c r="AH27" s="104">
        <f t="shared" ref="AH27" si="366">(+AG27-+AG26)*48</f>
        <v>192</v>
      </c>
      <c r="AI27" s="78">
        <v>387657</v>
      </c>
      <c r="AJ27" s="104">
        <f t="shared" ref="AJ27" si="367">(+AI27-+AI26)*48</f>
        <v>3264</v>
      </c>
      <c r="AK27" s="78">
        <v>102371</v>
      </c>
      <c r="AL27" s="104">
        <f t="shared" ref="AL27" si="368">(+AK27-+AK26)*48</f>
        <v>0</v>
      </c>
      <c r="AM27" s="78">
        <v>550615</v>
      </c>
      <c r="AN27" s="104">
        <f t="shared" ref="AN27" si="369">(+AM27-+AM26)*48</f>
        <v>5664</v>
      </c>
      <c r="AO27" s="78">
        <v>883713</v>
      </c>
      <c r="AP27" s="104">
        <f t="shared" ref="AP27" si="370">(+AO27-+AO26)*48</f>
        <v>8976</v>
      </c>
      <c r="AQ27" s="78">
        <v>65500</v>
      </c>
      <c r="AR27" s="104">
        <f t="shared" ref="AR27" si="371">(+AQ27-+AQ26)*48</f>
        <v>0</v>
      </c>
      <c r="AS27" s="78">
        <v>2204</v>
      </c>
      <c r="AT27" s="104">
        <f t="shared" ref="AT27" si="372">(+AS27-+AS26)*48</f>
        <v>0</v>
      </c>
      <c r="AU27" s="78">
        <v>918</v>
      </c>
      <c r="AV27" s="104">
        <f t="shared" ref="AV27" si="373">(+AU27-+AU26)*48</f>
        <v>0</v>
      </c>
      <c r="AW27" s="78">
        <v>3108</v>
      </c>
      <c r="AX27" s="104">
        <f t="shared" ref="AX27" si="374">(+AW27-+AW26)*48</f>
        <v>0</v>
      </c>
      <c r="AY27" s="78">
        <v>296001</v>
      </c>
      <c r="AZ27" s="104">
        <f t="shared" ref="AZ27" si="375">(+AY27-+AY26)*48</f>
        <v>3264</v>
      </c>
      <c r="BA27" s="78">
        <v>160167</v>
      </c>
      <c r="BB27" s="104">
        <f>(+BA27-+BA26)*48</f>
        <v>0</v>
      </c>
      <c r="BC27" s="78">
        <v>202675</v>
      </c>
      <c r="BD27" s="104">
        <f t="shared" ref="BD27" si="376">(+BC27-+BC26)*48</f>
        <v>2400</v>
      </c>
      <c r="BE27" s="78">
        <v>5347</v>
      </c>
      <c r="BF27" s="104">
        <f t="shared" ref="BF27" si="377">(+BE27-+BE26)*48</f>
        <v>0</v>
      </c>
      <c r="BH27" s="105">
        <f t="shared" si="4"/>
        <v>90314.831999999558</v>
      </c>
      <c r="BI27" s="105">
        <f t="shared" si="5"/>
        <v>55209.599999999999</v>
      </c>
    </row>
    <row r="28" spans="1:61" s="36" customFormat="1" ht="39.950000000000003" customHeight="1">
      <c r="A28" s="145">
        <v>44063</v>
      </c>
      <c r="B28" s="35"/>
      <c r="C28" s="78">
        <v>5423432</v>
      </c>
      <c r="D28" s="104">
        <f t="shared" ref="D28" si="378">(+C28-+C27)*48</f>
        <v>92880</v>
      </c>
      <c r="E28" s="38">
        <f t="shared" si="7"/>
        <v>55728</v>
      </c>
      <c r="F28" s="104">
        <f t="shared" si="8"/>
        <v>37152</v>
      </c>
      <c r="G28" s="78">
        <v>273675</v>
      </c>
      <c r="H28" s="104">
        <f t="shared" si="0"/>
        <v>1248</v>
      </c>
      <c r="I28" s="78">
        <v>78134</v>
      </c>
      <c r="J28" s="104">
        <f t="shared" si="1"/>
        <v>8208</v>
      </c>
      <c r="K28" s="78">
        <v>254265</v>
      </c>
      <c r="L28" s="104">
        <f t="shared" si="2"/>
        <v>48</v>
      </c>
      <c r="M28" s="78">
        <v>24364</v>
      </c>
      <c r="N28" s="38">
        <f t="shared" si="3"/>
        <v>0</v>
      </c>
      <c r="O28" s="78">
        <v>213295</v>
      </c>
      <c r="P28" s="104">
        <f t="shared" ref="P28" si="379">(+O28-+O27)*48</f>
        <v>6192</v>
      </c>
      <c r="Q28" s="78">
        <v>430913</v>
      </c>
      <c r="R28" s="104">
        <f t="shared" ref="R28" si="380">(+Q28-+Q27)*48</f>
        <v>3744</v>
      </c>
      <c r="S28" s="78">
        <v>689522</v>
      </c>
      <c r="T28" s="104">
        <f t="shared" ref="T28" si="381">(+S28-+S27)*48</f>
        <v>6000</v>
      </c>
      <c r="U28" s="83">
        <v>94019.040999999997</v>
      </c>
      <c r="V28" s="104">
        <f t="shared" ref="V28" si="382">(+U28-+U27)*48</f>
        <v>248.01600000006147</v>
      </c>
      <c r="W28" s="78">
        <v>77221</v>
      </c>
      <c r="X28" s="104">
        <f t="shared" ref="X28" si="383">(+W28-+W27)*48</f>
        <v>96</v>
      </c>
      <c r="Y28" s="78">
        <v>1474042</v>
      </c>
      <c r="Z28" s="104">
        <f t="shared" ref="Z28" si="384">(+Y28-+Y27)*48</f>
        <v>0</v>
      </c>
      <c r="AA28" s="78">
        <v>13166</v>
      </c>
      <c r="AB28" s="104">
        <f t="shared" ref="AB28" si="385">(+AA28-+AA27)*48</f>
        <v>0</v>
      </c>
      <c r="AC28" s="78">
        <v>427763</v>
      </c>
      <c r="AD28" s="104">
        <f t="shared" si="16"/>
        <v>4368</v>
      </c>
      <c r="AE28" s="78">
        <v>504866</v>
      </c>
      <c r="AF28" s="104">
        <f t="shared" si="16"/>
        <v>4512</v>
      </c>
      <c r="AG28" s="78">
        <v>48601</v>
      </c>
      <c r="AH28" s="104">
        <f t="shared" ref="AH28" si="386">(+AG28-+AG27)*48</f>
        <v>144</v>
      </c>
      <c r="AI28" s="78">
        <v>387722</v>
      </c>
      <c r="AJ28" s="104">
        <f t="shared" ref="AJ28" si="387">(+AI28-+AI27)*48</f>
        <v>3120</v>
      </c>
      <c r="AK28" s="78">
        <v>102371</v>
      </c>
      <c r="AL28" s="104">
        <f t="shared" ref="AL28" si="388">(+AK28-+AK27)*48</f>
        <v>0</v>
      </c>
      <c r="AM28" s="78">
        <v>550731</v>
      </c>
      <c r="AN28" s="104">
        <f t="shared" ref="AN28" si="389">(+AM28-+AM27)*48</f>
        <v>5568</v>
      </c>
      <c r="AO28" s="78">
        <v>883883</v>
      </c>
      <c r="AP28" s="104">
        <f t="shared" ref="AP28" si="390">(+AO28-+AO27)*48</f>
        <v>8160</v>
      </c>
      <c r="AQ28" s="78">
        <v>65500</v>
      </c>
      <c r="AR28" s="104">
        <f t="shared" ref="AR28" si="391">(+AQ28-+AQ27)*48</f>
        <v>0</v>
      </c>
      <c r="AS28" s="78">
        <v>2204</v>
      </c>
      <c r="AT28" s="104">
        <f t="shared" ref="AT28" si="392">(+AS28-+AS27)*48</f>
        <v>0</v>
      </c>
      <c r="AU28" s="78">
        <v>918</v>
      </c>
      <c r="AV28" s="104">
        <f t="shared" ref="AV28" si="393">(+AU28-+AU27)*48</f>
        <v>0</v>
      </c>
      <c r="AW28" s="78">
        <v>3108</v>
      </c>
      <c r="AX28" s="104">
        <f t="shared" ref="AX28" si="394">(+AW28-+AW27)*48</f>
        <v>0</v>
      </c>
      <c r="AY28" s="78">
        <v>296066</v>
      </c>
      <c r="AZ28" s="104">
        <f t="shared" ref="AZ28" si="395">(+AY28-+AY27)*48</f>
        <v>3120</v>
      </c>
      <c r="BA28" s="78">
        <v>160167</v>
      </c>
      <c r="BB28" s="104">
        <f t="shared" ref="BB28" si="396">(+BA28-+BA27)*48</f>
        <v>0</v>
      </c>
      <c r="BC28" s="78">
        <v>202722</v>
      </c>
      <c r="BD28" s="104">
        <f t="shared" ref="BD28" si="397">(+BC28-+BC27)*48</f>
        <v>2256</v>
      </c>
      <c r="BE28" s="78">
        <v>5347</v>
      </c>
      <c r="BF28" s="104">
        <f t="shared" ref="BF28" si="398">(+BE28-+BE27)*48</f>
        <v>0</v>
      </c>
      <c r="BH28" s="105">
        <f t="shared" si="4"/>
        <v>93656.016000000061</v>
      </c>
      <c r="BI28" s="105">
        <f t="shared" si="5"/>
        <v>56256</v>
      </c>
    </row>
    <row r="29" spans="1:61" s="36" customFormat="1" ht="39.950000000000003" customHeight="1">
      <c r="A29" s="145">
        <v>44064</v>
      </c>
      <c r="B29" s="35"/>
      <c r="C29" s="83">
        <v>5425257</v>
      </c>
      <c r="D29" s="104">
        <f t="shared" ref="D29" si="399">(+C29-+C28)*48</f>
        <v>87600</v>
      </c>
      <c r="E29" s="38">
        <f t="shared" si="7"/>
        <v>52560</v>
      </c>
      <c r="F29" s="104">
        <f t="shared" si="8"/>
        <v>35040</v>
      </c>
      <c r="G29" s="83">
        <v>273701</v>
      </c>
      <c r="H29" s="104">
        <f t="shared" si="0"/>
        <v>888</v>
      </c>
      <c r="I29" s="83">
        <v>78305</v>
      </c>
      <c r="J29" s="104">
        <f t="shared" si="1"/>
        <v>8208</v>
      </c>
      <c r="K29" s="83">
        <v>254266</v>
      </c>
      <c r="L29" s="104">
        <f t="shared" si="2"/>
        <v>96</v>
      </c>
      <c r="M29" s="83">
        <v>24364</v>
      </c>
      <c r="N29" s="38">
        <f t="shared" si="3"/>
        <v>0</v>
      </c>
      <c r="O29" s="83">
        <v>213451</v>
      </c>
      <c r="P29" s="104">
        <f t="shared" ref="P29" si="400">(+O29-+O28)*48</f>
        <v>7488</v>
      </c>
      <c r="Q29" s="83">
        <v>430697</v>
      </c>
      <c r="R29" s="104">
        <f t="shared" ref="R29" si="401">(+Q29-+Q28)*48</f>
        <v>-10368</v>
      </c>
      <c r="S29" s="83">
        <v>689637</v>
      </c>
      <c r="T29" s="104">
        <f t="shared" ref="T29" si="402">(+S29-+S28)*48</f>
        <v>5520</v>
      </c>
      <c r="U29" s="83">
        <v>94032.566999999995</v>
      </c>
      <c r="V29" s="104">
        <f t="shared" ref="V29" si="403">(+U29-+U28)*48</f>
        <v>649.24799999990501</v>
      </c>
      <c r="W29" s="83">
        <v>77226</v>
      </c>
      <c r="X29" s="104">
        <f t="shared" ref="X29" si="404">(+W29-+W28)*48</f>
        <v>240</v>
      </c>
      <c r="Y29" s="83">
        <v>1474042</v>
      </c>
      <c r="Z29" s="104">
        <f t="shared" ref="Z29" si="405">(+Y29-+Y28)*48</f>
        <v>0</v>
      </c>
      <c r="AA29" s="83">
        <v>13166</v>
      </c>
      <c r="AB29" s="104">
        <f t="shared" ref="AB29" si="406">(+AA29-+AA28)*48</f>
        <v>0</v>
      </c>
      <c r="AC29" s="83">
        <v>427852</v>
      </c>
      <c r="AD29" s="104">
        <f t="shared" si="16"/>
        <v>4272</v>
      </c>
      <c r="AE29" s="83">
        <v>504961</v>
      </c>
      <c r="AF29" s="104">
        <f t="shared" si="16"/>
        <v>4560</v>
      </c>
      <c r="AG29" s="83">
        <v>48605</v>
      </c>
      <c r="AH29" s="104">
        <f t="shared" ref="AH29" si="407">(+AG29-+AG28)*48</f>
        <v>192</v>
      </c>
      <c r="AI29" s="83">
        <v>387800</v>
      </c>
      <c r="AJ29" s="104">
        <f t="shared" ref="AJ29" si="408">(+AI29-+AI28)*48</f>
        <v>3744</v>
      </c>
      <c r="AK29" s="83">
        <v>102371</v>
      </c>
      <c r="AL29" s="104">
        <f t="shared" ref="AL29" si="409">(+AK29-+AK28)*48</f>
        <v>0</v>
      </c>
      <c r="AM29" s="83">
        <v>550838</v>
      </c>
      <c r="AN29" s="104">
        <f t="shared" ref="AN29" si="410">(+AM29-+AM28)*48</f>
        <v>5136</v>
      </c>
      <c r="AO29" s="83">
        <v>884063</v>
      </c>
      <c r="AP29" s="104">
        <f t="shared" ref="AP29" si="411">(+AO29-+AO28)*48</f>
        <v>8640</v>
      </c>
      <c r="AQ29" s="83">
        <v>65500</v>
      </c>
      <c r="AR29" s="104">
        <f t="shared" ref="AR29" si="412">(+AQ29-+AQ28)*48</f>
        <v>0</v>
      </c>
      <c r="AS29" s="83">
        <v>2204</v>
      </c>
      <c r="AT29" s="104">
        <f t="shared" ref="AT29" si="413">(+AS29-+AS28)*48</f>
        <v>0</v>
      </c>
      <c r="AU29" s="83">
        <v>918</v>
      </c>
      <c r="AV29" s="104">
        <f t="shared" ref="AV29" si="414">(+AU29-+AU28)*48</f>
        <v>0</v>
      </c>
      <c r="AW29" s="78">
        <v>3108</v>
      </c>
      <c r="AX29" s="104">
        <f t="shared" ref="AX29" si="415">(+AW29-+AW28)*48</f>
        <v>0</v>
      </c>
      <c r="AY29" s="83">
        <v>296130</v>
      </c>
      <c r="AZ29" s="104">
        <f t="shared" ref="AZ29" si="416">(+AY29-+AY28)*48</f>
        <v>3072</v>
      </c>
      <c r="BA29" s="83">
        <v>160167</v>
      </c>
      <c r="BB29" s="104">
        <f t="shared" ref="BB29" si="417">(+BA29-+BA28)*48</f>
        <v>0</v>
      </c>
      <c r="BC29" s="83">
        <v>202772</v>
      </c>
      <c r="BD29" s="104">
        <f t="shared" ref="BD29" si="418">(+BC29-+BC28)*48</f>
        <v>2400</v>
      </c>
      <c r="BE29" s="83">
        <v>5347</v>
      </c>
      <c r="BF29" s="104">
        <f t="shared" ref="BF29" si="419">(+BE29-+BE28)*48</f>
        <v>0</v>
      </c>
      <c r="BH29" s="105">
        <f t="shared" si="4"/>
        <v>78049.247999999905</v>
      </c>
      <c r="BI29" s="105">
        <f t="shared" si="5"/>
        <v>54288</v>
      </c>
    </row>
    <row r="30" spans="1:61" s="36" customFormat="1" ht="39.950000000000003" customHeight="1">
      <c r="A30" s="145">
        <v>44065</v>
      </c>
      <c r="B30" s="35"/>
      <c r="C30" s="83">
        <v>5427381</v>
      </c>
      <c r="D30" s="104">
        <f t="shared" ref="D30" si="420">(+C30-+C29)*48</f>
        <v>101952</v>
      </c>
      <c r="E30" s="38">
        <f t="shared" si="7"/>
        <v>61171.199999999997</v>
      </c>
      <c r="F30" s="104">
        <f t="shared" si="8"/>
        <v>40780.800000000003</v>
      </c>
      <c r="G30" s="83">
        <f>(G29+G31)/2</f>
        <v>273719.5</v>
      </c>
      <c r="H30" s="104">
        <f t="shared" si="0"/>
        <v>888</v>
      </c>
      <c r="I30" s="83">
        <f>(I29+I31)/2</f>
        <v>78476</v>
      </c>
      <c r="J30" s="104">
        <f t="shared" si="1"/>
        <v>8208</v>
      </c>
      <c r="K30" s="83">
        <f>(K29+K31)/2</f>
        <v>254268</v>
      </c>
      <c r="L30" s="104">
        <f t="shared" si="2"/>
        <v>96</v>
      </c>
      <c r="M30" s="83">
        <f>(M29+M31)/2</f>
        <v>24364</v>
      </c>
      <c r="N30" s="38">
        <f t="shared" si="3"/>
        <v>0</v>
      </c>
      <c r="O30" s="83">
        <f>(O29+O31)/2</f>
        <v>213608</v>
      </c>
      <c r="P30" s="104">
        <f t="shared" ref="P30" si="421">(+O30-+O29)*48</f>
        <v>7536</v>
      </c>
      <c r="Q30" s="83">
        <f>(Q29+Q31)/2</f>
        <v>430920.5</v>
      </c>
      <c r="R30" s="104">
        <f t="shared" ref="R30" si="422">(+Q30-+Q29)*48</f>
        <v>10728</v>
      </c>
      <c r="S30" s="83">
        <f>(S29+S31)/2</f>
        <v>689766</v>
      </c>
      <c r="T30" s="104">
        <f t="shared" ref="T30" si="423">(+S30-+S29)*48</f>
        <v>6192</v>
      </c>
      <c r="U30" s="83">
        <f>(U29+U31)/2</f>
        <v>94049.886499999993</v>
      </c>
      <c r="V30" s="104">
        <f t="shared" ref="V30" si="424">(+U30-+U29)*48</f>
        <v>831.33599999989383</v>
      </c>
      <c r="W30" s="83">
        <f>(W29+W31)/2</f>
        <v>77228.5</v>
      </c>
      <c r="X30" s="104">
        <f t="shared" ref="X30" si="425">(+W30-+W29)*48</f>
        <v>120</v>
      </c>
      <c r="Y30" s="83">
        <f>(Y29+Y31)/2</f>
        <v>1474042</v>
      </c>
      <c r="Z30" s="104">
        <f t="shared" ref="Z30" si="426">(+Y30-+Y29)*48</f>
        <v>0</v>
      </c>
      <c r="AA30" s="83">
        <f>(AA29+AA31)/2</f>
        <v>13166</v>
      </c>
      <c r="AB30" s="104">
        <f t="shared" ref="AB30" si="427">(+AA30-+AA29)*48</f>
        <v>0</v>
      </c>
      <c r="AC30" s="83">
        <f>(AC29+AC31)/2</f>
        <v>427939.5</v>
      </c>
      <c r="AD30" s="104">
        <f t="shared" si="16"/>
        <v>4200</v>
      </c>
      <c r="AE30" s="83">
        <f>(AE29+AE31)/2</f>
        <v>505054.5</v>
      </c>
      <c r="AF30" s="104">
        <f t="shared" si="16"/>
        <v>4488</v>
      </c>
      <c r="AG30" s="83">
        <f>(AG29+AG31)/2</f>
        <v>48608</v>
      </c>
      <c r="AH30" s="104">
        <f t="shared" ref="AH30" si="428">(+AG30-+AG29)*48</f>
        <v>144</v>
      </c>
      <c r="AI30" s="83">
        <f>(AI29+AI31)/2</f>
        <v>387890.5</v>
      </c>
      <c r="AJ30" s="104">
        <f t="shared" ref="AJ30" si="429">(+AI30-+AI29)*48</f>
        <v>4344</v>
      </c>
      <c r="AK30" s="83">
        <f>(AK29+AK31)/2</f>
        <v>102371</v>
      </c>
      <c r="AL30" s="104">
        <f t="shared" ref="AL30" si="430">(+AK30-+AK29)*48</f>
        <v>0</v>
      </c>
      <c r="AM30" s="83">
        <v>550941</v>
      </c>
      <c r="AN30" s="104">
        <f t="shared" ref="AN30" si="431">(+AM30-+AM29)*48</f>
        <v>4944</v>
      </c>
      <c r="AO30" s="83">
        <v>884241</v>
      </c>
      <c r="AP30" s="104">
        <f t="shared" ref="AP30" si="432">(+AO30-+AO29)*48</f>
        <v>8544</v>
      </c>
      <c r="AQ30" s="83">
        <v>65500</v>
      </c>
      <c r="AR30" s="104">
        <f t="shared" ref="AR30" si="433">(+AQ30-+AQ29)*48</f>
        <v>0</v>
      </c>
      <c r="AS30" s="83">
        <v>2204</v>
      </c>
      <c r="AT30" s="104">
        <f t="shared" ref="AT30" si="434">(+AS30-+AS29)*48</f>
        <v>0</v>
      </c>
      <c r="AU30" s="83">
        <v>918</v>
      </c>
      <c r="AV30" s="104">
        <f t="shared" ref="AV30" si="435">(+AU30-+AU29)*48</f>
        <v>0</v>
      </c>
      <c r="AW30" s="78">
        <v>3108</v>
      </c>
      <c r="AX30" s="104">
        <f t="shared" ref="AX30" si="436">(+AW30-+AW29)*48</f>
        <v>0</v>
      </c>
      <c r="AY30" s="83">
        <v>296197</v>
      </c>
      <c r="AZ30" s="104">
        <f t="shared" ref="AZ30" si="437">(+AY30-+AY29)*48</f>
        <v>3216</v>
      </c>
      <c r="BA30" s="83">
        <v>160167</v>
      </c>
      <c r="BB30" s="104">
        <f t="shared" ref="BB30" si="438">(+BA30-+BA29)*48</f>
        <v>0</v>
      </c>
      <c r="BC30" s="83">
        <v>202818</v>
      </c>
      <c r="BD30" s="104">
        <f t="shared" ref="BD30" si="439">(+BC30-+BC29)*48</f>
        <v>2208</v>
      </c>
      <c r="BE30" s="83">
        <v>5347</v>
      </c>
      <c r="BF30" s="104">
        <f t="shared" ref="BF30" si="440">(+BE30-+BE29)*48</f>
        <v>0</v>
      </c>
      <c r="BH30" s="105">
        <f t="shared" si="4"/>
        <v>108946.53599999989</v>
      </c>
      <c r="BI30" s="105">
        <f t="shared" si="5"/>
        <v>59692.800000000003</v>
      </c>
    </row>
    <row r="31" spans="1:61" s="36" customFormat="1" ht="39.950000000000003" customHeight="1">
      <c r="A31" s="145">
        <v>44066</v>
      </c>
      <c r="B31" s="35"/>
      <c r="C31" s="83">
        <v>5429294</v>
      </c>
      <c r="D31" s="104">
        <f t="shared" ref="D31" si="441">(+C31-+C30)*48</f>
        <v>91824</v>
      </c>
      <c r="E31" s="38">
        <f t="shared" si="7"/>
        <v>55094.400000000001</v>
      </c>
      <c r="F31" s="104">
        <f t="shared" si="8"/>
        <v>36729.599999999999</v>
      </c>
      <c r="G31" s="83">
        <v>273738</v>
      </c>
      <c r="H31" s="38">
        <f t="shared" si="0"/>
        <v>1104</v>
      </c>
      <c r="I31" s="83">
        <v>78647</v>
      </c>
      <c r="J31" s="38">
        <f t="shared" si="1"/>
        <v>8304</v>
      </c>
      <c r="K31" s="83">
        <v>254270</v>
      </c>
      <c r="L31" s="38">
        <f t="shared" si="2"/>
        <v>96</v>
      </c>
      <c r="M31" s="83">
        <v>24364</v>
      </c>
      <c r="N31" s="38">
        <f t="shared" si="3"/>
        <v>0</v>
      </c>
      <c r="O31" s="83">
        <v>213765</v>
      </c>
      <c r="P31" s="38">
        <f t="shared" ref="P31" si="442">(+O31-+O30)*48</f>
        <v>7536</v>
      </c>
      <c r="Q31" s="83">
        <v>431144</v>
      </c>
      <c r="R31" s="104">
        <f t="shared" ref="R31" si="443">(+Q31-+Q30)*48</f>
        <v>10728</v>
      </c>
      <c r="S31" s="83">
        <v>689895</v>
      </c>
      <c r="T31" s="104">
        <f t="shared" ref="T31" si="444">(+S31-+S30)*48</f>
        <v>6192</v>
      </c>
      <c r="U31" s="83">
        <v>94067.206000000006</v>
      </c>
      <c r="V31" s="104">
        <f t="shared" ref="V31" si="445">(+U31-+U30)*48</f>
        <v>831.33600000059232</v>
      </c>
      <c r="W31" s="83">
        <v>77231</v>
      </c>
      <c r="X31" s="104">
        <f t="shared" ref="X31" si="446">(+W31-+W30)*48</f>
        <v>120</v>
      </c>
      <c r="Y31" s="83">
        <v>1474042</v>
      </c>
      <c r="Z31" s="104">
        <f t="shared" ref="Z31" si="447">(+Y31-+Y30)*48</f>
        <v>0</v>
      </c>
      <c r="AA31" s="83">
        <v>13166</v>
      </c>
      <c r="AB31" s="104">
        <f t="shared" ref="AB31" si="448">(+AA31-+AA30)*48</f>
        <v>0</v>
      </c>
      <c r="AC31" s="83">
        <v>428027</v>
      </c>
      <c r="AD31" s="104">
        <f t="shared" si="16"/>
        <v>4200</v>
      </c>
      <c r="AE31" s="83">
        <v>505148</v>
      </c>
      <c r="AF31" s="104">
        <f t="shared" si="16"/>
        <v>4488</v>
      </c>
      <c r="AG31" s="83">
        <v>48611</v>
      </c>
      <c r="AH31" s="104">
        <f t="shared" ref="AH31" si="449">(+AG31-+AG30)*48</f>
        <v>144</v>
      </c>
      <c r="AI31" s="83">
        <v>387981</v>
      </c>
      <c r="AJ31" s="104">
        <f t="shared" ref="AJ31" si="450">(+AI31-+AI30)*48</f>
        <v>4344</v>
      </c>
      <c r="AK31" s="83">
        <v>102371</v>
      </c>
      <c r="AL31" s="104">
        <f t="shared" ref="AL31" si="451">(+AK31-+AK30)*48</f>
        <v>0</v>
      </c>
      <c r="AM31" s="83">
        <v>551039</v>
      </c>
      <c r="AN31" s="104">
        <f t="shared" ref="AN31" si="452">(+AM31-+AM30)*48</f>
        <v>4704</v>
      </c>
      <c r="AO31" s="83">
        <v>884416</v>
      </c>
      <c r="AP31" s="104">
        <f t="shared" ref="AP31" si="453">(+AO31-+AO30)*48</f>
        <v>8400</v>
      </c>
      <c r="AQ31" s="83">
        <v>65500</v>
      </c>
      <c r="AR31" s="104">
        <f t="shared" ref="AR31" si="454">(+AQ31-+AQ30)*48</f>
        <v>0</v>
      </c>
      <c r="AS31" s="83">
        <v>2204</v>
      </c>
      <c r="AT31" s="104">
        <f t="shared" ref="AT31" si="455">(+AS31-+AS30)*48</f>
        <v>0</v>
      </c>
      <c r="AU31" s="83">
        <v>918</v>
      </c>
      <c r="AV31" s="104">
        <f t="shared" ref="AV31" si="456">(+AU31-+AU30)*48</f>
        <v>0</v>
      </c>
      <c r="AW31" s="78">
        <v>3108</v>
      </c>
      <c r="AX31" s="104">
        <f t="shared" ref="AX31" si="457">(+AW31-+AW30)*48</f>
        <v>0</v>
      </c>
      <c r="AY31" s="83">
        <v>296257</v>
      </c>
      <c r="AZ31" s="104">
        <f t="shared" ref="AZ31" si="458">(+AY31-+AY30)*48</f>
        <v>2880</v>
      </c>
      <c r="BA31" s="83">
        <v>160167</v>
      </c>
      <c r="BB31" s="104">
        <f t="shared" ref="BB31" si="459">(+BA31-+BA30)*48</f>
        <v>0</v>
      </c>
      <c r="BC31" s="83">
        <v>202866</v>
      </c>
      <c r="BD31" s="104">
        <f t="shared" ref="BD31" si="460">(+BC31-+BC30)*48</f>
        <v>2304</v>
      </c>
      <c r="BE31" s="83">
        <v>5347</v>
      </c>
      <c r="BF31" s="104">
        <f t="shared" ref="BF31" si="461">(+BE31-+BE30)*48</f>
        <v>0</v>
      </c>
      <c r="BH31" s="105">
        <f t="shared" si="4"/>
        <v>103181.73600000059</v>
      </c>
      <c r="BI31" s="105">
        <f t="shared" si="5"/>
        <v>55017.599999999999</v>
      </c>
    </row>
    <row r="32" spans="1:61" s="36" customFormat="1" ht="39.950000000000003" customHeight="1">
      <c r="A32" s="145">
        <v>44067</v>
      </c>
      <c r="B32" s="35"/>
      <c r="C32" s="83">
        <v>5431244</v>
      </c>
      <c r="D32" s="104">
        <f t="shared" ref="D32" si="462">(+C32-+C31)*48</f>
        <v>93600</v>
      </c>
      <c r="E32" s="38">
        <f t="shared" si="7"/>
        <v>56160</v>
      </c>
      <c r="F32" s="104">
        <f t="shared" si="8"/>
        <v>37440</v>
      </c>
      <c r="G32" s="83">
        <v>273761</v>
      </c>
      <c r="H32" s="38">
        <f t="shared" si="0"/>
        <v>816</v>
      </c>
      <c r="I32" s="83">
        <v>78820</v>
      </c>
      <c r="J32" s="38">
        <f t="shared" si="1"/>
        <v>7920</v>
      </c>
      <c r="K32" s="83">
        <v>254272</v>
      </c>
      <c r="L32" s="38">
        <f t="shared" si="2"/>
        <v>144</v>
      </c>
      <c r="M32" s="83">
        <v>24364</v>
      </c>
      <c r="N32" s="38">
        <f t="shared" si="3"/>
        <v>0</v>
      </c>
      <c r="O32" s="83">
        <v>213922</v>
      </c>
      <c r="P32" s="38">
        <f t="shared" ref="P32" si="463">(+O32-+O31)*48</f>
        <v>7536</v>
      </c>
      <c r="Q32" s="83">
        <v>431231</v>
      </c>
      <c r="R32" s="104">
        <f t="shared" ref="R32" si="464">(+Q32-+Q31)*48</f>
        <v>4176</v>
      </c>
      <c r="S32" s="83">
        <v>690028</v>
      </c>
      <c r="T32" s="104">
        <f t="shared" ref="T32" si="465">(+S32-+S31)*48</f>
        <v>6384</v>
      </c>
      <c r="U32" s="83">
        <v>94087.203999999998</v>
      </c>
      <c r="V32" s="104">
        <f t="shared" ref="V32" si="466">(+U32-+U31)*48</f>
        <v>959.9039999996312</v>
      </c>
      <c r="W32" s="83">
        <v>77233</v>
      </c>
      <c r="X32" s="104">
        <f t="shared" ref="X32" si="467">(+W32-+W31)*48</f>
        <v>96</v>
      </c>
      <c r="Y32" s="83">
        <v>1474042</v>
      </c>
      <c r="Z32" s="104">
        <f t="shared" ref="Z32" si="468">(+Y32-+Y31)*48</f>
        <v>0</v>
      </c>
      <c r="AA32" s="83">
        <v>13166</v>
      </c>
      <c r="AB32" s="104">
        <f t="shared" ref="AB32" si="469">(+AA32-+AA31)*48</f>
        <v>0</v>
      </c>
      <c r="AC32" s="83">
        <v>428115</v>
      </c>
      <c r="AD32" s="104">
        <f t="shared" si="16"/>
        <v>4224</v>
      </c>
      <c r="AE32" s="83">
        <v>505241</v>
      </c>
      <c r="AF32" s="104">
        <f t="shared" si="16"/>
        <v>4464</v>
      </c>
      <c r="AG32" s="83">
        <v>48615</v>
      </c>
      <c r="AH32" s="104">
        <f t="shared" ref="AH32" si="470">(+AG32-+AG31)*48</f>
        <v>192</v>
      </c>
      <c r="AI32" s="83">
        <v>388079</v>
      </c>
      <c r="AJ32" s="104">
        <f t="shared" ref="AJ32" si="471">(+AI32-+AI31)*48</f>
        <v>4704</v>
      </c>
      <c r="AK32" s="83">
        <v>102371</v>
      </c>
      <c r="AL32" s="104">
        <f t="shared" ref="AL32" si="472">(+AK32-+AK31)*48</f>
        <v>0</v>
      </c>
      <c r="AM32" s="83">
        <v>551138</v>
      </c>
      <c r="AN32" s="104">
        <f t="shared" ref="AN32" si="473">(+AM32-+AM31)*48</f>
        <v>4752</v>
      </c>
      <c r="AO32" s="83">
        <v>884590</v>
      </c>
      <c r="AP32" s="104">
        <f t="shared" ref="AP32" si="474">(+AO32-+AO31)*48</f>
        <v>8352</v>
      </c>
      <c r="AQ32" s="83">
        <v>65500</v>
      </c>
      <c r="AR32" s="104">
        <f t="shared" ref="AR32" si="475">(+AQ32-+AQ31)*48</f>
        <v>0</v>
      </c>
      <c r="AS32" s="83">
        <v>2204</v>
      </c>
      <c r="AT32" s="104">
        <f t="shared" ref="AT32" si="476">(+AS32-+AS31)*48</f>
        <v>0</v>
      </c>
      <c r="AU32" s="83">
        <v>918</v>
      </c>
      <c r="AV32" s="104">
        <f t="shared" ref="AV32" si="477">(+AU32-+AU31)*48</f>
        <v>0</v>
      </c>
      <c r="AW32" s="78">
        <v>3108</v>
      </c>
      <c r="AX32" s="104">
        <f t="shared" ref="AX32" si="478">(+AW32-+AW31)*48</f>
        <v>0</v>
      </c>
      <c r="AY32" s="83">
        <v>296319</v>
      </c>
      <c r="AZ32" s="104">
        <f t="shared" ref="AZ32" si="479">(+AY32-+AY31)*48</f>
        <v>2976</v>
      </c>
      <c r="BA32" s="83">
        <v>160167</v>
      </c>
      <c r="BB32" s="104">
        <f t="shared" ref="BB32" si="480">(+BA32-+BA31)*48</f>
        <v>0</v>
      </c>
      <c r="BC32" s="83">
        <v>202912</v>
      </c>
      <c r="BD32" s="104">
        <f t="shared" ref="BD32" si="481">(+BC32-+BC31)*48</f>
        <v>2208</v>
      </c>
      <c r="BE32" s="83">
        <v>5347</v>
      </c>
      <c r="BF32" s="104">
        <f t="shared" ref="BF32" si="482">(+BE32-+BE31)*48</f>
        <v>0</v>
      </c>
      <c r="BH32" s="105">
        <f t="shared" si="4"/>
        <v>97775.903999999631</v>
      </c>
      <c r="BI32" s="105">
        <f t="shared" si="5"/>
        <v>55728</v>
      </c>
    </row>
    <row r="33" spans="1:61" s="36" customFormat="1" ht="39.950000000000003" customHeight="1">
      <c r="A33" s="145">
        <v>44068</v>
      </c>
      <c r="B33" s="35"/>
      <c r="C33" s="78">
        <v>5433175</v>
      </c>
      <c r="D33" s="104">
        <f t="shared" ref="D33" si="483">(+C33-+C32)*48</f>
        <v>92688</v>
      </c>
      <c r="E33" s="38">
        <f t="shared" si="7"/>
        <v>55612.799999999996</v>
      </c>
      <c r="F33" s="104">
        <f t="shared" si="8"/>
        <v>37075.200000000004</v>
      </c>
      <c r="G33" s="78">
        <v>273778</v>
      </c>
      <c r="H33" s="104">
        <f t="shared" si="0"/>
        <v>960</v>
      </c>
      <c r="I33" s="78">
        <v>78985</v>
      </c>
      <c r="J33" s="38">
        <f t="shared" si="1"/>
        <v>8640</v>
      </c>
      <c r="K33" s="78">
        <v>254275</v>
      </c>
      <c r="L33" s="104">
        <f t="shared" si="2"/>
        <v>192</v>
      </c>
      <c r="M33" s="78">
        <v>24364</v>
      </c>
      <c r="N33" s="38">
        <f t="shared" si="3"/>
        <v>0</v>
      </c>
      <c r="O33" s="78">
        <v>214059</v>
      </c>
      <c r="P33" s="38">
        <f t="shared" ref="P33" si="484">(+O33-+O32)*48</f>
        <v>6576</v>
      </c>
      <c r="Q33" s="78">
        <v>431319</v>
      </c>
      <c r="R33" s="104">
        <f t="shared" ref="R33" si="485">(+Q33-+Q32)*48</f>
        <v>4224</v>
      </c>
      <c r="S33" s="78">
        <v>690133</v>
      </c>
      <c r="T33" s="104">
        <f t="shared" ref="T33" si="486">(+S33-+S32)*48</f>
        <v>5040</v>
      </c>
      <c r="U33" s="83">
        <v>94102.604999999996</v>
      </c>
      <c r="V33" s="104">
        <f t="shared" ref="V33" si="487">(+U33-+U32)*48</f>
        <v>739.24799999990501</v>
      </c>
      <c r="W33" s="78">
        <v>77231</v>
      </c>
      <c r="X33" s="104">
        <f t="shared" ref="X33" si="488">(+W33-+W32)*48</f>
        <v>-96</v>
      </c>
      <c r="Y33" s="78">
        <v>1474042</v>
      </c>
      <c r="Z33" s="104">
        <f t="shared" ref="Z33" si="489">(+Y33-+Y32)*48</f>
        <v>0</v>
      </c>
      <c r="AA33" s="78">
        <v>13166</v>
      </c>
      <c r="AB33" s="104">
        <f t="shared" ref="AB33" si="490">(+AA33-+AA32)*48</f>
        <v>0</v>
      </c>
      <c r="AC33" s="78">
        <v>428201</v>
      </c>
      <c r="AD33" s="104">
        <f t="shared" si="16"/>
        <v>4128</v>
      </c>
      <c r="AE33" s="78">
        <v>505337</v>
      </c>
      <c r="AF33" s="104">
        <f t="shared" si="16"/>
        <v>4608</v>
      </c>
      <c r="AG33" s="78">
        <v>48618</v>
      </c>
      <c r="AH33" s="104">
        <f t="shared" ref="AH33" si="491">(+AG33-+AG32)*48</f>
        <v>144</v>
      </c>
      <c r="AI33" s="78">
        <v>388158</v>
      </c>
      <c r="AJ33" s="104">
        <f t="shared" ref="AJ33" si="492">(+AI33-+AI32)*48</f>
        <v>3792</v>
      </c>
      <c r="AK33" s="78">
        <v>102371</v>
      </c>
      <c r="AL33" s="104">
        <f t="shared" ref="AL33" si="493">(+AK33-+AK32)*48</f>
        <v>0</v>
      </c>
      <c r="AM33" s="78">
        <v>551237</v>
      </c>
      <c r="AN33" s="104">
        <f t="shared" ref="AN33" si="494">(+AM33-+AM32)*48</f>
        <v>4752</v>
      </c>
      <c r="AO33" s="78">
        <v>884769</v>
      </c>
      <c r="AP33" s="104">
        <f t="shared" ref="AP33" si="495">(+AO33-+AO32)*48</f>
        <v>8592</v>
      </c>
      <c r="AQ33" s="78">
        <v>65500</v>
      </c>
      <c r="AR33" s="104">
        <f t="shared" ref="AR33" si="496">(+AQ33-+AQ32)*48</f>
        <v>0</v>
      </c>
      <c r="AS33" s="78">
        <v>2204</v>
      </c>
      <c r="AT33" s="104">
        <f t="shared" ref="AT33" si="497">(+AS33-+AS32)*48</f>
        <v>0</v>
      </c>
      <c r="AU33" s="78">
        <v>918</v>
      </c>
      <c r="AV33" s="104">
        <f t="shared" ref="AV33" si="498">(+AU33-+AU32)*48</f>
        <v>0</v>
      </c>
      <c r="AW33" s="78">
        <v>3108</v>
      </c>
      <c r="AX33" s="104">
        <f t="shared" ref="AX33" si="499">(+AW33-+AW32)*48</f>
        <v>0</v>
      </c>
      <c r="AY33" s="78">
        <v>296388</v>
      </c>
      <c r="AZ33" s="104">
        <f t="shared" ref="AZ33" si="500">(+AY33-+AY32)*48</f>
        <v>3312</v>
      </c>
      <c r="BA33" s="78">
        <v>160167</v>
      </c>
      <c r="BB33" s="104">
        <f t="shared" ref="BB33" si="501">(+BA33-+BA32)*48</f>
        <v>0</v>
      </c>
      <c r="BC33" s="78">
        <v>202959</v>
      </c>
      <c r="BD33" s="104">
        <f t="shared" ref="BD33" si="502">(+BC33-+BC32)*48</f>
        <v>2256</v>
      </c>
      <c r="BE33" s="78">
        <v>5347</v>
      </c>
      <c r="BF33" s="104">
        <f t="shared" ref="BF33" si="503">(+BE33-+BE32)*48</f>
        <v>0</v>
      </c>
      <c r="BH33" s="105">
        <f t="shared" si="4"/>
        <v>94560.047999999893</v>
      </c>
      <c r="BI33" s="105">
        <f t="shared" si="5"/>
        <v>55987.200000000004</v>
      </c>
    </row>
    <row r="34" spans="1:61" s="36" customFormat="1" ht="39.950000000000003" customHeight="1">
      <c r="A34" s="145">
        <v>44069</v>
      </c>
      <c r="B34" s="35"/>
      <c r="C34" s="78">
        <v>5434937</v>
      </c>
      <c r="D34" s="104">
        <f t="shared" ref="D34" si="504">(+C34-+C33)*48</f>
        <v>84576</v>
      </c>
      <c r="E34" s="38">
        <f t="shared" si="7"/>
        <v>50745.599999999999</v>
      </c>
      <c r="F34" s="104">
        <f t="shared" si="8"/>
        <v>33830.400000000001</v>
      </c>
      <c r="G34" s="78">
        <v>273798</v>
      </c>
      <c r="H34" s="104">
        <f t="shared" si="0"/>
        <v>912</v>
      </c>
      <c r="I34" s="78">
        <v>79165</v>
      </c>
      <c r="J34" s="38">
        <f t="shared" si="1"/>
        <v>8208</v>
      </c>
      <c r="K34" s="78">
        <v>254279</v>
      </c>
      <c r="L34" s="104">
        <f t="shared" si="2"/>
        <v>48</v>
      </c>
      <c r="M34" s="78">
        <v>24364</v>
      </c>
      <c r="N34" s="38">
        <f t="shared" si="3"/>
        <v>0</v>
      </c>
      <c r="O34" s="78">
        <v>214217</v>
      </c>
      <c r="P34" s="38">
        <f t="shared" ref="P34" si="505">(+O34-+O33)*48</f>
        <v>7584</v>
      </c>
      <c r="Q34" s="78">
        <v>431404</v>
      </c>
      <c r="R34" s="104">
        <f t="shared" ref="R34" si="506">(+Q34-+Q33)*48</f>
        <v>4080</v>
      </c>
      <c r="S34" s="78">
        <v>690252</v>
      </c>
      <c r="T34" s="104">
        <f t="shared" ref="T34" si="507">(+S34-+S33)*48</f>
        <v>5712</v>
      </c>
      <c r="U34" s="83">
        <v>94116.835999999996</v>
      </c>
      <c r="V34" s="104">
        <f t="shared" ref="V34" si="508">(+U34-+U33)*48</f>
        <v>683.08799999998882</v>
      </c>
      <c r="W34" s="78">
        <v>77239</v>
      </c>
      <c r="X34" s="104">
        <f t="shared" ref="X34" si="509">(+W34-+W33)*48</f>
        <v>384</v>
      </c>
      <c r="Y34" s="78">
        <v>1474042</v>
      </c>
      <c r="Z34" s="104">
        <f t="shared" ref="Z34" si="510">(+Y34-+Y33)*48</f>
        <v>0</v>
      </c>
      <c r="AA34" s="78">
        <v>13166</v>
      </c>
      <c r="AB34" s="104">
        <f t="shared" ref="AB34" si="511">(+AA34-+AA33)*48</f>
        <v>0</v>
      </c>
      <c r="AC34" s="78">
        <v>428290</v>
      </c>
      <c r="AD34" s="104">
        <f t="shared" si="16"/>
        <v>4272</v>
      </c>
      <c r="AE34" s="78">
        <v>505435</v>
      </c>
      <c r="AF34" s="104">
        <f t="shared" si="16"/>
        <v>4704</v>
      </c>
      <c r="AG34" s="78">
        <v>48622</v>
      </c>
      <c r="AH34" s="104">
        <f t="shared" ref="AH34" si="512">(+AG34-+AG33)*48</f>
        <v>192</v>
      </c>
      <c r="AI34" s="78">
        <v>388227</v>
      </c>
      <c r="AJ34" s="104">
        <f t="shared" ref="AJ34" si="513">(+AI34-+AI33)*48</f>
        <v>3312</v>
      </c>
      <c r="AK34" s="78">
        <v>102371</v>
      </c>
      <c r="AL34" s="104">
        <f t="shared" ref="AL34" si="514">(+AK34-+AK33)*48</f>
        <v>0</v>
      </c>
      <c r="AM34" s="78">
        <v>551338</v>
      </c>
      <c r="AN34" s="104">
        <f t="shared" ref="AN34" si="515">(+AM34-+AM33)*48</f>
        <v>4848</v>
      </c>
      <c r="AO34" s="78">
        <v>884946</v>
      </c>
      <c r="AP34" s="104">
        <f t="shared" ref="AP34" si="516">(+AO34-+AO33)*48</f>
        <v>8496</v>
      </c>
      <c r="AQ34" s="78">
        <v>65500</v>
      </c>
      <c r="AR34" s="104">
        <f t="shared" ref="AR34" si="517">(+AQ34-+AQ33)*48</f>
        <v>0</v>
      </c>
      <c r="AS34" s="78">
        <v>2204</v>
      </c>
      <c r="AT34" s="104">
        <f t="shared" ref="AT34" si="518">(+AS34-+AS33)*48</f>
        <v>0</v>
      </c>
      <c r="AU34" s="78">
        <v>918</v>
      </c>
      <c r="AV34" s="104">
        <f t="shared" ref="AV34" si="519">(+AU34-+AU33)*48</f>
        <v>0</v>
      </c>
      <c r="AW34" s="78">
        <v>3108</v>
      </c>
      <c r="AX34" s="104">
        <f t="shared" ref="AX34" si="520">(+AW34-+AW33)*48</f>
        <v>0</v>
      </c>
      <c r="AY34" s="78">
        <v>296455</v>
      </c>
      <c r="AZ34" s="104">
        <f t="shared" ref="AZ34" si="521">(+AY34-+AY33)*48</f>
        <v>3216</v>
      </c>
      <c r="BA34" s="78">
        <v>160167</v>
      </c>
      <c r="BB34" s="104">
        <f t="shared" ref="BB34" si="522">(+BA34-+BA33)*48</f>
        <v>0</v>
      </c>
      <c r="BC34" s="78">
        <v>203007</v>
      </c>
      <c r="BD34" s="104">
        <f t="shared" ref="BD34" si="523">(+BC34-+BC33)*48</f>
        <v>2304</v>
      </c>
      <c r="BE34" s="78">
        <v>5347</v>
      </c>
      <c r="BF34" s="104">
        <f t="shared" ref="BF34" si="524">(+BE34-+BE33)*48</f>
        <v>0</v>
      </c>
      <c r="BH34" s="105">
        <f t="shared" si="4"/>
        <v>90836.687999999995</v>
      </c>
      <c r="BI34" s="105">
        <f t="shared" si="5"/>
        <v>52694.400000000001</v>
      </c>
    </row>
    <row r="35" spans="1:61" s="36" customFormat="1" ht="39.950000000000003" customHeight="1">
      <c r="A35" s="145">
        <v>44070</v>
      </c>
      <c r="B35" s="35"/>
      <c r="C35" s="78">
        <v>5436850</v>
      </c>
      <c r="D35" s="104">
        <f t="shared" ref="D35" si="525">(+C35-+C34)*48</f>
        <v>91824</v>
      </c>
      <c r="E35" s="38">
        <f t="shared" si="7"/>
        <v>55094.400000000001</v>
      </c>
      <c r="F35" s="104">
        <f t="shared" si="8"/>
        <v>36729.599999999999</v>
      </c>
      <c r="G35" s="78">
        <v>273817</v>
      </c>
      <c r="H35" s="104">
        <f t="shared" si="0"/>
        <v>1200</v>
      </c>
      <c r="I35" s="78">
        <v>79336</v>
      </c>
      <c r="J35" s="38">
        <f t="shared" si="1"/>
        <v>7632</v>
      </c>
      <c r="K35" s="78">
        <v>254280</v>
      </c>
      <c r="L35" s="104">
        <f t="shared" si="2"/>
        <v>48</v>
      </c>
      <c r="M35" s="78">
        <v>24364</v>
      </c>
      <c r="N35" s="38">
        <f t="shared" si="3"/>
        <v>0</v>
      </c>
      <c r="O35" s="78">
        <v>214351</v>
      </c>
      <c r="P35" s="38">
        <f t="shared" ref="P35" si="526">(+O35-+O34)*48</f>
        <v>6432</v>
      </c>
      <c r="Q35" s="78">
        <v>431495</v>
      </c>
      <c r="R35" s="104">
        <f t="shared" ref="R35" si="527">(+Q35-+Q34)*48</f>
        <v>4368</v>
      </c>
      <c r="S35" s="78">
        <v>690369</v>
      </c>
      <c r="T35" s="104">
        <f t="shared" ref="T35" si="528">(+S35-+S34)*48</f>
        <v>5616</v>
      </c>
      <c r="U35" s="83">
        <v>94132.153000000006</v>
      </c>
      <c r="V35" s="104">
        <f t="shared" ref="V35" si="529">(+U35-+U34)*48</f>
        <v>735.21600000048056</v>
      </c>
      <c r="W35" s="78">
        <v>77241</v>
      </c>
      <c r="X35" s="104">
        <f t="shared" ref="X35" si="530">(+W35-+W34)*48</f>
        <v>96</v>
      </c>
      <c r="Y35" s="78">
        <v>1474042</v>
      </c>
      <c r="Z35" s="104">
        <f t="shared" ref="Z35" si="531">(+Y35-+Y34)*48</f>
        <v>0</v>
      </c>
      <c r="AA35" s="78">
        <v>13166</v>
      </c>
      <c r="AB35" s="104">
        <f t="shared" ref="AB35" si="532">(+AA35-+AA34)*48</f>
        <v>0</v>
      </c>
      <c r="AC35" s="78">
        <v>428378</v>
      </c>
      <c r="AD35" s="104">
        <f t="shared" si="16"/>
        <v>4224</v>
      </c>
      <c r="AE35" s="78">
        <v>505532</v>
      </c>
      <c r="AF35" s="104">
        <f t="shared" si="16"/>
        <v>4656</v>
      </c>
      <c r="AG35" s="78">
        <v>48625</v>
      </c>
      <c r="AH35" s="104">
        <f t="shared" ref="AH35" si="533">(+AG35-+AG34)*48</f>
        <v>144</v>
      </c>
      <c r="AI35" s="78">
        <v>388295</v>
      </c>
      <c r="AJ35" s="104">
        <f t="shared" ref="AJ35" si="534">(+AI35-+AI34)*48</f>
        <v>3264</v>
      </c>
      <c r="AK35" s="78">
        <v>102371</v>
      </c>
      <c r="AL35" s="104">
        <f t="shared" ref="AL35" si="535">(+AK35-+AK34)*48</f>
        <v>0</v>
      </c>
      <c r="AM35" s="78">
        <v>551446</v>
      </c>
      <c r="AN35" s="104">
        <f t="shared" ref="AN35" si="536">(+AM35-+AM34)*48</f>
        <v>5184</v>
      </c>
      <c r="AO35" s="78">
        <v>885125</v>
      </c>
      <c r="AP35" s="104">
        <f t="shared" ref="AP35" si="537">(+AO35-+AO34)*48</f>
        <v>8592</v>
      </c>
      <c r="AQ35" s="78">
        <v>65500</v>
      </c>
      <c r="AR35" s="104">
        <f t="shared" ref="AR35" si="538">(+AQ35-+AQ34)*48</f>
        <v>0</v>
      </c>
      <c r="AS35" s="78">
        <v>2204</v>
      </c>
      <c r="AT35" s="104">
        <f t="shared" ref="AT35" si="539">(+AS35-+AS34)*48</f>
        <v>0</v>
      </c>
      <c r="AU35" s="78">
        <v>918</v>
      </c>
      <c r="AV35" s="104">
        <f t="shared" ref="AV35" si="540">(+AU35-+AU34)*48</f>
        <v>0</v>
      </c>
      <c r="AW35" s="78">
        <v>3108</v>
      </c>
      <c r="AX35" s="104">
        <f t="shared" ref="AX35" si="541">(+AW35-+AW34)*48</f>
        <v>0</v>
      </c>
      <c r="AY35" s="78">
        <v>296521</v>
      </c>
      <c r="AZ35" s="104">
        <f t="shared" ref="AZ35" si="542">(+AY35-+AY34)*48</f>
        <v>3168</v>
      </c>
      <c r="BA35" s="78">
        <v>160167</v>
      </c>
      <c r="BB35" s="104">
        <f t="shared" ref="BB35" si="543">(+BA35-+BA34)*48</f>
        <v>0</v>
      </c>
      <c r="BC35" s="78">
        <v>203055</v>
      </c>
      <c r="BD35" s="104">
        <f t="shared" ref="BD35" si="544">(+BC35-+BC34)*48</f>
        <v>2304</v>
      </c>
      <c r="BE35" s="78">
        <v>5347</v>
      </c>
      <c r="BF35" s="104">
        <f t="shared" ref="BF35" si="545">(+BE35-+BE34)*48</f>
        <v>0</v>
      </c>
      <c r="BH35" s="105">
        <f t="shared" si="4"/>
        <v>93509.616000000475</v>
      </c>
      <c r="BI35" s="105">
        <f t="shared" si="5"/>
        <v>55977.599999999999</v>
      </c>
    </row>
    <row r="36" spans="1:61" s="36" customFormat="1" ht="39.950000000000003" customHeight="1">
      <c r="A36" s="145">
        <v>44071</v>
      </c>
      <c r="B36" s="35"/>
      <c r="C36" s="83">
        <v>5438587</v>
      </c>
      <c r="D36" s="104">
        <f t="shared" ref="D36" si="546">(+C36-+C35)*48</f>
        <v>83376</v>
      </c>
      <c r="E36" s="38">
        <f t="shared" si="7"/>
        <v>50025.599999999999</v>
      </c>
      <c r="F36" s="104">
        <f t="shared" si="8"/>
        <v>33350.400000000001</v>
      </c>
      <c r="G36" s="83">
        <v>273842</v>
      </c>
      <c r="H36" s="104">
        <f t="shared" si="0"/>
        <v>1296</v>
      </c>
      <c r="I36" s="83">
        <v>79495</v>
      </c>
      <c r="J36" s="38">
        <f t="shared" si="1"/>
        <v>8688</v>
      </c>
      <c r="K36" s="83">
        <v>254281</v>
      </c>
      <c r="L36" s="104">
        <f t="shared" si="2"/>
        <v>96</v>
      </c>
      <c r="M36" s="83">
        <v>24364</v>
      </c>
      <c r="N36" s="38">
        <f t="shared" si="3"/>
        <v>0</v>
      </c>
      <c r="O36" s="83">
        <v>214522</v>
      </c>
      <c r="P36" s="38">
        <f t="shared" ref="P36:P38" si="547">(+O36-+O35)*48</f>
        <v>8208</v>
      </c>
      <c r="Q36" s="83">
        <v>431591</v>
      </c>
      <c r="R36" s="104">
        <f t="shared" ref="R36:R38" si="548">(+Q36-+Q35)*48</f>
        <v>4608</v>
      </c>
      <c r="S36" s="83">
        <v>690500</v>
      </c>
      <c r="T36" s="104">
        <f t="shared" ref="T36:T38" si="549">(+S36-+S35)*48</f>
        <v>6288</v>
      </c>
      <c r="U36" s="83">
        <v>94147.501999999993</v>
      </c>
      <c r="V36" s="104">
        <f t="shared" ref="V36:V38" si="550">(+U36-+U35)*48</f>
        <v>736.7519999993965</v>
      </c>
      <c r="W36" s="83">
        <v>77245</v>
      </c>
      <c r="X36" s="104">
        <f t="shared" ref="X36:X38" si="551">(+W36-+W35)*48</f>
        <v>192</v>
      </c>
      <c r="Y36" s="83">
        <v>1474042</v>
      </c>
      <c r="Z36" s="104">
        <f t="shared" ref="Z36:Z38" si="552">(+Y36-+Y35)*48</f>
        <v>0</v>
      </c>
      <c r="AA36" s="83">
        <v>13166</v>
      </c>
      <c r="AB36" s="104">
        <f t="shared" ref="AB36:AB38" si="553">(+AA36-+AA35)*48</f>
        <v>0</v>
      </c>
      <c r="AC36" s="83">
        <v>428468</v>
      </c>
      <c r="AD36" s="104">
        <f t="shared" si="16"/>
        <v>4320</v>
      </c>
      <c r="AE36" s="83">
        <v>505627</v>
      </c>
      <c r="AF36" s="104">
        <f t="shared" si="16"/>
        <v>4560</v>
      </c>
      <c r="AG36" s="83">
        <v>48628</v>
      </c>
      <c r="AH36" s="104">
        <f t="shared" ref="AH36:AH38" si="554">(+AG36-+AG35)*48</f>
        <v>144</v>
      </c>
      <c r="AI36" s="83">
        <v>388364</v>
      </c>
      <c r="AJ36" s="104">
        <f t="shared" ref="AJ36:AJ38" si="555">(+AI36-+AI35)*48</f>
        <v>3312</v>
      </c>
      <c r="AK36" s="83">
        <v>102371</v>
      </c>
      <c r="AL36" s="104">
        <f t="shared" ref="AL36:AL38" si="556">(+AK36-+AK35)*48</f>
        <v>0</v>
      </c>
      <c r="AM36" s="83">
        <v>551560</v>
      </c>
      <c r="AN36" s="104">
        <f t="shared" ref="AN36:AN38" si="557">(+AM36-+AM35)*48</f>
        <v>5472</v>
      </c>
      <c r="AO36" s="83">
        <v>885310</v>
      </c>
      <c r="AP36" s="104">
        <f t="shared" ref="AP36:AP38" si="558">(+AO36-+AO35)*48</f>
        <v>8880</v>
      </c>
      <c r="AQ36" s="83">
        <v>65500</v>
      </c>
      <c r="AR36" s="104">
        <f t="shared" ref="AR36:AR38" si="559">(+AQ36-+AQ35)*48</f>
        <v>0</v>
      </c>
      <c r="AS36" s="83">
        <v>2204</v>
      </c>
      <c r="AT36" s="104">
        <f t="shared" ref="AT36:AT38" si="560">(+AS36-+AS35)*48</f>
        <v>0</v>
      </c>
      <c r="AU36" s="83">
        <v>918</v>
      </c>
      <c r="AV36" s="104">
        <f t="shared" ref="AV36:AV38" si="561">(+AU36-+AU35)*48</f>
        <v>0</v>
      </c>
      <c r="AW36" s="78">
        <v>3108</v>
      </c>
      <c r="AX36" s="104">
        <f t="shared" ref="AX36:AX38" si="562">(+AW36-+AW35)*48</f>
        <v>0</v>
      </c>
      <c r="AY36" s="83">
        <v>296590</v>
      </c>
      <c r="AZ36" s="104">
        <f t="shared" ref="AZ36:AZ38" si="563">(+AY36-+AY35)*48</f>
        <v>3312</v>
      </c>
      <c r="BA36" s="83">
        <v>160167</v>
      </c>
      <c r="BB36" s="104">
        <f t="shared" ref="BB36:BB38" si="564">(+BA36-+BA35)*48</f>
        <v>0</v>
      </c>
      <c r="BC36" s="83">
        <v>203106</v>
      </c>
      <c r="BD36" s="104">
        <f t="shared" ref="BD36:BD38" si="565">(+BC36-+BC35)*48</f>
        <v>2448</v>
      </c>
      <c r="BE36" s="83">
        <v>5347</v>
      </c>
      <c r="BF36" s="104">
        <f t="shared" ref="H36:BF39" si="566">(+BE36-+BE35)*48</f>
        <v>0</v>
      </c>
      <c r="BH36" s="105">
        <f t="shared" si="4"/>
        <v>92474.351999999402</v>
      </c>
      <c r="BI36" s="105">
        <f t="shared" si="5"/>
        <v>53462.400000000001</v>
      </c>
    </row>
    <row r="37" spans="1:61" s="36" customFormat="1" ht="39.950000000000003" customHeight="1">
      <c r="A37" s="145">
        <v>44072</v>
      </c>
      <c r="B37" s="35"/>
      <c r="C37" s="83">
        <v>5440612</v>
      </c>
      <c r="D37" s="104">
        <f t="shared" ref="D37:D38" si="567">(+C37-+C36)*48</f>
        <v>97200</v>
      </c>
      <c r="E37" s="38">
        <f t="shared" si="7"/>
        <v>58320</v>
      </c>
      <c r="F37" s="104">
        <f t="shared" ref="F37:F38" si="568">D37*0.4</f>
        <v>38880</v>
      </c>
      <c r="G37" s="83">
        <v>273869</v>
      </c>
      <c r="H37" s="104">
        <f t="shared" si="0"/>
        <v>1584</v>
      </c>
      <c r="I37" s="83">
        <v>79676</v>
      </c>
      <c r="J37" s="38">
        <f t="shared" si="1"/>
        <v>7920</v>
      </c>
      <c r="K37" s="83">
        <v>254283</v>
      </c>
      <c r="L37" s="104">
        <f t="shared" si="2"/>
        <v>48</v>
      </c>
      <c r="M37" s="83">
        <v>24364</v>
      </c>
      <c r="N37" s="38">
        <f t="shared" si="3"/>
        <v>0</v>
      </c>
      <c r="O37" s="83">
        <v>214696</v>
      </c>
      <c r="P37" s="38">
        <f t="shared" si="547"/>
        <v>8352</v>
      </c>
      <c r="Q37" s="83">
        <v>431688</v>
      </c>
      <c r="R37" s="104">
        <f t="shared" si="548"/>
        <v>4656</v>
      </c>
      <c r="S37" s="83">
        <v>690627</v>
      </c>
      <c r="T37" s="104">
        <f t="shared" si="549"/>
        <v>6096</v>
      </c>
      <c r="U37" s="83">
        <v>94163.231</v>
      </c>
      <c r="V37" s="104">
        <f t="shared" si="550"/>
        <v>754.99200000031851</v>
      </c>
      <c r="W37" s="83">
        <v>77249</v>
      </c>
      <c r="X37" s="104">
        <f t="shared" si="551"/>
        <v>192</v>
      </c>
      <c r="Y37" s="83">
        <v>1474042</v>
      </c>
      <c r="Z37" s="104">
        <f t="shared" si="552"/>
        <v>0</v>
      </c>
      <c r="AA37" s="83">
        <v>13166</v>
      </c>
      <c r="AB37" s="104">
        <f t="shared" si="553"/>
        <v>0</v>
      </c>
      <c r="AC37" s="83">
        <v>428558</v>
      </c>
      <c r="AD37" s="104">
        <f t="shared" si="16"/>
        <v>4320</v>
      </c>
      <c r="AE37" s="83">
        <v>505727</v>
      </c>
      <c r="AF37" s="104">
        <f t="shared" si="16"/>
        <v>4800</v>
      </c>
      <c r="AG37" s="83">
        <v>48632</v>
      </c>
      <c r="AH37" s="104">
        <f t="shared" si="554"/>
        <v>192</v>
      </c>
      <c r="AI37" s="83">
        <v>388438</v>
      </c>
      <c r="AJ37" s="104">
        <f t="shared" si="555"/>
        <v>3552</v>
      </c>
      <c r="AK37" s="83">
        <v>102371</v>
      </c>
      <c r="AL37" s="104">
        <f t="shared" si="556"/>
        <v>0</v>
      </c>
      <c r="AM37" s="83">
        <v>551665</v>
      </c>
      <c r="AN37" s="104">
        <f t="shared" si="557"/>
        <v>5040</v>
      </c>
      <c r="AO37" s="83">
        <v>885485</v>
      </c>
      <c r="AP37" s="104">
        <f t="shared" si="558"/>
        <v>8400</v>
      </c>
      <c r="AQ37" s="83">
        <v>65500</v>
      </c>
      <c r="AR37" s="104">
        <f t="shared" si="559"/>
        <v>0</v>
      </c>
      <c r="AS37" s="83">
        <v>2204</v>
      </c>
      <c r="AT37" s="104">
        <f t="shared" si="560"/>
        <v>0</v>
      </c>
      <c r="AU37" s="83">
        <v>918</v>
      </c>
      <c r="AV37" s="104">
        <f t="shared" si="561"/>
        <v>0</v>
      </c>
      <c r="AW37" s="78">
        <v>3108</v>
      </c>
      <c r="AX37" s="104">
        <f t="shared" si="562"/>
        <v>0</v>
      </c>
      <c r="AY37" s="83">
        <v>296652</v>
      </c>
      <c r="AZ37" s="104">
        <f t="shared" si="563"/>
        <v>2976</v>
      </c>
      <c r="BA37" s="83">
        <v>160167</v>
      </c>
      <c r="BB37" s="104">
        <f t="shared" si="564"/>
        <v>0</v>
      </c>
      <c r="BC37" s="83">
        <v>203154</v>
      </c>
      <c r="BD37" s="104">
        <f t="shared" si="565"/>
        <v>2304</v>
      </c>
      <c r="BE37" s="83">
        <v>5347</v>
      </c>
      <c r="BF37" s="104">
        <f t="shared" si="566"/>
        <v>0</v>
      </c>
      <c r="BH37" s="105">
        <f t="shared" ref="BH37:BH38" si="569">SUM(E37,J37,P37,H37,L37,R37,T37,V37,X37,N37,AB37,Z37,AD37,AF37,AH37,AL37,AJ37)</f>
        <v>100786.99200000032</v>
      </c>
      <c r="BI37" s="105">
        <f t="shared" ref="BI37:BI38" si="570">SUM(F37,AN37,AP37,AT37,AV37,AX37,AR37,AZ37,BB37,BD37,BF37)</f>
        <v>57600</v>
      </c>
    </row>
    <row r="38" spans="1:61" s="36" customFormat="1" ht="39.950000000000003" customHeight="1">
      <c r="A38" s="145">
        <v>44073</v>
      </c>
      <c r="B38" s="35"/>
      <c r="C38" s="78">
        <v>5442523</v>
      </c>
      <c r="D38" s="104">
        <f t="shared" si="567"/>
        <v>91728</v>
      </c>
      <c r="E38" s="38">
        <f t="shared" si="7"/>
        <v>55036.799999999996</v>
      </c>
      <c r="F38" s="104">
        <f t="shared" si="568"/>
        <v>36691.200000000004</v>
      </c>
      <c r="G38" s="78">
        <v>273902</v>
      </c>
      <c r="H38" s="104">
        <f t="shared" si="0"/>
        <v>1248</v>
      </c>
      <c r="I38" s="78">
        <v>79841</v>
      </c>
      <c r="J38" s="38">
        <f t="shared" si="1"/>
        <v>8256</v>
      </c>
      <c r="K38" s="78">
        <v>254284</v>
      </c>
      <c r="L38" s="104">
        <f t="shared" si="2"/>
        <v>14592</v>
      </c>
      <c r="M38" s="78">
        <v>24364</v>
      </c>
      <c r="N38" s="38">
        <f t="shared" si="3"/>
        <v>0</v>
      </c>
      <c r="O38" s="78">
        <v>214873</v>
      </c>
      <c r="P38" s="38">
        <f t="shared" si="547"/>
        <v>8496</v>
      </c>
      <c r="Q38" s="78">
        <v>431786</v>
      </c>
      <c r="R38" s="104">
        <f t="shared" si="548"/>
        <v>4704</v>
      </c>
      <c r="S38" s="78">
        <v>690751</v>
      </c>
      <c r="T38" s="104">
        <f t="shared" si="549"/>
        <v>5952</v>
      </c>
      <c r="U38" s="83">
        <v>94182.12</v>
      </c>
      <c r="V38" s="104">
        <f t="shared" si="550"/>
        <v>906.67199999978766</v>
      </c>
      <c r="W38" s="78">
        <v>77254</v>
      </c>
      <c r="X38" s="104">
        <f t="shared" si="551"/>
        <v>240</v>
      </c>
      <c r="Y38" s="78">
        <v>1474042</v>
      </c>
      <c r="Z38" s="104">
        <f t="shared" si="552"/>
        <v>0</v>
      </c>
      <c r="AA38" s="78">
        <v>13166</v>
      </c>
      <c r="AB38" s="104">
        <f t="shared" si="553"/>
        <v>0</v>
      </c>
      <c r="AC38" s="78">
        <v>428643</v>
      </c>
      <c r="AD38" s="104">
        <f t="shared" ref="AD38" si="571">(+AC38-+AC37)*48</f>
        <v>4080</v>
      </c>
      <c r="AE38" s="78">
        <v>505822</v>
      </c>
      <c r="AF38" s="104">
        <f t="shared" ref="AF38" si="572">(+AE38-+AE37)*48</f>
        <v>4560</v>
      </c>
      <c r="AG38" s="78">
        <v>48635</v>
      </c>
      <c r="AH38" s="104">
        <f t="shared" si="554"/>
        <v>144</v>
      </c>
      <c r="AI38" s="78">
        <v>388525</v>
      </c>
      <c r="AJ38" s="104">
        <f t="shared" si="555"/>
        <v>4176</v>
      </c>
      <c r="AK38" s="78">
        <v>102371</v>
      </c>
      <c r="AL38" s="104">
        <f t="shared" si="556"/>
        <v>0</v>
      </c>
      <c r="AM38" s="78">
        <v>551768</v>
      </c>
      <c r="AN38" s="104">
        <f t="shared" si="557"/>
        <v>4944</v>
      </c>
      <c r="AO38" s="78">
        <v>885665</v>
      </c>
      <c r="AP38" s="104">
        <f t="shared" si="558"/>
        <v>8640</v>
      </c>
      <c r="AQ38" s="78">
        <v>65500</v>
      </c>
      <c r="AR38" s="104">
        <f t="shared" si="559"/>
        <v>0</v>
      </c>
      <c r="AS38" s="78">
        <v>2204</v>
      </c>
      <c r="AT38" s="104">
        <f t="shared" si="560"/>
        <v>0</v>
      </c>
      <c r="AU38" s="78">
        <v>918</v>
      </c>
      <c r="AV38" s="104">
        <f t="shared" si="561"/>
        <v>0</v>
      </c>
      <c r="AW38" s="78">
        <v>3108</v>
      </c>
      <c r="AX38" s="104">
        <f t="shared" si="562"/>
        <v>0</v>
      </c>
      <c r="AY38" s="78">
        <v>296719</v>
      </c>
      <c r="AZ38" s="104">
        <f t="shared" si="563"/>
        <v>3216</v>
      </c>
      <c r="BA38" s="78">
        <v>160167</v>
      </c>
      <c r="BB38" s="104">
        <f t="shared" si="564"/>
        <v>0</v>
      </c>
      <c r="BC38" s="78">
        <v>203206</v>
      </c>
      <c r="BD38" s="104">
        <f t="shared" si="565"/>
        <v>2496</v>
      </c>
      <c r="BE38" s="78">
        <v>5347</v>
      </c>
      <c r="BF38" s="104">
        <f t="shared" si="566"/>
        <v>0</v>
      </c>
      <c r="BH38" s="105">
        <f t="shared" si="569"/>
        <v>112391.47199999978</v>
      </c>
      <c r="BI38" s="105">
        <f t="shared" si="570"/>
        <v>55987.200000000004</v>
      </c>
    </row>
    <row r="39" spans="1:61" s="36" customFormat="1" ht="39.950000000000003" customHeight="1">
      <c r="A39" s="145">
        <v>44074</v>
      </c>
      <c r="B39" s="35"/>
      <c r="C39" s="77">
        <v>5444507</v>
      </c>
      <c r="D39" s="104">
        <f t="shared" ref="D39" si="573">(+C39-+C38)*48</f>
        <v>95232</v>
      </c>
      <c r="E39" s="38">
        <f t="shared" ref="E39" si="574">D39*0.6</f>
        <v>57139.199999999997</v>
      </c>
      <c r="F39" s="104">
        <f t="shared" ref="F39" si="575">D39*0.4</f>
        <v>38092.800000000003</v>
      </c>
      <c r="G39" s="77">
        <v>273928</v>
      </c>
      <c r="H39" s="104">
        <f t="shared" si="566"/>
        <v>1248</v>
      </c>
      <c r="I39" s="77">
        <v>80013</v>
      </c>
      <c r="J39" s="104">
        <f t="shared" si="566"/>
        <v>8256</v>
      </c>
      <c r="K39" s="77">
        <v>254588</v>
      </c>
      <c r="L39" s="104">
        <f t="shared" si="566"/>
        <v>14592</v>
      </c>
      <c r="M39" s="77">
        <v>24364</v>
      </c>
      <c r="N39" s="104">
        <f t="shared" si="566"/>
        <v>0</v>
      </c>
      <c r="O39" s="77">
        <v>215057</v>
      </c>
      <c r="P39" s="104">
        <f t="shared" si="566"/>
        <v>8832</v>
      </c>
      <c r="Q39" s="77">
        <v>431876</v>
      </c>
      <c r="R39" s="104">
        <f t="shared" si="566"/>
        <v>4320</v>
      </c>
      <c r="S39" s="77">
        <v>690852</v>
      </c>
      <c r="T39" s="104">
        <f t="shared" si="566"/>
        <v>4848</v>
      </c>
      <c r="U39" s="84">
        <v>94200.292000000001</v>
      </c>
      <c r="V39" s="104">
        <f t="shared" si="566"/>
        <v>872.25600000028498</v>
      </c>
      <c r="W39" s="77">
        <v>77258</v>
      </c>
      <c r="X39" s="104">
        <f t="shared" si="566"/>
        <v>192</v>
      </c>
      <c r="Y39" s="77">
        <v>1474042</v>
      </c>
      <c r="Z39" s="104">
        <f t="shared" si="566"/>
        <v>0</v>
      </c>
      <c r="AA39" s="77">
        <v>13166</v>
      </c>
      <c r="AB39" s="104">
        <f t="shared" si="566"/>
        <v>0</v>
      </c>
      <c r="AC39" s="77">
        <v>428729</v>
      </c>
      <c r="AD39" s="104">
        <f t="shared" si="566"/>
        <v>4128</v>
      </c>
      <c r="AE39" s="77">
        <v>505916</v>
      </c>
      <c r="AF39" s="104">
        <f t="shared" si="566"/>
        <v>4512</v>
      </c>
      <c r="AG39" s="77">
        <v>48638</v>
      </c>
      <c r="AH39" s="104">
        <f t="shared" si="566"/>
        <v>144</v>
      </c>
      <c r="AI39" s="77">
        <v>388614</v>
      </c>
      <c r="AJ39" s="104">
        <f t="shared" si="566"/>
        <v>4272</v>
      </c>
      <c r="AK39" s="77">
        <v>102371</v>
      </c>
      <c r="AL39" s="104">
        <f t="shared" si="566"/>
        <v>0</v>
      </c>
      <c r="AM39" s="77">
        <v>551872</v>
      </c>
      <c r="AN39" s="104">
        <f t="shared" si="566"/>
        <v>4992</v>
      </c>
      <c r="AO39" s="77">
        <v>885845</v>
      </c>
      <c r="AP39" s="104">
        <f t="shared" si="566"/>
        <v>8640</v>
      </c>
      <c r="AQ39" s="77">
        <v>65500</v>
      </c>
      <c r="AR39" s="104">
        <f t="shared" si="566"/>
        <v>0</v>
      </c>
      <c r="AS39" s="77">
        <v>2204</v>
      </c>
      <c r="AT39" s="104">
        <f t="shared" si="566"/>
        <v>0</v>
      </c>
      <c r="AU39" s="77">
        <v>918</v>
      </c>
      <c r="AV39" s="104">
        <f t="shared" si="566"/>
        <v>0</v>
      </c>
      <c r="AW39" s="78">
        <v>3108</v>
      </c>
      <c r="AX39" s="104">
        <f t="shared" si="566"/>
        <v>0</v>
      </c>
      <c r="AY39" s="77">
        <v>296783</v>
      </c>
      <c r="AZ39" s="104">
        <f t="shared" si="566"/>
        <v>3072</v>
      </c>
      <c r="BA39" s="77">
        <v>160167</v>
      </c>
      <c r="BB39" s="104">
        <f t="shared" si="566"/>
        <v>0</v>
      </c>
      <c r="BC39" s="77">
        <v>203254</v>
      </c>
      <c r="BD39" s="104">
        <f t="shared" si="566"/>
        <v>2304</v>
      </c>
      <c r="BE39" s="77">
        <v>5347</v>
      </c>
      <c r="BF39" s="104">
        <f t="shared" si="566"/>
        <v>0</v>
      </c>
      <c r="BH39" s="105">
        <f t="shared" ref="BH39" si="576">SUM(E39,J39,P39,H39,L39,R39,T39,V39,X39,N39,AB39,Z39,AD39,AF39,AH39,AL39,AJ39)</f>
        <v>113355.45600000028</v>
      </c>
      <c r="BI39" s="105">
        <f t="shared" ref="BI39" si="577">SUM(F39,AN39,AP39,AT39,AV39,AX39,AR39,AZ39,BB39,BD39,BF39)</f>
        <v>57100.800000000003</v>
      </c>
    </row>
    <row r="40" spans="1:61" s="36" customFormat="1" ht="39.950000000000003" customHeight="1">
      <c r="A40" s="37"/>
      <c r="G40" s="77"/>
      <c r="I40" s="77"/>
      <c r="K40" s="77"/>
      <c r="M40" s="7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G48" s="36"/>
      <c r="I48" s="36"/>
      <c r="K48" s="36"/>
      <c r="M48" s="36"/>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5" t="s">
        <v>196</v>
      </c>
      <c r="C1" s="245"/>
      <c r="D1" s="245" t="s">
        <v>196</v>
      </c>
      <c r="E1" s="245"/>
      <c r="F1" s="245" t="s">
        <v>196</v>
      </c>
      <c r="G1" s="245"/>
      <c r="H1" s="245" t="s">
        <v>197</v>
      </c>
      <c r="I1" s="245"/>
      <c r="J1" s="244"/>
      <c r="K1" s="244"/>
      <c r="L1" s="245" t="s">
        <v>198</v>
      </c>
      <c r="M1" s="245"/>
      <c r="N1" s="245" t="s">
        <v>198</v>
      </c>
      <c r="O1" s="245"/>
      <c r="P1" s="245" t="s">
        <v>198</v>
      </c>
      <c r="Q1" s="245"/>
      <c r="R1" s="245" t="s">
        <v>198</v>
      </c>
      <c r="S1" s="245"/>
      <c r="T1" s="245" t="s">
        <v>199</v>
      </c>
      <c r="U1" s="245"/>
      <c r="V1" s="249" t="s">
        <v>199</v>
      </c>
      <c r="W1" s="249"/>
      <c r="X1" s="245" t="s">
        <v>199</v>
      </c>
      <c r="Y1" s="245"/>
      <c r="Z1" s="245" t="s">
        <v>199</v>
      </c>
      <c r="AA1" s="245"/>
      <c r="AB1" s="244"/>
      <c r="AC1" s="244"/>
      <c r="AD1" s="245" t="s">
        <v>199</v>
      </c>
      <c r="AE1" s="245"/>
      <c r="AF1" s="245" t="s">
        <v>199</v>
      </c>
      <c r="AG1" s="245"/>
      <c r="AH1" s="245" t="s">
        <v>200</v>
      </c>
      <c r="AI1" s="245"/>
      <c r="AJ1" s="245" t="s">
        <v>200</v>
      </c>
      <c r="AK1" s="245"/>
      <c r="AL1" s="248" t="s">
        <v>200</v>
      </c>
      <c r="AM1" s="248"/>
      <c r="AN1" s="245" t="s">
        <v>200</v>
      </c>
      <c r="AO1" s="245"/>
      <c r="AP1" s="244" t="s">
        <v>200</v>
      </c>
      <c r="AQ1" s="244"/>
      <c r="AR1" s="248" t="s">
        <v>200</v>
      </c>
      <c r="AS1" s="248"/>
      <c r="AT1" s="245" t="s">
        <v>200</v>
      </c>
      <c r="AU1" s="245"/>
      <c r="AV1" s="244"/>
      <c r="AW1" s="244"/>
      <c r="AX1" s="245" t="s">
        <v>200</v>
      </c>
      <c r="AY1" s="245"/>
      <c r="AZ1" s="245" t="s">
        <v>200</v>
      </c>
      <c r="BA1" s="245"/>
      <c r="BB1" s="245" t="s">
        <v>200</v>
      </c>
      <c r="BC1" s="245"/>
      <c r="BD1" s="245" t="s">
        <v>201</v>
      </c>
      <c r="BE1" s="245"/>
      <c r="BF1" s="245" t="s">
        <v>201</v>
      </c>
      <c r="BG1" s="245"/>
      <c r="BH1" s="245" t="s">
        <v>201</v>
      </c>
      <c r="BI1" s="245"/>
      <c r="BJ1" s="245" t="s">
        <v>201</v>
      </c>
      <c r="BK1" s="245"/>
      <c r="BL1" s="245" t="s">
        <v>201</v>
      </c>
      <c r="BM1" s="245"/>
      <c r="BN1" s="245" t="s">
        <v>201</v>
      </c>
      <c r="BO1" s="245"/>
      <c r="BP1" s="245" t="s">
        <v>201</v>
      </c>
      <c r="BQ1" s="245"/>
      <c r="BR1" s="245" t="s">
        <v>201</v>
      </c>
      <c r="BS1" s="245"/>
      <c r="BT1" s="245" t="s">
        <v>201</v>
      </c>
      <c r="BU1" s="245"/>
      <c r="BV1" s="245" t="s">
        <v>201</v>
      </c>
      <c r="BW1" s="245"/>
      <c r="BX1" s="245" t="s">
        <v>201</v>
      </c>
      <c r="BY1" s="245"/>
      <c r="BZ1" s="245" t="s">
        <v>202</v>
      </c>
      <c r="CA1" s="245"/>
      <c r="CB1" s="249" t="s">
        <v>202</v>
      </c>
      <c r="CC1" s="249"/>
      <c r="CD1" s="245" t="s">
        <v>202</v>
      </c>
      <c r="CE1" s="245"/>
      <c r="CF1" s="245" t="s">
        <v>202</v>
      </c>
      <c r="CG1" s="245"/>
      <c r="CH1" s="245" t="s">
        <v>203</v>
      </c>
      <c r="CI1" s="245"/>
      <c r="CJ1" s="245" t="s">
        <v>203</v>
      </c>
      <c r="CK1" s="245"/>
      <c r="CL1" s="245" t="s">
        <v>203</v>
      </c>
      <c r="CM1" s="245"/>
      <c r="CN1" s="245" t="s">
        <v>204</v>
      </c>
      <c r="CO1" s="245"/>
      <c r="CP1" s="245" t="s">
        <v>204</v>
      </c>
      <c r="CQ1" s="245"/>
      <c r="CR1" s="249" t="s">
        <v>204</v>
      </c>
      <c r="CS1" s="249"/>
      <c r="CT1" s="245" t="s">
        <v>204</v>
      </c>
      <c r="CU1" s="245"/>
      <c r="CV1" s="245" t="s">
        <v>204</v>
      </c>
      <c r="CW1" s="245"/>
      <c r="CX1" s="245" t="s">
        <v>204</v>
      </c>
      <c r="CY1" s="245"/>
      <c r="CZ1" s="245" t="s">
        <v>204</v>
      </c>
      <c r="DA1" s="245"/>
      <c r="DB1" s="245" t="s">
        <v>204</v>
      </c>
      <c r="DC1" s="245"/>
      <c r="DD1" s="245" t="s">
        <v>204</v>
      </c>
      <c r="DE1" s="245"/>
      <c r="DF1" s="245" t="s">
        <v>204</v>
      </c>
      <c r="DG1" s="245"/>
      <c r="DH1" s="245" t="s">
        <v>204</v>
      </c>
      <c r="DI1" s="245"/>
      <c r="DJ1" s="244" t="s">
        <v>204</v>
      </c>
      <c r="DK1" s="244"/>
      <c r="DL1" s="245" t="s">
        <v>205</v>
      </c>
      <c r="DM1" s="245"/>
      <c r="DN1" s="245" t="s">
        <v>205</v>
      </c>
      <c r="DO1" s="245"/>
      <c r="DP1" s="245" t="s">
        <v>205</v>
      </c>
      <c r="DQ1" s="245"/>
      <c r="DR1" s="245" t="s">
        <v>205</v>
      </c>
      <c r="DS1" s="245"/>
      <c r="DT1" s="245" t="s">
        <v>205</v>
      </c>
      <c r="DU1" s="245"/>
      <c r="DV1" s="245" t="s">
        <v>205</v>
      </c>
      <c r="DW1" s="245"/>
      <c r="DX1" s="245" t="s">
        <v>206</v>
      </c>
      <c r="DY1" s="245"/>
      <c r="DZ1" s="245" t="s">
        <v>206</v>
      </c>
      <c r="EA1" s="245"/>
      <c r="EB1" s="245" t="s">
        <v>206</v>
      </c>
      <c r="EC1" s="245"/>
      <c r="ED1" s="245" t="s">
        <v>206</v>
      </c>
      <c r="EE1" s="245"/>
      <c r="EF1" s="245" t="s">
        <v>206</v>
      </c>
      <c r="EG1" s="245"/>
      <c r="EH1" s="245" t="s">
        <v>206</v>
      </c>
      <c r="EI1" s="245"/>
      <c r="EJ1" s="245" t="s">
        <v>206</v>
      </c>
      <c r="EK1" s="245"/>
      <c r="EL1" s="245" t="s">
        <v>207</v>
      </c>
      <c r="EM1" s="245"/>
      <c r="EN1" s="245" t="s">
        <v>207</v>
      </c>
      <c r="EO1" s="245"/>
      <c r="EP1" s="245" t="s">
        <v>207</v>
      </c>
      <c r="EQ1" s="245"/>
      <c r="ER1" s="245" t="s">
        <v>208</v>
      </c>
      <c r="ES1" s="245"/>
      <c r="ET1" s="245" t="s">
        <v>208</v>
      </c>
      <c r="EU1" s="245"/>
      <c r="EV1" s="245" t="s">
        <v>208</v>
      </c>
      <c r="EW1" s="245"/>
      <c r="EX1" s="245" t="s">
        <v>209</v>
      </c>
      <c r="EY1" s="245"/>
      <c r="EZ1" s="245" t="s">
        <v>210</v>
      </c>
      <c r="FA1" s="245"/>
      <c r="FB1" s="245" t="s">
        <v>210</v>
      </c>
      <c r="FC1" s="245"/>
      <c r="FD1" s="245" t="s">
        <v>210</v>
      </c>
      <c r="FE1" s="245"/>
      <c r="FF1" s="245" t="s">
        <v>211</v>
      </c>
      <c r="FG1" s="245"/>
      <c r="FH1" s="245" t="s">
        <v>211</v>
      </c>
      <c r="FI1" s="245"/>
      <c r="FJ1" s="245" t="s">
        <v>211</v>
      </c>
      <c r="FK1" s="245"/>
      <c r="FL1" s="244" t="s">
        <v>211</v>
      </c>
      <c r="FM1" s="244"/>
    </row>
    <row r="2" spans="1:169" s="24" customFormat="1" ht="49.5" customHeight="1">
      <c r="B2" s="245" t="s">
        <v>212</v>
      </c>
      <c r="C2" s="245"/>
      <c r="D2" s="245" t="s">
        <v>213</v>
      </c>
      <c r="E2" s="245"/>
      <c r="F2" s="245" t="s">
        <v>212</v>
      </c>
      <c r="G2" s="245"/>
      <c r="H2" s="245" t="s">
        <v>213</v>
      </c>
      <c r="I2" s="245"/>
      <c r="J2" s="245" t="s">
        <v>213</v>
      </c>
      <c r="K2" s="245"/>
      <c r="L2" s="245" t="s">
        <v>212</v>
      </c>
      <c r="M2" s="245"/>
      <c r="N2" s="245" t="s">
        <v>212</v>
      </c>
      <c r="O2" s="245"/>
      <c r="P2" s="245" t="s">
        <v>213</v>
      </c>
      <c r="Q2" s="245"/>
      <c r="R2" s="245" t="s">
        <v>213</v>
      </c>
      <c r="S2" s="245"/>
      <c r="T2" s="245" t="s">
        <v>212</v>
      </c>
      <c r="U2" s="245"/>
      <c r="V2" s="245" t="s">
        <v>213</v>
      </c>
      <c r="W2" s="245"/>
      <c r="X2" s="245" t="s">
        <v>213</v>
      </c>
      <c r="Y2" s="245"/>
      <c r="Z2" s="245" t="s">
        <v>213</v>
      </c>
      <c r="AA2" s="245"/>
      <c r="AB2" s="244" t="s">
        <v>213</v>
      </c>
      <c r="AC2" s="244"/>
      <c r="AD2" s="245" t="s">
        <v>212</v>
      </c>
      <c r="AE2" s="245"/>
      <c r="AF2" s="245" t="s">
        <v>213</v>
      </c>
      <c r="AG2" s="245"/>
      <c r="AH2" s="245" t="s">
        <v>213</v>
      </c>
      <c r="AI2" s="245"/>
      <c r="AJ2" s="245" t="s">
        <v>213</v>
      </c>
      <c r="AK2" s="245"/>
      <c r="AL2" s="245" t="s">
        <v>213</v>
      </c>
      <c r="AM2" s="245"/>
      <c r="AN2" s="245" t="s">
        <v>213</v>
      </c>
      <c r="AO2" s="245"/>
      <c r="AP2" s="244" t="s">
        <v>213</v>
      </c>
      <c r="AQ2" s="244"/>
      <c r="AR2" s="245" t="s">
        <v>213</v>
      </c>
      <c r="AS2" s="245"/>
      <c r="AT2" s="245" t="s">
        <v>213</v>
      </c>
      <c r="AU2" s="245"/>
      <c r="AV2" s="244" t="s">
        <v>213</v>
      </c>
      <c r="AW2" s="244"/>
      <c r="AX2" s="245" t="s">
        <v>213</v>
      </c>
      <c r="AY2" s="245"/>
      <c r="AZ2" s="245" t="s">
        <v>213</v>
      </c>
      <c r="BA2" s="245"/>
      <c r="BB2" s="245" t="s">
        <v>213</v>
      </c>
      <c r="BC2" s="245"/>
      <c r="BD2" s="245" t="s">
        <v>212</v>
      </c>
      <c r="BE2" s="245"/>
      <c r="BF2" s="245" t="s">
        <v>214</v>
      </c>
      <c r="BG2" s="245"/>
      <c r="BH2" s="245" t="s">
        <v>213</v>
      </c>
      <c r="BI2" s="245"/>
      <c r="BJ2" s="245" t="s">
        <v>213</v>
      </c>
      <c r="BK2" s="245"/>
      <c r="BL2" s="245" t="s">
        <v>213</v>
      </c>
      <c r="BM2" s="245"/>
      <c r="BN2" s="245" t="s">
        <v>213</v>
      </c>
      <c r="BO2" s="245"/>
      <c r="BP2" s="245" t="s">
        <v>213</v>
      </c>
      <c r="BQ2" s="245"/>
      <c r="BR2" s="245" t="s">
        <v>213</v>
      </c>
      <c r="BS2" s="245"/>
      <c r="BT2" s="245" t="s">
        <v>213</v>
      </c>
      <c r="BU2" s="245"/>
      <c r="BV2" s="245" t="s">
        <v>213</v>
      </c>
      <c r="BW2" s="245"/>
      <c r="BX2" s="245" t="s">
        <v>213</v>
      </c>
      <c r="BY2" s="245"/>
      <c r="BZ2" s="245" t="s">
        <v>212</v>
      </c>
      <c r="CA2" s="245"/>
      <c r="CB2" s="245" t="s">
        <v>212</v>
      </c>
      <c r="CC2" s="245"/>
      <c r="CD2" s="245" t="s">
        <v>212</v>
      </c>
      <c r="CE2" s="245"/>
      <c r="CF2" s="245" t="s">
        <v>212</v>
      </c>
      <c r="CG2" s="245"/>
      <c r="CH2" s="245" t="s">
        <v>213</v>
      </c>
      <c r="CI2" s="245"/>
      <c r="CJ2" s="245" t="s">
        <v>213</v>
      </c>
      <c r="CK2" s="245"/>
      <c r="CL2" s="245" t="s">
        <v>213</v>
      </c>
      <c r="CM2" s="245"/>
      <c r="CN2" s="245" t="s">
        <v>212</v>
      </c>
      <c r="CO2" s="245"/>
      <c r="CP2" s="245" t="s">
        <v>213</v>
      </c>
      <c r="CQ2" s="245"/>
      <c r="CR2" s="245" t="s">
        <v>213</v>
      </c>
      <c r="CS2" s="245"/>
      <c r="CT2" s="245" t="s">
        <v>213</v>
      </c>
      <c r="CU2" s="245"/>
      <c r="CV2" s="245" t="s">
        <v>213</v>
      </c>
      <c r="CW2" s="245"/>
      <c r="CX2" s="245" t="s">
        <v>213</v>
      </c>
      <c r="CY2" s="245"/>
      <c r="CZ2" s="245" t="s">
        <v>213</v>
      </c>
      <c r="DA2" s="245"/>
      <c r="DB2" s="245" t="s">
        <v>212</v>
      </c>
      <c r="DC2" s="245"/>
      <c r="DD2" s="245" t="s">
        <v>213</v>
      </c>
      <c r="DE2" s="245"/>
      <c r="DF2" s="245" t="s">
        <v>213</v>
      </c>
      <c r="DG2" s="245"/>
      <c r="DH2" s="245" t="s">
        <v>213</v>
      </c>
      <c r="DI2" s="245"/>
      <c r="DJ2" s="244" t="s">
        <v>213</v>
      </c>
      <c r="DK2" s="244"/>
      <c r="DL2" s="245" t="s">
        <v>213</v>
      </c>
      <c r="DM2" s="245"/>
      <c r="DN2" s="245" t="s">
        <v>213</v>
      </c>
      <c r="DO2" s="245"/>
      <c r="DP2" s="245" t="s">
        <v>213</v>
      </c>
      <c r="DQ2" s="245"/>
      <c r="DR2" s="245" t="s">
        <v>213</v>
      </c>
      <c r="DS2" s="245"/>
      <c r="DT2" s="245" t="s">
        <v>213</v>
      </c>
      <c r="DU2" s="245"/>
      <c r="DV2" s="245" t="s">
        <v>213</v>
      </c>
      <c r="DW2" s="245"/>
      <c r="DX2" s="245" t="s">
        <v>213</v>
      </c>
      <c r="DY2" s="245"/>
      <c r="DZ2" s="245" t="s">
        <v>213</v>
      </c>
      <c r="EA2" s="245"/>
      <c r="EB2" s="245" t="s">
        <v>213</v>
      </c>
      <c r="EC2" s="245"/>
      <c r="ED2" s="245" t="s">
        <v>213</v>
      </c>
      <c r="EE2" s="245"/>
      <c r="EF2" s="245" t="s">
        <v>213</v>
      </c>
      <c r="EG2" s="245"/>
      <c r="EH2" s="245" t="s">
        <v>213</v>
      </c>
      <c r="EI2" s="245"/>
      <c r="EJ2" s="245" t="s">
        <v>213</v>
      </c>
      <c r="EK2" s="245"/>
      <c r="EL2" s="245" t="s">
        <v>213</v>
      </c>
      <c r="EM2" s="245"/>
      <c r="EN2" s="245" t="s">
        <v>213</v>
      </c>
      <c r="EO2" s="245"/>
      <c r="EP2" s="245" t="s">
        <v>213</v>
      </c>
      <c r="EQ2" s="245"/>
      <c r="ER2" s="245" t="s">
        <v>213</v>
      </c>
      <c r="ES2" s="245"/>
      <c r="ET2" s="245" t="s">
        <v>213</v>
      </c>
      <c r="EU2" s="245"/>
      <c r="EV2" s="245" t="s">
        <v>213</v>
      </c>
      <c r="EW2" s="245"/>
      <c r="EX2" s="245" t="s">
        <v>213</v>
      </c>
      <c r="EY2" s="245"/>
      <c r="EZ2" s="245" t="s">
        <v>213</v>
      </c>
      <c r="FA2" s="245"/>
      <c r="FB2" s="245" t="s">
        <v>213</v>
      </c>
      <c r="FC2" s="245"/>
      <c r="FD2" s="245" t="s">
        <v>213</v>
      </c>
      <c r="FE2" s="245"/>
      <c r="FF2" s="245" t="s">
        <v>213</v>
      </c>
      <c r="FG2" s="245"/>
      <c r="FH2" s="245" t="s">
        <v>213</v>
      </c>
      <c r="FI2" s="245"/>
      <c r="FJ2" s="245" t="s">
        <v>213</v>
      </c>
      <c r="FK2" s="245"/>
      <c r="FL2" s="244" t="s">
        <v>213</v>
      </c>
      <c r="FM2" s="244"/>
    </row>
    <row r="3" spans="1:169" s="24" customFormat="1" ht="49.5" customHeight="1">
      <c r="B3" s="210" t="s">
        <v>66</v>
      </c>
      <c r="C3" s="212"/>
      <c r="D3" s="210" t="s">
        <v>215</v>
      </c>
      <c r="E3" s="212"/>
      <c r="F3" s="210"/>
      <c r="G3" s="212"/>
      <c r="H3" s="210" t="s">
        <v>215</v>
      </c>
      <c r="I3" s="212"/>
      <c r="J3" s="210" t="s">
        <v>215</v>
      </c>
      <c r="K3" s="212"/>
      <c r="L3" s="210"/>
      <c r="M3" s="212"/>
      <c r="N3" s="210"/>
      <c r="O3" s="212"/>
      <c r="P3" s="210" t="s">
        <v>215</v>
      </c>
      <c r="Q3" s="212"/>
      <c r="R3" s="210" t="s">
        <v>215</v>
      </c>
      <c r="S3" s="212"/>
      <c r="T3" s="210"/>
      <c r="U3" s="212"/>
      <c r="V3" s="210" t="s">
        <v>216</v>
      </c>
      <c r="W3" s="212"/>
      <c r="X3" s="210" t="s">
        <v>216</v>
      </c>
      <c r="Y3" s="212"/>
      <c r="Z3" s="210" t="s">
        <v>216</v>
      </c>
      <c r="AA3" s="212"/>
      <c r="AB3" s="246" t="s">
        <v>216</v>
      </c>
      <c r="AC3" s="247"/>
      <c r="AD3" s="210"/>
      <c r="AE3" s="212"/>
      <c r="AF3" s="210" t="s">
        <v>216</v>
      </c>
      <c r="AG3" s="212"/>
      <c r="AH3" s="210" t="s">
        <v>215</v>
      </c>
      <c r="AI3" s="212"/>
      <c r="AJ3" s="210" t="s">
        <v>215</v>
      </c>
      <c r="AK3" s="212"/>
      <c r="AL3" s="210" t="s">
        <v>215</v>
      </c>
      <c r="AM3" s="212"/>
      <c r="AN3" s="210" t="s">
        <v>215</v>
      </c>
      <c r="AO3" s="212"/>
      <c r="AP3" s="246" t="s">
        <v>215</v>
      </c>
      <c r="AQ3" s="247"/>
      <c r="AR3" s="210" t="s">
        <v>215</v>
      </c>
      <c r="AS3" s="212"/>
      <c r="AT3" s="210" t="s">
        <v>215</v>
      </c>
      <c r="AU3" s="212"/>
      <c r="AV3" s="246" t="s">
        <v>215</v>
      </c>
      <c r="AW3" s="247"/>
      <c r="AX3" s="210" t="s">
        <v>215</v>
      </c>
      <c r="AY3" s="212"/>
      <c r="AZ3" s="210" t="s">
        <v>215</v>
      </c>
      <c r="BA3" s="212"/>
      <c r="BB3" s="210" t="s">
        <v>215</v>
      </c>
      <c r="BC3" s="212"/>
      <c r="BD3" s="210"/>
      <c r="BE3" s="212"/>
      <c r="BF3" s="210"/>
      <c r="BG3" s="212"/>
      <c r="BH3" s="210" t="s">
        <v>215</v>
      </c>
      <c r="BI3" s="212"/>
      <c r="BJ3" s="210" t="s">
        <v>215</v>
      </c>
      <c r="BK3" s="212"/>
      <c r="BL3" s="210" t="s">
        <v>215</v>
      </c>
      <c r="BM3" s="212"/>
      <c r="BN3" s="210" t="s">
        <v>215</v>
      </c>
      <c r="BO3" s="212"/>
      <c r="BP3" s="210" t="s">
        <v>215</v>
      </c>
      <c r="BQ3" s="212"/>
      <c r="BR3" s="210" t="s">
        <v>215</v>
      </c>
      <c r="BS3" s="212"/>
      <c r="BT3" s="210" t="s">
        <v>215</v>
      </c>
      <c r="BU3" s="212"/>
      <c r="BV3" s="210" t="s">
        <v>215</v>
      </c>
      <c r="BW3" s="212"/>
      <c r="BX3" s="210" t="s">
        <v>215</v>
      </c>
      <c r="BY3" s="212"/>
      <c r="BZ3" s="210" t="s">
        <v>65</v>
      </c>
      <c r="CA3" s="212"/>
      <c r="CB3" s="210" t="s">
        <v>65</v>
      </c>
      <c r="CC3" s="212"/>
      <c r="CD3" s="210" t="s">
        <v>65</v>
      </c>
      <c r="CE3" s="212"/>
      <c r="CF3" s="113"/>
      <c r="CG3" s="113"/>
      <c r="CH3" s="210" t="s">
        <v>66</v>
      </c>
      <c r="CI3" s="212"/>
      <c r="CJ3" s="210" t="s">
        <v>66</v>
      </c>
      <c r="CK3" s="212"/>
      <c r="CL3" s="210" t="s">
        <v>215</v>
      </c>
      <c r="CM3" s="212"/>
      <c r="CN3" s="210"/>
      <c r="CO3" s="212"/>
      <c r="CP3" s="210" t="s">
        <v>215</v>
      </c>
      <c r="CQ3" s="212"/>
      <c r="CR3" s="210" t="s">
        <v>215</v>
      </c>
      <c r="CS3" s="212"/>
      <c r="CT3" s="210" t="s">
        <v>215</v>
      </c>
      <c r="CU3" s="212"/>
      <c r="CV3" s="210" t="s">
        <v>215</v>
      </c>
      <c r="CW3" s="212"/>
      <c r="CX3" s="210" t="s">
        <v>215</v>
      </c>
      <c r="CY3" s="212"/>
      <c r="CZ3" s="210" t="s">
        <v>215</v>
      </c>
      <c r="DA3" s="212"/>
      <c r="DB3" s="210" t="s">
        <v>215</v>
      </c>
      <c r="DC3" s="212"/>
      <c r="DD3" s="210" t="s">
        <v>215</v>
      </c>
      <c r="DE3" s="212"/>
      <c r="DF3" s="210" t="s">
        <v>215</v>
      </c>
      <c r="DG3" s="212"/>
      <c r="DH3" s="210" t="s">
        <v>215</v>
      </c>
      <c r="DI3" s="212"/>
      <c r="DJ3" s="246" t="s">
        <v>215</v>
      </c>
      <c r="DK3" s="247"/>
      <c r="DL3" s="210" t="s">
        <v>64</v>
      </c>
      <c r="DM3" s="212"/>
      <c r="DN3" s="210" t="s">
        <v>64</v>
      </c>
      <c r="DO3" s="212"/>
      <c r="DP3" s="210" t="s">
        <v>64</v>
      </c>
      <c r="DQ3" s="212"/>
      <c r="DR3" s="210" t="s">
        <v>64</v>
      </c>
      <c r="DS3" s="212"/>
      <c r="DT3" s="210" t="s">
        <v>64</v>
      </c>
      <c r="DU3" s="212"/>
      <c r="DV3" s="210" t="s">
        <v>217</v>
      </c>
      <c r="DW3" s="212"/>
      <c r="DX3" s="210" t="s">
        <v>64</v>
      </c>
      <c r="DY3" s="212"/>
      <c r="DZ3" s="210" t="s">
        <v>216</v>
      </c>
      <c r="EA3" s="212"/>
      <c r="EB3" s="210" t="s">
        <v>64</v>
      </c>
      <c r="EC3" s="212"/>
      <c r="ED3" s="210" t="s">
        <v>64</v>
      </c>
      <c r="EE3" s="212"/>
      <c r="EF3" s="210" t="s">
        <v>64</v>
      </c>
      <c r="EG3" s="212"/>
      <c r="EH3" s="210" t="s">
        <v>64</v>
      </c>
      <c r="EI3" s="212"/>
      <c r="EJ3" s="210" t="s">
        <v>64</v>
      </c>
      <c r="EK3" s="212"/>
      <c r="EL3" s="210" t="s">
        <v>66</v>
      </c>
      <c r="EM3" s="212"/>
      <c r="EN3" s="210" t="s">
        <v>66</v>
      </c>
      <c r="EO3" s="212"/>
      <c r="EP3" s="210" t="s">
        <v>66</v>
      </c>
      <c r="EQ3" s="212"/>
      <c r="ER3" s="210" t="s">
        <v>66</v>
      </c>
      <c r="ES3" s="212"/>
      <c r="ET3" s="210" t="s">
        <v>66</v>
      </c>
      <c r="EU3" s="212"/>
      <c r="EV3" s="210" t="s">
        <v>66</v>
      </c>
      <c r="EW3" s="212"/>
      <c r="EX3" s="210" t="s">
        <v>66</v>
      </c>
      <c r="EY3" s="212"/>
      <c r="EZ3" s="210" t="s">
        <v>66</v>
      </c>
      <c r="FA3" s="212"/>
      <c r="FB3" s="210" t="s">
        <v>66</v>
      </c>
      <c r="FC3" s="212"/>
      <c r="FD3" s="210" t="s">
        <v>66</v>
      </c>
      <c r="FE3" s="212"/>
      <c r="FF3" s="210" t="s">
        <v>66</v>
      </c>
      <c r="FG3" s="212"/>
      <c r="FH3" s="210" t="s">
        <v>66</v>
      </c>
      <c r="FI3" s="212"/>
      <c r="FJ3" s="210" t="s">
        <v>66</v>
      </c>
      <c r="FK3" s="212"/>
      <c r="FL3" s="246" t="s">
        <v>215</v>
      </c>
      <c r="FM3" s="247"/>
    </row>
    <row r="4" spans="1:169" s="24" customFormat="1" ht="30" customHeight="1">
      <c r="B4" s="210" t="s">
        <v>218</v>
      </c>
      <c r="C4" s="212"/>
      <c r="D4" s="210" t="s">
        <v>218</v>
      </c>
      <c r="E4" s="212"/>
      <c r="F4" s="110"/>
      <c r="G4" s="111"/>
      <c r="H4" s="210" t="s">
        <v>218</v>
      </c>
      <c r="I4" s="212"/>
      <c r="J4" s="210" t="s">
        <v>219</v>
      </c>
      <c r="K4" s="212"/>
      <c r="L4" s="110"/>
      <c r="M4" s="111"/>
      <c r="N4" s="210"/>
      <c r="O4" s="212"/>
      <c r="P4" s="210" t="s">
        <v>220</v>
      </c>
      <c r="Q4" s="212"/>
      <c r="R4" s="210" t="s">
        <v>220</v>
      </c>
      <c r="S4" s="212"/>
      <c r="T4" s="110"/>
      <c r="U4" s="111"/>
      <c r="V4" s="210" t="s">
        <v>220</v>
      </c>
      <c r="W4" s="212"/>
      <c r="X4" s="210" t="s">
        <v>220</v>
      </c>
      <c r="Y4" s="212"/>
      <c r="Z4" s="210" t="s">
        <v>220</v>
      </c>
      <c r="AA4" s="212"/>
      <c r="AB4" s="246" t="s">
        <v>220</v>
      </c>
      <c r="AC4" s="247"/>
      <c r="AD4" s="110"/>
      <c r="AE4" s="111"/>
      <c r="AF4" s="210" t="s">
        <v>220</v>
      </c>
      <c r="AG4" s="212"/>
      <c r="AH4" s="210" t="s">
        <v>220</v>
      </c>
      <c r="AI4" s="212"/>
      <c r="AJ4" s="210" t="s">
        <v>218</v>
      </c>
      <c r="AK4" s="212"/>
      <c r="AL4" s="210" t="s">
        <v>218</v>
      </c>
      <c r="AM4" s="212"/>
      <c r="AN4" s="210" t="s">
        <v>218</v>
      </c>
      <c r="AO4" s="212"/>
      <c r="AP4" s="246" t="s">
        <v>219</v>
      </c>
      <c r="AQ4" s="247"/>
      <c r="AR4" s="210" t="s">
        <v>218</v>
      </c>
      <c r="AS4" s="212"/>
      <c r="AT4" s="210" t="s">
        <v>218</v>
      </c>
      <c r="AU4" s="212"/>
      <c r="AV4" s="246" t="s">
        <v>218</v>
      </c>
      <c r="AW4" s="247"/>
      <c r="AX4" s="210" t="s">
        <v>220</v>
      </c>
      <c r="AY4" s="212"/>
      <c r="AZ4" s="210" t="s">
        <v>218</v>
      </c>
      <c r="BA4" s="212"/>
      <c r="BB4" s="210" t="s">
        <v>218</v>
      </c>
      <c r="BC4" s="212"/>
      <c r="BD4" s="110"/>
      <c r="BE4" s="111"/>
      <c r="BF4" s="110"/>
      <c r="BG4" s="111"/>
      <c r="BH4" s="210" t="s">
        <v>219</v>
      </c>
      <c r="BI4" s="212"/>
      <c r="BJ4" s="210" t="s">
        <v>220</v>
      </c>
      <c r="BK4" s="212"/>
      <c r="BL4" s="210" t="s">
        <v>218</v>
      </c>
      <c r="BM4" s="212"/>
      <c r="BN4" s="210" t="s">
        <v>218</v>
      </c>
      <c r="BO4" s="212"/>
      <c r="BP4" s="210" t="s">
        <v>218</v>
      </c>
      <c r="BQ4" s="212"/>
      <c r="BR4" s="210" t="s">
        <v>218</v>
      </c>
      <c r="BS4" s="212"/>
      <c r="BT4" s="210" t="s">
        <v>218</v>
      </c>
      <c r="BU4" s="212"/>
      <c r="BV4" s="210" t="s">
        <v>218</v>
      </c>
      <c r="BW4" s="212"/>
      <c r="BX4" s="210" t="s">
        <v>218</v>
      </c>
      <c r="BY4" s="212"/>
      <c r="BZ4" s="210" t="s">
        <v>220</v>
      </c>
      <c r="CA4" s="212"/>
      <c r="CB4" s="210" t="s">
        <v>220</v>
      </c>
      <c r="CC4" s="212"/>
      <c r="CD4" s="210" t="s">
        <v>220</v>
      </c>
      <c r="CE4" s="212"/>
      <c r="CF4" s="210" t="s">
        <v>218</v>
      </c>
      <c r="CG4" s="212"/>
      <c r="CH4" s="210" t="s">
        <v>218</v>
      </c>
      <c r="CI4" s="212"/>
      <c r="CJ4" s="210" t="s">
        <v>218</v>
      </c>
      <c r="CK4" s="212"/>
      <c r="CL4" s="210" t="s">
        <v>218</v>
      </c>
      <c r="CM4" s="212"/>
      <c r="CN4" s="110"/>
      <c r="CO4" s="111"/>
      <c r="CP4" s="210" t="s">
        <v>219</v>
      </c>
      <c r="CQ4" s="212"/>
      <c r="CR4" s="210" t="s">
        <v>221</v>
      </c>
      <c r="CS4" s="212"/>
      <c r="CT4" s="210" t="s">
        <v>219</v>
      </c>
      <c r="CU4" s="212"/>
      <c r="CV4" s="210" t="s">
        <v>220</v>
      </c>
      <c r="CW4" s="212"/>
      <c r="CX4" s="210" t="s">
        <v>218</v>
      </c>
      <c r="CY4" s="212"/>
      <c r="CZ4" s="210" t="s">
        <v>218</v>
      </c>
      <c r="DA4" s="212"/>
      <c r="DB4" s="110"/>
      <c r="DC4" s="111"/>
      <c r="DD4" s="210" t="s">
        <v>219</v>
      </c>
      <c r="DE4" s="212"/>
      <c r="DF4" s="210" t="s">
        <v>220</v>
      </c>
      <c r="DG4" s="212"/>
      <c r="DH4" s="210" t="s">
        <v>220</v>
      </c>
      <c r="DI4" s="212"/>
      <c r="DJ4" s="246" t="s">
        <v>219</v>
      </c>
      <c r="DK4" s="247"/>
      <c r="DL4" s="210" t="s">
        <v>218</v>
      </c>
      <c r="DM4" s="212"/>
      <c r="DN4" s="210" t="s">
        <v>218</v>
      </c>
      <c r="DO4" s="212"/>
      <c r="DP4" s="210" t="s">
        <v>218</v>
      </c>
      <c r="DQ4" s="212"/>
      <c r="DR4" s="210" t="s">
        <v>218</v>
      </c>
      <c r="DS4" s="212"/>
      <c r="DT4" s="210" t="s">
        <v>220</v>
      </c>
      <c r="DU4" s="212"/>
      <c r="DV4" s="210" t="s">
        <v>220</v>
      </c>
      <c r="DW4" s="212"/>
      <c r="DX4" s="210" t="s">
        <v>222</v>
      </c>
      <c r="DY4" s="212"/>
      <c r="DZ4" s="210" t="s">
        <v>223</v>
      </c>
      <c r="EA4" s="212"/>
      <c r="EB4" s="210" t="s">
        <v>222</v>
      </c>
      <c r="EC4" s="212"/>
      <c r="ED4" s="210" t="s">
        <v>218</v>
      </c>
      <c r="EE4" s="212"/>
      <c r="EF4" s="210" t="s">
        <v>218</v>
      </c>
      <c r="EG4" s="212"/>
      <c r="EH4" s="210" t="s">
        <v>220</v>
      </c>
      <c r="EI4" s="212"/>
      <c r="EJ4" s="210" t="s">
        <v>220</v>
      </c>
      <c r="EK4" s="212"/>
      <c r="EL4" s="210" t="s">
        <v>218</v>
      </c>
      <c r="EM4" s="212"/>
      <c r="EN4" s="210" t="s">
        <v>218</v>
      </c>
      <c r="EO4" s="212"/>
      <c r="EP4" s="210" t="s">
        <v>218</v>
      </c>
      <c r="EQ4" s="212"/>
      <c r="ER4" s="210" t="s">
        <v>218</v>
      </c>
      <c r="ES4" s="212"/>
      <c r="ET4" s="210" t="s">
        <v>218</v>
      </c>
      <c r="EU4" s="212"/>
      <c r="EV4" s="210" t="s">
        <v>218</v>
      </c>
      <c r="EW4" s="212"/>
      <c r="EX4" s="210" t="s">
        <v>218</v>
      </c>
      <c r="EY4" s="212"/>
      <c r="EZ4" s="210" t="s">
        <v>220</v>
      </c>
      <c r="FA4" s="212"/>
      <c r="FB4" s="210" t="s">
        <v>218</v>
      </c>
      <c r="FC4" s="212"/>
      <c r="FD4" s="210" t="s">
        <v>218</v>
      </c>
      <c r="FE4" s="212"/>
      <c r="FF4" s="210" t="s">
        <v>222</v>
      </c>
      <c r="FG4" s="212"/>
      <c r="FH4" s="210" t="s">
        <v>218</v>
      </c>
      <c r="FI4" s="212"/>
      <c r="FJ4" s="210" t="s">
        <v>222</v>
      </c>
      <c r="FK4" s="212"/>
      <c r="FL4" s="246" t="s">
        <v>218</v>
      </c>
      <c r="FM4" s="247"/>
    </row>
    <row r="5" spans="1:169" s="85" customFormat="1" ht="138.75" customHeight="1">
      <c r="B5" s="250" t="s">
        <v>77</v>
      </c>
      <c r="C5" s="250"/>
      <c r="D5" s="250" t="s">
        <v>224</v>
      </c>
      <c r="E5" s="250"/>
      <c r="F5" s="250" t="s">
        <v>78</v>
      </c>
      <c r="G5" s="250"/>
      <c r="H5" s="250" t="s">
        <v>225</v>
      </c>
      <c r="I5" s="250"/>
      <c r="J5" s="250" t="s">
        <v>226</v>
      </c>
      <c r="K5" s="250"/>
      <c r="L5" s="250" t="s">
        <v>77</v>
      </c>
      <c r="M5" s="250"/>
      <c r="N5" s="250" t="s">
        <v>79</v>
      </c>
      <c r="O5" s="250"/>
      <c r="P5" s="250" t="s">
        <v>227</v>
      </c>
      <c r="Q5" s="250"/>
      <c r="R5" s="250" t="s">
        <v>227</v>
      </c>
      <c r="S5" s="250"/>
      <c r="T5" s="250" t="s">
        <v>67</v>
      </c>
      <c r="U5" s="250"/>
      <c r="V5" s="250" t="s">
        <v>228</v>
      </c>
      <c r="W5" s="250"/>
      <c r="X5" s="250" t="s">
        <v>229</v>
      </c>
      <c r="Y5" s="250"/>
      <c r="Z5" s="250" t="s">
        <v>230</v>
      </c>
      <c r="AA5" s="250"/>
      <c r="AB5" s="251" t="s">
        <v>227</v>
      </c>
      <c r="AC5" s="251"/>
      <c r="AD5" s="250" t="s">
        <v>68</v>
      </c>
      <c r="AE5" s="250"/>
      <c r="AF5" s="250" t="s">
        <v>231</v>
      </c>
      <c r="AG5" s="250"/>
      <c r="AH5" s="250" t="s">
        <v>232</v>
      </c>
      <c r="AI5" s="250"/>
      <c r="AJ5" s="250" t="s">
        <v>233</v>
      </c>
      <c r="AK5" s="250"/>
      <c r="AL5" s="250" t="s">
        <v>225</v>
      </c>
      <c r="AM5" s="250"/>
      <c r="AN5" s="250" t="s">
        <v>234</v>
      </c>
      <c r="AO5" s="250"/>
      <c r="AP5" s="251" t="s">
        <v>235</v>
      </c>
      <c r="AQ5" s="251"/>
      <c r="AR5" s="250" t="s">
        <v>236</v>
      </c>
      <c r="AS5" s="250"/>
      <c r="AT5" s="250" t="s">
        <v>237</v>
      </c>
      <c r="AU5" s="250"/>
      <c r="AV5" s="251" t="s">
        <v>238</v>
      </c>
      <c r="AW5" s="251"/>
      <c r="AX5" s="250" t="s">
        <v>227</v>
      </c>
      <c r="AY5" s="250"/>
      <c r="AZ5" s="250" t="s">
        <v>225</v>
      </c>
      <c r="BA5" s="250"/>
      <c r="BB5" s="250" t="s">
        <v>239</v>
      </c>
      <c r="BC5" s="250"/>
      <c r="BD5" s="250" t="s">
        <v>70</v>
      </c>
      <c r="BE5" s="250"/>
      <c r="BF5" s="250" t="s">
        <v>71</v>
      </c>
      <c r="BG5" s="250"/>
      <c r="BH5" s="250" t="s">
        <v>240</v>
      </c>
      <c r="BI5" s="250"/>
      <c r="BJ5" s="250" t="s">
        <v>241</v>
      </c>
      <c r="BK5" s="250"/>
      <c r="BL5" s="250" t="s">
        <v>242</v>
      </c>
      <c r="BM5" s="250"/>
      <c r="BN5" s="250" t="s">
        <v>243</v>
      </c>
      <c r="BO5" s="250"/>
      <c r="BP5" s="250" t="s">
        <v>244</v>
      </c>
      <c r="BQ5" s="250"/>
      <c r="BR5" s="250" t="s">
        <v>245</v>
      </c>
      <c r="BS5" s="250"/>
      <c r="BT5" s="250" t="s">
        <v>246</v>
      </c>
      <c r="BU5" s="250"/>
      <c r="BV5" s="250" t="s">
        <v>247</v>
      </c>
      <c r="BW5" s="250"/>
      <c r="BX5" s="250" t="s">
        <v>245</v>
      </c>
      <c r="BY5" s="250"/>
      <c r="BZ5" s="250" t="s">
        <v>73</v>
      </c>
      <c r="CA5" s="250"/>
      <c r="CB5" s="250" t="s">
        <v>74</v>
      </c>
      <c r="CC5" s="250"/>
      <c r="CD5" s="250" t="s">
        <v>75</v>
      </c>
      <c r="CE5" s="250"/>
      <c r="CF5" s="250" t="s">
        <v>76</v>
      </c>
      <c r="CG5" s="250"/>
      <c r="CH5" s="250" t="s">
        <v>248</v>
      </c>
      <c r="CI5" s="250"/>
      <c r="CJ5" s="250" t="s">
        <v>248</v>
      </c>
      <c r="CK5" s="250"/>
      <c r="CL5" s="250" t="s">
        <v>249</v>
      </c>
      <c r="CM5" s="250"/>
      <c r="CN5" s="250" t="s">
        <v>69</v>
      </c>
      <c r="CO5" s="250"/>
      <c r="CP5" s="252" t="s">
        <v>250</v>
      </c>
      <c r="CQ5" s="252"/>
      <c r="CR5" s="252" t="s">
        <v>221</v>
      </c>
      <c r="CS5" s="252"/>
      <c r="CT5" s="252" t="s">
        <v>251</v>
      </c>
      <c r="CU5" s="252"/>
      <c r="CV5" s="252" t="s">
        <v>252</v>
      </c>
      <c r="CW5" s="252"/>
      <c r="CX5" s="252" t="s">
        <v>253</v>
      </c>
      <c r="CY5" s="252"/>
      <c r="CZ5" s="252" t="s">
        <v>254</v>
      </c>
      <c r="DA5" s="252"/>
      <c r="DB5" s="250" t="s">
        <v>72</v>
      </c>
      <c r="DC5" s="250"/>
      <c r="DD5" s="250" t="s">
        <v>255</v>
      </c>
      <c r="DE5" s="250"/>
      <c r="DF5" s="250" t="s">
        <v>256</v>
      </c>
      <c r="DG5" s="250"/>
      <c r="DH5" s="250" t="s">
        <v>257</v>
      </c>
      <c r="DI5" s="250"/>
      <c r="DJ5" s="251" t="s">
        <v>255</v>
      </c>
      <c r="DK5" s="251"/>
      <c r="DL5" s="250" t="s">
        <v>258</v>
      </c>
      <c r="DM5" s="250"/>
      <c r="DN5" s="250" t="s">
        <v>258</v>
      </c>
      <c r="DO5" s="250"/>
      <c r="DP5" s="250" t="s">
        <v>259</v>
      </c>
      <c r="DQ5" s="250"/>
      <c r="DR5" s="250" t="s">
        <v>259</v>
      </c>
      <c r="DS5" s="250"/>
      <c r="DT5" s="250" t="s">
        <v>231</v>
      </c>
      <c r="DU5" s="250"/>
      <c r="DV5" s="250" t="s">
        <v>260</v>
      </c>
      <c r="DW5" s="250"/>
      <c r="DX5" s="252" t="s">
        <v>261</v>
      </c>
      <c r="DY5" s="252"/>
      <c r="DZ5" s="250" t="s">
        <v>225</v>
      </c>
      <c r="EA5" s="250"/>
      <c r="EB5" s="252" t="s">
        <v>262</v>
      </c>
      <c r="EC5" s="252"/>
      <c r="ED5" s="252" t="s">
        <v>263</v>
      </c>
      <c r="EE5" s="252"/>
      <c r="EF5" s="252" t="s">
        <v>264</v>
      </c>
      <c r="EG5" s="252"/>
      <c r="EH5" s="252" t="s">
        <v>227</v>
      </c>
      <c r="EI5" s="252"/>
      <c r="EJ5" s="252" t="s">
        <v>265</v>
      </c>
      <c r="EK5" s="252"/>
      <c r="EL5" s="250" t="s">
        <v>266</v>
      </c>
      <c r="EM5" s="250"/>
      <c r="EN5" s="250" t="s">
        <v>267</v>
      </c>
      <c r="EO5" s="250"/>
      <c r="EP5" s="250" t="s">
        <v>268</v>
      </c>
      <c r="EQ5" s="250"/>
      <c r="ER5" s="250" t="s">
        <v>269</v>
      </c>
      <c r="ES5" s="250"/>
      <c r="ET5" s="250" t="s">
        <v>267</v>
      </c>
      <c r="EU5" s="250"/>
      <c r="EV5" s="250" t="s">
        <v>268</v>
      </c>
      <c r="EW5" s="250"/>
      <c r="EX5" s="250" t="s">
        <v>270</v>
      </c>
      <c r="EY5" s="250"/>
      <c r="EZ5" s="250" t="s">
        <v>265</v>
      </c>
      <c r="FA5" s="250"/>
      <c r="FB5" s="250" t="s">
        <v>271</v>
      </c>
      <c r="FC5" s="250"/>
      <c r="FD5" s="250" t="s">
        <v>272</v>
      </c>
      <c r="FE5" s="250"/>
      <c r="FF5" s="250" t="s">
        <v>273</v>
      </c>
      <c r="FG5" s="250"/>
      <c r="FH5" s="250" t="s">
        <v>274</v>
      </c>
      <c r="FI5" s="250"/>
      <c r="FJ5" s="250" t="s">
        <v>275</v>
      </c>
      <c r="FK5" s="250"/>
      <c r="FL5" s="251" t="s">
        <v>276</v>
      </c>
      <c r="FM5" s="251"/>
    </row>
    <row r="6" spans="1:169" s="24" customFormat="1" ht="30" customHeight="1">
      <c r="B6" s="245">
        <v>5065544</v>
      </c>
      <c r="C6" s="245"/>
      <c r="D6" s="210"/>
      <c r="E6" s="212"/>
      <c r="F6" s="245">
        <v>5065541</v>
      </c>
      <c r="G6" s="245"/>
      <c r="H6" s="210"/>
      <c r="I6" s="212"/>
      <c r="J6" s="210"/>
      <c r="K6" s="212"/>
      <c r="L6" s="245">
        <v>5065542</v>
      </c>
      <c r="M6" s="245"/>
      <c r="N6" s="245">
        <v>5065540</v>
      </c>
      <c r="O6" s="245"/>
      <c r="P6" s="210"/>
      <c r="Q6" s="212"/>
      <c r="R6" s="210"/>
      <c r="S6" s="212"/>
      <c r="T6" s="245">
        <v>5065546</v>
      </c>
      <c r="U6" s="245"/>
      <c r="V6" s="210"/>
      <c r="W6" s="212"/>
      <c r="X6" s="210"/>
      <c r="Y6" s="212"/>
      <c r="Z6" s="210"/>
      <c r="AA6" s="212"/>
      <c r="AB6" s="210"/>
      <c r="AC6" s="212"/>
      <c r="AD6" s="245">
        <v>5065547</v>
      </c>
      <c r="AE6" s="245"/>
      <c r="AF6" s="210"/>
      <c r="AG6" s="212"/>
      <c r="AH6" s="253"/>
      <c r="AI6" s="254"/>
      <c r="AJ6" s="253"/>
      <c r="AK6" s="254"/>
      <c r="AL6" s="253"/>
      <c r="AM6" s="254"/>
      <c r="AN6" s="253"/>
      <c r="AO6" s="254"/>
      <c r="AP6" s="253"/>
      <c r="AQ6" s="254"/>
      <c r="AR6" s="253"/>
      <c r="AS6" s="254"/>
      <c r="AT6" s="253"/>
      <c r="AU6" s="254"/>
      <c r="AV6" s="253"/>
      <c r="AW6" s="254"/>
      <c r="AX6" s="253"/>
      <c r="AY6" s="254"/>
      <c r="AZ6" s="253"/>
      <c r="BA6" s="254"/>
      <c r="BB6" s="253"/>
      <c r="BC6" s="254"/>
      <c r="BD6" s="245">
        <v>5065548</v>
      </c>
      <c r="BE6" s="245"/>
      <c r="BF6" s="245">
        <v>5465545</v>
      </c>
      <c r="BG6" s="245"/>
      <c r="BH6" s="210"/>
      <c r="BI6" s="212"/>
      <c r="BJ6" s="210"/>
      <c r="BK6" s="212"/>
      <c r="BL6" s="210"/>
      <c r="BM6" s="212"/>
      <c r="BN6" s="210"/>
      <c r="BO6" s="212"/>
      <c r="BP6" s="210"/>
      <c r="BQ6" s="212"/>
      <c r="BR6" s="210"/>
      <c r="BS6" s="212"/>
      <c r="BT6" s="210"/>
      <c r="BU6" s="212"/>
      <c r="BV6" s="210"/>
      <c r="BW6" s="212"/>
      <c r="BX6" s="210"/>
      <c r="BY6" s="212"/>
      <c r="BZ6" s="245">
        <v>5018351</v>
      </c>
      <c r="CA6" s="245"/>
      <c r="CB6" s="245">
        <v>5018354</v>
      </c>
      <c r="CC6" s="245"/>
      <c r="CD6" s="245">
        <v>5018350</v>
      </c>
      <c r="CE6" s="245"/>
      <c r="CF6" s="245">
        <v>5065543</v>
      </c>
      <c r="CG6" s="245"/>
      <c r="CH6" s="210"/>
      <c r="CI6" s="212"/>
      <c r="CJ6" s="210"/>
      <c r="CK6" s="212"/>
      <c r="CL6" s="210"/>
      <c r="CM6" s="212"/>
      <c r="CN6" s="245">
        <v>5008272</v>
      </c>
      <c r="CO6" s="245"/>
      <c r="CP6" s="210"/>
      <c r="CQ6" s="212"/>
      <c r="CR6" s="210"/>
      <c r="CS6" s="212"/>
      <c r="CT6" s="210"/>
      <c r="CU6" s="212"/>
      <c r="CV6" s="210"/>
      <c r="CW6" s="212"/>
      <c r="CX6" s="210"/>
      <c r="CY6" s="212"/>
      <c r="CZ6" s="210"/>
      <c r="DA6" s="212"/>
      <c r="DB6" s="245">
        <v>5008273</v>
      </c>
      <c r="DC6" s="245"/>
      <c r="DD6" s="210"/>
      <c r="DE6" s="212"/>
      <c r="DF6" s="210"/>
      <c r="DG6" s="212"/>
      <c r="DH6" s="210"/>
      <c r="DI6" s="212"/>
      <c r="DJ6" s="210"/>
      <c r="DK6" s="212"/>
      <c r="DL6" s="210"/>
      <c r="DM6" s="212"/>
      <c r="DN6" s="210"/>
      <c r="DO6" s="212"/>
      <c r="DP6" s="210"/>
      <c r="DQ6" s="212"/>
      <c r="DR6" s="210"/>
      <c r="DS6" s="212"/>
      <c r="DT6" s="210"/>
      <c r="DU6" s="212"/>
      <c r="DV6" s="210"/>
      <c r="DW6" s="212"/>
      <c r="DX6" s="210"/>
      <c r="DY6" s="212"/>
      <c r="DZ6" s="210"/>
      <c r="EA6" s="212"/>
      <c r="EB6" s="210"/>
      <c r="EC6" s="212"/>
      <c r="ED6" s="210"/>
      <c r="EE6" s="212"/>
      <c r="EF6" s="210"/>
      <c r="EG6" s="212"/>
      <c r="EH6" s="210"/>
      <c r="EI6" s="212"/>
      <c r="EJ6" s="210"/>
      <c r="EK6" s="212"/>
      <c r="EL6" s="210"/>
      <c r="EM6" s="212"/>
      <c r="EN6" s="210"/>
      <c r="EO6" s="212"/>
      <c r="EP6" s="210"/>
      <c r="EQ6" s="212"/>
      <c r="ER6" s="210"/>
      <c r="ES6" s="212"/>
      <c r="ET6" s="210"/>
      <c r="EU6" s="212"/>
      <c r="EV6" s="210"/>
      <c r="EW6" s="212"/>
      <c r="EX6" s="210"/>
      <c r="EY6" s="212"/>
      <c r="EZ6" s="210"/>
      <c r="FA6" s="212"/>
      <c r="FB6" s="210"/>
      <c r="FC6" s="212"/>
      <c r="FD6" s="210"/>
      <c r="FE6" s="212"/>
      <c r="FF6" s="210"/>
      <c r="FG6" s="212"/>
      <c r="FH6" s="210"/>
      <c r="FI6" s="212"/>
      <c r="FJ6" s="210"/>
      <c r="FK6" s="212"/>
      <c r="FL6" s="210"/>
      <c r="FM6" s="212"/>
    </row>
    <row r="7" spans="1:169" s="24" customFormat="1" ht="30" customHeight="1">
      <c r="B7" s="255" t="s">
        <v>91</v>
      </c>
      <c r="C7" s="255"/>
      <c r="D7" s="255" t="s">
        <v>91</v>
      </c>
      <c r="E7" s="255"/>
      <c r="F7" s="256" t="s">
        <v>92</v>
      </c>
      <c r="G7" s="256"/>
      <c r="H7" s="257" t="s">
        <v>93</v>
      </c>
      <c r="I7" s="257"/>
      <c r="J7" s="257" t="s">
        <v>93</v>
      </c>
      <c r="K7" s="257"/>
      <c r="L7" s="257" t="s">
        <v>93</v>
      </c>
      <c r="M7" s="257"/>
      <c r="N7" s="258" t="s">
        <v>94</v>
      </c>
      <c r="O7" s="258"/>
      <c r="P7" s="258" t="s">
        <v>94</v>
      </c>
      <c r="Q7" s="258"/>
      <c r="R7" s="258" t="s">
        <v>94</v>
      </c>
      <c r="S7" s="258"/>
      <c r="T7" s="259" t="s">
        <v>81</v>
      </c>
      <c r="U7" s="259"/>
      <c r="V7" s="259" t="s">
        <v>81</v>
      </c>
      <c r="W7" s="259"/>
      <c r="X7" s="259" t="s">
        <v>81</v>
      </c>
      <c r="Y7" s="259"/>
      <c r="Z7" s="259" t="s">
        <v>81</v>
      </c>
      <c r="AA7" s="259"/>
      <c r="AB7" s="259" t="s">
        <v>81</v>
      </c>
      <c r="AC7" s="259"/>
      <c r="AD7" s="260" t="s">
        <v>82</v>
      </c>
      <c r="AE7" s="260"/>
      <c r="AF7" s="260" t="s">
        <v>82</v>
      </c>
      <c r="AG7" s="260"/>
      <c r="AH7" s="261" t="s">
        <v>84</v>
      </c>
      <c r="AI7" s="261"/>
      <c r="AJ7" s="261" t="s">
        <v>84</v>
      </c>
      <c r="AK7" s="261"/>
      <c r="AL7" s="261" t="s">
        <v>84</v>
      </c>
      <c r="AM7" s="261"/>
      <c r="AN7" s="261" t="s">
        <v>84</v>
      </c>
      <c r="AO7" s="261"/>
      <c r="AP7" s="261" t="s">
        <v>84</v>
      </c>
      <c r="AQ7" s="261"/>
      <c r="AR7" s="261" t="s">
        <v>84</v>
      </c>
      <c r="AS7" s="261"/>
      <c r="AT7" s="261" t="s">
        <v>84</v>
      </c>
      <c r="AU7" s="261"/>
      <c r="AV7" s="261" t="s">
        <v>84</v>
      </c>
      <c r="AW7" s="261"/>
      <c r="AX7" s="261" t="s">
        <v>84</v>
      </c>
      <c r="AY7" s="261"/>
      <c r="AZ7" s="261" t="s">
        <v>84</v>
      </c>
      <c r="BA7" s="261"/>
      <c r="BB7" s="261" t="s">
        <v>84</v>
      </c>
      <c r="BC7" s="261"/>
      <c r="BD7" s="261" t="s">
        <v>84</v>
      </c>
      <c r="BE7" s="261"/>
      <c r="BF7" s="262" t="s">
        <v>85</v>
      </c>
      <c r="BG7" s="262"/>
      <c r="BH7" s="262" t="s">
        <v>85</v>
      </c>
      <c r="BI7" s="262"/>
      <c r="BJ7" s="262" t="s">
        <v>85</v>
      </c>
      <c r="BK7" s="262"/>
      <c r="BL7" s="262" t="s">
        <v>85</v>
      </c>
      <c r="BM7" s="262"/>
      <c r="BN7" s="262" t="s">
        <v>85</v>
      </c>
      <c r="BO7" s="262"/>
      <c r="BP7" s="262" t="s">
        <v>85</v>
      </c>
      <c r="BQ7" s="262"/>
      <c r="BR7" s="262" t="s">
        <v>85</v>
      </c>
      <c r="BS7" s="262"/>
      <c r="BT7" s="262" t="s">
        <v>85</v>
      </c>
      <c r="BU7" s="262"/>
      <c r="BV7" s="262" t="s">
        <v>85</v>
      </c>
      <c r="BW7" s="262"/>
      <c r="BX7" s="262" t="s">
        <v>85</v>
      </c>
      <c r="BY7" s="262"/>
      <c r="BZ7" s="263" t="s">
        <v>87</v>
      </c>
      <c r="CA7" s="263"/>
      <c r="CB7" s="264" t="s">
        <v>88</v>
      </c>
      <c r="CC7" s="264"/>
      <c r="CD7" s="244" t="s">
        <v>89</v>
      </c>
      <c r="CE7" s="244"/>
      <c r="CF7" s="265" t="s">
        <v>90</v>
      </c>
      <c r="CG7" s="265"/>
      <c r="CH7" s="265" t="s">
        <v>90</v>
      </c>
      <c r="CI7" s="265"/>
      <c r="CJ7" s="265" t="s">
        <v>90</v>
      </c>
      <c r="CK7" s="265"/>
      <c r="CL7" s="265" t="s">
        <v>90</v>
      </c>
      <c r="CM7" s="265"/>
      <c r="CN7" s="266" t="s">
        <v>83</v>
      </c>
      <c r="CO7" s="266"/>
      <c r="CP7" s="266" t="s">
        <v>83</v>
      </c>
      <c r="CQ7" s="266"/>
      <c r="CR7" s="266" t="s">
        <v>83</v>
      </c>
      <c r="CS7" s="266"/>
      <c r="CT7" s="266" t="s">
        <v>83</v>
      </c>
      <c r="CU7" s="266"/>
      <c r="CV7" s="266" t="s">
        <v>83</v>
      </c>
      <c r="CW7" s="266"/>
      <c r="CX7" s="266" t="s">
        <v>83</v>
      </c>
      <c r="CY7" s="266"/>
      <c r="CZ7" s="266" t="s">
        <v>83</v>
      </c>
      <c r="DA7" s="266"/>
      <c r="DB7" s="267" t="s">
        <v>86</v>
      </c>
      <c r="DC7" s="267"/>
      <c r="DD7" s="267" t="s">
        <v>86</v>
      </c>
      <c r="DE7" s="267"/>
      <c r="DF7" s="267" t="s">
        <v>86</v>
      </c>
      <c r="DG7" s="267"/>
      <c r="DH7" s="267" t="s">
        <v>86</v>
      </c>
      <c r="DI7" s="267"/>
      <c r="DJ7" s="267" t="s">
        <v>86</v>
      </c>
      <c r="DK7" s="267"/>
      <c r="DL7" s="260" t="s">
        <v>82</v>
      </c>
      <c r="DM7" s="260"/>
      <c r="DN7" s="260" t="s">
        <v>82</v>
      </c>
      <c r="DO7" s="260"/>
      <c r="DP7" s="260" t="s">
        <v>82</v>
      </c>
      <c r="DQ7" s="260"/>
      <c r="DR7" s="260" t="s">
        <v>82</v>
      </c>
      <c r="DS7" s="260"/>
      <c r="DT7" s="260" t="s">
        <v>82</v>
      </c>
      <c r="DU7" s="260"/>
      <c r="DV7" s="260" t="s">
        <v>82</v>
      </c>
      <c r="DW7" s="260"/>
      <c r="DX7" s="259" t="s">
        <v>81</v>
      </c>
      <c r="DY7" s="259"/>
      <c r="DZ7" s="259" t="s">
        <v>81</v>
      </c>
      <c r="EA7" s="259"/>
      <c r="EB7" s="259" t="s">
        <v>81</v>
      </c>
      <c r="EC7" s="259"/>
      <c r="ED7" s="259" t="s">
        <v>81</v>
      </c>
      <c r="EE7" s="259"/>
      <c r="EF7" s="259" t="s">
        <v>81</v>
      </c>
      <c r="EG7" s="259"/>
      <c r="EH7" s="259" t="s">
        <v>81</v>
      </c>
      <c r="EI7" s="259"/>
      <c r="EJ7" s="259" t="s">
        <v>81</v>
      </c>
      <c r="EK7" s="259"/>
      <c r="EL7" s="257" t="s">
        <v>93</v>
      </c>
      <c r="EM7" s="257"/>
      <c r="EN7" s="257" t="s">
        <v>93</v>
      </c>
      <c r="EO7" s="257"/>
      <c r="EP7" s="257" t="s">
        <v>93</v>
      </c>
      <c r="EQ7" s="257"/>
      <c r="ER7" s="255" t="s">
        <v>91</v>
      </c>
      <c r="ES7" s="255"/>
      <c r="ET7" s="255" t="s">
        <v>91</v>
      </c>
      <c r="EU7" s="255"/>
      <c r="EV7" s="255" t="s">
        <v>91</v>
      </c>
      <c r="EW7" s="255"/>
      <c r="EX7" s="256" t="s">
        <v>92</v>
      </c>
      <c r="EY7" s="256"/>
      <c r="EZ7" s="258" t="s">
        <v>94</v>
      </c>
      <c r="FA7" s="258"/>
      <c r="FB7" s="258" t="s">
        <v>94</v>
      </c>
      <c r="FC7" s="258"/>
      <c r="FD7" s="258" t="s">
        <v>94</v>
      </c>
      <c r="FE7" s="258"/>
      <c r="FF7" s="256" t="s">
        <v>92</v>
      </c>
      <c r="FG7" s="256"/>
      <c r="FH7" s="256" t="s">
        <v>92</v>
      </c>
      <c r="FI7" s="256"/>
      <c r="FJ7" s="256" t="s">
        <v>92</v>
      </c>
      <c r="FK7" s="256"/>
      <c r="FL7" s="256" t="s">
        <v>92</v>
      </c>
      <c r="FM7" s="256"/>
    </row>
    <row r="8" spans="1:169" s="24" customFormat="1" ht="30" customHeight="1">
      <c r="B8" s="268"/>
      <c r="C8" s="268"/>
      <c r="D8" s="269" t="s">
        <v>277</v>
      </c>
      <c r="E8" s="270"/>
      <c r="F8" s="268"/>
      <c r="G8" s="268"/>
      <c r="H8" s="269" t="s">
        <v>278</v>
      </c>
      <c r="I8" s="270"/>
      <c r="J8" s="269" t="s">
        <v>279</v>
      </c>
      <c r="K8" s="270"/>
      <c r="L8" s="268"/>
      <c r="M8" s="268"/>
      <c r="N8" s="268"/>
      <c r="O8" s="268"/>
      <c r="P8" s="269" t="s">
        <v>280</v>
      </c>
      <c r="Q8" s="270"/>
      <c r="R8" s="269" t="s">
        <v>281</v>
      </c>
      <c r="S8" s="270"/>
      <c r="T8" s="268"/>
      <c r="U8" s="268"/>
      <c r="V8" s="269" t="s">
        <v>282</v>
      </c>
      <c r="W8" s="270"/>
      <c r="X8" s="269" t="s">
        <v>283</v>
      </c>
      <c r="Y8" s="270"/>
      <c r="Z8" s="269" t="s">
        <v>284</v>
      </c>
      <c r="AA8" s="270"/>
      <c r="AB8" s="269" t="s">
        <v>285</v>
      </c>
      <c r="AC8" s="270"/>
      <c r="AD8" s="268"/>
      <c r="AE8" s="268"/>
      <c r="AF8" s="269" t="s">
        <v>286</v>
      </c>
      <c r="AG8" s="270"/>
      <c r="AH8" s="269" t="s">
        <v>287</v>
      </c>
      <c r="AI8" s="270"/>
      <c r="AJ8" s="269" t="s">
        <v>288</v>
      </c>
      <c r="AK8" s="270"/>
      <c r="AL8" s="269" t="s">
        <v>289</v>
      </c>
      <c r="AM8" s="270"/>
      <c r="AN8" s="269" t="s">
        <v>290</v>
      </c>
      <c r="AO8" s="270"/>
      <c r="AP8" s="269" t="s">
        <v>291</v>
      </c>
      <c r="AQ8" s="270"/>
      <c r="AR8" s="269" t="s">
        <v>292</v>
      </c>
      <c r="AS8" s="270"/>
      <c r="AT8" s="269" t="s">
        <v>293</v>
      </c>
      <c r="AU8" s="270"/>
      <c r="AV8" s="269" t="s">
        <v>294</v>
      </c>
      <c r="AW8" s="270"/>
      <c r="AX8" s="269" t="s">
        <v>295</v>
      </c>
      <c r="AY8" s="270"/>
      <c r="AZ8" s="269" t="s">
        <v>296</v>
      </c>
      <c r="BA8" s="270"/>
      <c r="BB8" s="269" t="s">
        <v>297</v>
      </c>
      <c r="BC8" s="270"/>
      <c r="BD8" s="269"/>
      <c r="BE8" s="270"/>
      <c r="BF8" s="268"/>
      <c r="BG8" s="268"/>
      <c r="BH8" s="269" t="s">
        <v>298</v>
      </c>
      <c r="BI8" s="270"/>
      <c r="BJ8" s="269" t="s">
        <v>299</v>
      </c>
      <c r="BK8" s="270"/>
      <c r="BL8" s="269" t="s">
        <v>300</v>
      </c>
      <c r="BM8" s="270"/>
      <c r="BN8" s="269" t="s">
        <v>301</v>
      </c>
      <c r="BO8" s="270"/>
      <c r="BP8" s="269" t="s">
        <v>302</v>
      </c>
      <c r="BQ8" s="270"/>
      <c r="BR8" s="269" t="s">
        <v>303</v>
      </c>
      <c r="BS8" s="270"/>
      <c r="BT8" s="269" t="s">
        <v>304</v>
      </c>
      <c r="BU8" s="270"/>
      <c r="BV8" s="269" t="s">
        <v>305</v>
      </c>
      <c r="BW8" s="270"/>
      <c r="BX8" s="269" t="s">
        <v>306</v>
      </c>
      <c r="BY8" s="270"/>
      <c r="BZ8" s="268"/>
      <c r="CA8" s="268"/>
      <c r="CB8" s="268"/>
      <c r="CC8" s="268"/>
      <c r="CD8" s="268"/>
      <c r="CE8" s="268"/>
      <c r="CF8" s="268"/>
      <c r="CG8" s="268"/>
      <c r="CH8" s="269" t="s">
        <v>307</v>
      </c>
      <c r="CI8" s="270"/>
      <c r="CJ8" s="269" t="s">
        <v>308</v>
      </c>
      <c r="CK8" s="270"/>
      <c r="CL8" s="269" t="s">
        <v>309</v>
      </c>
      <c r="CM8" s="270"/>
      <c r="CN8" s="268"/>
      <c r="CO8" s="268"/>
      <c r="CP8" s="269" t="s">
        <v>310</v>
      </c>
      <c r="CQ8" s="270"/>
      <c r="CR8" s="269" t="s">
        <v>311</v>
      </c>
      <c r="CS8" s="270"/>
      <c r="CT8" s="269" t="s">
        <v>312</v>
      </c>
      <c r="CU8" s="270"/>
      <c r="CV8" s="269" t="s">
        <v>313</v>
      </c>
      <c r="CW8" s="270"/>
      <c r="CX8" s="269" t="s">
        <v>314</v>
      </c>
      <c r="CY8" s="270"/>
      <c r="CZ8" s="269" t="s">
        <v>315</v>
      </c>
      <c r="DA8" s="270"/>
      <c r="DB8" s="268"/>
      <c r="DC8" s="268"/>
      <c r="DD8" s="269" t="s">
        <v>316</v>
      </c>
      <c r="DE8" s="270"/>
      <c r="DF8" s="269" t="s">
        <v>317</v>
      </c>
      <c r="DG8" s="270"/>
      <c r="DH8" s="269" t="s">
        <v>318</v>
      </c>
      <c r="DI8" s="270"/>
      <c r="DJ8" s="269" t="s">
        <v>319</v>
      </c>
      <c r="DK8" s="270"/>
      <c r="DL8" s="269" t="s">
        <v>320</v>
      </c>
      <c r="DM8" s="270"/>
      <c r="DN8" s="269" t="s">
        <v>321</v>
      </c>
      <c r="DO8" s="270"/>
      <c r="DP8" s="269" t="s">
        <v>322</v>
      </c>
      <c r="DQ8" s="270"/>
      <c r="DR8" s="269" t="s">
        <v>323</v>
      </c>
      <c r="DS8" s="270"/>
      <c r="DT8" s="269" t="s">
        <v>324</v>
      </c>
      <c r="DU8" s="270"/>
      <c r="DV8" s="269" t="s">
        <v>325</v>
      </c>
      <c r="DW8" s="270"/>
      <c r="DX8" s="269" t="s">
        <v>326</v>
      </c>
      <c r="DY8" s="270"/>
      <c r="DZ8" s="269" t="s">
        <v>327</v>
      </c>
      <c r="EA8" s="270"/>
      <c r="EB8" s="269" t="s">
        <v>328</v>
      </c>
      <c r="EC8" s="270"/>
      <c r="ED8" s="269" t="s">
        <v>329</v>
      </c>
      <c r="EE8" s="270"/>
      <c r="EF8" s="269" t="s">
        <v>330</v>
      </c>
      <c r="EG8" s="270"/>
      <c r="EH8" s="269" t="s">
        <v>331</v>
      </c>
      <c r="EI8" s="270"/>
      <c r="EJ8" s="269" t="s">
        <v>332</v>
      </c>
      <c r="EK8" s="270"/>
      <c r="EL8" s="269" t="s">
        <v>333</v>
      </c>
      <c r="EM8" s="270"/>
      <c r="EN8" s="269" t="s">
        <v>334</v>
      </c>
      <c r="EO8" s="270"/>
      <c r="EP8" s="269" t="s">
        <v>335</v>
      </c>
      <c r="EQ8" s="270"/>
      <c r="ER8" s="269" t="s">
        <v>336</v>
      </c>
      <c r="ES8" s="270"/>
      <c r="ET8" s="269" t="s">
        <v>337</v>
      </c>
      <c r="EU8" s="270"/>
      <c r="EV8" s="269" t="s">
        <v>338</v>
      </c>
      <c r="EW8" s="270"/>
      <c r="EX8" s="269" t="s">
        <v>339</v>
      </c>
      <c r="EY8" s="270"/>
      <c r="EZ8" s="269" t="s">
        <v>340</v>
      </c>
      <c r="FA8" s="270"/>
      <c r="FB8" s="269" t="s">
        <v>341</v>
      </c>
      <c r="FC8" s="270"/>
      <c r="FD8" s="269" t="s">
        <v>342</v>
      </c>
      <c r="FE8" s="270"/>
      <c r="FF8" s="269" t="s">
        <v>343</v>
      </c>
      <c r="FG8" s="270"/>
      <c r="FH8" s="269" t="s">
        <v>344</v>
      </c>
      <c r="FI8" s="270"/>
      <c r="FJ8" s="269" t="s">
        <v>345</v>
      </c>
      <c r="FK8" s="270"/>
      <c r="FL8" s="269" t="s">
        <v>346</v>
      </c>
      <c r="FM8" s="270"/>
    </row>
    <row r="9" spans="1:169" s="85" customFormat="1" ht="50.1" customHeight="1">
      <c r="A9" s="114" t="s">
        <v>98</v>
      </c>
      <c r="B9" s="114" t="s">
        <v>99</v>
      </c>
      <c r="C9" s="114" t="s">
        <v>100</v>
      </c>
      <c r="D9" s="114" t="s">
        <v>99</v>
      </c>
      <c r="E9" s="114" t="s">
        <v>100</v>
      </c>
      <c r="F9" s="114" t="s">
        <v>99</v>
      </c>
      <c r="G9" s="114" t="s">
        <v>100</v>
      </c>
      <c r="H9" s="114" t="s">
        <v>99</v>
      </c>
      <c r="I9" s="114" t="s">
        <v>100</v>
      </c>
      <c r="J9" s="114" t="s">
        <v>99</v>
      </c>
      <c r="K9" s="114" t="s">
        <v>100</v>
      </c>
      <c r="L9" s="114" t="s">
        <v>99</v>
      </c>
      <c r="M9" s="114" t="s">
        <v>100</v>
      </c>
      <c r="N9" s="114" t="s">
        <v>99</v>
      </c>
      <c r="O9" s="114" t="s">
        <v>100</v>
      </c>
      <c r="P9" s="114" t="s">
        <v>99</v>
      </c>
      <c r="Q9" s="114" t="s">
        <v>100</v>
      </c>
      <c r="R9" s="114" t="s">
        <v>99</v>
      </c>
      <c r="S9" s="114" t="s">
        <v>100</v>
      </c>
      <c r="T9" s="114" t="s">
        <v>99</v>
      </c>
      <c r="U9" s="114" t="s">
        <v>100</v>
      </c>
      <c r="V9" s="114" t="s">
        <v>99</v>
      </c>
      <c r="W9" s="114" t="s">
        <v>100</v>
      </c>
      <c r="X9" s="114" t="s">
        <v>99</v>
      </c>
      <c r="Y9" s="114" t="s">
        <v>100</v>
      </c>
      <c r="Z9" s="114" t="s">
        <v>99</v>
      </c>
      <c r="AA9" s="114" t="s">
        <v>100</v>
      </c>
      <c r="AB9" s="114" t="s">
        <v>99</v>
      </c>
      <c r="AC9" s="114" t="s">
        <v>100</v>
      </c>
      <c r="AD9" s="114" t="s">
        <v>99</v>
      </c>
      <c r="AE9" s="114" t="s">
        <v>100</v>
      </c>
      <c r="AF9" s="114" t="s">
        <v>99</v>
      </c>
      <c r="AG9" s="114" t="s">
        <v>100</v>
      </c>
      <c r="AH9" s="114" t="s">
        <v>99</v>
      </c>
      <c r="AI9" s="114" t="s">
        <v>100</v>
      </c>
      <c r="AJ9" s="114" t="s">
        <v>99</v>
      </c>
      <c r="AK9" s="114" t="s">
        <v>100</v>
      </c>
      <c r="AL9" s="114" t="s">
        <v>99</v>
      </c>
      <c r="AM9" s="114" t="s">
        <v>100</v>
      </c>
      <c r="AN9" s="114" t="s">
        <v>99</v>
      </c>
      <c r="AO9" s="114" t="s">
        <v>100</v>
      </c>
      <c r="AP9" s="114" t="s">
        <v>99</v>
      </c>
      <c r="AQ9" s="114" t="s">
        <v>100</v>
      </c>
      <c r="AR9" s="114" t="s">
        <v>99</v>
      </c>
      <c r="AS9" s="114" t="s">
        <v>100</v>
      </c>
      <c r="AT9" s="114" t="s">
        <v>99</v>
      </c>
      <c r="AU9" s="114" t="s">
        <v>100</v>
      </c>
      <c r="AV9" s="114" t="s">
        <v>99</v>
      </c>
      <c r="AW9" s="114" t="s">
        <v>100</v>
      </c>
      <c r="AX9" s="114" t="s">
        <v>99</v>
      </c>
      <c r="AY9" s="114" t="s">
        <v>100</v>
      </c>
      <c r="AZ9" s="114" t="s">
        <v>99</v>
      </c>
      <c r="BA9" s="114" t="s">
        <v>100</v>
      </c>
      <c r="BB9" s="114" t="s">
        <v>99</v>
      </c>
      <c r="BC9" s="114" t="s">
        <v>100</v>
      </c>
      <c r="BD9" s="114" t="s">
        <v>99</v>
      </c>
      <c r="BE9" s="114" t="s">
        <v>100</v>
      </c>
      <c r="BF9" s="114" t="s">
        <v>99</v>
      </c>
      <c r="BG9" s="114" t="s">
        <v>100</v>
      </c>
      <c r="BH9" s="114" t="s">
        <v>99</v>
      </c>
      <c r="BI9" s="114" t="s">
        <v>100</v>
      </c>
      <c r="BJ9" s="114" t="s">
        <v>99</v>
      </c>
      <c r="BK9" s="114" t="s">
        <v>100</v>
      </c>
      <c r="BL9" s="114" t="s">
        <v>99</v>
      </c>
      <c r="BM9" s="114" t="s">
        <v>100</v>
      </c>
      <c r="BN9" s="114" t="s">
        <v>99</v>
      </c>
      <c r="BO9" s="114" t="s">
        <v>100</v>
      </c>
      <c r="BP9" s="114" t="s">
        <v>99</v>
      </c>
      <c r="BQ9" s="114" t="s">
        <v>100</v>
      </c>
      <c r="BR9" s="114" t="s">
        <v>99</v>
      </c>
      <c r="BS9" s="114" t="s">
        <v>100</v>
      </c>
      <c r="BT9" s="114" t="s">
        <v>99</v>
      </c>
      <c r="BU9" s="114" t="s">
        <v>100</v>
      </c>
      <c r="BV9" s="114" t="s">
        <v>99</v>
      </c>
      <c r="BW9" s="114" t="s">
        <v>100</v>
      </c>
      <c r="BX9" s="114" t="s">
        <v>99</v>
      </c>
      <c r="BY9" s="114" t="s">
        <v>100</v>
      </c>
      <c r="BZ9" s="114" t="s">
        <v>99</v>
      </c>
      <c r="CA9" s="114" t="s">
        <v>100</v>
      </c>
      <c r="CB9" s="114" t="s">
        <v>99</v>
      </c>
      <c r="CC9" s="114" t="s">
        <v>100</v>
      </c>
      <c r="CD9" s="114" t="s">
        <v>99</v>
      </c>
      <c r="CE9" s="114" t="s">
        <v>100</v>
      </c>
      <c r="CF9" s="114" t="s">
        <v>99</v>
      </c>
      <c r="CG9" s="114" t="s">
        <v>100</v>
      </c>
      <c r="CH9" s="114" t="s">
        <v>99</v>
      </c>
      <c r="CI9" s="114" t="s">
        <v>100</v>
      </c>
      <c r="CJ9" s="114" t="s">
        <v>99</v>
      </c>
      <c r="CK9" s="114" t="s">
        <v>100</v>
      </c>
      <c r="CL9" s="114" t="s">
        <v>99</v>
      </c>
      <c r="CM9" s="114" t="s">
        <v>100</v>
      </c>
      <c r="CN9" s="114" t="s">
        <v>99</v>
      </c>
      <c r="CO9" s="114" t="s">
        <v>100</v>
      </c>
      <c r="CP9" s="114" t="s">
        <v>99</v>
      </c>
      <c r="CQ9" s="114" t="s">
        <v>100</v>
      </c>
      <c r="CR9" s="114" t="s">
        <v>99</v>
      </c>
      <c r="CS9" s="114" t="s">
        <v>100</v>
      </c>
      <c r="CT9" s="114" t="s">
        <v>99</v>
      </c>
      <c r="CU9" s="114" t="s">
        <v>100</v>
      </c>
      <c r="CV9" s="114" t="s">
        <v>99</v>
      </c>
      <c r="CW9" s="114" t="s">
        <v>100</v>
      </c>
      <c r="CX9" s="114" t="s">
        <v>99</v>
      </c>
      <c r="CY9" s="114" t="s">
        <v>100</v>
      </c>
      <c r="CZ9" s="114" t="s">
        <v>99</v>
      </c>
      <c r="DA9" s="114" t="s">
        <v>100</v>
      </c>
      <c r="DB9" s="114" t="s">
        <v>99</v>
      </c>
      <c r="DC9" s="114" t="s">
        <v>100</v>
      </c>
      <c r="DD9" s="114" t="s">
        <v>99</v>
      </c>
      <c r="DE9" s="114" t="s">
        <v>100</v>
      </c>
      <c r="DF9" s="114" t="s">
        <v>99</v>
      </c>
      <c r="DG9" s="114" t="s">
        <v>100</v>
      </c>
      <c r="DH9" s="114" t="s">
        <v>99</v>
      </c>
      <c r="DI9" s="114" t="s">
        <v>100</v>
      </c>
      <c r="DJ9" s="114" t="s">
        <v>99</v>
      </c>
      <c r="DK9" s="114" t="s">
        <v>100</v>
      </c>
      <c r="DL9" s="114" t="s">
        <v>99</v>
      </c>
      <c r="DM9" s="114" t="s">
        <v>100</v>
      </c>
      <c r="DN9" s="114" t="s">
        <v>99</v>
      </c>
      <c r="DO9" s="114" t="s">
        <v>100</v>
      </c>
      <c r="DP9" s="114" t="s">
        <v>99</v>
      </c>
      <c r="DQ9" s="114" t="s">
        <v>100</v>
      </c>
      <c r="DR9" s="114" t="s">
        <v>99</v>
      </c>
      <c r="DS9" s="114" t="s">
        <v>100</v>
      </c>
      <c r="DT9" s="114" t="s">
        <v>99</v>
      </c>
      <c r="DU9" s="114" t="s">
        <v>100</v>
      </c>
      <c r="DV9" s="114" t="s">
        <v>99</v>
      </c>
      <c r="DW9" s="114" t="s">
        <v>100</v>
      </c>
      <c r="DX9" s="114" t="s">
        <v>99</v>
      </c>
      <c r="DY9" s="114" t="s">
        <v>100</v>
      </c>
      <c r="DZ9" s="114" t="s">
        <v>99</v>
      </c>
      <c r="EA9" s="114" t="s">
        <v>100</v>
      </c>
      <c r="EB9" s="114" t="s">
        <v>99</v>
      </c>
      <c r="EC9" s="114" t="s">
        <v>100</v>
      </c>
      <c r="ED9" s="114" t="s">
        <v>99</v>
      </c>
      <c r="EE9" s="114" t="s">
        <v>100</v>
      </c>
      <c r="EF9" s="114" t="s">
        <v>99</v>
      </c>
      <c r="EG9" s="114" t="s">
        <v>100</v>
      </c>
      <c r="EH9" s="114" t="s">
        <v>99</v>
      </c>
      <c r="EI9" s="114" t="s">
        <v>100</v>
      </c>
      <c r="EJ9" s="114" t="s">
        <v>99</v>
      </c>
      <c r="EK9" s="114" t="s">
        <v>100</v>
      </c>
      <c r="EL9" s="114" t="s">
        <v>99</v>
      </c>
      <c r="EM9" s="114" t="s">
        <v>100</v>
      </c>
      <c r="EN9" s="114" t="s">
        <v>99</v>
      </c>
      <c r="EO9" s="114" t="s">
        <v>100</v>
      </c>
      <c r="EP9" s="114" t="s">
        <v>99</v>
      </c>
      <c r="EQ9" s="114" t="s">
        <v>100</v>
      </c>
      <c r="ER9" s="114" t="s">
        <v>99</v>
      </c>
      <c r="ES9" s="114" t="s">
        <v>100</v>
      </c>
      <c r="ET9" s="114" t="s">
        <v>99</v>
      </c>
      <c r="EU9" s="114" t="s">
        <v>100</v>
      </c>
      <c r="EV9" s="114" t="s">
        <v>99</v>
      </c>
      <c r="EW9" s="114" t="s">
        <v>100</v>
      </c>
      <c r="EX9" s="114" t="s">
        <v>99</v>
      </c>
      <c r="EY9" s="114" t="s">
        <v>100</v>
      </c>
      <c r="EZ9" s="114" t="s">
        <v>99</v>
      </c>
      <c r="FA9" s="114" t="s">
        <v>100</v>
      </c>
      <c r="FB9" s="114" t="s">
        <v>99</v>
      </c>
      <c r="FC9" s="114" t="s">
        <v>100</v>
      </c>
      <c r="FD9" s="114" t="s">
        <v>99</v>
      </c>
      <c r="FE9" s="114" t="s">
        <v>100</v>
      </c>
      <c r="FF9" s="114" t="s">
        <v>99</v>
      </c>
      <c r="FG9" s="114" t="s">
        <v>100</v>
      </c>
      <c r="FH9" s="114" t="s">
        <v>99</v>
      </c>
      <c r="FI9" s="114" t="s">
        <v>100</v>
      </c>
      <c r="FJ9" s="114" t="s">
        <v>99</v>
      </c>
      <c r="FK9" s="114" t="s">
        <v>100</v>
      </c>
      <c r="FL9" s="114" t="s">
        <v>99</v>
      </c>
      <c r="FM9" s="114" t="s">
        <v>100</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3" t="s">
        <v>347</v>
      </c>
      <c r="D2" s="273"/>
      <c r="E2" s="273" t="s">
        <v>348</v>
      </c>
      <c r="F2" s="273"/>
      <c r="G2" s="273" t="s">
        <v>349</v>
      </c>
      <c r="H2" s="273"/>
      <c r="I2" s="273" t="s">
        <v>350</v>
      </c>
      <c r="J2" s="273"/>
      <c r="K2" s="273" t="s">
        <v>351</v>
      </c>
      <c r="L2" s="273"/>
      <c r="M2" s="273" t="s">
        <v>352</v>
      </c>
      <c r="N2" s="273"/>
      <c r="O2" s="273" t="s">
        <v>353</v>
      </c>
      <c r="P2" s="273"/>
      <c r="Q2" s="273" t="s">
        <v>354</v>
      </c>
      <c r="R2" s="273"/>
      <c r="S2" s="273" t="s">
        <v>355</v>
      </c>
      <c r="T2" s="273"/>
      <c r="V2" s="273" t="s">
        <v>356</v>
      </c>
      <c r="W2" s="273"/>
      <c r="X2" s="273" t="s">
        <v>357</v>
      </c>
      <c r="Y2" s="273"/>
      <c r="Z2" s="273" t="s">
        <v>358</v>
      </c>
      <c r="AA2" s="273"/>
      <c r="AB2" s="273" t="s">
        <v>359</v>
      </c>
      <c r="AC2" s="273"/>
      <c r="AD2" s="273" t="s">
        <v>360</v>
      </c>
      <c r="AE2" s="273"/>
      <c r="AF2" s="273" t="s">
        <v>361</v>
      </c>
      <c r="AG2" s="273"/>
      <c r="AH2" s="273" t="s">
        <v>362</v>
      </c>
      <c r="AI2" s="273"/>
      <c r="AJ2" s="273" t="s">
        <v>363</v>
      </c>
      <c r="AK2" s="273"/>
      <c r="AL2" s="273" t="s">
        <v>364</v>
      </c>
      <c r="AM2" s="273"/>
      <c r="AO2" s="273" t="s">
        <v>365</v>
      </c>
      <c r="AP2" s="273"/>
      <c r="AQ2" s="273" t="s">
        <v>366</v>
      </c>
      <c r="AR2" s="273"/>
      <c r="AS2" s="273" t="s">
        <v>367</v>
      </c>
      <c r="AT2" s="273"/>
      <c r="AU2" s="273" t="s">
        <v>368</v>
      </c>
      <c r="AV2" s="273"/>
      <c r="AW2" s="273" t="s">
        <v>369</v>
      </c>
      <c r="AX2" s="273"/>
      <c r="AY2" s="273" t="s">
        <v>370</v>
      </c>
      <c r="AZ2" s="273"/>
      <c r="BA2" s="273" t="s">
        <v>371</v>
      </c>
      <c r="BB2" s="273"/>
      <c r="BC2" s="273" t="s">
        <v>372</v>
      </c>
      <c r="BD2" s="273"/>
      <c r="BE2" s="273" t="s">
        <v>373</v>
      </c>
      <c r="BF2" s="273"/>
      <c r="BH2" s="273" t="s">
        <v>103</v>
      </c>
      <c r="BI2" s="273"/>
      <c r="BJ2" s="273" t="s">
        <v>374</v>
      </c>
      <c r="BK2" s="273"/>
      <c r="BL2" s="273" t="s">
        <v>375</v>
      </c>
      <c r="BM2" s="273"/>
      <c r="BN2" s="273" t="s">
        <v>376</v>
      </c>
      <c r="BO2" s="273"/>
      <c r="BP2" s="273" t="s">
        <v>377</v>
      </c>
      <c r="BQ2" s="273"/>
      <c r="BR2" s="273" t="s">
        <v>378</v>
      </c>
      <c r="BS2" s="273"/>
      <c r="BT2" s="273" t="s">
        <v>379</v>
      </c>
      <c r="BU2" s="273"/>
      <c r="BV2" s="273" t="s">
        <v>380</v>
      </c>
      <c r="BW2" s="273"/>
      <c r="BX2" s="273" t="s">
        <v>381</v>
      </c>
      <c r="BY2" s="273"/>
      <c r="BZ2" s="273" t="s">
        <v>382</v>
      </c>
      <c r="CA2" s="273"/>
      <c r="CB2" s="273" t="s">
        <v>383</v>
      </c>
      <c r="CC2" s="273"/>
      <c r="CD2" s="273" t="s">
        <v>384</v>
      </c>
      <c r="CE2" s="273"/>
      <c r="CF2" s="273" t="s">
        <v>385</v>
      </c>
      <c r="CG2" s="273"/>
      <c r="CH2" s="273" t="s">
        <v>386</v>
      </c>
      <c r="CI2" s="273"/>
      <c r="CJ2" s="273" t="s">
        <v>387</v>
      </c>
      <c r="CK2" s="273"/>
      <c r="CL2" s="273" t="s">
        <v>388</v>
      </c>
      <c r="CM2" s="273"/>
      <c r="CN2" s="273" t="s">
        <v>389</v>
      </c>
      <c r="CO2" s="273"/>
      <c r="CP2" s="273" t="s">
        <v>390</v>
      </c>
      <c r="CQ2" s="273"/>
      <c r="CR2" s="273" t="s">
        <v>391</v>
      </c>
      <c r="CS2" s="273"/>
    </row>
    <row r="3" spans="1:97" s="56" customFormat="1" ht="49.5" customHeight="1">
      <c r="A3" s="115"/>
      <c r="B3" s="70"/>
      <c r="C3" s="271"/>
      <c r="D3" s="271"/>
      <c r="E3" s="274" t="s">
        <v>110</v>
      </c>
      <c r="F3" s="274"/>
      <c r="G3" s="271"/>
      <c r="H3" s="271"/>
      <c r="I3" s="275" t="s">
        <v>112</v>
      </c>
      <c r="J3" s="275"/>
      <c r="K3" s="271"/>
      <c r="L3" s="271"/>
      <c r="M3" s="271"/>
      <c r="N3" s="271"/>
      <c r="O3" s="271"/>
      <c r="P3" s="271"/>
      <c r="Q3" s="272" t="s">
        <v>113</v>
      </c>
      <c r="R3" s="272"/>
      <c r="S3" s="271"/>
      <c r="T3" s="271"/>
      <c r="U3" s="55"/>
      <c r="V3" s="272" t="s">
        <v>108</v>
      </c>
      <c r="W3" s="272"/>
      <c r="X3" s="271"/>
      <c r="Y3" s="271"/>
      <c r="Z3" s="271"/>
      <c r="AA3" s="271"/>
      <c r="AB3" s="271"/>
      <c r="AC3" s="271"/>
      <c r="AD3" s="271"/>
      <c r="AE3" s="271"/>
      <c r="AF3" s="271"/>
      <c r="AG3" s="271"/>
      <c r="AH3" s="271"/>
      <c r="AI3" s="271"/>
      <c r="AJ3" s="271"/>
      <c r="AK3" s="271"/>
      <c r="AL3" s="271"/>
      <c r="AM3" s="271"/>
      <c r="AN3" s="55"/>
      <c r="AO3" s="274" t="s">
        <v>111</v>
      </c>
      <c r="AP3" s="274"/>
      <c r="AQ3" s="271"/>
      <c r="AR3" s="271"/>
      <c r="AS3" s="271"/>
      <c r="AT3" s="271"/>
      <c r="AU3" s="271"/>
      <c r="AV3" s="271"/>
      <c r="AW3" s="271"/>
      <c r="AX3" s="271"/>
      <c r="AY3" s="271"/>
      <c r="AZ3" s="271"/>
      <c r="BA3" s="271"/>
      <c r="BB3" s="271"/>
      <c r="BC3" s="271"/>
      <c r="BD3" s="271"/>
      <c r="BE3" s="271"/>
      <c r="BF3" s="271"/>
      <c r="BG3" s="55"/>
      <c r="BH3" s="274" t="s">
        <v>109</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98</v>
      </c>
      <c r="B4" s="72"/>
      <c r="C4" s="60" t="s">
        <v>114</v>
      </c>
      <c r="D4" s="60" t="s">
        <v>392</v>
      </c>
      <c r="E4" s="60" t="s">
        <v>114</v>
      </c>
      <c r="F4" s="60" t="s">
        <v>392</v>
      </c>
      <c r="G4" s="60" t="s">
        <v>114</v>
      </c>
      <c r="H4" s="60" t="s">
        <v>392</v>
      </c>
      <c r="I4" s="60" t="s">
        <v>114</v>
      </c>
      <c r="J4" s="60" t="s">
        <v>392</v>
      </c>
      <c r="K4" s="60" t="s">
        <v>114</v>
      </c>
      <c r="L4" s="60" t="s">
        <v>392</v>
      </c>
      <c r="M4" s="60" t="s">
        <v>114</v>
      </c>
      <c r="N4" s="60" t="s">
        <v>392</v>
      </c>
      <c r="O4" s="60" t="s">
        <v>114</v>
      </c>
      <c r="P4" s="60" t="s">
        <v>392</v>
      </c>
      <c r="Q4" s="60" t="s">
        <v>114</v>
      </c>
      <c r="R4" s="60" t="s">
        <v>392</v>
      </c>
      <c r="S4" s="60" t="s">
        <v>114</v>
      </c>
      <c r="T4" s="60" t="s">
        <v>392</v>
      </c>
      <c r="V4" s="60" t="s">
        <v>114</v>
      </c>
      <c r="W4" s="60" t="s">
        <v>392</v>
      </c>
      <c r="X4" s="60" t="s">
        <v>114</v>
      </c>
      <c r="Y4" s="60" t="s">
        <v>392</v>
      </c>
      <c r="Z4" s="60" t="s">
        <v>114</v>
      </c>
      <c r="AA4" s="60" t="s">
        <v>392</v>
      </c>
      <c r="AB4" s="60" t="s">
        <v>114</v>
      </c>
      <c r="AC4" s="60" t="s">
        <v>392</v>
      </c>
      <c r="AD4" s="60" t="s">
        <v>114</v>
      </c>
      <c r="AE4" s="60" t="s">
        <v>392</v>
      </c>
      <c r="AF4" s="60" t="s">
        <v>114</v>
      </c>
      <c r="AG4" s="60" t="s">
        <v>392</v>
      </c>
      <c r="AH4" s="60" t="s">
        <v>114</v>
      </c>
      <c r="AI4" s="60" t="s">
        <v>392</v>
      </c>
      <c r="AJ4" s="60" t="s">
        <v>114</v>
      </c>
      <c r="AK4" s="60" t="s">
        <v>392</v>
      </c>
      <c r="AL4" s="60" t="s">
        <v>114</v>
      </c>
      <c r="AM4" s="60" t="s">
        <v>392</v>
      </c>
      <c r="AO4" s="60" t="s">
        <v>114</v>
      </c>
      <c r="AP4" s="60" t="s">
        <v>392</v>
      </c>
      <c r="AQ4" s="60" t="s">
        <v>114</v>
      </c>
      <c r="AR4" s="60" t="s">
        <v>392</v>
      </c>
      <c r="AS4" s="60" t="s">
        <v>114</v>
      </c>
      <c r="AT4" s="60" t="s">
        <v>392</v>
      </c>
      <c r="AU4" s="60" t="s">
        <v>114</v>
      </c>
      <c r="AV4" s="60" t="s">
        <v>392</v>
      </c>
      <c r="AW4" s="60" t="s">
        <v>114</v>
      </c>
      <c r="AX4" s="60" t="s">
        <v>392</v>
      </c>
      <c r="AY4" s="60" t="s">
        <v>114</v>
      </c>
      <c r="AZ4" s="60" t="s">
        <v>392</v>
      </c>
      <c r="BA4" s="60" t="s">
        <v>114</v>
      </c>
      <c r="BB4" s="60" t="s">
        <v>392</v>
      </c>
      <c r="BC4" s="60" t="s">
        <v>114</v>
      </c>
      <c r="BD4" s="60" t="s">
        <v>392</v>
      </c>
      <c r="BE4" s="60" t="s">
        <v>114</v>
      </c>
      <c r="BF4" s="60" t="s">
        <v>392</v>
      </c>
      <c r="BH4" s="60" t="s">
        <v>114</v>
      </c>
      <c r="BI4" s="60" t="s">
        <v>392</v>
      </c>
      <c r="BJ4" s="60" t="s">
        <v>114</v>
      </c>
      <c r="BK4" s="60" t="s">
        <v>392</v>
      </c>
      <c r="BL4" s="60" t="s">
        <v>114</v>
      </c>
      <c r="BM4" s="60" t="s">
        <v>392</v>
      </c>
      <c r="BN4" s="60" t="s">
        <v>114</v>
      </c>
      <c r="BO4" s="60" t="s">
        <v>392</v>
      </c>
      <c r="BP4" s="60" t="s">
        <v>114</v>
      </c>
      <c r="BQ4" s="60" t="s">
        <v>392</v>
      </c>
      <c r="BR4" s="60" t="s">
        <v>114</v>
      </c>
      <c r="BS4" s="60" t="s">
        <v>392</v>
      </c>
      <c r="BT4" s="60" t="s">
        <v>114</v>
      </c>
      <c r="BU4" s="60" t="s">
        <v>392</v>
      </c>
      <c r="BV4" s="60" t="s">
        <v>114</v>
      </c>
      <c r="BW4" s="60" t="s">
        <v>392</v>
      </c>
      <c r="BX4" s="60" t="s">
        <v>114</v>
      </c>
      <c r="BY4" s="60" t="s">
        <v>392</v>
      </c>
      <c r="BZ4" s="60" t="s">
        <v>114</v>
      </c>
      <c r="CA4" s="60" t="s">
        <v>392</v>
      </c>
      <c r="CB4" s="60" t="s">
        <v>114</v>
      </c>
      <c r="CC4" s="60" t="s">
        <v>392</v>
      </c>
      <c r="CD4" s="60" t="s">
        <v>114</v>
      </c>
      <c r="CE4" s="60" t="s">
        <v>392</v>
      </c>
      <c r="CF4" s="60" t="s">
        <v>114</v>
      </c>
      <c r="CG4" s="60" t="s">
        <v>392</v>
      </c>
      <c r="CH4" s="60" t="s">
        <v>114</v>
      </c>
      <c r="CI4" s="60" t="s">
        <v>392</v>
      </c>
      <c r="CJ4" s="60" t="s">
        <v>114</v>
      </c>
      <c r="CK4" s="60" t="s">
        <v>392</v>
      </c>
      <c r="CL4" s="60" t="s">
        <v>114</v>
      </c>
      <c r="CM4" s="60" t="s">
        <v>392</v>
      </c>
      <c r="CN4" s="60" t="s">
        <v>114</v>
      </c>
      <c r="CO4" s="60" t="s">
        <v>392</v>
      </c>
      <c r="CP4" s="60" t="s">
        <v>114</v>
      </c>
      <c r="CQ4" s="60" t="s">
        <v>392</v>
      </c>
      <c r="CR4" s="60" t="s">
        <v>114</v>
      </c>
      <c r="CS4" s="60" t="s">
        <v>392</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2022-06-04T10:41:53Z</dcterms:modified>
  <cp:category/>
  <cp:contentStatus/>
</cp:coreProperties>
</file>