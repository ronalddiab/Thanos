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<sst xmlns="http://schemas.openxmlformats.org/spreadsheetml/2006/main" count="128" uniqueCount="49">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</sst>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N26" sqref="AN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 t="str">
        <f t="shared" si="16"/>
        <v>0</v>
      </c>
      <c r="R14" s="37" t="str">
        <f t="shared" si="17"/>
        <v>0</v>
      </c>
      <c r="S14" s="37" t="str">
        <f t="shared" si="15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2"/>
        <v>0</v>
      </c>
      <c r="Y14" s="37" t="str">
        <f t="shared" si="23"/>
        <v>0</v>
      </c>
      <c r="Z14" s="37" t="str">
        <f>IF((L14-L13&lt;0), "0",L14-L13)</f>
        <v>0</v>
      </c>
      <c r="AA14" s="37" t="str">
        <f t="shared" si="25"/>
        <v>0</v>
      </c>
      <c r="AB14" s="37" t="str">
        <f t="shared" si="26"/>
        <v>0</v>
      </c>
      <c r="AC14" s="37" t="str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 t="str">
        <f t="shared" si="31"/>
        <v>0</v>
      </c>
      <c r="AW14" s="35">
        <f t="shared" si="30"/>
        <v>0</v>
      </c>
    </row>
    <row r="15" spans="1:49" x14ac:dyDescent="0.25">
      <c r="A15" s="23">
        <v>44295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44296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44297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44298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44299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44300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44301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44302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44303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44304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3890</v>
      </c>
      <c r="R38" s="38">
        <f t="shared" ref="R38:AD38" si="62">SUM(R7:R37)</f>
        <v>13180</v>
      </c>
      <c r="S38" s="38">
        <f t="shared" si="62"/>
        <v>23030</v>
      </c>
      <c r="T38" s="38">
        <f t="shared" si="62"/>
        <v>10510</v>
      </c>
      <c r="U38" s="38">
        <f t="shared" si="62"/>
        <v>27560</v>
      </c>
      <c r="V38" s="38">
        <f t="shared" si="62"/>
        <v>20550</v>
      </c>
      <c r="W38" s="38">
        <f t="shared" si="62"/>
        <v>16040</v>
      </c>
      <c r="X38" s="38">
        <f t="shared" si="62"/>
        <v>21530</v>
      </c>
      <c r="Y38" s="38">
        <f t="shared" si="62"/>
        <v>31040</v>
      </c>
      <c r="Z38" s="38">
        <f t="shared" si="62"/>
        <v>18540</v>
      </c>
      <c r="AA38" s="38">
        <f t="shared" si="62"/>
        <v>23690</v>
      </c>
      <c r="AB38" s="38">
        <f t="shared" si="62"/>
        <v>46520</v>
      </c>
      <c r="AC38" s="38">
        <f t="shared" si="62"/>
        <v>72650</v>
      </c>
      <c r="AD38" s="38">
        <f t="shared" si="62"/>
        <v>328730</v>
      </c>
      <c r="AF38" s="35">
        <f t="shared" ref="AF38:AS38" si="63">SUM(AF7:AF34)</f>
        <v>19.45</v>
      </c>
      <c r="AG38" s="35">
        <f t="shared" si="63"/>
        <v>65.900000000000006</v>
      </c>
      <c r="AH38" s="35">
        <f t="shared" si="63"/>
        <v>115.14999999999999</v>
      </c>
      <c r="AI38" s="35">
        <f t="shared" si="63"/>
        <v>52.55</v>
      </c>
      <c r="AJ38" s="35">
        <f t="shared" si="63"/>
        <v>137.80000000000001</v>
      </c>
      <c r="AK38" s="35">
        <f t="shared" si="63"/>
        <v>102.75000000000001</v>
      </c>
      <c r="AL38" s="35">
        <f t="shared" si="63"/>
        <v>80.2</v>
      </c>
      <c r="AM38" s="35">
        <f t="shared" si="63"/>
        <v>107.64999999999999</v>
      </c>
      <c r="AN38" s="35">
        <f t="shared" si="63"/>
        <v>155.20000000000002</v>
      </c>
      <c r="AO38" s="35">
        <f t="shared" si="63"/>
        <v>92.7</v>
      </c>
      <c r="AP38" s="35">
        <f t="shared" si="63"/>
        <v>118.45</v>
      </c>
      <c r="AQ38" s="35">
        <f t="shared" si="63"/>
        <v>232.60000000000002</v>
      </c>
      <c r="AR38" s="35">
        <f t="shared" si="63"/>
        <v>363.25000000000006</v>
      </c>
      <c r="AS38" s="35">
        <f t="shared" si="63"/>
        <v>1643.6499999999999</v>
      </c>
      <c r="AU38" s="48"/>
      <c r="AV38" s="35">
        <f>SUM(AV7:AV34)</f>
        <v>12299</v>
      </c>
      <c r="AW38" s="35">
        <f>SUM(AW7:AW34)</f>
        <v>17.196000000000002</v>
      </c>
    </row>
    <row r="39" spans="1:49" x14ac:dyDescent="0.25">
      <c r="D39">
        <v>5.0000000000000001E-3</v>
      </c>
      <c r="AV39" s="36">
        <f>AV38*0.00378541*1000</f>
        <v>46556.757589999994</v>
      </c>
    </row>
    <row r="40" spans="1:49" x14ac:dyDescent="0.25">
      <c r="D40">
        <v>2E-3</v>
      </c>
      <c r="AV40">
        <f>AV39/31</f>
        <v>1501.8308899999997</v>
      </c>
    </row>
    <row r="41" spans="1:49" x14ac:dyDescent="0.25">
      <c r="AV41">
        <f>AV38*0.00378541</f>
        <v>46.556757589999997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2021-04-08T03:31:18Z</dcterms:modified>
</cp:coreProperties>
</file>