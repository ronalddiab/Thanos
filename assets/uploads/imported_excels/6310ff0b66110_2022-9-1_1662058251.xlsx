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ineering\Meter Readings\Meter Readings\2022\"/>
    </mc:Choice>
  </mc:AlternateContent>
  <xr:revisionPtr revIDLastSave="0" documentId="13_ncr:1_{5F629E9A-7C9D-4101-8036-05EC23B7A621}" xr6:coauthVersionLast="47" xr6:coauthVersionMax="47" xr10:uidLastSave="{00000000-0000-0000-0000-000000000000}"/>
  <bookViews>
    <workbookView xWindow="25080" yWindow="57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28" i="1" l="1"/>
  <c r="A14" i="1"/>
  <c r="V13" i="1"/>
  <c r="X13" i="1"/>
  <c r="Z13" i="1"/>
  <c r="AB13" i="1"/>
  <c r="AG13" i="1"/>
  <c r="V12" i="1"/>
  <c r="AO4" i="1"/>
  <c r="L5" i="1"/>
  <c r="J5" i="1"/>
  <c r="S4" i="1"/>
  <c r="Q4" i="1"/>
  <c r="BY4" i="1"/>
  <c r="BW4" i="1"/>
  <c r="BU4" i="1"/>
  <c r="BS4" i="1"/>
  <c r="BQ4" i="1"/>
  <c r="BO4" i="1"/>
  <c r="BM4" i="1"/>
  <c r="BK4" i="1"/>
  <c r="BI4" i="1"/>
  <c r="BD4" i="1"/>
  <c r="AZ4" i="1"/>
  <c r="AV4" i="1"/>
  <c r="AR4" i="1"/>
  <c r="AM4" i="1"/>
  <c r="AK4" i="1"/>
  <c r="AI4" i="1"/>
  <c r="AD4" i="1"/>
  <c r="AB4" i="1"/>
  <c r="Z4" i="1"/>
  <c r="X4" i="1"/>
  <c r="V4" i="1"/>
  <c r="O4" i="1"/>
  <c r="L4" i="1"/>
  <c r="J4" i="1"/>
  <c r="G4" i="1"/>
  <c r="E4" i="1"/>
  <c r="C4" i="1"/>
  <c r="BQ18" i="1"/>
  <c r="Z16" i="1"/>
  <c r="G7" i="1"/>
  <c r="E7" i="1"/>
  <c r="X18" i="1"/>
  <c r="Z18" i="1"/>
  <c r="BF4" i="1"/>
  <c r="BB4" i="1"/>
  <c r="AZ5" i="1"/>
  <c r="AX4" i="1"/>
  <c r="AT4" i="1"/>
  <c r="AG4" i="1"/>
  <c r="C34" i="1"/>
  <c r="E34" i="1"/>
  <c r="G34" i="1"/>
  <c r="J34" i="1"/>
  <c r="L34" i="1"/>
  <c r="O34" i="1"/>
  <c r="Q34" i="1"/>
  <c r="S34" i="1"/>
  <c r="V34" i="1"/>
  <c r="X34" i="1"/>
  <c r="Z34" i="1"/>
  <c r="AB34" i="1"/>
  <c r="AD34" i="1"/>
  <c r="AG34" i="1"/>
  <c r="AK34" i="1"/>
  <c r="AM34" i="1"/>
  <c r="AO34" i="1"/>
  <c r="AR34" i="1"/>
  <c r="AT34" i="1"/>
  <c r="AV34" i="1"/>
  <c r="AX34" i="1"/>
  <c r="AZ34" i="1"/>
  <c r="BB34" i="1"/>
  <c r="BD34" i="1"/>
  <c r="BF34" i="1"/>
  <c r="BI34" i="1"/>
  <c r="BK34" i="1"/>
  <c r="BM34" i="1"/>
  <c r="BO34" i="1"/>
  <c r="BQ34" i="1"/>
  <c r="BS34" i="1"/>
  <c r="BU34" i="1"/>
  <c r="BW34" i="1"/>
  <c r="BY34" i="1"/>
  <c r="A5" i="1"/>
  <c r="A6" i="1" s="1"/>
  <c r="A7" i="1" s="1"/>
  <c r="A8" i="1" s="1"/>
  <c r="A9" i="1" s="1"/>
  <c r="A10" i="1" s="1"/>
  <c r="A11" i="1" s="1"/>
  <c r="A12" i="1" s="1"/>
  <c r="A13" i="1" s="1"/>
  <c r="BS31" i="1"/>
  <c r="BU31" i="1"/>
  <c r="BW31" i="1"/>
  <c r="G22" i="1"/>
  <c r="G21" i="1"/>
  <c r="AT21" i="1"/>
  <c r="AV21" i="1"/>
  <c r="AX21" i="1"/>
  <c r="AZ21" i="1"/>
  <c r="AB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19" i="1"/>
  <c r="AI18" i="1"/>
  <c r="C17" i="1"/>
  <c r="C13" i="1"/>
  <c r="BY6" i="1"/>
  <c r="BY5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2" i="1"/>
  <c r="BW33" i="1"/>
  <c r="BW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2" i="1"/>
  <c r="BU33" i="1"/>
  <c r="BU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2" i="1"/>
  <c r="BS33" i="1"/>
  <c r="BS5" i="1"/>
  <c r="BQ6" i="1"/>
  <c r="BQ7" i="1"/>
  <c r="BQ8" i="1"/>
  <c r="BQ9" i="1"/>
  <c r="BQ10" i="1"/>
  <c r="BQ11" i="1"/>
  <c r="BQ12" i="1"/>
  <c r="BQ13" i="1"/>
  <c r="BQ14" i="1"/>
  <c r="BQ15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9" i="1"/>
  <c r="BO30" i="1"/>
  <c r="BO31" i="1"/>
  <c r="BO32" i="1"/>
  <c r="BO33" i="1"/>
  <c r="BO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5" i="1"/>
  <c r="L10" i="1"/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BQ16" i="1"/>
  <c r="BQ17" i="1"/>
  <c r="BY36" i="1"/>
  <c r="BY38" i="1" s="1"/>
  <c r="BY39" i="1" s="1"/>
  <c r="BW36" i="1"/>
  <c r="BW38" i="1" s="1"/>
  <c r="BW39" i="1" s="1"/>
  <c r="BU36" i="1"/>
  <c r="BU38" i="1" s="1"/>
  <c r="BU39" i="1" s="1"/>
  <c r="BS36" i="1"/>
  <c r="BS38" i="1" s="1"/>
  <c r="BS39" i="1" s="1"/>
  <c r="BO36" i="1"/>
  <c r="BO38" i="1" s="1"/>
  <c r="BO39" i="1" s="1"/>
  <c r="BM36" i="1"/>
  <c r="BM38" i="1" s="1"/>
  <c r="BM39" i="1" s="1"/>
  <c r="BK36" i="1"/>
  <c r="BK38" i="1" s="1"/>
  <c r="BK39" i="1" s="1"/>
  <c r="BI36" i="1"/>
  <c r="BI38" i="1" s="1"/>
  <c r="BI39" i="1" s="1"/>
  <c r="AB5" i="1"/>
  <c r="BF5" i="1"/>
  <c r="BD5" i="1"/>
  <c r="BB5" i="1"/>
  <c r="AX5" i="1"/>
  <c r="AV5" i="1"/>
  <c r="AT5" i="1"/>
  <c r="AR6" i="1"/>
  <c r="AR10" i="1"/>
  <c r="AD5" i="1"/>
  <c r="BQ36" i="1" l="1"/>
  <c r="BQ38" i="1" s="1"/>
  <c r="BQ39" i="1" s="1"/>
  <c r="AE38" i="1"/>
  <c r="O5" i="1"/>
  <c r="C5" i="1"/>
  <c r="C33" i="1" l="1"/>
  <c r="AB20" i="1"/>
  <c r="AB30" i="1"/>
  <c r="E24" i="1"/>
  <c r="BF22" i="1"/>
  <c r="C15" i="1"/>
  <c r="AB14" i="1"/>
  <c r="AB17" i="1"/>
  <c r="AB16" i="1"/>
  <c r="AB15" i="1"/>
  <c r="AM10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3" i="1"/>
  <c r="BF24" i="1"/>
  <c r="BF25" i="1"/>
  <c r="BF26" i="1"/>
  <c r="BF27" i="1"/>
  <c r="BF28" i="1"/>
  <c r="BF29" i="1"/>
  <c r="BF30" i="1"/>
  <c r="BF31" i="1"/>
  <c r="BF32" i="1"/>
  <c r="BF33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AZ6" i="1"/>
  <c r="AZ7" i="1"/>
  <c r="AZ8" i="1"/>
  <c r="AZ9" i="1"/>
  <c r="AZ10" i="1"/>
  <c r="AZ11" i="1"/>
  <c r="AZ12" i="1"/>
  <c r="AZ13" i="1"/>
  <c r="AZ14" i="1"/>
  <c r="AZ15" i="1"/>
  <c r="AZ16" i="1"/>
  <c r="AZ19" i="1"/>
  <c r="AZ20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R7" i="1"/>
  <c r="AR8" i="1"/>
  <c r="AR9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B6" i="1"/>
  <c r="AB7" i="1"/>
  <c r="AB8" i="1"/>
  <c r="AB9" i="1"/>
  <c r="AB10" i="1"/>
  <c r="AB11" i="1"/>
  <c r="AB12" i="1"/>
  <c r="AB18" i="1"/>
  <c r="AB23" i="1"/>
  <c r="AB24" i="1"/>
  <c r="AB25" i="1"/>
  <c r="AB26" i="1"/>
  <c r="AB27" i="1"/>
  <c r="AB28" i="1"/>
  <c r="AB29" i="1"/>
  <c r="AB32" i="1"/>
  <c r="AB33" i="1"/>
  <c r="Z6" i="1"/>
  <c r="Z7" i="1"/>
  <c r="Z8" i="1"/>
  <c r="Z9" i="1"/>
  <c r="Z10" i="1"/>
  <c r="Z11" i="1"/>
  <c r="Z12" i="1"/>
  <c r="Z14" i="1"/>
  <c r="Z15" i="1"/>
  <c r="Z17" i="1"/>
  <c r="Z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5" i="1"/>
  <c r="AM6" i="1"/>
  <c r="AM7" i="1"/>
  <c r="AM8" i="1"/>
  <c r="AM9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5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30" i="1"/>
  <c r="AK31" i="1"/>
  <c r="AK32" i="1"/>
  <c r="AK33" i="1"/>
  <c r="AK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AG6" i="1"/>
  <c r="AG7" i="1"/>
  <c r="AG8" i="1"/>
  <c r="AG9" i="1"/>
  <c r="AG10" i="1"/>
  <c r="AG11" i="1"/>
  <c r="AG12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5" i="1"/>
  <c r="X6" i="1"/>
  <c r="X7" i="1"/>
  <c r="X8" i="1"/>
  <c r="X9" i="1"/>
  <c r="X10" i="1"/>
  <c r="X11" i="1"/>
  <c r="X12" i="1"/>
  <c r="X14" i="1"/>
  <c r="X15" i="1"/>
  <c r="X16" i="1"/>
  <c r="X17" i="1"/>
  <c r="X5" i="1"/>
  <c r="V6" i="1"/>
  <c r="V7" i="1"/>
  <c r="V8" i="1"/>
  <c r="V9" i="1"/>
  <c r="V10" i="1"/>
  <c r="V11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5" i="1"/>
  <c r="Q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3" i="1"/>
  <c r="G24" i="1"/>
  <c r="G25" i="1"/>
  <c r="G26" i="1"/>
  <c r="G27" i="1"/>
  <c r="G28" i="1"/>
  <c r="G29" i="1"/>
  <c r="G30" i="1"/>
  <c r="G31" i="1"/>
  <c r="G32" i="1"/>
  <c r="G33" i="1"/>
  <c r="G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31" i="1"/>
  <c r="E32" i="1"/>
  <c r="E33" i="1"/>
  <c r="E5" i="1"/>
  <c r="C6" i="1"/>
  <c r="C7" i="1"/>
  <c r="C8" i="1"/>
  <c r="C9" i="1"/>
  <c r="C10" i="1"/>
  <c r="C11" i="1"/>
  <c r="C12" i="1"/>
  <c r="C14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O36" i="1" l="1"/>
  <c r="O38" i="1" s="1"/>
  <c r="O39" i="1" s="1"/>
  <c r="AO36" i="1"/>
  <c r="AO38" i="1" s="1"/>
  <c r="AO39" i="1" s="1"/>
  <c r="C36" i="1"/>
  <c r="C38" i="1" s="1"/>
  <c r="C39" i="1" s="1"/>
  <c r="AG36" i="1"/>
  <c r="AG38" i="1" s="1"/>
  <c r="AG39" i="1" s="1"/>
  <c r="AD36" i="1"/>
  <c r="AD38" i="1" s="1"/>
  <c r="AD39" i="1" s="1"/>
  <c r="Z36" i="1"/>
  <c r="Z38" i="1" s="1"/>
  <c r="Z39" i="1" s="1"/>
  <c r="X36" i="1"/>
  <c r="X38" i="1" s="1"/>
  <c r="X39" i="1" s="1"/>
  <c r="V36" i="1"/>
  <c r="V38" i="1" s="1"/>
  <c r="V39" i="1" s="1"/>
  <c r="AI36" i="1"/>
  <c r="AI38" i="1" s="1"/>
  <c r="AI39" i="1" s="1"/>
  <c r="AM36" i="1"/>
  <c r="AM38" i="1" s="1"/>
  <c r="AM39" i="1" s="1"/>
  <c r="L36" i="1"/>
  <c r="L38" i="1" s="1"/>
  <c r="L39" i="1" s="1"/>
  <c r="J36" i="1"/>
  <c r="J38" i="1" s="1"/>
  <c r="J39" i="1" s="1"/>
  <c r="BF36" i="1"/>
  <c r="BF38" i="1" s="1"/>
  <c r="BF39" i="1" s="1"/>
  <c r="BD36" i="1"/>
  <c r="BD38" i="1" s="1"/>
  <c r="BD39" i="1" s="1"/>
  <c r="AB22" i="1"/>
  <c r="AB21" i="1"/>
  <c r="AB31" i="1"/>
  <c r="BB36" i="1"/>
  <c r="BB38" i="1" s="1"/>
  <c r="BB39" i="1" s="1"/>
  <c r="AV36" i="1"/>
  <c r="AV38" i="1" s="1"/>
  <c r="AV39" i="1" s="1"/>
  <c r="AR36" i="1"/>
  <c r="AR38" i="1" s="1"/>
  <c r="AR39" i="1" s="1"/>
  <c r="AT36" i="1"/>
  <c r="AT38" i="1" s="1"/>
  <c r="AT39" i="1" s="1"/>
  <c r="AX36" i="1"/>
  <c r="AX38" i="1" s="1"/>
  <c r="AX39" i="1" s="1"/>
  <c r="S36" i="1"/>
  <c r="S38" i="1" s="1"/>
  <c r="S39" i="1" s="1"/>
  <c r="G36" i="1"/>
  <c r="G38" i="1" s="1"/>
  <c r="G39" i="1" s="1"/>
  <c r="E36" i="1"/>
  <c r="E38" i="1" s="1"/>
  <c r="E39" i="1" s="1"/>
  <c r="Q36" i="1"/>
  <c r="Q38" i="1" s="1"/>
  <c r="Q39" i="1" s="1"/>
  <c r="AB36" i="1" l="1"/>
  <c r="AB38" i="1" s="1"/>
  <c r="AB39" i="1" s="1"/>
  <c r="AK28" i="1"/>
  <c r="AK6" i="1"/>
  <c r="AK7" i="1"/>
  <c r="AK29" i="1" l="1"/>
  <c r="AZ17" i="1"/>
  <c r="AZ18" i="1"/>
  <c r="AK36" i="1" l="1"/>
  <c r="AK38" i="1" s="1"/>
  <c r="AK39" i="1" s="1"/>
  <c r="AZ36" i="1"/>
  <c r="AZ38" i="1" s="1"/>
  <c r="AZ39" i="1" s="1"/>
</calcChain>
</file>

<file path=xl/sharedStrings.xml><?xml version="1.0" encoding="utf-8"?>
<sst xmlns="http://schemas.openxmlformats.org/spreadsheetml/2006/main" count="86" uniqueCount="44">
  <si>
    <t>Date</t>
  </si>
  <si>
    <t>Bygone</t>
  </si>
  <si>
    <t>Engineer</t>
  </si>
  <si>
    <t>Mina</t>
  </si>
  <si>
    <t>Main</t>
  </si>
  <si>
    <t>Electric      Main</t>
  </si>
  <si>
    <t>Electric    Chilled</t>
  </si>
  <si>
    <t>Electric        Hot</t>
  </si>
  <si>
    <t>Chilled</t>
  </si>
  <si>
    <t>Heat</t>
  </si>
  <si>
    <t>Gas</t>
  </si>
  <si>
    <t xml:space="preserve">Water </t>
  </si>
  <si>
    <t>Electric</t>
  </si>
  <si>
    <t>Total</t>
  </si>
  <si>
    <t>Consumption</t>
  </si>
  <si>
    <t>Gas (Therm)</t>
  </si>
  <si>
    <t>Water (FT3), (THR), (MMBTU)</t>
  </si>
  <si>
    <t>Chilled (THR)</t>
  </si>
  <si>
    <t>Hot (MMBTU)</t>
  </si>
  <si>
    <t>Main (FT3)</t>
  </si>
  <si>
    <t>Electric (KWH)</t>
  </si>
  <si>
    <t>Meter 1</t>
  </si>
  <si>
    <t>Meter 2</t>
  </si>
  <si>
    <t>Meter 3</t>
  </si>
  <si>
    <t>Chilled BTU</t>
  </si>
  <si>
    <t>Heating BTU</t>
  </si>
  <si>
    <t>AHU 1</t>
  </si>
  <si>
    <t>AHU 2</t>
  </si>
  <si>
    <t>AHU 3</t>
  </si>
  <si>
    <t>AHU 4</t>
  </si>
  <si>
    <t>Anthropologie (KWH, BTU )</t>
  </si>
  <si>
    <t>Varience</t>
  </si>
  <si>
    <t>Varience %</t>
  </si>
  <si>
    <t>Maximon Meters</t>
  </si>
  <si>
    <t>Electric #70</t>
  </si>
  <si>
    <t>Electric #67</t>
  </si>
  <si>
    <t>Electric #68</t>
  </si>
  <si>
    <t>Electric #63</t>
  </si>
  <si>
    <t>Electric #64</t>
  </si>
  <si>
    <t>Electric #66</t>
  </si>
  <si>
    <t>Electric #65</t>
  </si>
  <si>
    <t>Electric #69</t>
  </si>
  <si>
    <t>Water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</si>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</sst>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4" fontId="5" fillId="0" borderId="2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9" fontId="0" fillId="0" borderId="2" xfId="1" applyFont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8" borderId="2" xfId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horizontal="center" wrapText="1"/>
    </xf>
    <xf numFmtId="1" fontId="5" fillId="0" borderId="10" xfId="0" applyNumberFormat="1" applyFont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8" borderId="5" xfId="0" applyFill="1" applyBorder="1" applyAlignment="1">
      <alignment horizontal="center"/>
    </xf>
    <xf numFmtId="0" fontId="10" fillId="0" borderId="0" xfId="0" applyFont="1"/>
    <xf numFmtId="0" fontId="9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/>
    </xf>
    <xf numFmtId="0" fontId="10" fillId="13" borderId="10" xfId="0" applyFont="1" applyFill="1" applyBorder="1" applyAlignment="1">
      <alignment horizontal="center"/>
    </xf>
    <xf numFmtId="0" fontId="10" fillId="13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/>
    </xf>
    <xf numFmtId="14" fontId="5" fillId="8" borderId="4" xfId="0" applyNumberFormat="1" applyFont="1" applyFill="1" applyBorder="1" applyAlignment="1">
      <alignment horizontal="center"/>
    </xf>
    <xf numFmtId="14" fontId="5" fillId="8" borderId="5" xfId="0" applyNumberFormat="1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1" fontId="5" fillId="8" borderId="3" xfId="0" applyNumberFormat="1" applyFont="1" applyFill="1" applyBorder="1" applyAlignment="1">
      <alignment horizontal="center"/>
    </xf>
    <xf numFmtId="1" fontId="5" fillId="8" borderId="4" xfId="0" applyNumberFormat="1" applyFont="1" applyFill="1" applyBorder="1" applyAlignment="1">
      <alignment horizontal="center"/>
    </xf>
    <xf numFmtId="1" fontId="5" fillId="8" borderId="5" xfId="0" applyNumberFormat="1" applyFont="1" applyFill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41"/>
  <sheetViews>
    <sheetView tabSelected="1" zoomScaleNormal="100" workbookViewId="0">
      <pane ySplit="1" topLeftCell="A22" activePane="bottomLeft" state="frozen"/>
      <selection activeCell="W1" sqref="W1"/>
      <selection pane="bottomLeft" activeCell="E41" sqref="E41"/>
    </sheetView>
  </sheetViews>
  <sheetFormatPr defaultRowHeight="15" x14ac:dyDescent="0.25"/>
  <cols>
    <col min="1" max="1" width="12.42578125" bestFit="1" customWidth="1"/>
    <col min="2" max="3" width="15.7109375" customWidth="1"/>
    <col min="4" max="4" width="11.85546875" customWidth="1"/>
    <col min="5" max="5" width="13.85546875" customWidth="1"/>
    <col min="6" max="6" width="11" customWidth="1"/>
    <col min="7" max="7" width="13.85546875" customWidth="1"/>
    <col min="8" max="8" width="1.42578125" customWidth="1"/>
    <col min="9" max="9" width="10.140625" customWidth="1"/>
    <col min="10" max="10" width="13.85546875" customWidth="1"/>
    <col min="11" max="11" width="10.28515625" customWidth="1"/>
    <col min="12" max="12" width="14.42578125" customWidth="1"/>
    <col min="13" max="13" width="1.5703125" customWidth="1"/>
    <col min="14" max="14" width="11.42578125" customWidth="1"/>
    <col min="15" max="15" width="14.42578125" customWidth="1"/>
    <col min="16" max="16" width="14.28515625" customWidth="1"/>
    <col min="17" max="17" width="13.85546875" customWidth="1"/>
    <col min="18" max="18" width="15.28515625" customWidth="1"/>
    <col min="19" max="19" width="14" customWidth="1"/>
    <col min="20" max="20" width="1.5703125" customWidth="1"/>
    <col min="21" max="21" width="10.7109375" customWidth="1"/>
    <col min="22" max="22" width="13.85546875" customWidth="1"/>
    <col min="23" max="23" width="11.140625" customWidth="1"/>
    <col min="24" max="24" width="13.85546875" customWidth="1"/>
    <col min="25" max="25" width="9.42578125" customWidth="1"/>
    <col min="26" max="26" width="13.85546875" customWidth="1"/>
    <col min="27" max="27" width="12.42578125" customWidth="1"/>
    <col min="28" max="28" width="13.85546875" customWidth="1"/>
    <col min="29" max="29" width="9.140625" customWidth="1"/>
    <col min="30" max="30" width="13.85546875" customWidth="1"/>
    <col min="31" max="31" width="1.5703125" customWidth="1"/>
    <col min="32" max="32" width="11.42578125" customWidth="1"/>
    <col min="33" max="33" width="13.85546875" customWidth="1"/>
    <col min="34" max="34" width="9.140625" customWidth="1"/>
    <col min="35" max="35" width="13.85546875" customWidth="1"/>
    <col min="36" max="36" width="13.42578125" customWidth="1"/>
    <col min="37" max="37" width="13.85546875" customWidth="1"/>
    <col min="38" max="38" width="9.140625" customWidth="1"/>
    <col min="39" max="39" width="13.85546875" customWidth="1"/>
    <col min="40" max="40" width="9.140625" customWidth="1"/>
    <col min="41" max="41" width="13.85546875" customWidth="1"/>
    <col min="42" max="42" width="1.5703125" customWidth="1"/>
    <col min="44" max="44" width="13.85546875" customWidth="1"/>
    <col min="46" max="46" width="13.85546875" customWidth="1"/>
    <col min="48" max="48" width="13.85546875" customWidth="1"/>
    <col min="50" max="50" width="13.85546875" customWidth="1"/>
    <col min="51" max="51" width="10.85546875" bestFit="1" customWidth="1"/>
    <col min="52" max="52" width="13.85546875" customWidth="1"/>
    <col min="54" max="54" width="13.85546875" customWidth="1"/>
    <col min="56" max="56" width="13.85546875" customWidth="1"/>
    <col min="58" max="58" width="13.85546875" customWidth="1"/>
    <col min="59" max="59" width="1.5703125" customWidth="1"/>
    <col min="61" max="61" width="13.85546875" customWidth="1"/>
    <col min="63" max="63" width="13.85546875" customWidth="1"/>
    <col min="65" max="65" width="13.85546875" customWidth="1"/>
    <col min="67" max="67" width="13.85546875" customWidth="1"/>
    <col min="68" max="68" width="12.42578125" bestFit="1" customWidth="1"/>
    <col min="69" max="69" width="13.85546875" customWidth="1"/>
    <col min="71" max="71" width="13.85546875" customWidth="1"/>
    <col min="73" max="73" width="13.85546875" customWidth="1"/>
    <col min="75" max="75" width="13.85546875" customWidth="1"/>
    <col min="77" max="77" width="13.85546875" customWidth="1"/>
    <col min="78" max="78" width="1.5703125" customWidth="1"/>
    <col min="79" max="79" width="10.5703125" customWidth="1"/>
  </cols>
  <sheetData>
    <row r="1" spans="1:79" s="52" customFormat="1" ht="15.75" customHeight="1" x14ac:dyDescent="0.25">
      <c r="A1" s="69" t="s">
        <v>0</v>
      </c>
      <c r="B1" s="81" t="s">
        <v>20</v>
      </c>
      <c r="C1" s="82"/>
      <c r="D1" s="82"/>
      <c r="E1" s="82"/>
      <c r="F1" s="82"/>
      <c r="G1" s="83"/>
      <c r="H1" s="1"/>
      <c r="I1" s="78" t="s">
        <v>15</v>
      </c>
      <c r="J1" s="79"/>
      <c r="K1" s="79"/>
      <c r="L1" s="80"/>
      <c r="M1" s="1"/>
      <c r="N1" s="84" t="s">
        <v>16</v>
      </c>
      <c r="O1" s="85"/>
      <c r="P1" s="85"/>
      <c r="Q1" s="85"/>
      <c r="R1" s="85"/>
      <c r="S1" s="86"/>
      <c r="T1" s="5"/>
      <c r="U1" s="66" t="s">
        <v>30</v>
      </c>
      <c r="V1" s="67"/>
      <c r="W1" s="67"/>
      <c r="X1" s="67"/>
      <c r="Y1" s="67"/>
      <c r="Z1" s="67"/>
      <c r="AA1" s="67"/>
      <c r="AB1" s="67"/>
      <c r="AC1" s="67"/>
      <c r="AD1" s="68"/>
      <c r="AE1" s="5"/>
      <c r="AF1" s="72" t="s">
        <v>1</v>
      </c>
      <c r="AG1" s="73"/>
      <c r="AH1" s="73"/>
      <c r="AI1" s="73"/>
      <c r="AJ1" s="73"/>
      <c r="AK1" s="73"/>
      <c r="AL1" s="73"/>
      <c r="AM1" s="73"/>
      <c r="AN1" s="74"/>
      <c r="AO1" s="6"/>
      <c r="AP1" s="5"/>
      <c r="AQ1" s="64" t="s">
        <v>26</v>
      </c>
      <c r="AR1" s="65"/>
      <c r="AS1" s="65"/>
      <c r="AT1" s="65"/>
      <c r="AU1" s="64" t="s">
        <v>27</v>
      </c>
      <c r="AV1" s="65"/>
      <c r="AW1" s="65"/>
      <c r="AX1" s="65"/>
      <c r="AY1" s="64" t="s">
        <v>28</v>
      </c>
      <c r="AZ1" s="65"/>
      <c r="BA1" s="65"/>
      <c r="BB1" s="65"/>
      <c r="BC1" s="64" t="s">
        <v>29</v>
      </c>
      <c r="BD1" s="65"/>
      <c r="BE1" s="65"/>
      <c r="BF1" s="65"/>
      <c r="BG1" s="5"/>
      <c r="BH1" s="58" t="s">
        <v>33</v>
      </c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60"/>
      <c r="BZ1" s="5"/>
      <c r="CA1" s="69" t="s">
        <v>2</v>
      </c>
    </row>
    <row r="2" spans="1:79" ht="15" customHeight="1" x14ac:dyDescent="0.25">
      <c r="A2" s="70"/>
      <c r="B2" s="56" t="s">
        <v>21</v>
      </c>
      <c r="C2" s="56" t="s">
        <v>14</v>
      </c>
      <c r="D2" s="56" t="s">
        <v>22</v>
      </c>
      <c r="E2" s="56" t="s">
        <v>14</v>
      </c>
      <c r="F2" s="56" t="s">
        <v>23</v>
      </c>
      <c r="G2" s="56" t="s">
        <v>14</v>
      </c>
      <c r="H2" s="2"/>
      <c r="I2" s="77" t="s">
        <v>3</v>
      </c>
      <c r="J2" s="56" t="s">
        <v>14</v>
      </c>
      <c r="K2" s="77" t="s">
        <v>4</v>
      </c>
      <c r="L2" s="56" t="s">
        <v>14</v>
      </c>
      <c r="M2" s="3"/>
      <c r="N2" s="75" t="s">
        <v>19</v>
      </c>
      <c r="O2" s="56" t="s">
        <v>14</v>
      </c>
      <c r="P2" s="75" t="s">
        <v>17</v>
      </c>
      <c r="Q2" s="56" t="s">
        <v>14</v>
      </c>
      <c r="R2" s="75" t="s">
        <v>18</v>
      </c>
      <c r="S2" s="56" t="s">
        <v>14</v>
      </c>
      <c r="T2" s="3"/>
      <c r="U2" s="54" t="s">
        <v>5</v>
      </c>
      <c r="V2" s="56" t="s">
        <v>14</v>
      </c>
      <c r="W2" s="76" t="s">
        <v>6</v>
      </c>
      <c r="X2" s="56" t="s">
        <v>14</v>
      </c>
      <c r="Y2" s="76" t="s">
        <v>7</v>
      </c>
      <c r="Z2" s="56" t="s">
        <v>14</v>
      </c>
      <c r="AA2" s="54" t="s">
        <v>24</v>
      </c>
      <c r="AB2" s="56" t="s">
        <v>14</v>
      </c>
      <c r="AC2" s="54" t="s">
        <v>25</v>
      </c>
      <c r="AD2" s="56" t="s">
        <v>14</v>
      </c>
      <c r="AE2" s="3"/>
      <c r="AF2" s="56" t="s">
        <v>9</v>
      </c>
      <c r="AG2" s="56" t="s">
        <v>14</v>
      </c>
      <c r="AH2" s="56" t="s">
        <v>8</v>
      </c>
      <c r="AI2" s="56" t="s">
        <v>14</v>
      </c>
      <c r="AJ2" s="56" t="s">
        <v>10</v>
      </c>
      <c r="AK2" s="56" t="s">
        <v>14</v>
      </c>
      <c r="AL2" s="56" t="s">
        <v>11</v>
      </c>
      <c r="AM2" s="56" t="s">
        <v>14</v>
      </c>
      <c r="AN2" s="56" t="s">
        <v>12</v>
      </c>
      <c r="AO2" s="56" t="s">
        <v>14</v>
      </c>
      <c r="AP2" s="3"/>
      <c r="AQ2" s="54" t="s">
        <v>24</v>
      </c>
      <c r="AR2" s="56" t="s">
        <v>14</v>
      </c>
      <c r="AS2" s="54" t="s">
        <v>25</v>
      </c>
      <c r="AT2" s="56" t="s">
        <v>14</v>
      </c>
      <c r="AU2" s="54" t="s">
        <v>24</v>
      </c>
      <c r="AV2" s="56" t="s">
        <v>14</v>
      </c>
      <c r="AW2" s="54" t="s">
        <v>25</v>
      </c>
      <c r="AX2" s="56" t="s">
        <v>14</v>
      </c>
      <c r="AY2" s="54" t="s">
        <v>24</v>
      </c>
      <c r="AZ2" s="56" t="s">
        <v>14</v>
      </c>
      <c r="BA2" s="54" t="s">
        <v>25</v>
      </c>
      <c r="BB2" s="56" t="s">
        <v>14</v>
      </c>
      <c r="BC2" s="54" t="s">
        <v>24</v>
      </c>
      <c r="BD2" s="56" t="s">
        <v>14</v>
      </c>
      <c r="BE2" s="54" t="s">
        <v>25</v>
      </c>
      <c r="BF2" s="56" t="s">
        <v>14</v>
      </c>
      <c r="BG2" s="3"/>
      <c r="BH2" s="54" t="s">
        <v>34</v>
      </c>
      <c r="BI2" s="56" t="s">
        <v>14</v>
      </c>
      <c r="BJ2" s="54" t="s">
        <v>41</v>
      </c>
      <c r="BK2" s="56" t="s">
        <v>14</v>
      </c>
      <c r="BL2" s="54" t="s">
        <v>35</v>
      </c>
      <c r="BM2" s="56" t="s">
        <v>14</v>
      </c>
      <c r="BN2" s="54" t="s">
        <v>36</v>
      </c>
      <c r="BO2" s="56" t="s">
        <v>14</v>
      </c>
      <c r="BP2" s="54" t="s">
        <v>37</v>
      </c>
      <c r="BQ2" s="56" t="s">
        <v>14</v>
      </c>
      <c r="BR2" s="54" t="s">
        <v>38</v>
      </c>
      <c r="BS2" s="56" t="s">
        <v>14</v>
      </c>
      <c r="BT2" s="54" t="s">
        <v>39</v>
      </c>
      <c r="BU2" s="56" t="s">
        <v>14</v>
      </c>
      <c r="BV2" s="54" t="s">
        <v>40</v>
      </c>
      <c r="BW2" s="56" t="s">
        <v>14</v>
      </c>
      <c r="BX2" s="54" t="s">
        <v>42</v>
      </c>
      <c r="BY2" s="56" t="s">
        <v>14</v>
      </c>
      <c r="BZ2" s="3"/>
      <c r="CA2" s="70"/>
    </row>
    <row r="3" spans="1:79" ht="15" customHeight="1" x14ac:dyDescent="0.25">
      <c r="A3" s="71"/>
      <c r="B3" s="57"/>
      <c r="C3" s="57"/>
      <c r="D3" s="57"/>
      <c r="E3" s="57"/>
      <c r="F3" s="57"/>
      <c r="G3" s="57"/>
      <c r="H3" s="2"/>
      <c r="I3" s="77"/>
      <c r="J3" s="57"/>
      <c r="K3" s="77"/>
      <c r="L3" s="57"/>
      <c r="M3" s="4"/>
      <c r="N3" s="57"/>
      <c r="O3" s="57"/>
      <c r="P3" s="57"/>
      <c r="Q3" s="57"/>
      <c r="R3" s="57"/>
      <c r="S3" s="57"/>
      <c r="T3" s="4"/>
      <c r="U3" s="55"/>
      <c r="V3" s="57"/>
      <c r="W3" s="55"/>
      <c r="X3" s="57"/>
      <c r="Y3" s="55"/>
      <c r="Z3" s="57"/>
      <c r="AA3" s="55"/>
      <c r="AB3" s="57"/>
      <c r="AC3" s="55"/>
      <c r="AD3" s="57"/>
      <c r="AE3" s="4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4"/>
      <c r="AQ3" s="55"/>
      <c r="AR3" s="57"/>
      <c r="AS3" s="55"/>
      <c r="AT3" s="57"/>
      <c r="AU3" s="55"/>
      <c r="AV3" s="57"/>
      <c r="AW3" s="55"/>
      <c r="AX3" s="57"/>
      <c r="AY3" s="55"/>
      <c r="AZ3" s="57"/>
      <c r="BA3" s="55"/>
      <c r="BB3" s="57"/>
      <c r="BC3" s="55"/>
      <c r="BD3" s="57"/>
      <c r="BE3" s="55"/>
      <c r="BF3" s="57"/>
      <c r="BG3" s="4"/>
      <c r="BH3" s="55"/>
      <c r="BI3" s="57"/>
      <c r="BJ3" s="55"/>
      <c r="BK3" s="57"/>
      <c r="BL3" s="55"/>
      <c r="BM3" s="57"/>
      <c r="BN3" s="55"/>
      <c r="BO3" s="57"/>
      <c r="BP3" s="55"/>
      <c r="BQ3" s="57"/>
      <c r="BR3" s="55"/>
      <c r="BS3" s="57"/>
      <c r="BT3" s="55"/>
      <c r="BU3" s="57"/>
      <c r="BV3" s="55"/>
      <c r="BW3" s="57"/>
      <c r="BX3" s="55"/>
      <c r="BY3" s="57"/>
      <c r="BZ3" s="4"/>
      <c r="CA3" s="71"/>
    </row>
    <row r="4" spans="1:79" ht="24.75" customHeight="1" x14ac:dyDescent="0.25">
      <c r="A4" s="12">
        <v>44774</v>
      </c>
      <c r="B4" s="7">
        <v>478930</v>
      </c>
      <c r="C4" s="8">
        <f>B4-474599</f>
        <v>4331</v>
      </c>
      <c r="D4" s="7">
        <v>30650914</v>
      </c>
      <c r="E4" s="8">
        <f>D4-30641645</f>
        <v>9269</v>
      </c>
      <c r="F4" s="7">
        <v>8537162</v>
      </c>
      <c r="G4" s="8">
        <f>F4-8533208</f>
        <v>3954</v>
      </c>
      <c r="H4" s="13"/>
      <c r="I4" s="7">
        <v>92306</v>
      </c>
      <c r="J4" s="14">
        <f>(I4-92188)*1.129</f>
        <v>133.22200000000001</v>
      </c>
      <c r="K4" s="7">
        <v>21470</v>
      </c>
      <c r="L4" s="7">
        <f>K4-21464</f>
        <v>6</v>
      </c>
      <c r="M4" s="13"/>
      <c r="N4" s="7">
        <v>59859</v>
      </c>
      <c r="O4" s="14">
        <f>(N4-59802)*1000/7.48</f>
        <v>7620.320855614973</v>
      </c>
      <c r="P4" s="14">
        <v>238321</v>
      </c>
      <c r="Q4" s="14">
        <f>P4-238273</f>
        <v>48</v>
      </c>
      <c r="R4" s="14">
        <v>53487164</v>
      </c>
      <c r="S4" s="14">
        <f>R4-53472545</f>
        <v>14619</v>
      </c>
      <c r="T4" s="15"/>
      <c r="U4" s="7">
        <v>40168</v>
      </c>
      <c r="V4" s="8">
        <f>U4-39806</f>
        <v>362</v>
      </c>
      <c r="W4" s="7">
        <v>828</v>
      </c>
      <c r="X4" s="8">
        <f>W4-809</f>
        <v>19</v>
      </c>
      <c r="Y4" s="7">
        <v>276</v>
      </c>
      <c r="Z4" s="8">
        <f>Y4-274</f>
        <v>2</v>
      </c>
      <c r="AA4" s="8">
        <v>834049</v>
      </c>
      <c r="AB4" s="8">
        <f>(AA4-833733)*10000</f>
        <v>3160000</v>
      </c>
      <c r="AC4" s="8">
        <v>368574</v>
      </c>
      <c r="AD4" s="8">
        <f>(AC4-368564)*10000</f>
        <v>100000</v>
      </c>
      <c r="AE4" s="15"/>
      <c r="AF4" s="7">
        <v>67138</v>
      </c>
      <c r="AG4" s="7">
        <f>AF4-67138</f>
        <v>0</v>
      </c>
      <c r="AH4" s="14">
        <v>237928</v>
      </c>
      <c r="AI4" s="16">
        <f>AH4-237765</f>
        <v>163</v>
      </c>
      <c r="AJ4" s="16">
        <v>11458302</v>
      </c>
      <c r="AK4" s="16">
        <f>AJ4-11454022</f>
        <v>4280</v>
      </c>
      <c r="AL4" s="14">
        <v>28934</v>
      </c>
      <c r="AM4" s="14">
        <f>AL4-28933</f>
        <v>1</v>
      </c>
      <c r="AN4" s="14">
        <v>17388</v>
      </c>
      <c r="AO4" s="14">
        <f>AN4-16547</f>
        <v>841</v>
      </c>
      <c r="AP4" s="15"/>
      <c r="AQ4" s="22">
        <v>607133</v>
      </c>
      <c r="AR4" s="22">
        <f>(AQ4-606427)*10000</f>
        <v>7060000</v>
      </c>
      <c r="AS4" s="22">
        <v>234978</v>
      </c>
      <c r="AT4" s="22">
        <f>(AS4-234978)*10000</f>
        <v>0</v>
      </c>
      <c r="AU4" s="22">
        <v>86746</v>
      </c>
      <c r="AV4" s="22">
        <f>(AU4-86556)*10000</f>
        <v>1900000</v>
      </c>
      <c r="AW4" s="22">
        <v>269527</v>
      </c>
      <c r="AX4" s="22">
        <f>(AW4-269527)*10000</f>
        <v>0</v>
      </c>
      <c r="AY4" s="22">
        <v>473224</v>
      </c>
      <c r="AZ4" s="22">
        <f>(AY4-472990)*10000</f>
        <v>2340000</v>
      </c>
      <c r="BA4" s="22">
        <v>19321</v>
      </c>
      <c r="BB4" s="22">
        <f>(BA4-19321)*10000</f>
        <v>0</v>
      </c>
      <c r="BC4" s="22">
        <v>467195</v>
      </c>
      <c r="BD4" s="22">
        <f>(BC4-466403)*10000</f>
        <v>7920000</v>
      </c>
      <c r="BE4" s="22">
        <v>124015</v>
      </c>
      <c r="BF4" s="22">
        <f>(BE4-124015)*10000</f>
        <v>0</v>
      </c>
      <c r="BG4" s="15"/>
      <c r="BH4" s="22">
        <v>986242</v>
      </c>
      <c r="BI4" s="22">
        <f>(BH4-985161)</f>
        <v>1081</v>
      </c>
      <c r="BJ4" s="22">
        <v>533211</v>
      </c>
      <c r="BK4" s="22">
        <f>(BJ4-532693)</f>
        <v>518</v>
      </c>
      <c r="BL4" s="22">
        <v>275918</v>
      </c>
      <c r="BM4" s="22">
        <f>(BL4-275706)</f>
        <v>212</v>
      </c>
      <c r="BN4" s="22">
        <v>145333</v>
      </c>
      <c r="BO4" s="22">
        <f>(BN4-145171)</f>
        <v>162</v>
      </c>
      <c r="BP4" s="22">
        <v>144104</v>
      </c>
      <c r="BQ4" s="22">
        <f>(BP4-144050)</f>
        <v>54</v>
      </c>
      <c r="BR4" s="22">
        <v>89607</v>
      </c>
      <c r="BS4" s="22">
        <f>(BR4-89598)</f>
        <v>9</v>
      </c>
      <c r="BT4" s="22">
        <v>503436</v>
      </c>
      <c r="BU4" s="22">
        <f>(BT4-503334)</f>
        <v>102</v>
      </c>
      <c r="BV4" s="22">
        <v>2799</v>
      </c>
      <c r="BW4" s="22">
        <f>(BV4-2798)</f>
        <v>1</v>
      </c>
      <c r="BX4" s="22">
        <v>376851</v>
      </c>
      <c r="BY4" s="22">
        <f>(BX4-376832)</f>
        <v>19</v>
      </c>
      <c r="BZ4" s="15"/>
      <c r="CA4" s="7"/>
    </row>
    <row r="5" spans="1:79" ht="23.25" customHeight="1" x14ac:dyDescent="0.25">
      <c r="A5" s="12">
        <f>A4+1</f>
        <v>44775</v>
      </c>
      <c r="B5" s="7">
        <v>482978</v>
      </c>
      <c r="C5" s="7">
        <f>B5-B4</f>
        <v>4048</v>
      </c>
      <c r="D5" s="7">
        <v>30660435</v>
      </c>
      <c r="E5" s="7">
        <f>D5-D4</f>
        <v>9521</v>
      </c>
      <c r="F5" s="9">
        <v>8540806</v>
      </c>
      <c r="G5" s="9">
        <f>F5-F4</f>
        <v>3644</v>
      </c>
      <c r="H5" s="17"/>
      <c r="I5" s="7">
        <v>92402</v>
      </c>
      <c r="J5" s="14">
        <f>(I5-I4)*1.129</f>
        <v>108.384</v>
      </c>
      <c r="K5" s="7">
        <v>21476</v>
      </c>
      <c r="L5" s="14">
        <f>(K5-K4)*1.129</f>
        <v>6.774</v>
      </c>
      <c r="M5" s="13"/>
      <c r="N5" s="7">
        <v>29905</v>
      </c>
      <c r="O5" s="14">
        <f>(N5-N4)*1000/7.48</f>
        <v>-4004545.4545454541</v>
      </c>
      <c r="P5" s="7">
        <v>238366</v>
      </c>
      <c r="Q5" s="14">
        <f>P5-P4</f>
        <v>45</v>
      </c>
      <c r="R5" s="7">
        <v>53502206</v>
      </c>
      <c r="S5" s="14">
        <f>R5-R4</f>
        <v>15042</v>
      </c>
      <c r="T5" s="13"/>
      <c r="U5" s="7">
        <v>40525</v>
      </c>
      <c r="V5" s="7">
        <f>U5-U4</f>
        <v>357</v>
      </c>
      <c r="W5" s="7">
        <v>849</v>
      </c>
      <c r="X5" s="7">
        <f>W5-W4</f>
        <v>21</v>
      </c>
      <c r="Y5" s="7">
        <v>276</v>
      </c>
      <c r="Z5" s="7">
        <f>(Y5-Y4)</f>
        <v>0</v>
      </c>
      <c r="AA5" s="8">
        <v>834361</v>
      </c>
      <c r="AB5" s="8">
        <f>(AA5-AA4)*10000</f>
        <v>3120000</v>
      </c>
      <c r="AC5" s="8">
        <v>368584</v>
      </c>
      <c r="AD5" s="8">
        <f>(AC5-AC4)*10000</f>
        <v>100000</v>
      </c>
      <c r="AE5" s="13"/>
      <c r="AF5" s="7">
        <v>67138</v>
      </c>
      <c r="AG5" s="7">
        <f>AF5-AF4</f>
        <v>0</v>
      </c>
      <c r="AH5" s="7">
        <v>238091</v>
      </c>
      <c r="AI5" s="14">
        <f>AH5-AH4</f>
        <v>163</v>
      </c>
      <c r="AJ5" s="7">
        <v>11461827</v>
      </c>
      <c r="AK5" s="14">
        <f>AJ5-AJ4</f>
        <v>3525</v>
      </c>
      <c r="AL5" s="7">
        <v>28935</v>
      </c>
      <c r="AM5" s="14">
        <f>AL5-AL4</f>
        <v>1</v>
      </c>
      <c r="AN5" s="7">
        <v>18148</v>
      </c>
      <c r="AO5" s="14">
        <f>AN5-AN4</f>
        <v>760</v>
      </c>
      <c r="AP5" s="13"/>
      <c r="AQ5" s="22">
        <v>607458</v>
      </c>
      <c r="AR5" s="22">
        <f>(AQ5-AQ4)*10000</f>
        <v>3250000</v>
      </c>
      <c r="AS5" s="22">
        <v>234978</v>
      </c>
      <c r="AT5" s="22">
        <f>(AS5-AS4)*10000</f>
        <v>0</v>
      </c>
      <c r="AU5" s="22">
        <v>86805</v>
      </c>
      <c r="AV5" s="22">
        <f>(AU5-AU4)*10000</f>
        <v>590000</v>
      </c>
      <c r="AW5" s="22">
        <v>269527</v>
      </c>
      <c r="AX5" s="22">
        <f>(AW5-AW4)*10000</f>
        <v>0</v>
      </c>
      <c r="AY5" s="22">
        <v>473472</v>
      </c>
      <c r="AZ5" s="22">
        <f>(AY5-AY4)*10000</f>
        <v>2480000</v>
      </c>
      <c r="BA5" s="22">
        <v>19321</v>
      </c>
      <c r="BB5" s="22">
        <f>(BA5-BA4)*10000</f>
        <v>0</v>
      </c>
      <c r="BC5" s="22">
        <v>467514</v>
      </c>
      <c r="BD5" s="22">
        <f>(BC5-BC4)*10000</f>
        <v>3190000</v>
      </c>
      <c r="BE5" s="22">
        <v>124015</v>
      </c>
      <c r="BF5" s="22">
        <f>(BE5-BE4)*10000</f>
        <v>0</v>
      </c>
      <c r="BG5" s="13"/>
      <c r="BH5" s="22">
        <v>987064</v>
      </c>
      <c r="BI5" s="22">
        <f>(BH5-BH4)</f>
        <v>822</v>
      </c>
      <c r="BJ5" s="22">
        <v>533763</v>
      </c>
      <c r="BK5" s="22">
        <f>(BJ5-BJ4)</f>
        <v>552</v>
      </c>
      <c r="BL5" s="22">
        <v>276123</v>
      </c>
      <c r="BM5" s="22">
        <f>(BL5-BL4)</f>
        <v>205</v>
      </c>
      <c r="BN5" s="22">
        <v>145497</v>
      </c>
      <c r="BO5" s="22">
        <f>(BN5-BN4)</f>
        <v>164</v>
      </c>
      <c r="BP5" s="22">
        <v>144161</v>
      </c>
      <c r="BQ5" s="22">
        <f>(BP5-BP4)</f>
        <v>57</v>
      </c>
      <c r="BR5" s="22">
        <v>89616</v>
      </c>
      <c r="BS5" s="22">
        <f>(BR5-BR4)</f>
        <v>9</v>
      </c>
      <c r="BT5" s="22">
        <v>503538</v>
      </c>
      <c r="BU5" s="22">
        <f>(BT5-BT4)</f>
        <v>102</v>
      </c>
      <c r="BV5" s="22">
        <v>2800</v>
      </c>
      <c r="BW5" s="22">
        <f>(BV5-BV4)</f>
        <v>1</v>
      </c>
      <c r="BX5" s="22">
        <v>376864</v>
      </c>
      <c r="BY5" s="22">
        <f>(BX5-BX4)</f>
        <v>13</v>
      </c>
      <c r="BZ5" s="13"/>
      <c r="CA5" s="7"/>
    </row>
    <row r="6" spans="1:79" ht="24" customHeight="1" x14ac:dyDescent="0.25">
      <c r="A6" s="12">
        <f t="shared" ref="A6:A34" si="0">A5+1</f>
        <v>44776</v>
      </c>
      <c r="B6" s="10">
        <v>487021</v>
      </c>
      <c r="C6" s="7">
        <f t="shared" ref="C6:C33" si="1">B6-B5</f>
        <v>4043</v>
      </c>
      <c r="D6" s="7">
        <v>30669878</v>
      </c>
      <c r="E6" s="7">
        <f t="shared" ref="E6:E33" si="2">D6-D5</f>
        <v>9443</v>
      </c>
      <c r="F6" s="9">
        <v>8544429</v>
      </c>
      <c r="G6" s="9">
        <f t="shared" ref="G6:G33" si="3">F6-F5</f>
        <v>3623</v>
      </c>
      <c r="H6" s="17"/>
      <c r="I6" s="7">
        <v>92501</v>
      </c>
      <c r="J6" s="14">
        <f t="shared" ref="J6:J33" si="4">(I6-I5)*1.129</f>
        <v>111.771</v>
      </c>
      <c r="K6" s="7">
        <v>21483</v>
      </c>
      <c r="L6" s="14">
        <f t="shared" ref="L6:L33" si="5">(K6-K5)*1.129</f>
        <v>7.9030000000000005</v>
      </c>
      <c r="M6" s="13"/>
      <c r="N6" s="7">
        <v>59942</v>
      </c>
      <c r="O6" s="14">
        <f t="shared" ref="O6:O33" si="6">(N6-N5)*1000/7.48</f>
        <v>4015641.7112299465</v>
      </c>
      <c r="P6" s="7">
        <v>238411</v>
      </c>
      <c r="Q6" s="14">
        <f t="shared" ref="Q6:Q33" si="7">P6-P5</f>
        <v>45</v>
      </c>
      <c r="R6" s="7">
        <v>53518318</v>
      </c>
      <c r="S6" s="14">
        <f t="shared" ref="S6:S33" si="8">R6-R5</f>
        <v>16112</v>
      </c>
      <c r="T6" s="13"/>
      <c r="U6" s="7">
        <v>40873</v>
      </c>
      <c r="V6" s="7">
        <f t="shared" ref="V6:V33" si="9">U6-U5</f>
        <v>348</v>
      </c>
      <c r="W6" s="7">
        <v>868</v>
      </c>
      <c r="X6" s="7">
        <f t="shared" ref="X6:X17" si="10">W6-W5</f>
        <v>19</v>
      </c>
      <c r="Y6" s="7">
        <v>277</v>
      </c>
      <c r="Z6" s="7">
        <f t="shared" ref="Z6:Z17" si="11">(Y6-Y5)</f>
        <v>1</v>
      </c>
      <c r="AA6" s="8">
        <v>834666</v>
      </c>
      <c r="AB6" s="8">
        <f t="shared" ref="AB6:AB33" si="12">(AA6-AA5)*10000</f>
        <v>3050000</v>
      </c>
      <c r="AC6" s="8">
        <v>368584</v>
      </c>
      <c r="AD6" s="8">
        <f t="shared" ref="AD6:AD33" si="13">(AC6-AC5)*10000</f>
        <v>0</v>
      </c>
      <c r="AE6" s="13"/>
      <c r="AF6" s="7">
        <v>67138</v>
      </c>
      <c r="AG6" s="7">
        <f t="shared" ref="AG6:AG33" si="14">AF6-AF5</f>
        <v>0</v>
      </c>
      <c r="AH6" s="7">
        <v>238254</v>
      </c>
      <c r="AI6" s="14">
        <f t="shared" ref="AI6:AI33" si="15">AH6-AH5</f>
        <v>163</v>
      </c>
      <c r="AJ6" s="7">
        <v>11465574</v>
      </c>
      <c r="AK6" s="14">
        <f t="shared" ref="AK6:AK33" si="16">AJ6-AJ5</f>
        <v>3747</v>
      </c>
      <c r="AL6" s="7">
        <v>28935</v>
      </c>
      <c r="AM6" s="14">
        <f t="shared" ref="AM6:AM34" si="17">AL6-AL5</f>
        <v>0</v>
      </c>
      <c r="AN6" s="7">
        <v>18907</v>
      </c>
      <c r="AO6" s="14">
        <f t="shared" ref="AO6:AO34" si="18">AN6-AN5</f>
        <v>759</v>
      </c>
      <c r="AP6" s="13"/>
      <c r="AQ6" s="22">
        <v>607734</v>
      </c>
      <c r="AR6" s="22">
        <f>(AQ6-AQ5)*10000</f>
        <v>2760000</v>
      </c>
      <c r="AS6" s="22">
        <v>234978</v>
      </c>
      <c r="AT6" s="22">
        <f t="shared" ref="AT6:AT34" si="19">(AS6-AS5)*10000</f>
        <v>0</v>
      </c>
      <c r="AU6" s="22">
        <v>86932</v>
      </c>
      <c r="AV6" s="22">
        <f t="shared" ref="AV6:AV34" si="20">(AU6-AU5)*10000</f>
        <v>1270000</v>
      </c>
      <c r="AW6" s="22">
        <v>269527</v>
      </c>
      <c r="AX6" s="22">
        <f t="shared" ref="AX6:AX34" si="21">(AW6-AW5)*10000</f>
        <v>0</v>
      </c>
      <c r="AY6" s="22">
        <v>473744</v>
      </c>
      <c r="AZ6" s="22">
        <f t="shared" ref="AZ6:AZ34" si="22">(AY6-AY5)*10000</f>
        <v>2720000</v>
      </c>
      <c r="BA6" s="22">
        <v>19321</v>
      </c>
      <c r="BB6" s="22">
        <f t="shared" ref="BB6:BB34" si="23">(BA6-BA5)*10000</f>
        <v>0</v>
      </c>
      <c r="BC6" s="22">
        <v>467851</v>
      </c>
      <c r="BD6" s="22">
        <f t="shared" ref="BD6:BD34" si="24">(BC6-BC5)*10000</f>
        <v>3370000</v>
      </c>
      <c r="BE6" s="22">
        <v>124015</v>
      </c>
      <c r="BF6" s="22">
        <f t="shared" ref="BF6:BF34" si="25">(BE6-BE5)*10000</f>
        <v>0</v>
      </c>
      <c r="BG6" s="13"/>
      <c r="BH6" s="22">
        <v>987895</v>
      </c>
      <c r="BI6" s="22">
        <f t="shared" ref="BI6:BI34" si="26">(BH6-BH5)</f>
        <v>831</v>
      </c>
      <c r="BJ6" s="22">
        <v>534291</v>
      </c>
      <c r="BK6" s="22">
        <f t="shared" ref="BK6:BK34" si="27">(BJ6-BJ5)</f>
        <v>528</v>
      </c>
      <c r="BL6" s="22">
        <v>276321</v>
      </c>
      <c r="BM6" s="22">
        <f t="shared" ref="BM6:BM34" si="28">(BL6-BL5)</f>
        <v>198</v>
      </c>
      <c r="BN6" s="22">
        <v>145655</v>
      </c>
      <c r="BO6" s="22">
        <f t="shared" ref="BO6:BO34" si="29">(BN6-BN5)</f>
        <v>158</v>
      </c>
      <c r="BP6" s="22">
        <v>144218</v>
      </c>
      <c r="BQ6" s="22">
        <f t="shared" ref="BQ6:BQ34" si="30">(BP6-BP5)</f>
        <v>57</v>
      </c>
      <c r="BR6" s="22">
        <v>89628</v>
      </c>
      <c r="BS6" s="22">
        <f t="shared" ref="BS6:BS32" si="31">(BR6-BR5)</f>
        <v>12</v>
      </c>
      <c r="BT6" s="22">
        <v>503646</v>
      </c>
      <c r="BU6" s="22">
        <f t="shared" ref="BU6:BU34" si="32">(BT6-BT5)</f>
        <v>108</v>
      </c>
      <c r="BV6" s="22">
        <v>2801</v>
      </c>
      <c r="BW6" s="22">
        <f t="shared" ref="BW6:BW34" si="33">(BV6-BV5)</f>
        <v>1</v>
      </c>
      <c r="BX6" s="22">
        <v>376878</v>
      </c>
      <c r="BY6" s="22">
        <f>(BX6-BX5)</f>
        <v>14</v>
      </c>
      <c r="BZ6" s="13"/>
      <c r="CA6" s="7"/>
    </row>
    <row r="7" spans="1:79" ht="24" customHeight="1" x14ac:dyDescent="0.25">
      <c r="A7" s="12">
        <f t="shared" si="0"/>
        <v>44777</v>
      </c>
      <c r="B7" s="7">
        <v>491170</v>
      </c>
      <c r="C7" s="7">
        <f t="shared" si="1"/>
        <v>4149</v>
      </c>
      <c r="D7" s="7">
        <v>30679430</v>
      </c>
      <c r="E7" s="7">
        <f t="shared" si="2"/>
        <v>9552</v>
      </c>
      <c r="F7" s="7">
        <v>8548052</v>
      </c>
      <c r="G7" s="9">
        <f t="shared" si="3"/>
        <v>3623</v>
      </c>
      <c r="H7" s="13"/>
      <c r="I7" s="7">
        <v>92610</v>
      </c>
      <c r="J7" s="14">
        <f t="shared" si="4"/>
        <v>123.06100000000001</v>
      </c>
      <c r="K7" s="7">
        <v>21490</v>
      </c>
      <c r="L7" s="14">
        <f t="shared" si="5"/>
        <v>7.9030000000000005</v>
      </c>
      <c r="M7" s="13"/>
      <c r="N7" s="11">
        <v>59988</v>
      </c>
      <c r="O7" s="14">
        <f t="shared" si="6"/>
        <v>6149.7326203208549</v>
      </c>
      <c r="P7" s="11">
        <v>238454</v>
      </c>
      <c r="Q7" s="14">
        <f t="shared" si="7"/>
        <v>43</v>
      </c>
      <c r="R7" s="14">
        <v>53534837</v>
      </c>
      <c r="S7" s="14">
        <f t="shared" si="8"/>
        <v>16519</v>
      </c>
      <c r="T7" s="15"/>
      <c r="U7" s="14">
        <v>41223</v>
      </c>
      <c r="V7" s="7">
        <f t="shared" si="9"/>
        <v>350</v>
      </c>
      <c r="W7" s="14">
        <v>890</v>
      </c>
      <c r="X7" s="7">
        <f t="shared" si="10"/>
        <v>22</v>
      </c>
      <c r="Y7" s="14">
        <v>278</v>
      </c>
      <c r="Z7" s="7">
        <f t="shared" si="11"/>
        <v>1</v>
      </c>
      <c r="AA7" s="8">
        <v>834987</v>
      </c>
      <c r="AB7" s="8">
        <f t="shared" si="12"/>
        <v>3210000</v>
      </c>
      <c r="AC7" s="24">
        <v>368584</v>
      </c>
      <c r="AD7" s="8">
        <f t="shared" si="13"/>
        <v>0</v>
      </c>
      <c r="AE7" s="15"/>
      <c r="AF7" s="11">
        <v>67138</v>
      </c>
      <c r="AG7" s="7">
        <f t="shared" si="14"/>
        <v>0</v>
      </c>
      <c r="AH7" s="11">
        <v>238415</v>
      </c>
      <c r="AI7" s="14">
        <f t="shared" si="15"/>
        <v>161</v>
      </c>
      <c r="AJ7" s="11">
        <v>11470124</v>
      </c>
      <c r="AK7" s="14">
        <f t="shared" si="16"/>
        <v>4550</v>
      </c>
      <c r="AL7" s="11">
        <v>28936</v>
      </c>
      <c r="AM7" s="14">
        <f t="shared" si="17"/>
        <v>1</v>
      </c>
      <c r="AN7" s="14">
        <v>19677</v>
      </c>
      <c r="AO7" s="14">
        <f t="shared" si="18"/>
        <v>770</v>
      </c>
      <c r="AP7" s="15"/>
      <c r="AQ7" s="22">
        <v>608230</v>
      </c>
      <c r="AR7" s="22">
        <f t="shared" ref="AR7:AR34" si="34">(AQ7-AQ6)*10000</f>
        <v>4960000</v>
      </c>
      <c r="AS7" s="22">
        <v>234978</v>
      </c>
      <c r="AT7" s="22">
        <f t="shared" si="19"/>
        <v>0</v>
      </c>
      <c r="AU7" s="22">
        <v>87000</v>
      </c>
      <c r="AV7" s="22">
        <f t="shared" si="20"/>
        <v>680000</v>
      </c>
      <c r="AW7" s="22">
        <v>269527</v>
      </c>
      <c r="AX7" s="22">
        <f t="shared" si="21"/>
        <v>0</v>
      </c>
      <c r="AY7" s="22">
        <v>474012</v>
      </c>
      <c r="AZ7" s="22">
        <f t="shared" si="22"/>
        <v>2680000</v>
      </c>
      <c r="BA7" s="22">
        <v>19321</v>
      </c>
      <c r="BB7" s="22">
        <f t="shared" si="23"/>
        <v>0</v>
      </c>
      <c r="BC7" s="22">
        <v>468184</v>
      </c>
      <c r="BD7" s="22">
        <f t="shared" si="24"/>
        <v>3330000</v>
      </c>
      <c r="BE7" s="22">
        <v>124015</v>
      </c>
      <c r="BF7" s="22">
        <f t="shared" si="25"/>
        <v>0</v>
      </c>
      <c r="BG7" s="15"/>
      <c r="BH7" s="22">
        <v>988745</v>
      </c>
      <c r="BI7" s="22">
        <f t="shared" si="26"/>
        <v>850</v>
      </c>
      <c r="BJ7" s="22">
        <v>534841</v>
      </c>
      <c r="BK7" s="22">
        <f t="shared" si="27"/>
        <v>550</v>
      </c>
      <c r="BL7" s="22">
        <v>276527</v>
      </c>
      <c r="BM7" s="22">
        <f t="shared" si="28"/>
        <v>206</v>
      </c>
      <c r="BN7" s="22">
        <v>145818</v>
      </c>
      <c r="BO7" s="22">
        <f t="shared" si="29"/>
        <v>163</v>
      </c>
      <c r="BP7" s="22">
        <v>144276</v>
      </c>
      <c r="BQ7" s="22">
        <f t="shared" si="30"/>
        <v>58</v>
      </c>
      <c r="BR7" s="22">
        <v>89646</v>
      </c>
      <c r="BS7" s="22">
        <f t="shared" si="31"/>
        <v>18</v>
      </c>
      <c r="BT7" s="22">
        <v>503751</v>
      </c>
      <c r="BU7" s="22">
        <f t="shared" si="32"/>
        <v>105</v>
      </c>
      <c r="BV7" s="22">
        <v>2802</v>
      </c>
      <c r="BW7" s="22">
        <f t="shared" si="33"/>
        <v>1</v>
      </c>
      <c r="BX7" s="22">
        <v>376897</v>
      </c>
      <c r="BY7" s="22">
        <f t="shared" ref="BY7:BY34" si="35">(BX7-BX6)</f>
        <v>19</v>
      </c>
      <c r="BZ7" s="15"/>
      <c r="CA7" s="7"/>
    </row>
    <row r="8" spans="1:79" ht="24" customHeight="1" x14ac:dyDescent="0.25">
      <c r="A8" s="12">
        <f t="shared" si="0"/>
        <v>44778</v>
      </c>
      <c r="B8" s="7">
        <v>495239</v>
      </c>
      <c r="C8" s="7">
        <f t="shared" si="1"/>
        <v>4069</v>
      </c>
      <c r="D8" s="7">
        <v>30688654</v>
      </c>
      <c r="E8" s="7">
        <f t="shared" si="2"/>
        <v>9224</v>
      </c>
      <c r="F8" s="7">
        <v>8551600</v>
      </c>
      <c r="G8" s="9">
        <f t="shared" si="3"/>
        <v>3548</v>
      </c>
      <c r="H8" s="13"/>
      <c r="I8" s="7">
        <v>92714</v>
      </c>
      <c r="J8" s="14">
        <f t="shared" si="4"/>
        <v>117.416</v>
      </c>
      <c r="K8" s="14">
        <v>21496</v>
      </c>
      <c r="L8" s="14">
        <f t="shared" si="5"/>
        <v>6.774</v>
      </c>
      <c r="M8" s="15"/>
      <c r="N8" s="11">
        <v>60031</v>
      </c>
      <c r="O8" s="14">
        <f t="shared" si="6"/>
        <v>5748.6631016042775</v>
      </c>
      <c r="P8" s="11">
        <v>238492</v>
      </c>
      <c r="Q8" s="14">
        <f t="shared" si="7"/>
        <v>38</v>
      </c>
      <c r="R8" s="14">
        <v>53552080</v>
      </c>
      <c r="S8" s="14">
        <f t="shared" si="8"/>
        <v>17243</v>
      </c>
      <c r="T8" s="15"/>
      <c r="U8" s="14">
        <v>41561</v>
      </c>
      <c r="V8" s="7">
        <f t="shared" si="9"/>
        <v>338</v>
      </c>
      <c r="W8" s="14">
        <v>910</v>
      </c>
      <c r="X8" s="7">
        <f t="shared" si="10"/>
        <v>20</v>
      </c>
      <c r="Y8" s="14">
        <v>279</v>
      </c>
      <c r="Z8" s="7">
        <f t="shared" si="11"/>
        <v>1</v>
      </c>
      <c r="AA8" s="25">
        <v>835297</v>
      </c>
      <c r="AB8" s="8">
        <f t="shared" si="12"/>
        <v>3100000</v>
      </c>
      <c r="AC8" s="25">
        <v>368584</v>
      </c>
      <c r="AD8" s="8">
        <f t="shared" si="13"/>
        <v>0</v>
      </c>
      <c r="AE8" s="15"/>
      <c r="AF8" s="11">
        <v>67138</v>
      </c>
      <c r="AG8" s="7">
        <f t="shared" si="14"/>
        <v>0</v>
      </c>
      <c r="AH8" s="11">
        <v>238614</v>
      </c>
      <c r="AI8" s="14">
        <f t="shared" si="15"/>
        <v>199</v>
      </c>
      <c r="AJ8" s="11">
        <v>11475717</v>
      </c>
      <c r="AK8" s="14">
        <f t="shared" si="16"/>
        <v>5593</v>
      </c>
      <c r="AL8" s="11">
        <v>28936</v>
      </c>
      <c r="AM8" s="14">
        <f t="shared" si="17"/>
        <v>0</v>
      </c>
      <c r="AN8" s="14">
        <v>20552</v>
      </c>
      <c r="AO8" s="14">
        <f t="shared" si="18"/>
        <v>875</v>
      </c>
      <c r="AP8" s="15"/>
      <c r="AQ8" s="22">
        <v>608545</v>
      </c>
      <c r="AR8" s="22">
        <f t="shared" si="34"/>
        <v>3150000</v>
      </c>
      <c r="AS8" s="22">
        <v>234978</v>
      </c>
      <c r="AT8" s="22">
        <f t="shared" si="19"/>
        <v>0</v>
      </c>
      <c r="AU8" s="22">
        <v>87190</v>
      </c>
      <c r="AV8" s="22">
        <f t="shared" si="20"/>
        <v>1900000</v>
      </c>
      <c r="AW8" s="22">
        <v>269527</v>
      </c>
      <c r="AX8" s="22">
        <f t="shared" si="21"/>
        <v>0</v>
      </c>
      <c r="AY8" s="22">
        <v>474265</v>
      </c>
      <c r="AZ8" s="22">
        <f t="shared" si="22"/>
        <v>2530000</v>
      </c>
      <c r="BA8" s="22">
        <v>19321</v>
      </c>
      <c r="BB8" s="22">
        <f t="shared" si="23"/>
        <v>0</v>
      </c>
      <c r="BC8" s="22">
        <v>468514</v>
      </c>
      <c r="BD8" s="22">
        <f t="shared" si="24"/>
        <v>3300000</v>
      </c>
      <c r="BE8" s="22">
        <v>124015</v>
      </c>
      <c r="BF8" s="22">
        <f t="shared" si="25"/>
        <v>0</v>
      </c>
      <c r="BG8" s="15"/>
      <c r="BH8" s="22">
        <v>989651</v>
      </c>
      <c r="BI8" s="22">
        <f t="shared" si="26"/>
        <v>906</v>
      </c>
      <c r="BJ8" s="22">
        <v>535373</v>
      </c>
      <c r="BK8" s="22">
        <f t="shared" si="27"/>
        <v>532</v>
      </c>
      <c r="BL8" s="22">
        <v>276733</v>
      </c>
      <c r="BM8" s="22">
        <f t="shared" si="28"/>
        <v>206</v>
      </c>
      <c r="BN8" s="22">
        <v>145978</v>
      </c>
      <c r="BO8" s="22">
        <f t="shared" si="29"/>
        <v>160</v>
      </c>
      <c r="BP8" s="22">
        <v>144331</v>
      </c>
      <c r="BQ8" s="22">
        <f t="shared" si="30"/>
        <v>55</v>
      </c>
      <c r="BR8" s="22">
        <v>89659</v>
      </c>
      <c r="BS8" s="22">
        <f t="shared" si="31"/>
        <v>13</v>
      </c>
      <c r="BT8" s="22">
        <v>503856</v>
      </c>
      <c r="BU8" s="22">
        <f t="shared" si="32"/>
        <v>105</v>
      </c>
      <c r="BV8" s="22">
        <v>2803</v>
      </c>
      <c r="BW8" s="22">
        <f t="shared" si="33"/>
        <v>1</v>
      </c>
      <c r="BX8" s="22">
        <v>376914</v>
      </c>
      <c r="BY8" s="22">
        <f t="shared" si="35"/>
        <v>17</v>
      </c>
      <c r="BZ8" s="15"/>
      <c r="CA8" s="7"/>
    </row>
    <row r="9" spans="1:79" ht="22.5" customHeight="1" x14ac:dyDescent="0.25">
      <c r="A9" s="12">
        <f t="shared" si="0"/>
        <v>44779</v>
      </c>
      <c r="B9" s="11">
        <v>499536</v>
      </c>
      <c r="C9" s="7">
        <f t="shared" si="1"/>
        <v>4297</v>
      </c>
      <c r="D9" s="7">
        <v>30697875</v>
      </c>
      <c r="E9" s="7">
        <f t="shared" si="2"/>
        <v>9221</v>
      </c>
      <c r="F9" s="7">
        <v>8555375</v>
      </c>
      <c r="G9" s="9">
        <f t="shared" si="3"/>
        <v>3775</v>
      </c>
      <c r="H9" s="13"/>
      <c r="I9" s="7">
        <v>92830</v>
      </c>
      <c r="J9" s="14">
        <f t="shared" si="4"/>
        <v>130.964</v>
      </c>
      <c r="K9" s="14">
        <v>21503</v>
      </c>
      <c r="L9" s="14">
        <f t="shared" si="5"/>
        <v>7.9030000000000005</v>
      </c>
      <c r="M9" s="15"/>
      <c r="N9" s="11">
        <v>60084</v>
      </c>
      <c r="O9" s="14">
        <f t="shared" si="6"/>
        <v>7085.5614973262027</v>
      </c>
      <c r="P9" s="11">
        <v>238533</v>
      </c>
      <c r="Q9" s="14">
        <f t="shared" si="7"/>
        <v>41</v>
      </c>
      <c r="R9" s="14">
        <v>53568738</v>
      </c>
      <c r="S9" s="14">
        <f t="shared" si="8"/>
        <v>16658</v>
      </c>
      <c r="T9" s="15"/>
      <c r="U9" s="14">
        <v>41905</v>
      </c>
      <c r="V9" s="7">
        <f t="shared" si="9"/>
        <v>344</v>
      </c>
      <c r="W9" s="14">
        <v>929</v>
      </c>
      <c r="X9" s="7">
        <f t="shared" si="10"/>
        <v>19</v>
      </c>
      <c r="Y9" s="14">
        <v>280</v>
      </c>
      <c r="Z9" s="7">
        <f t="shared" si="11"/>
        <v>1</v>
      </c>
      <c r="AA9" s="25">
        <v>835607</v>
      </c>
      <c r="AB9" s="8">
        <f t="shared" si="12"/>
        <v>3100000</v>
      </c>
      <c r="AC9" s="25">
        <v>368584</v>
      </c>
      <c r="AD9" s="8">
        <f t="shared" si="13"/>
        <v>0</v>
      </c>
      <c r="AE9" s="15"/>
      <c r="AF9" s="11">
        <v>67138</v>
      </c>
      <c r="AG9" s="7">
        <f t="shared" si="14"/>
        <v>0</v>
      </c>
      <c r="AH9" s="11">
        <v>238814</v>
      </c>
      <c r="AI9" s="14">
        <f t="shared" si="15"/>
        <v>200</v>
      </c>
      <c r="AJ9" s="11">
        <v>11481694</v>
      </c>
      <c r="AK9" s="14">
        <f t="shared" si="16"/>
        <v>5977</v>
      </c>
      <c r="AL9" s="11">
        <v>28937</v>
      </c>
      <c r="AM9" s="14">
        <f t="shared" si="17"/>
        <v>1</v>
      </c>
      <c r="AN9" s="14">
        <v>21489</v>
      </c>
      <c r="AO9" s="14">
        <f t="shared" si="18"/>
        <v>937</v>
      </c>
      <c r="AP9" s="15"/>
      <c r="AQ9" s="22">
        <v>608830</v>
      </c>
      <c r="AR9" s="22">
        <f t="shared" si="34"/>
        <v>2850000</v>
      </c>
      <c r="AS9" s="22">
        <v>234978</v>
      </c>
      <c r="AT9" s="22">
        <f t="shared" si="19"/>
        <v>0</v>
      </c>
      <c r="AU9" s="22">
        <v>87588</v>
      </c>
      <c r="AV9" s="22">
        <f t="shared" si="20"/>
        <v>3980000</v>
      </c>
      <c r="AW9" s="22">
        <v>269527</v>
      </c>
      <c r="AX9" s="22">
        <f t="shared" si="21"/>
        <v>0</v>
      </c>
      <c r="AY9" s="22">
        <v>474612</v>
      </c>
      <c r="AZ9" s="22">
        <f t="shared" si="22"/>
        <v>3470000</v>
      </c>
      <c r="BA9" s="22">
        <v>19321</v>
      </c>
      <c r="BB9" s="22">
        <f t="shared" si="23"/>
        <v>0</v>
      </c>
      <c r="BC9" s="22">
        <v>468984</v>
      </c>
      <c r="BD9" s="22">
        <f t="shared" si="24"/>
        <v>4700000</v>
      </c>
      <c r="BE9" s="22">
        <v>124015</v>
      </c>
      <c r="BF9" s="22">
        <f t="shared" si="25"/>
        <v>0</v>
      </c>
      <c r="BG9" s="15"/>
      <c r="BH9" s="22">
        <v>990749</v>
      </c>
      <c r="BI9" s="22">
        <f t="shared" si="26"/>
        <v>1098</v>
      </c>
      <c r="BJ9" s="22">
        <v>535920</v>
      </c>
      <c r="BK9" s="22">
        <f t="shared" si="27"/>
        <v>547</v>
      </c>
      <c r="BL9" s="22">
        <v>276948</v>
      </c>
      <c r="BM9" s="22">
        <f t="shared" si="28"/>
        <v>215</v>
      </c>
      <c r="BN9" s="22">
        <v>146131</v>
      </c>
      <c r="BO9" s="22">
        <f t="shared" si="29"/>
        <v>153</v>
      </c>
      <c r="BP9" s="22">
        <v>144377</v>
      </c>
      <c r="BQ9" s="22">
        <f t="shared" si="30"/>
        <v>46</v>
      </c>
      <c r="BR9" s="22">
        <v>89670</v>
      </c>
      <c r="BS9" s="22">
        <f t="shared" si="31"/>
        <v>11</v>
      </c>
      <c r="BT9" s="22">
        <v>503960</v>
      </c>
      <c r="BU9" s="22">
        <f t="shared" si="32"/>
        <v>104</v>
      </c>
      <c r="BV9" s="22">
        <v>2804</v>
      </c>
      <c r="BW9" s="22">
        <f t="shared" si="33"/>
        <v>1</v>
      </c>
      <c r="BX9" s="22">
        <v>376958</v>
      </c>
      <c r="BY9" s="22">
        <f t="shared" si="35"/>
        <v>44</v>
      </c>
      <c r="BZ9" s="15"/>
      <c r="CA9" s="7"/>
    </row>
    <row r="10" spans="1:79" ht="22.5" customHeight="1" x14ac:dyDescent="0.25">
      <c r="A10" s="12">
        <f t="shared" si="0"/>
        <v>44780</v>
      </c>
      <c r="B10" s="11">
        <v>503875</v>
      </c>
      <c r="C10" s="7">
        <f t="shared" si="1"/>
        <v>4339</v>
      </c>
      <c r="D10" s="7">
        <v>30707048</v>
      </c>
      <c r="E10" s="7">
        <f t="shared" si="2"/>
        <v>9173</v>
      </c>
      <c r="F10" s="11">
        <v>8559144</v>
      </c>
      <c r="G10" s="9">
        <f t="shared" si="3"/>
        <v>3769</v>
      </c>
      <c r="H10" s="18"/>
      <c r="I10" s="7">
        <v>92968</v>
      </c>
      <c r="J10" s="14">
        <f t="shared" si="4"/>
        <v>155.80199999999999</v>
      </c>
      <c r="K10" s="14">
        <v>21510</v>
      </c>
      <c r="L10" s="14">
        <f t="shared" si="5"/>
        <v>7.9030000000000005</v>
      </c>
      <c r="M10" s="15"/>
      <c r="N10" s="7">
        <v>60152</v>
      </c>
      <c r="O10" s="14">
        <f t="shared" si="6"/>
        <v>9090.9090909090901</v>
      </c>
      <c r="P10" s="7">
        <v>238578</v>
      </c>
      <c r="Q10" s="14">
        <f t="shared" si="7"/>
        <v>45</v>
      </c>
      <c r="R10" s="14">
        <v>53587297</v>
      </c>
      <c r="S10" s="14">
        <f t="shared" si="8"/>
        <v>18559</v>
      </c>
      <c r="T10" s="15"/>
      <c r="U10" s="14">
        <v>42261</v>
      </c>
      <c r="V10" s="7">
        <f t="shared" si="9"/>
        <v>356</v>
      </c>
      <c r="W10" s="14">
        <v>944</v>
      </c>
      <c r="X10" s="7">
        <f t="shared" si="10"/>
        <v>15</v>
      </c>
      <c r="Y10" s="14">
        <v>280</v>
      </c>
      <c r="Z10" s="7">
        <f t="shared" si="11"/>
        <v>0</v>
      </c>
      <c r="AA10" s="25">
        <v>835949</v>
      </c>
      <c r="AB10" s="8">
        <f t="shared" si="12"/>
        <v>3420000</v>
      </c>
      <c r="AC10" s="25">
        <v>368584</v>
      </c>
      <c r="AD10" s="8">
        <f t="shared" si="13"/>
        <v>0</v>
      </c>
      <c r="AE10" s="15"/>
      <c r="AF10" s="7">
        <v>67138</v>
      </c>
      <c r="AG10" s="7">
        <f t="shared" si="14"/>
        <v>0</v>
      </c>
      <c r="AH10" s="7">
        <v>238985</v>
      </c>
      <c r="AI10" s="14">
        <f t="shared" si="15"/>
        <v>171</v>
      </c>
      <c r="AJ10" s="7">
        <v>11487643</v>
      </c>
      <c r="AK10" s="14">
        <f t="shared" si="16"/>
        <v>5949</v>
      </c>
      <c r="AL10" s="7">
        <v>28937</v>
      </c>
      <c r="AM10" s="14">
        <f t="shared" si="17"/>
        <v>0</v>
      </c>
      <c r="AN10" s="14">
        <v>22310</v>
      </c>
      <c r="AO10" s="14">
        <f t="shared" si="18"/>
        <v>821</v>
      </c>
      <c r="AP10" s="15"/>
      <c r="AQ10" s="22">
        <v>609320</v>
      </c>
      <c r="AR10" s="22">
        <f>(AQ10-AQ9)*10000</f>
        <v>4900000</v>
      </c>
      <c r="AS10" s="22">
        <v>234978</v>
      </c>
      <c r="AT10" s="22">
        <f t="shared" si="19"/>
        <v>0</v>
      </c>
      <c r="AU10" s="22">
        <v>88145</v>
      </c>
      <c r="AV10" s="22">
        <f t="shared" si="20"/>
        <v>5570000</v>
      </c>
      <c r="AW10" s="22">
        <v>269527</v>
      </c>
      <c r="AX10" s="22">
        <f t="shared" si="21"/>
        <v>0</v>
      </c>
      <c r="AY10" s="22">
        <v>474840</v>
      </c>
      <c r="AZ10" s="22">
        <f t="shared" si="22"/>
        <v>2280000</v>
      </c>
      <c r="BA10" s="22">
        <v>19321</v>
      </c>
      <c r="BB10" s="22">
        <f t="shared" si="23"/>
        <v>0</v>
      </c>
      <c r="BC10" s="22">
        <v>469230</v>
      </c>
      <c r="BD10" s="22">
        <f t="shared" si="24"/>
        <v>2460000</v>
      </c>
      <c r="BE10" s="22">
        <v>124015</v>
      </c>
      <c r="BF10" s="22">
        <f t="shared" si="25"/>
        <v>0</v>
      </c>
      <c r="BG10" s="15">
        <v>6</v>
      </c>
      <c r="BH10" s="22">
        <v>991895</v>
      </c>
      <c r="BI10" s="22">
        <f t="shared" si="26"/>
        <v>1146</v>
      </c>
      <c r="BJ10" s="22">
        <v>536496</v>
      </c>
      <c r="BK10" s="22">
        <f t="shared" si="27"/>
        <v>576</v>
      </c>
      <c r="BL10" s="22">
        <v>277166</v>
      </c>
      <c r="BM10" s="22">
        <f t="shared" si="28"/>
        <v>218</v>
      </c>
      <c r="BN10" s="22">
        <v>146293</v>
      </c>
      <c r="BO10" s="22">
        <f t="shared" si="29"/>
        <v>162</v>
      </c>
      <c r="BP10" s="22">
        <v>144429</v>
      </c>
      <c r="BQ10" s="22">
        <f t="shared" si="30"/>
        <v>52</v>
      </c>
      <c r="BR10" s="22">
        <v>89681</v>
      </c>
      <c r="BS10" s="22">
        <f t="shared" si="31"/>
        <v>11</v>
      </c>
      <c r="BT10" s="22">
        <v>504081</v>
      </c>
      <c r="BU10" s="22">
        <f t="shared" si="32"/>
        <v>121</v>
      </c>
      <c r="BV10" s="22">
        <v>2805</v>
      </c>
      <c r="BW10" s="22">
        <f t="shared" si="33"/>
        <v>1</v>
      </c>
      <c r="BX10" s="22">
        <v>376999</v>
      </c>
      <c r="BY10" s="22">
        <f t="shared" si="35"/>
        <v>41</v>
      </c>
      <c r="BZ10" s="15"/>
      <c r="CA10" s="7"/>
    </row>
    <row r="11" spans="1:79" ht="23.25" customHeight="1" x14ac:dyDescent="0.25">
      <c r="A11" s="12">
        <f t="shared" si="0"/>
        <v>44781</v>
      </c>
      <c r="B11" s="11">
        <v>508578</v>
      </c>
      <c r="C11" s="7">
        <f t="shared" si="1"/>
        <v>4703</v>
      </c>
      <c r="D11" s="7">
        <v>30717046</v>
      </c>
      <c r="E11" s="7">
        <f t="shared" si="2"/>
        <v>9998</v>
      </c>
      <c r="F11" s="7">
        <v>8563284</v>
      </c>
      <c r="G11" s="9">
        <f t="shared" si="3"/>
        <v>4140</v>
      </c>
      <c r="H11" s="13"/>
      <c r="I11" s="7">
        <v>93087</v>
      </c>
      <c r="J11" s="14">
        <f t="shared" si="4"/>
        <v>134.351</v>
      </c>
      <c r="K11" s="7">
        <v>21516</v>
      </c>
      <c r="L11" s="14">
        <f t="shared" si="5"/>
        <v>6.774</v>
      </c>
      <c r="M11" s="13"/>
      <c r="N11" s="7">
        <v>60216</v>
      </c>
      <c r="O11" s="14">
        <f t="shared" si="6"/>
        <v>8556.1497326203207</v>
      </c>
      <c r="P11" s="7">
        <v>238623</v>
      </c>
      <c r="Q11" s="14">
        <f t="shared" si="7"/>
        <v>45</v>
      </c>
      <c r="R11" s="7">
        <v>53606336</v>
      </c>
      <c r="S11" s="14">
        <f t="shared" si="8"/>
        <v>19039</v>
      </c>
      <c r="T11" s="13"/>
      <c r="U11" s="7">
        <v>42646</v>
      </c>
      <c r="V11" s="7">
        <f t="shared" si="9"/>
        <v>385</v>
      </c>
      <c r="W11" s="7">
        <v>952</v>
      </c>
      <c r="X11" s="7">
        <f t="shared" si="10"/>
        <v>8</v>
      </c>
      <c r="Y11" s="7">
        <v>281</v>
      </c>
      <c r="Z11" s="7">
        <f t="shared" si="11"/>
        <v>1</v>
      </c>
      <c r="AA11" s="8">
        <v>836287</v>
      </c>
      <c r="AB11" s="8">
        <f t="shared" si="12"/>
        <v>3380000</v>
      </c>
      <c r="AC11" s="8">
        <v>368584</v>
      </c>
      <c r="AD11" s="8">
        <f t="shared" si="13"/>
        <v>0</v>
      </c>
      <c r="AE11" s="13"/>
      <c r="AF11" s="7">
        <v>67138</v>
      </c>
      <c r="AG11" s="7">
        <f t="shared" si="14"/>
        <v>0</v>
      </c>
      <c r="AH11" s="7">
        <v>239154</v>
      </c>
      <c r="AI11" s="14">
        <f t="shared" si="15"/>
        <v>169</v>
      </c>
      <c r="AJ11" s="7">
        <v>11492374</v>
      </c>
      <c r="AK11" s="14">
        <f t="shared" si="16"/>
        <v>4731</v>
      </c>
      <c r="AL11" s="7">
        <v>28938</v>
      </c>
      <c r="AM11" s="14">
        <f t="shared" si="17"/>
        <v>1</v>
      </c>
      <c r="AN11" s="7">
        <v>23201</v>
      </c>
      <c r="AO11" s="14">
        <f t="shared" si="18"/>
        <v>891</v>
      </c>
      <c r="AP11" s="13"/>
      <c r="AQ11" s="22">
        <v>609815</v>
      </c>
      <c r="AR11" s="22">
        <f t="shared" si="34"/>
        <v>4950000</v>
      </c>
      <c r="AS11" s="22">
        <v>234978</v>
      </c>
      <c r="AT11" s="22">
        <f t="shared" si="19"/>
        <v>0</v>
      </c>
      <c r="AU11" s="22">
        <v>88549</v>
      </c>
      <c r="AV11" s="22">
        <f t="shared" si="20"/>
        <v>4040000</v>
      </c>
      <c r="AW11" s="22">
        <v>269527</v>
      </c>
      <c r="AX11" s="22">
        <f t="shared" si="21"/>
        <v>0</v>
      </c>
      <c r="AY11" s="22">
        <v>475181</v>
      </c>
      <c r="AZ11" s="22">
        <f t="shared" si="22"/>
        <v>3410000</v>
      </c>
      <c r="BA11" s="22">
        <v>19321</v>
      </c>
      <c r="BB11" s="22">
        <f t="shared" si="23"/>
        <v>0</v>
      </c>
      <c r="BC11" s="22">
        <v>469599</v>
      </c>
      <c r="BD11" s="22">
        <f t="shared" si="24"/>
        <v>3690000</v>
      </c>
      <c r="BE11" s="22">
        <v>124015</v>
      </c>
      <c r="BF11" s="22">
        <f t="shared" si="25"/>
        <v>0</v>
      </c>
      <c r="BG11" s="13"/>
      <c r="BH11" s="22">
        <v>993075</v>
      </c>
      <c r="BI11" s="22">
        <f t="shared" si="26"/>
        <v>1180</v>
      </c>
      <c r="BJ11" s="22">
        <v>537060</v>
      </c>
      <c r="BK11" s="22">
        <f t="shared" si="27"/>
        <v>564</v>
      </c>
      <c r="BL11" s="22">
        <v>277400</v>
      </c>
      <c r="BM11" s="22">
        <f t="shared" si="28"/>
        <v>234</v>
      </c>
      <c r="BN11" s="22">
        <v>146476</v>
      </c>
      <c r="BO11" s="22">
        <f t="shared" si="29"/>
        <v>183</v>
      </c>
      <c r="BP11" s="22">
        <v>144483</v>
      </c>
      <c r="BQ11" s="22">
        <f t="shared" si="30"/>
        <v>54</v>
      </c>
      <c r="BR11" s="22">
        <v>89700</v>
      </c>
      <c r="BS11" s="22">
        <f t="shared" si="31"/>
        <v>19</v>
      </c>
      <c r="BT11" s="22">
        <v>504190</v>
      </c>
      <c r="BU11" s="22">
        <f t="shared" si="32"/>
        <v>109</v>
      </c>
      <c r="BV11" s="22">
        <v>2806</v>
      </c>
      <c r="BW11" s="22">
        <f t="shared" si="33"/>
        <v>1</v>
      </c>
      <c r="BX11" s="22">
        <v>377025</v>
      </c>
      <c r="BY11" s="22">
        <f t="shared" si="35"/>
        <v>26</v>
      </c>
      <c r="BZ11" s="13"/>
      <c r="CA11" s="7"/>
    </row>
    <row r="12" spans="1:79" ht="21.75" customHeight="1" x14ac:dyDescent="0.25">
      <c r="A12" s="12">
        <f t="shared" si="0"/>
        <v>44782</v>
      </c>
      <c r="B12" s="7">
        <v>512776</v>
      </c>
      <c r="C12" s="7">
        <f t="shared" si="1"/>
        <v>4198</v>
      </c>
      <c r="D12" s="7">
        <v>30726296</v>
      </c>
      <c r="E12" s="7">
        <f t="shared" si="2"/>
        <v>9250</v>
      </c>
      <c r="F12" s="7">
        <v>8567016</v>
      </c>
      <c r="G12" s="9">
        <f t="shared" si="3"/>
        <v>3732</v>
      </c>
      <c r="H12" s="13"/>
      <c r="I12" s="7">
        <v>93182</v>
      </c>
      <c r="J12" s="14">
        <f t="shared" si="4"/>
        <v>107.255</v>
      </c>
      <c r="K12" s="7">
        <v>21522</v>
      </c>
      <c r="L12" s="14">
        <f t="shared" si="5"/>
        <v>6.774</v>
      </c>
      <c r="M12" s="13"/>
      <c r="N12" s="7">
        <v>60273</v>
      </c>
      <c r="O12" s="14">
        <f t="shared" si="6"/>
        <v>7620.320855614973</v>
      </c>
      <c r="P12" s="7">
        <v>238665</v>
      </c>
      <c r="Q12" s="14">
        <f t="shared" si="7"/>
        <v>42</v>
      </c>
      <c r="R12" s="7">
        <v>53625865</v>
      </c>
      <c r="S12" s="14">
        <f t="shared" si="8"/>
        <v>19529</v>
      </c>
      <c r="T12" s="13"/>
      <c r="U12" s="7">
        <v>43004</v>
      </c>
      <c r="V12" s="7">
        <f t="shared" si="9"/>
        <v>358</v>
      </c>
      <c r="W12" s="7">
        <v>959</v>
      </c>
      <c r="X12" s="7">
        <f t="shared" si="10"/>
        <v>7</v>
      </c>
      <c r="Y12" s="7">
        <v>282</v>
      </c>
      <c r="Z12" s="7">
        <f t="shared" si="11"/>
        <v>1</v>
      </c>
      <c r="AA12" s="8">
        <v>836634</v>
      </c>
      <c r="AB12" s="8">
        <f t="shared" si="12"/>
        <v>3470000</v>
      </c>
      <c r="AC12" s="8">
        <v>368584</v>
      </c>
      <c r="AD12" s="8">
        <f t="shared" si="13"/>
        <v>0</v>
      </c>
      <c r="AE12" s="13"/>
      <c r="AF12" s="7">
        <v>67138</v>
      </c>
      <c r="AG12" s="7">
        <f t="shared" si="14"/>
        <v>0</v>
      </c>
      <c r="AH12" s="7">
        <v>239308</v>
      </c>
      <c r="AI12" s="14">
        <f t="shared" si="15"/>
        <v>154</v>
      </c>
      <c r="AJ12" s="7">
        <v>11496562</v>
      </c>
      <c r="AK12" s="14">
        <f t="shared" si="16"/>
        <v>4188</v>
      </c>
      <c r="AL12" s="7">
        <v>28938</v>
      </c>
      <c r="AM12" s="14">
        <f t="shared" si="17"/>
        <v>0</v>
      </c>
      <c r="AN12" s="7">
        <v>23998</v>
      </c>
      <c r="AO12" s="14">
        <f t="shared" si="18"/>
        <v>797</v>
      </c>
      <c r="AP12" s="13"/>
      <c r="AQ12" s="22">
        <v>610240</v>
      </c>
      <c r="AR12" s="22">
        <f t="shared" si="34"/>
        <v>4250000</v>
      </c>
      <c r="AS12" s="22">
        <v>234978</v>
      </c>
      <c r="AT12" s="22">
        <f t="shared" si="19"/>
        <v>0</v>
      </c>
      <c r="AU12" s="22">
        <v>88935</v>
      </c>
      <c r="AV12" s="22">
        <f t="shared" si="20"/>
        <v>3860000</v>
      </c>
      <c r="AW12" s="22">
        <v>269527</v>
      </c>
      <c r="AX12" s="22">
        <f t="shared" si="21"/>
        <v>0</v>
      </c>
      <c r="AY12" s="22">
        <v>475506</v>
      </c>
      <c r="AZ12" s="22">
        <f t="shared" si="22"/>
        <v>3250000</v>
      </c>
      <c r="BA12" s="22">
        <v>19321</v>
      </c>
      <c r="BB12" s="22">
        <f t="shared" si="23"/>
        <v>0</v>
      </c>
      <c r="BC12" s="22">
        <v>469969</v>
      </c>
      <c r="BD12" s="22">
        <f t="shared" si="24"/>
        <v>3700000</v>
      </c>
      <c r="BE12" s="22">
        <v>124015</v>
      </c>
      <c r="BF12" s="22">
        <f t="shared" si="25"/>
        <v>0</v>
      </c>
      <c r="BG12" s="13"/>
      <c r="BH12" s="22">
        <v>994096</v>
      </c>
      <c r="BI12" s="22">
        <f t="shared" si="26"/>
        <v>1021</v>
      </c>
      <c r="BJ12" s="22">
        <v>537420</v>
      </c>
      <c r="BK12" s="22">
        <f t="shared" si="27"/>
        <v>360</v>
      </c>
      <c r="BL12" s="22">
        <v>277612</v>
      </c>
      <c r="BM12" s="22">
        <f t="shared" si="28"/>
        <v>212</v>
      </c>
      <c r="BN12" s="22">
        <v>146633</v>
      </c>
      <c r="BO12" s="22">
        <f t="shared" si="29"/>
        <v>157</v>
      </c>
      <c r="BP12" s="22">
        <v>144540</v>
      </c>
      <c r="BQ12" s="22">
        <f t="shared" si="30"/>
        <v>57</v>
      </c>
      <c r="BR12" s="22">
        <v>89719</v>
      </c>
      <c r="BS12" s="22">
        <f t="shared" si="31"/>
        <v>19</v>
      </c>
      <c r="BT12" s="22">
        <v>504281</v>
      </c>
      <c r="BU12" s="22">
        <f t="shared" si="32"/>
        <v>91</v>
      </c>
      <c r="BV12" s="22">
        <v>2807</v>
      </c>
      <c r="BW12" s="22">
        <f t="shared" si="33"/>
        <v>1</v>
      </c>
      <c r="BX12" s="22">
        <v>377048</v>
      </c>
      <c r="BY12" s="22">
        <f t="shared" si="35"/>
        <v>23</v>
      </c>
      <c r="BZ12" s="13"/>
      <c r="CA12" s="7"/>
    </row>
    <row r="13" spans="1:79" ht="21.75" customHeight="1" x14ac:dyDescent="0.25">
      <c r="A13" s="12">
        <f t="shared" si="0"/>
        <v>44783</v>
      </c>
      <c r="B13" s="7">
        <v>516961</v>
      </c>
      <c r="C13" s="7">
        <f>B13-B12</f>
        <v>4185</v>
      </c>
      <c r="D13" s="7">
        <v>30735390</v>
      </c>
      <c r="E13" s="7">
        <f t="shared" si="2"/>
        <v>9094</v>
      </c>
      <c r="F13" s="7">
        <v>8570625</v>
      </c>
      <c r="G13" s="9">
        <f t="shared" si="3"/>
        <v>3609</v>
      </c>
      <c r="H13" s="13"/>
      <c r="I13" s="7">
        <v>93277</v>
      </c>
      <c r="J13" s="14">
        <f t="shared" si="4"/>
        <v>107.255</v>
      </c>
      <c r="K13" s="7">
        <v>21529</v>
      </c>
      <c r="L13" s="14">
        <f t="shared" si="5"/>
        <v>7.9030000000000005</v>
      </c>
      <c r="M13" s="13"/>
      <c r="N13" s="7">
        <v>60328</v>
      </c>
      <c r="O13" s="14">
        <f t="shared" si="6"/>
        <v>7352.9411764705874</v>
      </c>
      <c r="P13" s="7">
        <v>238703</v>
      </c>
      <c r="Q13" s="14">
        <f t="shared" si="7"/>
        <v>38</v>
      </c>
      <c r="R13" s="7">
        <v>53644831</v>
      </c>
      <c r="S13" s="14">
        <f t="shared" si="8"/>
        <v>18966</v>
      </c>
      <c r="T13" s="13"/>
      <c r="U13" s="7">
        <v>43348</v>
      </c>
      <c r="V13" s="7">
        <f t="shared" si="9"/>
        <v>344</v>
      </c>
      <c r="W13" s="7">
        <v>967</v>
      </c>
      <c r="X13" s="7">
        <f t="shared" si="10"/>
        <v>8</v>
      </c>
      <c r="Y13" s="7">
        <v>283</v>
      </c>
      <c r="Z13" s="7">
        <f t="shared" si="11"/>
        <v>1</v>
      </c>
      <c r="AA13" s="8">
        <v>836948</v>
      </c>
      <c r="AB13" s="8">
        <f t="shared" si="12"/>
        <v>3140000</v>
      </c>
      <c r="AC13" s="8">
        <v>368584</v>
      </c>
      <c r="AD13" s="8">
        <f t="shared" ref="AD13:AD29" si="36">(AC13-AC12)*10000</f>
        <v>0</v>
      </c>
      <c r="AE13" s="13"/>
      <c r="AF13" s="7">
        <v>67138</v>
      </c>
      <c r="AG13" s="7">
        <f t="shared" si="14"/>
        <v>0</v>
      </c>
      <c r="AH13" s="7">
        <v>239474</v>
      </c>
      <c r="AI13" s="14">
        <f t="shared" si="15"/>
        <v>166</v>
      </c>
      <c r="AJ13" s="7">
        <v>11500907</v>
      </c>
      <c r="AK13" s="14">
        <f t="shared" si="16"/>
        <v>4345</v>
      </c>
      <c r="AL13" s="7">
        <v>28939</v>
      </c>
      <c r="AM13" s="14">
        <f t="shared" si="17"/>
        <v>1</v>
      </c>
      <c r="AN13" s="7">
        <v>24797</v>
      </c>
      <c r="AO13" s="14">
        <f t="shared" si="18"/>
        <v>799</v>
      </c>
      <c r="AP13" s="13"/>
      <c r="AQ13" s="22">
        <v>610643</v>
      </c>
      <c r="AR13" s="22">
        <f t="shared" si="34"/>
        <v>4030000</v>
      </c>
      <c r="AS13" s="22">
        <v>234978</v>
      </c>
      <c r="AT13" s="22">
        <f t="shared" si="19"/>
        <v>0</v>
      </c>
      <c r="AU13" s="22">
        <v>89339</v>
      </c>
      <c r="AV13" s="22">
        <f t="shared" si="20"/>
        <v>4040000</v>
      </c>
      <c r="AW13" s="22">
        <v>269527</v>
      </c>
      <c r="AX13" s="22">
        <f t="shared" si="21"/>
        <v>0</v>
      </c>
      <c r="AY13" s="22">
        <v>475812</v>
      </c>
      <c r="AZ13" s="22">
        <f t="shared" si="22"/>
        <v>3060000</v>
      </c>
      <c r="BA13" s="22">
        <v>19321</v>
      </c>
      <c r="BB13" s="22">
        <f t="shared" si="23"/>
        <v>0</v>
      </c>
      <c r="BC13" s="22">
        <v>470323</v>
      </c>
      <c r="BD13" s="22">
        <f t="shared" si="24"/>
        <v>3540000</v>
      </c>
      <c r="BE13" s="22">
        <v>124015</v>
      </c>
      <c r="BF13" s="22">
        <f t="shared" si="25"/>
        <v>0</v>
      </c>
      <c r="BG13" s="13"/>
      <c r="BH13" s="22">
        <v>995139</v>
      </c>
      <c r="BI13" s="22">
        <f t="shared" si="26"/>
        <v>1043</v>
      </c>
      <c r="BJ13" s="22">
        <v>537867</v>
      </c>
      <c r="BK13" s="22">
        <f t="shared" si="27"/>
        <v>447</v>
      </c>
      <c r="BL13" s="22">
        <v>277810</v>
      </c>
      <c r="BM13" s="22">
        <f t="shared" si="28"/>
        <v>198</v>
      </c>
      <c r="BN13" s="22">
        <v>146785</v>
      </c>
      <c r="BO13" s="22">
        <f t="shared" si="29"/>
        <v>152</v>
      </c>
      <c r="BP13" s="22">
        <v>144596</v>
      </c>
      <c r="BQ13" s="22">
        <f t="shared" si="30"/>
        <v>56</v>
      </c>
      <c r="BR13" s="22">
        <v>89738</v>
      </c>
      <c r="BS13" s="22">
        <f t="shared" si="31"/>
        <v>19</v>
      </c>
      <c r="BT13" s="22">
        <v>504389</v>
      </c>
      <c r="BU13" s="22">
        <f t="shared" si="32"/>
        <v>108</v>
      </c>
      <c r="BV13" s="22">
        <v>2808</v>
      </c>
      <c r="BW13" s="22">
        <f t="shared" si="33"/>
        <v>1</v>
      </c>
      <c r="BX13" s="22">
        <v>377067</v>
      </c>
      <c r="BY13" s="22">
        <f t="shared" si="35"/>
        <v>19</v>
      </c>
      <c r="BZ13" s="13"/>
      <c r="CA13" s="7"/>
    </row>
    <row r="14" spans="1:79" ht="22.5" customHeight="1" x14ac:dyDescent="0.25">
      <c r="A14" s="12">
        <f t="shared" si="0"/>
        <v>44784</v>
      </c>
      <c r="B14" s="7">
        <v>521057</v>
      </c>
      <c r="C14" s="7">
        <f t="shared" si="1"/>
        <v>4096</v>
      </c>
      <c r="D14" s="7">
        <v>30744379</v>
      </c>
      <c r="E14" s="7">
        <f t="shared" si="2"/>
        <v>8989</v>
      </c>
      <c r="F14" s="7">
        <v>8574202</v>
      </c>
      <c r="G14" s="9">
        <f t="shared" si="3"/>
        <v>3577</v>
      </c>
      <c r="H14" s="13"/>
      <c r="I14" s="7">
        <v>93373</v>
      </c>
      <c r="J14" s="14">
        <f t="shared" si="4"/>
        <v>108.384</v>
      </c>
      <c r="K14" s="7">
        <v>21536</v>
      </c>
      <c r="L14" s="14">
        <f t="shared" si="5"/>
        <v>7.9030000000000005</v>
      </c>
      <c r="M14" s="13"/>
      <c r="N14" s="7">
        <v>60378</v>
      </c>
      <c r="O14" s="14">
        <f t="shared" si="6"/>
        <v>6684.4919786096252</v>
      </c>
      <c r="P14" s="7">
        <v>238745</v>
      </c>
      <c r="Q14" s="14">
        <f t="shared" si="7"/>
        <v>42</v>
      </c>
      <c r="R14" s="14">
        <v>53662440</v>
      </c>
      <c r="S14" s="14">
        <f t="shared" si="8"/>
        <v>17609</v>
      </c>
      <c r="T14" s="15"/>
      <c r="U14" s="7">
        <v>43698</v>
      </c>
      <c r="V14" s="7">
        <f t="shared" si="9"/>
        <v>350</v>
      </c>
      <c r="W14" s="7">
        <v>983</v>
      </c>
      <c r="X14" s="7">
        <f t="shared" si="10"/>
        <v>16</v>
      </c>
      <c r="Y14" s="7">
        <v>283</v>
      </c>
      <c r="Z14" s="7">
        <f t="shared" si="11"/>
        <v>0</v>
      </c>
      <c r="AA14" s="25">
        <v>837255</v>
      </c>
      <c r="AB14" s="8">
        <f t="shared" si="12"/>
        <v>3070000</v>
      </c>
      <c r="AC14" s="8">
        <v>368584</v>
      </c>
      <c r="AD14" s="8">
        <f t="shared" si="36"/>
        <v>0</v>
      </c>
      <c r="AE14" s="15"/>
      <c r="AF14" s="7">
        <v>67138</v>
      </c>
      <c r="AG14" s="7">
        <f t="shared" si="14"/>
        <v>0</v>
      </c>
      <c r="AH14" s="7">
        <v>239650</v>
      </c>
      <c r="AI14" s="14">
        <f t="shared" si="15"/>
        <v>176</v>
      </c>
      <c r="AJ14" s="7">
        <v>11505099</v>
      </c>
      <c r="AK14" s="14">
        <f t="shared" si="16"/>
        <v>4192</v>
      </c>
      <c r="AL14" s="7">
        <v>28939</v>
      </c>
      <c r="AM14" s="14">
        <f t="shared" si="17"/>
        <v>0</v>
      </c>
      <c r="AN14" s="14">
        <v>25602</v>
      </c>
      <c r="AO14" s="14">
        <f t="shared" si="18"/>
        <v>805</v>
      </c>
      <c r="AP14" s="15"/>
      <c r="AQ14" s="22">
        <v>611049</v>
      </c>
      <c r="AR14" s="22">
        <f t="shared" si="34"/>
        <v>4060000</v>
      </c>
      <c r="AS14" s="22">
        <v>234978</v>
      </c>
      <c r="AT14" s="22">
        <f t="shared" si="19"/>
        <v>0</v>
      </c>
      <c r="AU14" s="22">
        <v>89475</v>
      </c>
      <c r="AV14" s="22">
        <f t="shared" si="20"/>
        <v>1360000</v>
      </c>
      <c r="AW14" s="22">
        <v>269527</v>
      </c>
      <c r="AX14" s="22">
        <f t="shared" si="21"/>
        <v>0</v>
      </c>
      <c r="AY14" s="22">
        <v>476082</v>
      </c>
      <c r="AZ14" s="22">
        <f t="shared" si="22"/>
        <v>2700000</v>
      </c>
      <c r="BA14" s="22">
        <v>19321</v>
      </c>
      <c r="BB14" s="22">
        <f t="shared" si="23"/>
        <v>0</v>
      </c>
      <c r="BC14" s="22">
        <v>470681</v>
      </c>
      <c r="BD14" s="22">
        <f t="shared" si="24"/>
        <v>3580000</v>
      </c>
      <c r="BE14" s="22">
        <v>124015</v>
      </c>
      <c r="BF14" s="22">
        <f t="shared" si="25"/>
        <v>0</v>
      </c>
      <c r="BG14" s="15"/>
      <c r="BH14" s="22">
        <v>996188</v>
      </c>
      <c r="BI14" s="22">
        <f t="shared" si="26"/>
        <v>1049</v>
      </c>
      <c r="BJ14" s="22">
        <v>538371</v>
      </c>
      <c r="BK14" s="22">
        <f t="shared" si="27"/>
        <v>504</v>
      </c>
      <c r="BL14" s="22">
        <v>278004</v>
      </c>
      <c r="BM14" s="22">
        <f t="shared" si="28"/>
        <v>194</v>
      </c>
      <c r="BN14" s="22">
        <v>146937</v>
      </c>
      <c r="BO14" s="22">
        <f t="shared" si="29"/>
        <v>152</v>
      </c>
      <c r="BP14" s="22">
        <v>144652</v>
      </c>
      <c r="BQ14" s="22">
        <f t="shared" si="30"/>
        <v>56</v>
      </c>
      <c r="BR14" s="22">
        <v>89755</v>
      </c>
      <c r="BS14" s="22">
        <f t="shared" si="31"/>
        <v>17</v>
      </c>
      <c r="BT14" s="22">
        <v>504486</v>
      </c>
      <c r="BU14" s="22">
        <f t="shared" si="32"/>
        <v>97</v>
      </c>
      <c r="BV14" s="22">
        <v>2809</v>
      </c>
      <c r="BW14" s="22">
        <f t="shared" si="33"/>
        <v>1</v>
      </c>
      <c r="BX14" s="22">
        <v>377094</v>
      </c>
      <c r="BY14" s="22">
        <f t="shared" si="35"/>
        <v>27</v>
      </c>
      <c r="BZ14" s="15"/>
      <c r="CA14" s="7"/>
    </row>
    <row r="15" spans="1:79" ht="22.5" customHeight="1" x14ac:dyDescent="0.25">
      <c r="A15" s="12">
        <f t="shared" si="0"/>
        <v>44785</v>
      </c>
      <c r="B15" s="7">
        <v>525102</v>
      </c>
      <c r="C15" s="7">
        <f t="shared" si="1"/>
        <v>4045</v>
      </c>
      <c r="D15" s="7">
        <v>30753298</v>
      </c>
      <c r="E15" s="7">
        <f t="shared" si="2"/>
        <v>8919</v>
      </c>
      <c r="F15" s="7">
        <v>8577753</v>
      </c>
      <c r="G15" s="9">
        <f t="shared" si="3"/>
        <v>3551</v>
      </c>
      <c r="H15" s="13"/>
      <c r="I15" s="7">
        <v>93482</v>
      </c>
      <c r="J15" s="14">
        <f t="shared" si="4"/>
        <v>123.06100000000001</v>
      </c>
      <c r="K15" s="7">
        <v>21543</v>
      </c>
      <c r="L15" s="14">
        <f t="shared" si="5"/>
        <v>7.9030000000000005</v>
      </c>
      <c r="M15" s="13"/>
      <c r="N15" s="7">
        <v>60426</v>
      </c>
      <c r="O15" s="14">
        <f t="shared" si="6"/>
        <v>6417.1122994652405</v>
      </c>
      <c r="P15" s="14">
        <v>238787</v>
      </c>
      <c r="Q15" s="14">
        <f t="shared" si="7"/>
        <v>42</v>
      </c>
      <c r="R15" s="7">
        <v>53677756</v>
      </c>
      <c r="S15" s="14">
        <f t="shared" si="8"/>
        <v>15316</v>
      </c>
      <c r="T15" s="13"/>
      <c r="U15" s="7">
        <v>44019</v>
      </c>
      <c r="V15" s="7">
        <f t="shared" si="9"/>
        <v>321</v>
      </c>
      <c r="W15" s="7">
        <v>1003</v>
      </c>
      <c r="X15" s="7">
        <f t="shared" si="10"/>
        <v>20</v>
      </c>
      <c r="Y15" s="7">
        <v>285</v>
      </c>
      <c r="Z15" s="7">
        <f t="shared" si="11"/>
        <v>2</v>
      </c>
      <c r="AA15" s="8">
        <v>837552</v>
      </c>
      <c r="AB15" s="8">
        <f t="shared" si="12"/>
        <v>2970000</v>
      </c>
      <c r="AC15" s="8">
        <v>368584</v>
      </c>
      <c r="AD15" s="8">
        <f t="shared" si="36"/>
        <v>0</v>
      </c>
      <c r="AE15" s="13"/>
      <c r="AF15" s="7">
        <v>67138</v>
      </c>
      <c r="AG15" s="7">
        <f t="shared" si="14"/>
        <v>0</v>
      </c>
      <c r="AH15" s="14">
        <v>239844</v>
      </c>
      <c r="AI15" s="14">
        <f t="shared" si="15"/>
        <v>194</v>
      </c>
      <c r="AJ15" s="14">
        <v>11510088</v>
      </c>
      <c r="AK15" s="14">
        <f t="shared" si="16"/>
        <v>4989</v>
      </c>
      <c r="AL15" s="14">
        <v>28939</v>
      </c>
      <c r="AM15" s="14">
        <f t="shared" si="17"/>
        <v>0</v>
      </c>
      <c r="AN15" s="7">
        <v>26518</v>
      </c>
      <c r="AO15" s="14">
        <f t="shared" si="18"/>
        <v>916</v>
      </c>
      <c r="AP15" s="13"/>
      <c r="AQ15" s="22">
        <v>611832</v>
      </c>
      <c r="AR15" s="22">
        <f t="shared" si="34"/>
        <v>7830000</v>
      </c>
      <c r="AS15" s="22">
        <v>234978</v>
      </c>
      <c r="AT15" s="22">
        <f t="shared" si="19"/>
        <v>0</v>
      </c>
      <c r="AU15" s="22">
        <v>89517</v>
      </c>
      <c r="AV15" s="22">
        <f t="shared" si="20"/>
        <v>420000</v>
      </c>
      <c r="AW15" s="22">
        <v>269527</v>
      </c>
      <c r="AX15" s="22">
        <f t="shared" si="21"/>
        <v>0</v>
      </c>
      <c r="AY15" s="22">
        <v>476336</v>
      </c>
      <c r="AZ15" s="22">
        <f t="shared" si="22"/>
        <v>2540000</v>
      </c>
      <c r="BA15" s="22">
        <v>19321</v>
      </c>
      <c r="BB15" s="22">
        <f t="shared" si="23"/>
        <v>0</v>
      </c>
      <c r="BC15" s="22">
        <v>471033</v>
      </c>
      <c r="BD15" s="22">
        <f t="shared" si="24"/>
        <v>3520000</v>
      </c>
      <c r="BE15" s="22">
        <v>124015</v>
      </c>
      <c r="BF15" s="22">
        <f t="shared" si="25"/>
        <v>0</v>
      </c>
      <c r="BG15" s="13"/>
      <c r="BH15" s="22">
        <v>997338</v>
      </c>
      <c r="BI15" s="22">
        <f t="shared" si="26"/>
        <v>1150</v>
      </c>
      <c r="BJ15" s="22">
        <v>538876</v>
      </c>
      <c r="BK15" s="22">
        <f t="shared" si="27"/>
        <v>505</v>
      </c>
      <c r="BL15" s="22">
        <v>278203</v>
      </c>
      <c r="BM15" s="22">
        <f t="shared" si="28"/>
        <v>199</v>
      </c>
      <c r="BN15" s="22">
        <v>147077</v>
      </c>
      <c r="BO15" s="22">
        <f t="shared" si="29"/>
        <v>140</v>
      </c>
      <c r="BP15" s="22">
        <v>144707</v>
      </c>
      <c r="BQ15" s="22">
        <f t="shared" si="30"/>
        <v>55</v>
      </c>
      <c r="BR15" s="22">
        <v>89767</v>
      </c>
      <c r="BS15" s="22">
        <f t="shared" si="31"/>
        <v>12</v>
      </c>
      <c r="BT15" s="22">
        <v>504578</v>
      </c>
      <c r="BU15" s="22">
        <f t="shared" si="32"/>
        <v>92</v>
      </c>
      <c r="BV15" s="22">
        <v>2810</v>
      </c>
      <c r="BW15" s="22">
        <f t="shared" si="33"/>
        <v>1</v>
      </c>
      <c r="BX15" s="22">
        <v>377120</v>
      </c>
      <c r="BY15" s="22">
        <f t="shared" si="35"/>
        <v>26</v>
      </c>
      <c r="BZ15" s="13"/>
      <c r="CA15" s="7"/>
    </row>
    <row r="16" spans="1:79" ht="21" customHeight="1" x14ac:dyDescent="0.25">
      <c r="A16" s="12">
        <f t="shared" si="0"/>
        <v>44786</v>
      </c>
      <c r="B16" s="7">
        <v>529347</v>
      </c>
      <c r="C16" s="7">
        <f t="shared" si="1"/>
        <v>4245</v>
      </c>
      <c r="D16" s="7">
        <v>30762473</v>
      </c>
      <c r="E16" s="7">
        <f t="shared" si="2"/>
        <v>9175</v>
      </c>
      <c r="F16" s="7">
        <v>8581431</v>
      </c>
      <c r="G16" s="9">
        <f t="shared" si="3"/>
        <v>3678</v>
      </c>
      <c r="H16" s="13"/>
      <c r="I16" s="7">
        <v>93600</v>
      </c>
      <c r="J16" s="14">
        <f t="shared" si="4"/>
        <v>133.22200000000001</v>
      </c>
      <c r="K16" s="7">
        <v>21550</v>
      </c>
      <c r="L16" s="14">
        <f t="shared" si="5"/>
        <v>7.9030000000000005</v>
      </c>
      <c r="M16" s="13"/>
      <c r="N16" s="7">
        <v>60485</v>
      </c>
      <c r="O16" s="14">
        <f t="shared" si="6"/>
        <v>7887.7005347593577</v>
      </c>
      <c r="P16" s="7">
        <v>238829</v>
      </c>
      <c r="Q16" s="14">
        <f t="shared" si="7"/>
        <v>42</v>
      </c>
      <c r="R16" s="14">
        <v>53690466</v>
      </c>
      <c r="S16" s="14">
        <f t="shared" si="8"/>
        <v>12710</v>
      </c>
      <c r="T16" s="15"/>
      <c r="U16" s="7">
        <v>44358</v>
      </c>
      <c r="V16" s="7">
        <f t="shared" si="9"/>
        <v>339</v>
      </c>
      <c r="W16" s="7">
        <v>1023</v>
      </c>
      <c r="X16" s="7">
        <f t="shared" si="10"/>
        <v>20</v>
      </c>
      <c r="Y16" s="7">
        <v>285</v>
      </c>
      <c r="Z16" s="7">
        <f t="shared" si="11"/>
        <v>0</v>
      </c>
      <c r="AA16" s="8">
        <v>837834</v>
      </c>
      <c r="AB16" s="8">
        <f t="shared" si="12"/>
        <v>2820000</v>
      </c>
      <c r="AC16" s="8">
        <v>368584</v>
      </c>
      <c r="AD16" s="8">
        <f t="shared" si="36"/>
        <v>0</v>
      </c>
      <c r="AE16" s="15"/>
      <c r="AF16" s="7">
        <v>67138</v>
      </c>
      <c r="AG16" s="7">
        <f t="shared" si="14"/>
        <v>0</v>
      </c>
      <c r="AH16" s="7">
        <v>240008</v>
      </c>
      <c r="AI16" s="14">
        <f t="shared" si="15"/>
        <v>164</v>
      </c>
      <c r="AJ16" s="7">
        <v>11516213</v>
      </c>
      <c r="AK16" s="14">
        <f t="shared" si="16"/>
        <v>6125</v>
      </c>
      <c r="AL16" s="7">
        <v>28939</v>
      </c>
      <c r="AM16" s="14">
        <f t="shared" si="17"/>
        <v>0</v>
      </c>
      <c r="AN16" s="14">
        <v>27300</v>
      </c>
      <c r="AO16" s="14">
        <f t="shared" si="18"/>
        <v>782</v>
      </c>
      <c r="AP16" s="15"/>
      <c r="AQ16" s="22">
        <v>612637</v>
      </c>
      <c r="AR16" s="22">
        <f t="shared" si="34"/>
        <v>8050000</v>
      </c>
      <c r="AS16" s="22">
        <v>234978</v>
      </c>
      <c r="AT16" s="22">
        <f t="shared" si="19"/>
        <v>0</v>
      </c>
      <c r="AU16" s="22">
        <v>89537</v>
      </c>
      <c r="AV16" s="22">
        <f t="shared" si="20"/>
        <v>200000</v>
      </c>
      <c r="AW16" s="22">
        <v>269527</v>
      </c>
      <c r="AX16" s="22">
        <f t="shared" si="21"/>
        <v>0</v>
      </c>
      <c r="AY16" s="22">
        <v>476413</v>
      </c>
      <c r="AZ16" s="22">
        <f t="shared" si="22"/>
        <v>770000</v>
      </c>
      <c r="BA16" s="22">
        <v>19321</v>
      </c>
      <c r="BB16" s="22">
        <f t="shared" si="23"/>
        <v>0</v>
      </c>
      <c r="BC16" s="22">
        <v>471307</v>
      </c>
      <c r="BD16" s="22">
        <f t="shared" si="24"/>
        <v>2740000</v>
      </c>
      <c r="BE16" s="22">
        <v>124015</v>
      </c>
      <c r="BF16" s="22">
        <f t="shared" si="25"/>
        <v>0</v>
      </c>
      <c r="BG16" s="15"/>
      <c r="BH16" s="22">
        <v>998447</v>
      </c>
      <c r="BI16" s="22">
        <f t="shared" si="26"/>
        <v>1109</v>
      </c>
      <c r="BJ16" s="22">
        <v>539332</v>
      </c>
      <c r="BK16" s="22">
        <f t="shared" si="27"/>
        <v>456</v>
      </c>
      <c r="BL16" s="22">
        <v>278415</v>
      </c>
      <c r="BM16" s="22">
        <f t="shared" si="28"/>
        <v>212</v>
      </c>
      <c r="BN16" s="22">
        <v>147223</v>
      </c>
      <c r="BO16" s="22">
        <f t="shared" si="29"/>
        <v>146</v>
      </c>
      <c r="BP16" s="22">
        <v>144753</v>
      </c>
      <c r="BQ16" s="22">
        <f t="shared" si="30"/>
        <v>46</v>
      </c>
      <c r="BR16" s="22">
        <v>89779</v>
      </c>
      <c r="BS16" s="22">
        <f t="shared" si="31"/>
        <v>12</v>
      </c>
      <c r="BT16" s="22">
        <v>504673</v>
      </c>
      <c r="BU16" s="22">
        <f t="shared" si="32"/>
        <v>95</v>
      </c>
      <c r="BV16" s="22">
        <v>2811</v>
      </c>
      <c r="BW16" s="22">
        <f t="shared" si="33"/>
        <v>1</v>
      </c>
      <c r="BX16" s="22">
        <v>377146</v>
      </c>
      <c r="BY16" s="22">
        <f t="shared" si="35"/>
        <v>26</v>
      </c>
      <c r="BZ16" s="15"/>
      <c r="CA16" s="7"/>
    </row>
    <row r="17" spans="1:79" ht="19.5" customHeight="1" x14ac:dyDescent="0.25">
      <c r="A17" s="12">
        <f t="shared" si="0"/>
        <v>44787</v>
      </c>
      <c r="B17" s="7">
        <v>533776</v>
      </c>
      <c r="C17" s="7">
        <f t="shared" si="1"/>
        <v>4429</v>
      </c>
      <c r="D17" s="7">
        <v>30771755</v>
      </c>
      <c r="E17" s="7">
        <f t="shared" si="2"/>
        <v>9282</v>
      </c>
      <c r="F17" s="7">
        <v>8585098</v>
      </c>
      <c r="G17" s="9">
        <f t="shared" si="3"/>
        <v>3667</v>
      </c>
      <c r="H17" s="13"/>
      <c r="I17" s="7">
        <v>93735</v>
      </c>
      <c r="J17" s="14">
        <f t="shared" si="4"/>
        <v>152.41499999999999</v>
      </c>
      <c r="K17" s="7">
        <v>21557</v>
      </c>
      <c r="L17" s="14">
        <f t="shared" si="5"/>
        <v>7.9030000000000005</v>
      </c>
      <c r="M17" s="13"/>
      <c r="N17" s="7">
        <v>60554</v>
      </c>
      <c r="O17" s="14">
        <f t="shared" si="6"/>
        <v>9224.5989304812829</v>
      </c>
      <c r="P17" s="14">
        <v>238871</v>
      </c>
      <c r="Q17" s="14">
        <f t="shared" si="7"/>
        <v>42</v>
      </c>
      <c r="R17" s="7">
        <v>53701549</v>
      </c>
      <c r="S17" s="14">
        <f t="shared" si="8"/>
        <v>11083</v>
      </c>
      <c r="T17" s="13"/>
      <c r="U17" s="7">
        <v>44707</v>
      </c>
      <c r="V17" s="7">
        <f t="shared" si="9"/>
        <v>349</v>
      </c>
      <c r="W17" s="7">
        <v>1043</v>
      </c>
      <c r="X17" s="7">
        <f t="shared" si="10"/>
        <v>20</v>
      </c>
      <c r="Y17" s="7">
        <v>286</v>
      </c>
      <c r="Z17" s="7">
        <f t="shared" si="11"/>
        <v>1</v>
      </c>
      <c r="AA17" s="8">
        <v>838107</v>
      </c>
      <c r="AB17" s="8">
        <f t="shared" si="12"/>
        <v>2730000</v>
      </c>
      <c r="AC17" s="8">
        <v>368584</v>
      </c>
      <c r="AD17" s="8">
        <f t="shared" si="36"/>
        <v>0</v>
      </c>
      <c r="AE17" s="13"/>
      <c r="AF17" s="7">
        <v>67138</v>
      </c>
      <c r="AG17" s="7">
        <f t="shared" si="14"/>
        <v>0</v>
      </c>
      <c r="AH17" s="14">
        <v>240189</v>
      </c>
      <c r="AI17" s="14">
        <f t="shared" si="15"/>
        <v>181</v>
      </c>
      <c r="AJ17" s="14">
        <v>11521955</v>
      </c>
      <c r="AK17" s="14">
        <f t="shared" si="16"/>
        <v>5742</v>
      </c>
      <c r="AL17" s="14">
        <v>28940</v>
      </c>
      <c r="AM17" s="14">
        <f t="shared" si="17"/>
        <v>1</v>
      </c>
      <c r="AN17" s="7">
        <v>28145</v>
      </c>
      <c r="AO17" s="14">
        <f t="shared" si="18"/>
        <v>845</v>
      </c>
      <c r="AP17" s="13"/>
      <c r="AQ17" s="22">
        <v>613388</v>
      </c>
      <c r="AR17" s="22">
        <f t="shared" si="34"/>
        <v>7510000</v>
      </c>
      <c r="AS17" s="22">
        <v>234978</v>
      </c>
      <c r="AT17" s="22">
        <f t="shared" si="19"/>
        <v>0</v>
      </c>
      <c r="AU17" s="22">
        <v>89587</v>
      </c>
      <c r="AV17" s="22">
        <f t="shared" si="20"/>
        <v>500000</v>
      </c>
      <c r="AW17" s="22">
        <v>269527</v>
      </c>
      <c r="AX17" s="22">
        <f t="shared" si="21"/>
        <v>0</v>
      </c>
      <c r="AY17" s="22">
        <v>476518</v>
      </c>
      <c r="AZ17" s="22">
        <f t="shared" si="22"/>
        <v>1050000</v>
      </c>
      <c r="BA17" s="22">
        <v>19321</v>
      </c>
      <c r="BB17" s="22">
        <f t="shared" si="23"/>
        <v>0</v>
      </c>
      <c r="BC17" s="22">
        <v>471548</v>
      </c>
      <c r="BD17" s="22">
        <f t="shared" si="24"/>
        <v>2410000</v>
      </c>
      <c r="BE17" s="22">
        <v>124015</v>
      </c>
      <c r="BF17" s="22">
        <f t="shared" si="25"/>
        <v>0</v>
      </c>
      <c r="BG17" s="13"/>
      <c r="BH17" s="22">
        <v>999644</v>
      </c>
      <c r="BI17" s="22">
        <f t="shared" si="26"/>
        <v>1197</v>
      </c>
      <c r="BJ17" s="22">
        <v>539896</v>
      </c>
      <c r="BK17" s="22">
        <f t="shared" si="27"/>
        <v>564</v>
      </c>
      <c r="BL17" s="22">
        <v>278639</v>
      </c>
      <c r="BM17" s="22">
        <f t="shared" si="28"/>
        <v>224</v>
      </c>
      <c r="BN17" s="22">
        <v>147384</v>
      </c>
      <c r="BO17" s="22">
        <f t="shared" si="29"/>
        <v>161</v>
      </c>
      <c r="BP17" s="22">
        <v>144799</v>
      </c>
      <c r="BQ17" s="22">
        <f t="shared" si="30"/>
        <v>46</v>
      </c>
      <c r="BR17" s="22">
        <v>89790</v>
      </c>
      <c r="BS17" s="22">
        <f t="shared" si="31"/>
        <v>11</v>
      </c>
      <c r="BT17" s="22">
        <v>504775</v>
      </c>
      <c r="BU17" s="22">
        <f t="shared" si="32"/>
        <v>102</v>
      </c>
      <c r="BV17" s="22">
        <v>2812</v>
      </c>
      <c r="BW17" s="22">
        <f t="shared" si="33"/>
        <v>1</v>
      </c>
      <c r="BX17" s="22">
        <v>377181</v>
      </c>
      <c r="BY17" s="22">
        <f t="shared" si="35"/>
        <v>35</v>
      </c>
      <c r="BZ17" s="13"/>
      <c r="CA17" s="7"/>
    </row>
    <row r="18" spans="1:79" ht="19.5" customHeight="1" x14ac:dyDescent="0.25">
      <c r="A18" s="12">
        <f t="shared" si="0"/>
        <v>44788</v>
      </c>
      <c r="B18" s="7">
        <v>538267</v>
      </c>
      <c r="C18" s="7">
        <f t="shared" si="1"/>
        <v>4491</v>
      </c>
      <c r="D18" s="7">
        <v>30781307</v>
      </c>
      <c r="E18" s="7">
        <f t="shared" si="2"/>
        <v>9552</v>
      </c>
      <c r="F18" s="7">
        <v>8589200</v>
      </c>
      <c r="G18" s="9">
        <f t="shared" si="3"/>
        <v>4102</v>
      </c>
      <c r="H18" s="13"/>
      <c r="I18" s="7">
        <v>93855</v>
      </c>
      <c r="J18" s="14">
        <f t="shared" si="4"/>
        <v>135.47999999999999</v>
      </c>
      <c r="K18" s="7">
        <v>21565</v>
      </c>
      <c r="L18" s="14">
        <f t="shared" si="5"/>
        <v>9.032</v>
      </c>
      <c r="M18" s="13"/>
      <c r="N18" s="7">
        <v>60614</v>
      </c>
      <c r="O18" s="14">
        <f t="shared" si="6"/>
        <v>8021.3903743315504</v>
      </c>
      <c r="P18" s="7">
        <v>238913</v>
      </c>
      <c r="Q18" s="14">
        <f t="shared" si="7"/>
        <v>42</v>
      </c>
      <c r="R18" s="7">
        <v>53713601</v>
      </c>
      <c r="S18" s="14">
        <f t="shared" si="8"/>
        <v>12052</v>
      </c>
      <c r="T18" s="13"/>
      <c r="U18" s="7">
        <v>45069</v>
      </c>
      <c r="V18" s="7">
        <f t="shared" si="9"/>
        <v>362</v>
      </c>
      <c r="W18" s="7">
        <v>1064</v>
      </c>
      <c r="X18" s="7">
        <f t="shared" ref="X18" si="37">W18-W17</f>
        <v>21</v>
      </c>
      <c r="Y18" s="7">
        <v>287</v>
      </c>
      <c r="Z18" s="7">
        <f t="shared" ref="Z18" si="38">(Y18-Y17)</f>
        <v>1</v>
      </c>
      <c r="AA18" s="8">
        <v>838392</v>
      </c>
      <c r="AB18" s="8">
        <f t="shared" si="12"/>
        <v>2850000</v>
      </c>
      <c r="AC18" s="8">
        <v>368584</v>
      </c>
      <c r="AD18" s="8">
        <f t="shared" si="36"/>
        <v>0</v>
      </c>
      <c r="AE18" s="13"/>
      <c r="AF18" s="7">
        <v>67138</v>
      </c>
      <c r="AG18" s="7">
        <f t="shared" si="14"/>
        <v>0</v>
      </c>
      <c r="AH18" s="7">
        <v>240343</v>
      </c>
      <c r="AI18" s="14">
        <f t="shared" si="15"/>
        <v>154</v>
      </c>
      <c r="AJ18" s="7">
        <v>11526701</v>
      </c>
      <c r="AK18" s="14">
        <f t="shared" si="16"/>
        <v>4746</v>
      </c>
      <c r="AL18" s="7">
        <v>28940</v>
      </c>
      <c r="AM18" s="14">
        <f t="shared" si="17"/>
        <v>0</v>
      </c>
      <c r="AN18" s="7">
        <v>29015</v>
      </c>
      <c r="AO18" s="14">
        <f t="shared" si="18"/>
        <v>870</v>
      </c>
      <c r="AP18" s="13"/>
      <c r="AQ18" s="22">
        <v>613870</v>
      </c>
      <c r="AR18" s="22">
        <f t="shared" si="34"/>
        <v>4820000</v>
      </c>
      <c r="AS18" s="22">
        <v>234978</v>
      </c>
      <c r="AT18" s="22">
        <f t="shared" si="19"/>
        <v>0</v>
      </c>
      <c r="AU18" s="22">
        <v>89764</v>
      </c>
      <c r="AV18" s="22">
        <f t="shared" si="20"/>
        <v>1770000</v>
      </c>
      <c r="AW18" s="22">
        <v>269527</v>
      </c>
      <c r="AX18" s="22">
        <f t="shared" si="21"/>
        <v>0</v>
      </c>
      <c r="AY18" s="22">
        <v>476676</v>
      </c>
      <c r="AZ18" s="22">
        <f t="shared" si="22"/>
        <v>1580000</v>
      </c>
      <c r="BA18" s="22">
        <v>19321</v>
      </c>
      <c r="BB18" s="22">
        <f t="shared" si="23"/>
        <v>0</v>
      </c>
      <c r="BC18" s="22">
        <v>471824</v>
      </c>
      <c r="BD18" s="22">
        <f t="shared" si="24"/>
        <v>2760000</v>
      </c>
      <c r="BE18" s="22">
        <v>124015</v>
      </c>
      <c r="BF18" s="22">
        <f t="shared" si="25"/>
        <v>0</v>
      </c>
      <c r="BG18" s="13"/>
      <c r="BH18" s="22">
        <v>1000820</v>
      </c>
      <c r="BI18" s="22">
        <f t="shared" si="26"/>
        <v>1176</v>
      </c>
      <c r="BJ18" s="22">
        <v>540410</v>
      </c>
      <c r="BK18" s="22">
        <f t="shared" si="27"/>
        <v>514</v>
      </c>
      <c r="BL18" s="22">
        <v>278853</v>
      </c>
      <c r="BM18" s="22">
        <f t="shared" si="28"/>
        <v>214</v>
      </c>
      <c r="BN18" s="22">
        <v>147547</v>
      </c>
      <c r="BO18" s="22">
        <f t="shared" si="29"/>
        <v>163</v>
      </c>
      <c r="BP18" s="22">
        <v>144853</v>
      </c>
      <c r="BQ18" s="22">
        <f t="shared" si="30"/>
        <v>54</v>
      </c>
      <c r="BR18" s="22">
        <v>89801</v>
      </c>
      <c r="BS18" s="22">
        <f t="shared" si="31"/>
        <v>11</v>
      </c>
      <c r="BT18" s="22">
        <v>504884</v>
      </c>
      <c r="BU18" s="22">
        <f t="shared" si="32"/>
        <v>109</v>
      </c>
      <c r="BV18" s="22">
        <v>2813</v>
      </c>
      <c r="BW18" s="22">
        <f t="shared" si="33"/>
        <v>1</v>
      </c>
      <c r="BX18" s="22">
        <v>377203</v>
      </c>
      <c r="BY18" s="22">
        <f t="shared" si="35"/>
        <v>22</v>
      </c>
      <c r="BZ18" s="13"/>
      <c r="CA18" s="7"/>
    </row>
    <row r="19" spans="1:79" ht="24" customHeight="1" x14ac:dyDescent="0.25">
      <c r="A19" s="12">
        <f t="shared" si="0"/>
        <v>44789</v>
      </c>
      <c r="B19" s="7">
        <v>542261</v>
      </c>
      <c r="C19" s="7">
        <f t="shared" si="1"/>
        <v>3994</v>
      </c>
      <c r="D19" s="7">
        <v>30790029</v>
      </c>
      <c r="E19" s="7">
        <f t="shared" si="2"/>
        <v>8722</v>
      </c>
      <c r="F19" s="7">
        <v>8592117</v>
      </c>
      <c r="G19" s="9">
        <f t="shared" si="3"/>
        <v>2917</v>
      </c>
      <c r="H19" s="13"/>
      <c r="I19" s="7">
        <v>93952</v>
      </c>
      <c r="J19" s="14">
        <f t="shared" si="4"/>
        <v>109.51300000000001</v>
      </c>
      <c r="K19" s="7">
        <v>21572</v>
      </c>
      <c r="L19" s="14">
        <f t="shared" si="5"/>
        <v>7.9030000000000005</v>
      </c>
      <c r="M19" s="13"/>
      <c r="N19" s="7">
        <v>60657</v>
      </c>
      <c r="O19" s="14">
        <f t="shared" si="6"/>
        <v>5748.6631016042775</v>
      </c>
      <c r="P19" s="7">
        <v>238952</v>
      </c>
      <c r="Q19" s="14">
        <f t="shared" si="7"/>
        <v>39</v>
      </c>
      <c r="R19" s="7">
        <v>53724637</v>
      </c>
      <c r="S19" s="14">
        <f t="shared" si="8"/>
        <v>11036</v>
      </c>
      <c r="T19" s="13"/>
      <c r="U19" s="7">
        <v>45400</v>
      </c>
      <c r="V19" s="7">
        <f t="shared" si="9"/>
        <v>331</v>
      </c>
      <c r="W19" s="14">
        <v>1082</v>
      </c>
      <c r="X19" s="14">
        <f>W19-W18</f>
        <v>18</v>
      </c>
      <c r="Y19" s="14">
        <v>287</v>
      </c>
      <c r="Z19" s="14">
        <f>(Y19-Y18)</f>
        <v>0</v>
      </c>
      <c r="AA19" s="8">
        <v>838656</v>
      </c>
      <c r="AB19" s="8">
        <f t="shared" si="12"/>
        <v>2640000</v>
      </c>
      <c r="AC19" s="8">
        <v>368584</v>
      </c>
      <c r="AD19" s="8">
        <f t="shared" si="36"/>
        <v>0</v>
      </c>
      <c r="AE19" s="13"/>
      <c r="AF19" s="7">
        <v>67138</v>
      </c>
      <c r="AG19" s="7">
        <f t="shared" si="14"/>
        <v>0</v>
      </c>
      <c r="AH19" s="7">
        <v>240505</v>
      </c>
      <c r="AI19" s="14">
        <f t="shared" si="15"/>
        <v>162</v>
      </c>
      <c r="AJ19" s="7">
        <v>11532969</v>
      </c>
      <c r="AK19" s="14">
        <f t="shared" si="16"/>
        <v>6268</v>
      </c>
      <c r="AL19" s="7">
        <v>28940</v>
      </c>
      <c r="AM19" s="14">
        <f t="shared" si="17"/>
        <v>0</v>
      </c>
      <c r="AN19" s="7">
        <v>29879</v>
      </c>
      <c r="AO19" s="14">
        <f t="shared" si="18"/>
        <v>864</v>
      </c>
      <c r="AP19" s="13"/>
      <c r="AQ19" s="22">
        <v>614492</v>
      </c>
      <c r="AR19" s="22">
        <f t="shared" si="34"/>
        <v>6220000</v>
      </c>
      <c r="AS19" s="22">
        <v>234978</v>
      </c>
      <c r="AT19" s="22">
        <f t="shared" si="19"/>
        <v>0</v>
      </c>
      <c r="AU19" s="22">
        <v>89887</v>
      </c>
      <c r="AV19" s="22">
        <f t="shared" si="20"/>
        <v>1230000</v>
      </c>
      <c r="AW19" s="22">
        <v>269527</v>
      </c>
      <c r="AX19" s="22">
        <f t="shared" si="21"/>
        <v>0</v>
      </c>
      <c r="AY19" s="22">
        <v>476818</v>
      </c>
      <c r="AZ19" s="22">
        <f t="shared" si="22"/>
        <v>1420000</v>
      </c>
      <c r="BA19" s="22">
        <v>19321</v>
      </c>
      <c r="BB19" s="22">
        <f t="shared" si="23"/>
        <v>0</v>
      </c>
      <c r="BC19" s="22">
        <v>472115</v>
      </c>
      <c r="BD19" s="22">
        <f t="shared" si="24"/>
        <v>2910000</v>
      </c>
      <c r="BE19" s="22">
        <v>124015</v>
      </c>
      <c r="BF19" s="22">
        <f t="shared" si="25"/>
        <v>0</v>
      </c>
      <c r="BG19" s="13"/>
      <c r="BH19" s="22">
        <v>1001881</v>
      </c>
      <c r="BI19" s="22">
        <f t="shared" si="26"/>
        <v>1061</v>
      </c>
      <c r="BJ19" s="22">
        <v>540897</v>
      </c>
      <c r="BK19" s="22">
        <f t="shared" si="27"/>
        <v>487</v>
      </c>
      <c r="BL19" s="22">
        <v>279039</v>
      </c>
      <c r="BM19" s="22">
        <f t="shared" si="28"/>
        <v>186</v>
      </c>
      <c r="BN19" s="22">
        <v>147677</v>
      </c>
      <c r="BO19" s="22">
        <f t="shared" si="29"/>
        <v>130</v>
      </c>
      <c r="BP19" s="22">
        <v>144907</v>
      </c>
      <c r="BQ19" s="22">
        <f t="shared" si="30"/>
        <v>54</v>
      </c>
      <c r="BR19" s="22">
        <v>89812</v>
      </c>
      <c r="BS19" s="22">
        <f t="shared" si="31"/>
        <v>11</v>
      </c>
      <c r="BT19" s="22">
        <v>504977</v>
      </c>
      <c r="BU19" s="22">
        <f t="shared" si="32"/>
        <v>93</v>
      </c>
      <c r="BV19" s="22">
        <v>2814</v>
      </c>
      <c r="BW19" s="22">
        <f t="shared" si="33"/>
        <v>1</v>
      </c>
      <c r="BX19" s="22">
        <v>377221</v>
      </c>
      <c r="BY19" s="22">
        <f t="shared" si="35"/>
        <v>18</v>
      </c>
      <c r="BZ19" s="13"/>
      <c r="CA19" s="7"/>
    </row>
    <row r="20" spans="1:79" ht="20.25" customHeight="1" x14ac:dyDescent="0.25">
      <c r="A20" s="12">
        <f t="shared" si="0"/>
        <v>44790</v>
      </c>
      <c r="B20" s="7">
        <v>546408</v>
      </c>
      <c r="C20" s="7">
        <f t="shared" si="1"/>
        <v>4147</v>
      </c>
      <c r="D20" s="7">
        <v>30799230</v>
      </c>
      <c r="E20" s="7">
        <f t="shared" si="2"/>
        <v>9201</v>
      </c>
      <c r="F20" s="7">
        <v>8596421</v>
      </c>
      <c r="G20" s="9">
        <f t="shared" si="3"/>
        <v>4304</v>
      </c>
      <c r="H20" s="13"/>
      <c r="I20" s="7">
        <v>94052</v>
      </c>
      <c r="J20" s="14">
        <f t="shared" si="4"/>
        <v>112.9</v>
      </c>
      <c r="K20" s="7">
        <v>21578</v>
      </c>
      <c r="L20" s="14">
        <f t="shared" si="5"/>
        <v>6.774</v>
      </c>
      <c r="M20" s="13"/>
      <c r="N20" s="7">
        <v>60704</v>
      </c>
      <c r="O20" s="14">
        <f t="shared" si="6"/>
        <v>6283.4224598930477</v>
      </c>
      <c r="P20" s="7">
        <v>238992</v>
      </c>
      <c r="Q20" s="14">
        <f t="shared" si="7"/>
        <v>40</v>
      </c>
      <c r="R20" s="7">
        <v>53736445</v>
      </c>
      <c r="S20" s="14">
        <f t="shared" si="8"/>
        <v>11808</v>
      </c>
      <c r="T20" s="13"/>
      <c r="U20" s="7">
        <v>45768</v>
      </c>
      <c r="V20" s="7">
        <f t="shared" si="9"/>
        <v>368</v>
      </c>
      <c r="W20" s="7">
        <v>1094</v>
      </c>
      <c r="X20" s="14">
        <f t="shared" ref="X20:X33" si="39">W20-W19</f>
        <v>12</v>
      </c>
      <c r="Y20" s="7">
        <v>288</v>
      </c>
      <c r="Z20" s="14">
        <f t="shared" ref="Z20:Z33" si="40">(Y20-Y19)</f>
        <v>1</v>
      </c>
      <c r="AA20" s="8">
        <v>838930</v>
      </c>
      <c r="AB20" s="8">
        <f t="shared" si="12"/>
        <v>2740000</v>
      </c>
      <c r="AC20" s="8">
        <v>368584</v>
      </c>
      <c r="AD20" s="8">
        <f t="shared" si="36"/>
        <v>0</v>
      </c>
      <c r="AE20" s="13"/>
      <c r="AF20" s="7">
        <v>67138</v>
      </c>
      <c r="AG20" s="7">
        <f t="shared" si="14"/>
        <v>0</v>
      </c>
      <c r="AH20" s="7">
        <v>240640</v>
      </c>
      <c r="AI20" s="14">
        <f t="shared" si="15"/>
        <v>135</v>
      </c>
      <c r="AJ20" s="7">
        <v>11538170</v>
      </c>
      <c r="AK20" s="14">
        <f t="shared" si="16"/>
        <v>5201</v>
      </c>
      <c r="AL20" s="7">
        <v>28940</v>
      </c>
      <c r="AM20" s="14">
        <f t="shared" si="17"/>
        <v>0</v>
      </c>
      <c r="AN20" s="7">
        <v>30591</v>
      </c>
      <c r="AO20" s="14">
        <f t="shared" si="18"/>
        <v>712</v>
      </c>
      <c r="AP20" s="13"/>
      <c r="AQ20" s="22">
        <v>614802</v>
      </c>
      <c r="AR20" s="22">
        <f t="shared" si="34"/>
        <v>3100000</v>
      </c>
      <c r="AS20" s="22">
        <v>234978</v>
      </c>
      <c r="AT20" s="22">
        <f t="shared" si="19"/>
        <v>0</v>
      </c>
      <c r="AU20" s="22">
        <v>89911</v>
      </c>
      <c r="AV20" s="22">
        <f t="shared" si="20"/>
        <v>240000</v>
      </c>
      <c r="AW20" s="22">
        <v>269527</v>
      </c>
      <c r="AX20" s="22">
        <f t="shared" si="21"/>
        <v>0</v>
      </c>
      <c r="AY20" s="22">
        <v>476989</v>
      </c>
      <c r="AZ20" s="22">
        <f t="shared" si="22"/>
        <v>1710000</v>
      </c>
      <c r="BA20" s="22">
        <v>19321</v>
      </c>
      <c r="BB20" s="22">
        <f t="shared" si="23"/>
        <v>0</v>
      </c>
      <c r="BC20" s="22">
        <v>472419</v>
      </c>
      <c r="BD20" s="22">
        <f t="shared" si="24"/>
        <v>3040000</v>
      </c>
      <c r="BE20" s="22">
        <v>124015</v>
      </c>
      <c r="BF20" s="22">
        <f t="shared" si="25"/>
        <v>0</v>
      </c>
      <c r="BG20" s="13"/>
      <c r="BH20" s="22">
        <v>1002923</v>
      </c>
      <c r="BI20" s="22">
        <f t="shared" si="26"/>
        <v>1042</v>
      </c>
      <c r="BJ20" s="22">
        <v>541414</v>
      </c>
      <c r="BK20" s="22">
        <f t="shared" si="27"/>
        <v>517</v>
      </c>
      <c r="BL20" s="22">
        <v>279226</v>
      </c>
      <c r="BM20" s="22">
        <f t="shared" si="28"/>
        <v>187</v>
      </c>
      <c r="BN20" s="22">
        <v>147812</v>
      </c>
      <c r="BO20" s="22">
        <f t="shared" si="29"/>
        <v>135</v>
      </c>
      <c r="BP20" s="22">
        <v>144962</v>
      </c>
      <c r="BQ20" s="22">
        <f t="shared" si="30"/>
        <v>55</v>
      </c>
      <c r="BR20" s="22">
        <v>89825</v>
      </c>
      <c r="BS20" s="22">
        <f t="shared" si="31"/>
        <v>13</v>
      </c>
      <c r="BT20" s="22">
        <v>505074</v>
      </c>
      <c r="BU20" s="22">
        <f t="shared" si="32"/>
        <v>97</v>
      </c>
      <c r="BV20" s="22">
        <v>2814</v>
      </c>
      <c r="BW20" s="22">
        <f t="shared" si="33"/>
        <v>0</v>
      </c>
      <c r="BX20" s="22">
        <v>377239</v>
      </c>
      <c r="BY20" s="22">
        <f t="shared" si="35"/>
        <v>18</v>
      </c>
      <c r="BZ20" s="13"/>
      <c r="CA20" s="7"/>
    </row>
    <row r="21" spans="1:79" ht="21" customHeight="1" x14ac:dyDescent="0.25">
      <c r="A21" s="12">
        <f t="shared" si="0"/>
        <v>44791</v>
      </c>
      <c r="B21" s="7">
        <v>550691</v>
      </c>
      <c r="C21" s="7">
        <f t="shared" si="1"/>
        <v>4283</v>
      </c>
      <c r="D21" s="7">
        <v>30808012</v>
      </c>
      <c r="E21" s="7">
        <f t="shared" si="2"/>
        <v>8782</v>
      </c>
      <c r="F21" s="7">
        <v>8599182</v>
      </c>
      <c r="G21" s="9">
        <f>F21-F20</f>
        <v>2761</v>
      </c>
      <c r="H21" s="13"/>
      <c r="I21" s="7">
        <v>94150</v>
      </c>
      <c r="J21" s="14">
        <f t="shared" si="4"/>
        <v>110.642</v>
      </c>
      <c r="K21" s="7">
        <v>21586</v>
      </c>
      <c r="L21" s="14">
        <f t="shared" si="5"/>
        <v>9.032</v>
      </c>
      <c r="M21" s="13"/>
      <c r="N21" s="7">
        <v>60755</v>
      </c>
      <c r="O21" s="14">
        <f t="shared" si="6"/>
        <v>6818.181818181818</v>
      </c>
      <c r="P21" s="7">
        <v>239033</v>
      </c>
      <c r="Q21" s="14">
        <f t="shared" si="7"/>
        <v>41</v>
      </c>
      <c r="R21" s="7">
        <v>53748154</v>
      </c>
      <c r="S21" s="14">
        <f t="shared" si="8"/>
        <v>11709</v>
      </c>
      <c r="T21" s="13"/>
      <c r="U21" s="7">
        <v>46089</v>
      </c>
      <c r="V21" s="7">
        <f t="shared" si="9"/>
        <v>321</v>
      </c>
      <c r="W21" s="7">
        <v>1101</v>
      </c>
      <c r="X21" s="14">
        <f t="shared" si="39"/>
        <v>7</v>
      </c>
      <c r="Y21" s="7">
        <v>289</v>
      </c>
      <c r="Z21" s="14">
        <f t="shared" si="40"/>
        <v>1</v>
      </c>
      <c r="AA21" s="8">
        <v>839202</v>
      </c>
      <c r="AB21" s="8">
        <f t="shared" si="12"/>
        <v>2720000</v>
      </c>
      <c r="AC21" s="8">
        <v>368584</v>
      </c>
      <c r="AD21" s="8">
        <f t="shared" si="36"/>
        <v>0</v>
      </c>
      <c r="AE21" s="13"/>
      <c r="AF21" s="7">
        <v>67138</v>
      </c>
      <c r="AG21" s="7">
        <f t="shared" si="14"/>
        <v>0</v>
      </c>
      <c r="AH21" s="7">
        <v>240782</v>
      </c>
      <c r="AI21" s="14">
        <f t="shared" si="15"/>
        <v>142</v>
      </c>
      <c r="AJ21" s="7">
        <v>11543138</v>
      </c>
      <c r="AK21" s="14">
        <f t="shared" si="16"/>
        <v>4968</v>
      </c>
      <c r="AL21" s="7">
        <v>28941</v>
      </c>
      <c r="AM21" s="14">
        <f t="shared" si="17"/>
        <v>1</v>
      </c>
      <c r="AN21" s="7">
        <v>31320</v>
      </c>
      <c r="AO21" s="14">
        <f t="shared" si="18"/>
        <v>729</v>
      </c>
      <c r="AP21" s="13"/>
      <c r="AQ21" s="22">
        <v>615181</v>
      </c>
      <c r="AR21" s="22">
        <f t="shared" si="34"/>
        <v>3790000</v>
      </c>
      <c r="AS21" s="22">
        <v>234978</v>
      </c>
      <c r="AT21" s="22">
        <f t="shared" si="19"/>
        <v>0</v>
      </c>
      <c r="AU21" s="22">
        <v>89977</v>
      </c>
      <c r="AV21" s="22">
        <f t="shared" si="20"/>
        <v>660000</v>
      </c>
      <c r="AW21" s="22">
        <v>269527</v>
      </c>
      <c r="AX21" s="22">
        <f t="shared" si="21"/>
        <v>0</v>
      </c>
      <c r="AY21" s="22">
        <v>477146</v>
      </c>
      <c r="AZ21" s="22">
        <f t="shared" si="22"/>
        <v>1570000</v>
      </c>
      <c r="BA21" s="22">
        <v>19321</v>
      </c>
      <c r="BB21" s="22">
        <f t="shared" si="23"/>
        <v>0</v>
      </c>
      <c r="BC21" s="22">
        <v>472739</v>
      </c>
      <c r="BD21" s="22">
        <f t="shared" si="24"/>
        <v>3200000</v>
      </c>
      <c r="BE21" s="22">
        <v>124015</v>
      </c>
      <c r="BF21" s="22">
        <f t="shared" si="25"/>
        <v>0</v>
      </c>
      <c r="BG21" s="13"/>
      <c r="BH21" s="22">
        <v>1003999</v>
      </c>
      <c r="BI21" s="22">
        <f t="shared" si="26"/>
        <v>1076</v>
      </c>
      <c r="BJ21" s="22">
        <v>541920</v>
      </c>
      <c r="BK21" s="22">
        <f t="shared" si="27"/>
        <v>506</v>
      </c>
      <c r="BL21" s="22">
        <v>279421</v>
      </c>
      <c r="BM21" s="22">
        <f t="shared" si="28"/>
        <v>195</v>
      </c>
      <c r="BN21" s="22">
        <v>147940</v>
      </c>
      <c r="BO21" s="22">
        <f t="shared" si="29"/>
        <v>128</v>
      </c>
      <c r="BP21" s="22">
        <v>145017</v>
      </c>
      <c r="BQ21" s="22">
        <f t="shared" si="30"/>
        <v>55</v>
      </c>
      <c r="BR21" s="22">
        <v>89837</v>
      </c>
      <c r="BS21" s="22">
        <f t="shared" si="31"/>
        <v>12</v>
      </c>
      <c r="BT21" s="22">
        <v>505175</v>
      </c>
      <c r="BU21" s="22">
        <f t="shared" si="32"/>
        <v>101</v>
      </c>
      <c r="BV21" s="22">
        <v>2816</v>
      </c>
      <c r="BW21" s="22">
        <f t="shared" si="33"/>
        <v>2</v>
      </c>
      <c r="BX21" s="22">
        <v>377254</v>
      </c>
      <c r="BY21" s="22">
        <f t="shared" si="35"/>
        <v>15</v>
      </c>
      <c r="BZ21" s="13"/>
      <c r="CA21" s="7"/>
    </row>
    <row r="22" spans="1:79" ht="18.75" customHeight="1" x14ac:dyDescent="0.25">
      <c r="A22" s="12">
        <f t="shared" si="0"/>
        <v>44792</v>
      </c>
      <c r="B22" s="7">
        <v>554442</v>
      </c>
      <c r="C22" s="7">
        <f t="shared" si="1"/>
        <v>3751</v>
      </c>
      <c r="D22" s="7">
        <v>30817215</v>
      </c>
      <c r="E22" s="7">
        <f t="shared" si="2"/>
        <v>9203</v>
      </c>
      <c r="F22" s="7">
        <v>8603609</v>
      </c>
      <c r="G22" s="9">
        <f>F22-F21</f>
        <v>4427</v>
      </c>
      <c r="H22" s="13"/>
      <c r="I22" s="7">
        <v>94251</v>
      </c>
      <c r="J22" s="14">
        <f t="shared" si="4"/>
        <v>114.029</v>
      </c>
      <c r="K22" s="7">
        <v>21593</v>
      </c>
      <c r="L22" s="14">
        <f t="shared" si="5"/>
        <v>7.9030000000000005</v>
      </c>
      <c r="M22" s="13"/>
      <c r="N22" s="7">
        <v>60815</v>
      </c>
      <c r="O22" s="14">
        <f t="shared" si="6"/>
        <v>8021.3903743315504</v>
      </c>
      <c r="P22" s="14">
        <v>239074</v>
      </c>
      <c r="Q22" s="14">
        <f t="shared" si="7"/>
        <v>41</v>
      </c>
      <c r="R22" s="7">
        <v>53759444</v>
      </c>
      <c r="S22" s="14">
        <f t="shared" si="8"/>
        <v>11290</v>
      </c>
      <c r="T22" s="13"/>
      <c r="U22" s="7">
        <v>46424</v>
      </c>
      <c r="V22" s="7">
        <f t="shared" si="9"/>
        <v>335</v>
      </c>
      <c r="W22" s="7">
        <v>1109</v>
      </c>
      <c r="X22" s="14">
        <f t="shared" si="39"/>
        <v>8</v>
      </c>
      <c r="Y22" s="7">
        <v>290</v>
      </c>
      <c r="Z22" s="14">
        <f t="shared" si="40"/>
        <v>1</v>
      </c>
      <c r="AA22" s="8">
        <v>839452</v>
      </c>
      <c r="AB22" s="8">
        <f t="shared" si="12"/>
        <v>2500000</v>
      </c>
      <c r="AC22" s="8">
        <v>368584</v>
      </c>
      <c r="AD22" s="8">
        <f t="shared" si="36"/>
        <v>0</v>
      </c>
      <c r="AE22" s="13"/>
      <c r="AF22" s="7">
        <v>67138</v>
      </c>
      <c r="AG22" s="7">
        <f t="shared" si="14"/>
        <v>0</v>
      </c>
      <c r="AH22" s="14">
        <v>240973</v>
      </c>
      <c r="AI22" s="14">
        <f t="shared" si="15"/>
        <v>191</v>
      </c>
      <c r="AJ22" s="14">
        <v>11549362</v>
      </c>
      <c r="AK22" s="14">
        <f t="shared" si="16"/>
        <v>6224</v>
      </c>
      <c r="AL22" s="14">
        <v>28941</v>
      </c>
      <c r="AM22" s="14">
        <f t="shared" si="17"/>
        <v>0</v>
      </c>
      <c r="AN22" s="7">
        <v>32276</v>
      </c>
      <c r="AO22" s="14">
        <f t="shared" si="18"/>
        <v>956</v>
      </c>
      <c r="AP22" s="13"/>
      <c r="AQ22" s="22">
        <v>615535</v>
      </c>
      <c r="AR22" s="22">
        <f t="shared" si="34"/>
        <v>3540000</v>
      </c>
      <c r="AS22" s="22">
        <v>234978</v>
      </c>
      <c r="AT22" s="22">
        <f t="shared" si="19"/>
        <v>0</v>
      </c>
      <c r="AU22" s="22">
        <v>89997</v>
      </c>
      <c r="AV22" s="22">
        <f t="shared" si="20"/>
        <v>200000</v>
      </c>
      <c r="AW22" s="22">
        <v>269527</v>
      </c>
      <c r="AX22" s="22">
        <f t="shared" si="21"/>
        <v>0</v>
      </c>
      <c r="AY22" s="22">
        <v>477313</v>
      </c>
      <c r="AZ22" s="22">
        <f t="shared" si="22"/>
        <v>1670000</v>
      </c>
      <c r="BA22" s="22">
        <v>19321</v>
      </c>
      <c r="BB22" s="22">
        <f t="shared" si="23"/>
        <v>0</v>
      </c>
      <c r="BC22" s="22">
        <v>473028</v>
      </c>
      <c r="BD22" s="22">
        <f t="shared" si="24"/>
        <v>2890000</v>
      </c>
      <c r="BE22" s="22">
        <v>124015</v>
      </c>
      <c r="BF22" s="22">
        <f t="shared" si="25"/>
        <v>0</v>
      </c>
      <c r="BG22" s="13"/>
      <c r="BH22" s="22">
        <v>1005081</v>
      </c>
      <c r="BI22" s="22">
        <f t="shared" si="26"/>
        <v>1082</v>
      </c>
      <c r="BJ22" s="22">
        <v>542431</v>
      </c>
      <c r="BK22" s="22">
        <f t="shared" si="27"/>
        <v>511</v>
      </c>
      <c r="BL22" s="22">
        <v>279611</v>
      </c>
      <c r="BM22" s="22">
        <f t="shared" si="28"/>
        <v>190</v>
      </c>
      <c r="BN22" s="22">
        <v>148078</v>
      </c>
      <c r="BO22" s="22">
        <f t="shared" si="29"/>
        <v>138</v>
      </c>
      <c r="BP22" s="22">
        <v>145070</v>
      </c>
      <c r="BQ22" s="22">
        <f t="shared" si="30"/>
        <v>53</v>
      </c>
      <c r="BR22" s="22">
        <v>89847</v>
      </c>
      <c r="BS22" s="22">
        <f t="shared" si="31"/>
        <v>10</v>
      </c>
      <c r="BT22" s="22">
        <v>505284</v>
      </c>
      <c r="BU22" s="22">
        <f t="shared" si="32"/>
        <v>109</v>
      </c>
      <c r="BV22" s="22">
        <v>2816</v>
      </c>
      <c r="BW22" s="22">
        <f t="shared" si="33"/>
        <v>0</v>
      </c>
      <c r="BX22" s="22">
        <v>377274</v>
      </c>
      <c r="BY22" s="22">
        <f t="shared" si="35"/>
        <v>20</v>
      </c>
      <c r="BZ22" s="13"/>
      <c r="CA22" s="7"/>
    </row>
    <row r="23" spans="1:79" ht="21" customHeight="1" x14ac:dyDescent="0.25">
      <c r="A23" s="12">
        <f t="shared" si="0"/>
        <v>44793</v>
      </c>
      <c r="B23" s="7">
        <v>558747</v>
      </c>
      <c r="C23" s="7">
        <f t="shared" si="1"/>
        <v>4305</v>
      </c>
      <c r="D23" s="7">
        <v>30826523</v>
      </c>
      <c r="E23" s="7">
        <f t="shared" si="2"/>
        <v>9308</v>
      </c>
      <c r="F23" s="7">
        <v>8607085</v>
      </c>
      <c r="G23" s="9">
        <f t="shared" si="3"/>
        <v>3476</v>
      </c>
      <c r="H23" s="13"/>
      <c r="I23" s="7">
        <v>94372</v>
      </c>
      <c r="J23" s="14">
        <f t="shared" si="4"/>
        <v>136.60900000000001</v>
      </c>
      <c r="K23" s="7">
        <v>21601</v>
      </c>
      <c r="L23" s="14">
        <f t="shared" si="5"/>
        <v>9.032</v>
      </c>
      <c r="M23" s="13"/>
      <c r="N23" s="7">
        <v>60892</v>
      </c>
      <c r="O23" s="14">
        <f t="shared" si="6"/>
        <v>10294.117647058823</v>
      </c>
      <c r="P23" s="14">
        <v>239117</v>
      </c>
      <c r="Q23" s="14">
        <f t="shared" si="7"/>
        <v>43</v>
      </c>
      <c r="R23" s="7">
        <v>53774005</v>
      </c>
      <c r="S23" s="14">
        <f t="shared" si="8"/>
        <v>14561</v>
      </c>
      <c r="T23" s="13"/>
      <c r="U23" s="7">
        <v>46762</v>
      </c>
      <c r="V23" s="7">
        <f t="shared" si="9"/>
        <v>338</v>
      </c>
      <c r="W23" s="7">
        <v>1119</v>
      </c>
      <c r="X23" s="14">
        <f t="shared" si="39"/>
        <v>10</v>
      </c>
      <c r="Y23" s="7">
        <v>291</v>
      </c>
      <c r="Z23" s="14">
        <f t="shared" si="40"/>
        <v>1</v>
      </c>
      <c r="AA23" s="8">
        <v>839738</v>
      </c>
      <c r="AB23" s="8">
        <f t="shared" si="12"/>
        <v>2860000</v>
      </c>
      <c r="AC23" s="8">
        <v>368584</v>
      </c>
      <c r="AD23" s="8">
        <f t="shared" si="36"/>
        <v>0</v>
      </c>
      <c r="AE23" s="13"/>
      <c r="AF23" s="7">
        <v>67138</v>
      </c>
      <c r="AG23" s="7">
        <f t="shared" si="14"/>
        <v>0</v>
      </c>
      <c r="AH23" s="14">
        <v>241170</v>
      </c>
      <c r="AI23" s="14">
        <f t="shared" si="15"/>
        <v>197</v>
      </c>
      <c r="AJ23" s="14">
        <v>11557082</v>
      </c>
      <c r="AK23" s="14">
        <f t="shared" si="16"/>
        <v>7720</v>
      </c>
      <c r="AL23" s="14">
        <v>28942</v>
      </c>
      <c r="AM23" s="14">
        <f t="shared" si="17"/>
        <v>1</v>
      </c>
      <c r="AN23" s="7">
        <v>33147</v>
      </c>
      <c r="AO23" s="14">
        <f t="shared" si="18"/>
        <v>871</v>
      </c>
      <c r="AP23" s="13"/>
      <c r="AQ23" s="22">
        <v>616556</v>
      </c>
      <c r="AR23" s="22">
        <f t="shared" si="34"/>
        <v>10210000</v>
      </c>
      <c r="AS23" s="22">
        <v>234978</v>
      </c>
      <c r="AT23" s="22">
        <f t="shared" si="19"/>
        <v>0</v>
      </c>
      <c r="AU23" s="22">
        <v>90200</v>
      </c>
      <c r="AV23" s="22">
        <f t="shared" si="20"/>
        <v>2030000</v>
      </c>
      <c r="AW23" s="22">
        <v>269527</v>
      </c>
      <c r="AX23" s="22">
        <f t="shared" si="21"/>
        <v>0</v>
      </c>
      <c r="AY23" s="22">
        <v>477559</v>
      </c>
      <c r="AZ23" s="22">
        <f t="shared" si="22"/>
        <v>2460000</v>
      </c>
      <c r="BA23" s="22">
        <v>19321</v>
      </c>
      <c r="BB23" s="22">
        <f t="shared" si="23"/>
        <v>0</v>
      </c>
      <c r="BC23" s="22">
        <v>473350</v>
      </c>
      <c r="BD23" s="22">
        <f t="shared" si="24"/>
        <v>3220000</v>
      </c>
      <c r="BE23" s="22">
        <v>124015</v>
      </c>
      <c r="BF23" s="22">
        <f t="shared" si="25"/>
        <v>0</v>
      </c>
      <c r="BG23" s="13"/>
      <c r="BH23" s="22">
        <v>1006251</v>
      </c>
      <c r="BI23" s="22">
        <f t="shared" si="26"/>
        <v>1170</v>
      </c>
      <c r="BJ23" s="22">
        <v>542954</v>
      </c>
      <c r="BK23" s="22">
        <f t="shared" si="27"/>
        <v>523</v>
      </c>
      <c r="BL23" s="22">
        <v>279934</v>
      </c>
      <c r="BM23" s="22">
        <f t="shared" si="28"/>
        <v>323</v>
      </c>
      <c r="BN23" s="22">
        <v>148215</v>
      </c>
      <c r="BO23" s="22">
        <f t="shared" si="29"/>
        <v>137</v>
      </c>
      <c r="BP23" s="22">
        <v>145121</v>
      </c>
      <c r="BQ23" s="22">
        <f t="shared" si="30"/>
        <v>51</v>
      </c>
      <c r="BR23" s="22">
        <v>89862</v>
      </c>
      <c r="BS23" s="22">
        <f t="shared" si="31"/>
        <v>15</v>
      </c>
      <c r="BT23" s="22">
        <v>505373</v>
      </c>
      <c r="BU23" s="22">
        <f t="shared" si="32"/>
        <v>89</v>
      </c>
      <c r="BV23" s="22">
        <v>2817</v>
      </c>
      <c r="BW23" s="22">
        <f t="shared" si="33"/>
        <v>1</v>
      </c>
      <c r="BX23" s="22">
        <v>377304</v>
      </c>
      <c r="BY23" s="22">
        <f t="shared" si="35"/>
        <v>30</v>
      </c>
      <c r="BZ23" s="13"/>
      <c r="CA23" s="7"/>
    </row>
    <row r="24" spans="1:79" ht="22.5" customHeight="1" x14ac:dyDescent="0.25">
      <c r="A24" s="12">
        <f t="shared" si="0"/>
        <v>44794</v>
      </c>
      <c r="B24" s="7">
        <v>562952</v>
      </c>
      <c r="C24" s="7">
        <f t="shared" si="1"/>
        <v>4205</v>
      </c>
      <c r="D24" s="7">
        <v>30835576</v>
      </c>
      <c r="E24" s="7">
        <f t="shared" si="2"/>
        <v>9053</v>
      </c>
      <c r="F24" s="7">
        <v>8610775</v>
      </c>
      <c r="G24" s="9">
        <f t="shared" si="3"/>
        <v>3690</v>
      </c>
      <c r="H24" s="13"/>
      <c r="I24" s="7">
        <v>94504</v>
      </c>
      <c r="J24" s="14">
        <f t="shared" si="4"/>
        <v>149.02799999999999</v>
      </c>
      <c r="K24" s="7">
        <v>21608</v>
      </c>
      <c r="L24" s="14">
        <f t="shared" si="5"/>
        <v>7.9030000000000005</v>
      </c>
      <c r="M24" s="13"/>
      <c r="N24" s="7">
        <v>60966</v>
      </c>
      <c r="O24" s="14">
        <f t="shared" si="6"/>
        <v>9893.048128342245</v>
      </c>
      <c r="P24" s="14">
        <v>239157</v>
      </c>
      <c r="Q24" s="14">
        <f t="shared" si="7"/>
        <v>40</v>
      </c>
      <c r="R24" s="7">
        <v>53788932</v>
      </c>
      <c r="S24" s="14">
        <f t="shared" si="8"/>
        <v>14927</v>
      </c>
      <c r="T24" s="13"/>
      <c r="U24" s="7">
        <v>47094</v>
      </c>
      <c r="V24" s="7">
        <f t="shared" si="9"/>
        <v>332</v>
      </c>
      <c r="W24" s="7">
        <v>1140</v>
      </c>
      <c r="X24" s="14">
        <f t="shared" si="39"/>
        <v>21</v>
      </c>
      <c r="Y24" s="7">
        <v>292</v>
      </c>
      <c r="Z24" s="14">
        <f t="shared" si="40"/>
        <v>1</v>
      </c>
      <c r="AA24" s="8">
        <v>840023</v>
      </c>
      <c r="AB24" s="8">
        <f t="shared" si="12"/>
        <v>2850000</v>
      </c>
      <c r="AC24" s="8">
        <v>368584</v>
      </c>
      <c r="AD24" s="8">
        <f t="shared" si="36"/>
        <v>0</v>
      </c>
      <c r="AE24" s="13"/>
      <c r="AF24" s="7">
        <v>67138</v>
      </c>
      <c r="AG24" s="7">
        <f t="shared" si="14"/>
        <v>0</v>
      </c>
      <c r="AH24" s="14">
        <v>241343</v>
      </c>
      <c r="AI24" s="14">
        <f t="shared" si="15"/>
        <v>173</v>
      </c>
      <c r="AJ24" s="14">
        <v>11564395</v>
      </c>
      <c r="AK24" s="14">
        <f t="shared" si="16"/>
        <v>7313</v>
      </c>
      <c r="AL24" s="14">
        <v>28944</v>
      </c>
      <c r="AM24" s="14">
        <f t="shared" si="17"/>
        <v>2</v>
      </c>
      <c r="AN24" s="7">
        <v>33939</v>
      </c>
      <c r="AO24" s="14">
        <f t="shared" si="18"/>
        <v>792</v>
      </c>
      <c r="AP24" s="13"/>
      <c r="AQ24" s="22">
        <v>617668</v>
      </c>
      <c r="AR24" s="22">
        <f t="shared" si="34"/>
        <v>11120000</v>
      </c>
      <c r="AS24" s="22">
        <v>234978</v>
      </c>
      <c r="AT24" s="22">
        <f t="shared" si="19"/>
        <v>0</v>
      </c>
      <c r="AU24" s="22">
        <v>90652</v>
      </c>
      <c r="AV24" s="22">
        <f t="shared" si="20"/>
        <v>4520000</v>
      </c>
      <c r="AW24" s="22">
        <v>269527</v>
      </c>
      <c r="AX24" s="22">
        <f t="shared" si="21"/>
        <v>0</v>
      </c>
      <c r="AY24" s="22">
        <v>477837</v>
      </c>
      <c r="AZ24" s="22">
        <f t="shared" si="22"/>
        <v>2780000</v>
      </c>
      <c r="BA24" s="22">
        <v>19321</v>
      </c>
      <c r="BB24" s="22">
        <f t="shared" si="23"/>
        <v>0</v>
      </c>
      <c r="BC24" s="22">
        <v>473654</v>
      </c>
      <c r="BD24" s="22">
        <f t="shared" si="24"/>
        <v>3040000</v>
      </c>
      <c r="BE24" s="22">
        <v>124015</v>
      </c>
      <c r="BF24" s="22">
        <f t="shared" si="25"/>
        <v>0</v>
      </c>
      <c r="BG24" s="13"/>
      <c r="BH24" s="22">
        <v>1007444</v>
      </c>
      <c r="BI24" s="22">
        <f t="shared" si="26"/>
        <v>1193</v>
      </c>
      <c r="BJ24" s="22">
        <v>543469</v>
      </c>
      <c r="BK24" s="22">
        <f t="shared" si="27"/>
        <v>515</v>
      </c>
      <c r="BL24" s="22">
        <v>280057</v>
      </c>
      <c r="BM24" s="22">
        <f t="shared" si="28"/>
        <v>123</v>
      </c>
      <c r="BN24" s="22">
        <v>148359</v>
      </c>
      <c r="BO24" s="22">
        <f t="shared" si="29"/>
        <v>144</v>
      </c>
      <c r="BP24" s="22">
        <v>145174</v>
      </c>
      <c r="BQ24" s="22">
        <f t="shared" si="30"/>
        <v>53</v>
      </c>
      <c r="BR24" s="22">
        <v>89875</v>
      </c>
      <c r="BS24" s="22">
        <f t="shared" si="31"/>
        <v>13</v>
      </c>
      <c r="BT24" s="53">
        <v>505473</v>
      </c>
      <c r="BU24" s="22">
        <f t="shared" si="32"/>
        <v>100</v>
      </c>
      <c r="BV24" s="22">
        <v>2818</v>
      </c>
      <c r="BW24" s="22">
        <f t="shared" si="33"/>
        <v>1</v>
      </c>
      <c r="BX24" s="22">
        <v>377330</v>
      </c>
      <c r="BY24" s="22">
        <f t="shared" si="35"/>
        <v>26</v>
      </c>
      <c r="BZ24" s="13"/>
      <c r="CA24" s="7"/>
    </row>
    <row r="25" spans="1:79" ht="22.5" customHeight="1" x14ac:dyDescent="0.25">
      <c r="A25" s="12">
        <f t="shared" si="0"/>
        <v>44795</v>
      </c>
      <c r="B25" s="7">
        <v>567706</v>
      </c>
      <c r="C25" s="7">
        <f t="shared" si="1"/>
        <v>4754</v>
      </c>
      <c r="D25" s="7">
        <v>30845660</v>
      </c>
      <c r="E25" s="7">
        <f t="shared" si="2"/>
        <v>10084</v>
      </c>
      <c r="F25" s="7">
        <v>8614820</v>
      </c>
      <c r="G25" s="9">
        <f t="shared" si="3"/>
        <v>4045</v>
      </c>
      <c r="H25" s="13"/>
      <c r="I25" s="7">
        <v>94616</v>
      </c>
      <c r="J25" s="14">
        <f t="shared" si="4"/>
        <v>126.44800000000001</v>
      </c>
      <c r="K25" s="7">
        <v>21615</v>
      </c>
      <c r="L25" s="14">
        <f t="shared" si="5"/>
        <v>7.9030000000000005</v>
      </c>
      <c r="M25" s="13"/>
      <c r="N25" s="7">
        <v>61032</v>
      </c>
      <c r="O25" s="14">
        <f t="shared" si="6"/>
        <v>8823.5294117647045</v>
      </c>
      <c r="P25" s="7">
        <v>239199</v>
      </c>
      <c r="Q25" s="14">
        <f t="shared" si="7"/>
        <v>42</v>
      </c>
      <c r="R25" s="7">
        <v>53804257</v>
      </c>
      <c r="S25" s="14">
        <f t="shared" si="8"/>
        <v>15325</v>
      </c>
      <c r="T25" s="13"/>
      <c r="U25" s="7">
        <v>47464</v>
      </c>
      <c r="V25" s="7">
        <f t="shared" si="9"/>
        <v>370</v>
      </c>
      <c r="W25" s="7">
        <v>1161</v>
      </c>
      <c r="X25" s="14">
        <f t="shared" si="39"/>
        <v>21</v>
      </c>
      <c r="Y25" s="7">
        <v>292</v>
      </c>
      <c r="Z25" s="14">
        <f t="shared" si="40"/>
        <v>0</v>
      </c>
      <c r="AA25" s="8">
        <v>840316</v>
      </c>
      <c r="AB25" s="8">
        <f t="shared" si="12"/>
        <v>2930000</v>
      </c>
      <c r="AC25" s="8">
        <v>368584</v>
      </c>
      <c r="AD25" s="8">
        <f t="shared" si="36"/>
        <v>0</v>
      </c>
      <c r="AE25" s="13"/>
      <c r="AF25" s="7">
        <v>67138</v>
      </c>
      <c r="AG25" s="7">
        <f t="shared" si="14"/>
        <v>0</v>
      </c>
      <c r="AH25" s="7">
        <v>241502</v>
      </c>
      <c r="AI25" s="14">
        <f t="shared" si="15"/>
        <v>159</v>
      </c>
      <c r="AJ25" s="7">
        <v>11570367</v>
      </c>
      <c r="AK25" s="14">
        <f t="shared" si="16"/>
        <v>5972</v>
      </c>
      <c r="AL25" s="7">
        <v>28944</v>
      </c>
      <c r="AM25" s="14">
        <f t="shared" si="17"/>
        <v>0</v>
      </c>
      <c r="AN25" s="7">
        <v>34777</v>
      </c>
      <c r="AO25" s="14">
        <f t="shared" si="18"/>
        <v>838</v>
      </c>
      <c r="AP25" s="13"/>
      <c r="AQ25" s="22">
        <v>618730</v>
      </c>
      <c r="AR25" s="22">
        <f t="shared" si="34"/>
        <v>10620000</v>
      </c>
      <c r="AS25" s="22">
        <v>234978</v>
      </c>
      <c r="AT25" s="22">
        <f t="shared" si="19"/>
        <v>0</v>
      </c>
      <c r="AU25" s="22">
        <v>90784</v>
      </c>
      <c r="AV25" s="22">
        <f t="shared" si="20"/>
        <v>1320000</v>
      </c>
      <c r="AW25" s="22">
        <v>269527</v>
      </c>
      <c r="AX25" s="22">
        <f t="shared" si="21"/>
        <v>0</v>
      </c>
      <c r="AY25" s="22">
        <v>478112</v>
      </c>
      <c r="AZ25" s="22">
        <f t="shared" si="22"/>
        <v>2750000</v>
      </c>
      <c r="BA25" s="22">
        <v>19321</v>
      </c>
      <c r="BB25" s="22">
        <f t="shared" si="23"/>
        <v>0</v>
      </c>
      <c r="BC25" s="22">
        <v>474013</v>
      </c>
      <c r="BD25" s="22">
        <f t="shared" si="24"/>
        <v>3590000</v>
      </c>
      <c r="BE25" s="22">
        <v>124015</v>
      </c>
      <c r="BF25" s="22">
        <f t="shared" si="25"/>
        <v>0</v>
      </c>
      <c r="BG25" s="13"/>
      <c r="BH25" s="22">
        <v>1008621</v>
      </c>
      <c r="BI25" s="22">
        <f t="shared" si="26"/>
        <v>1177</v>
      </c>
      <c r="BJ25" s="22">
        <v>543989</v>
      </c>
      <c r="BK25" s="22">
        <f t="shared" si="27"/>
        <v>520</v>
      </c>
      <c r="BL25" s="22">
        <v>280276</v>
      </c>
      <c r="BM25" s="22">
        <f t="shared" si="28"/>
        <v>219</v>
      </c>
      <c r="BN25" s="22">
        <v>148504</v>
      </c>
      <c r="BO25" s="22">
        <f t="shared" si="29"/>
        <v>145</v>
      </c>
      <c r="BP25" s="22">
        <v>145229</v>
      </c>
      <c r="BQ25" s="22">
        <f t="shared" si="30"/>
        <v>55</v>
      </c>
      <c r="BR25" s="22">
        <v>89894</v>
      </c>
      <c r="BS25" s="22">
        <f t="shared" si="31"/>
        <v>19</v>
      </c>
      <c r="BT25" s="22">
        <v>505574</v>
      </c>
      <c r="BU25" s="22">
        <f t="shared" si="32"/>
        <v>101</v>
      </c>
      <c r="BV25" s="22">
        <v>2819</v>
      </c>
      <c r="BW25" s="22">
        <f t="shared" si="33"/>
        <v>1</v>
      </c>
      <c r="BX25" s="22">
        <v>377360</v>
      </c>
      <c r="BY25" s="22">
        <f t="shared" si="35"/>
        <v>30</v>
      </c>
      <c r="BZ25" s="13"/>
      <c r="CA25" s="7"/>
    </row>
    <row r="26" spans="1:79" ht="22.5" customHeight="1" x14ac:dyDescent="0.25">
      <c r="A26" s="12">
        <f t="shared" si="0"/>
        <v>44796</v>
      </c>
      <c r="B26" s="7">
        <v>571566</v>
      </c>
      <c r="C26" s="7">
        <f t="shared" si="1"/>
        <v>3860</v>
      </c>
      <c r="D26" s="7">
        <v>30854783</v>
      </c>
      <c r="E26" s="7">
        <f t="shared" si="2"/>
        <v>9123</v>
      </c>
      <c r="F26" s="7">
        <v>8618319</v>
      </c>
      <c r="G26" s="9">
        <f t="shared" si="3"/>
        <v>3499</v>
      </c>
      <c r="H26" s="13"/>
      <c r="I26" s="7">
        <v>94724</v>
      </c>
      <c r="J26" s="14">
        <f t="shared" si="4"/>
        <v>121.932</v>
      </c>
      <c r="K26" s="7">
        <v>21622</v>
      </c>
      <c r="L26" s="14">
        <f t="shared" si="5"/>
        <v>7.9030000000000005</v>
      </c>
      <c r="M26" s="13"/>
      <c r="N26" s="7">
        <v>61083</v>
      </c>
      <c r="O26" s="14">
        <f t="shared" si="6"/>
        <v>6818.181818181818</v>
      </c>
      <c r="P26" s="7">
        <v>239237</v>
      </c>
      <c r="Q26" s="14">
        <f t="shared" si="7"/>
        <v>38</v>
      </c>
      <c r="R26" s="7">
        <v>53818904</v>
      </c>
      <c r="S26" s="14">
        <f t="shared" si="8"/>
        <v>14647</v>
      </c>
      <c r="T26" s="13"/>
      <c r="U26" s="7">
        <v>47803</v>
      </c>
      <c r="V26" s="7">
        <f t="shared" si="9"/>
        <v>339</v>
      </c>
      <c r="W26" s="7">
        <v>1181</v>
      </c>
      <c r="X26" s="14">
        <f t="shared" si="39"/>
        <v>20</v>
      </c>
      <c r="Y26" s="7">
        <v>294</v>
      </c>
      <c r="Z26" s="14">
        <f t="shared" si="40"/>
        <v>2</v>
      </c>
      <c r="AA26" s="7">
        <v>840604</v>
      </c>
      <c r="AB26" s="8">
        <f t="shared" si="12"/>
        <v>2880000</v>
      </c>
      <c r="AC26" s="8">
        <v>368584</v>
      </c>
      <c r="AD26" s="8">
        <f t="shared" si="36"/>
        <v>0</v>
      </c>
      <c r="AE26" s="13"/>
      <c r="AF26" s="7">
        <v>67138</v>
      </c>
      <c r="AG26" s="7">
        <f t="shared" si="14"/>
        <v>0</v>
      </c>
      <c r="AH26" s="7">
        <v>241670</v>
      </c>
      <c r="AI26" s="14">
        <f t="shared" si="15"/>
        <v>168</v>
      </c>
      <c r="AJ26" s="7">
        <v>11575920</v>
      </c>
      <c r="AK26" s="14">
        <f t="shared" si="16"/>
        <v>5553</v>
      </c>
      <c r="AL26" s="7">
        <v>28945</v>
      </c>
      <c r="AM26" s="14">
        <f t="shared" si="17"/>
        <v>1</v>
      </c>
      <c r="AN26" s="7">
        <v>35594</v>
      </c>
      <c r="AO26" s="14">
        <f t="shared" si="18"/>
        <v>817</v>
      </c>
      <c r="AP26" s="13"/>
      <c r="AQ26" s="53">
        <v>619692</v>
      </c>
      <c r="AR26" s="22">
        <f t="shared" si="34"/>
        <v>9620000</v>
      </c>
      <c r="AS26" s="22">
        <v>234978</v>
      </c>
      <c r="AT26" s="22">
        <f t="shared" si="19"/>
        <v>0</v>
      </c>
      <c r="AU26" s="53">
        <v>90893</v>
      </c>
      <c r="AV26" s="22">
        <f t="shared" si="20"/>
        <v>1090000</v>
      </c>
      <c r="AW26" s="22">
        <v>269527</v>
      </c>
      <c r="AX26" s="22">
        <f t="shared" si="21"/>
        <v>0</v>
      </c>
      <c r="AY26" s="53">
        <v>478394</v>
      </c>
      <c r="AZ26" s="22">
        <f t="shared" si="22"/>
        <v>2820000</v>
      </c>
      <c r="BA26" s="22">
        <v>19321</v>
      </c>
      <c r="BB26" s="22">
        <f t="shared" si="23"/>
        <v>0</v>
      </c>
      <c r="BC26" s="53">
        <v>474377</v>
      </c>
      <c r="BD26" s="22">
        <f t="shared" si="24"/>
        <v>3640000</v>
      </c>
      <c r="BE26" s="22">
        <v>124015</v>
      </c>
      <c r="BF26" s="22">
        <f t="shared" si="25"/>
        <v>0</v>
      </c>
      <c r="BG26" s="13"/>
      <c r="BH26" s="53">
        <v>1009634</v>
      </c>
      <c r="BI26" s="22">
        <f t="shared" si="26"/>
        <v>1013</v>
      </c>
      <c r="BJ26" s="53">
        <v>544505</v>
      </c>
      <c r="BK26" s="22">
        <f t="shared" si="27"/>
        <v>516</v>
      </c>
      <c r="BL26" s="53">
        <v>280467</v>
      </c>
      <c r="BM26" s="22">
        <f t="shared" si="28"/>
        <v>191</v>
      </c>
      <c r="BN26" s="53">
        <v>148643</v>
      </c>
      <c r="BO26" s="22">
        <f t="shared" si="29"/>
        <v>139</v>
      </c>
      <c r="BP26" s="53">
        <v>145284</v>
      </c>
      <c r="BQ26" s="22">
        <f t="shared" si="30"/>
        <v>55</v>
      </c>
      <c r="BR26" s="53">
        <v>89914</v>
      </c>
      <c r="BS26" s="22">
        <f t="shared" si="31"/>
        <v>20</v>
      </c>
      <c r="BT26" s="53">
        <v>505679</v>
      </c>
      <c r="BU26" s="22">
        <f t="shared" si="32"/>
        <v>105</v>
      </c>
      <c r="BV26" s="53">
        <v>2820</v>
      </c>
      <c r="BW26" s="22">
        <f t="shared" si="33"/>
        <v>1</v>
      </c>
      <c r="BX26" s="53">
        <v>377368</v>
      </c>
      <c r="BY26" s="22">
        <f t="shared" si="35"/>
        <v>8</v>
      </c>
      <c r="BZ26" s="13"/>
      <c r="CA26" s="7"/>
    </row>
    <row r="27" spans="1:79" ht="21" customHeight="1" x14ac:dyDescent="0.25">
      <c r="A27" s="12">
        <f t="shared" si="0"/>
        <v>44797</v>
      </c>
      <c r="B27" s="7">
        <v>575614</v>
      </c>
      <c r="C27" s="7">
        <f t="shared" si="1"/>
        <v>4048</v>
      </c>
      <c r="D27" s="7">
        <v>30864005</v>
      </c>
      <c r="E27" s="7">
        <f t="shared" si="2"/>
        <v>9222</v>
      </c>
      <c r="F27" s="7">
        <v>8621981</v>
      </c>
      <c r="G27" s="9">
        <f t="shared" si="3"/>
        <v>3662</v>
      </c>
      <c r="H27" s="13"/>
      <c r="I27" s="7">
        <v>94821</v>
      </c>
      <c r="J27" s="14">
        <f t="shared" si="4"/>
        <v>109.51300000000001</v>
      </c>
      <c r="K27" s="7">
        <v>21630</v>
      </c>
      <c r="L27" s="14">
        <f t="shared" si="5"/>
        <v>9.032</v>
      </c>
      <c r="M27" s="13"/>
      <c r="N27" s="7">
        <v>61138</v>
      </c>
      <c r="O27" s="14">
        <f t="shared" si="6"/>
        <v>7352.9411764705874</v>
      </c>
      <c r="P27" s="7">
        <v>239276</v>
      </c>
      <c r="Q27" s="14">
        <f t="shared" si="7"/>
        <v>39</v>
      </c>
      <c r="R27" s="7">
        <v>53833328</v>
      </c>
      <c r="S27" s="14">
        <f t="shared" si="8"/>
        <v>14424</v>
      </c>
      <c r="T27" s="13"/>
      <c r="U27" s="7">
        <v>48135</v>
      </c>
      <c r="V27" s="7">
        <f t="shared" si="9"/>
        <v>332</v>
      </c>
      <c r="W27" s="7">
        <v>1201</v>
      </c>
      <c r="X27" s="14">
        <f t="shared" si="39"/>
        <v>20</v>
      </c>
      <c r="Y27" s="7">
        <v>294</v>
      </c>
      <c r="Z27" s="14">
        <f t="shared" si="40"/>
        <v>0</v>
      </c>
      <c r="AA27" s="7">
        <v>840901</v>
      </c>
      <c r="AB27" s="8">
        <f t="shared" si="12"/>
        <v>2970000</v>
      </c>
      <c r="AC27" s="8">
        <v>368584</v>
      </c>
      <c r="AD27" s="8">
        <f t="shared" si="36"/>
        <v>0</v>
      </c>
      <c r="AE27" s="13"/>
      <c r="AF27" s="7">
        <v>67138</v>
      </c>
      <c r="AG27" s="7">
        <f t="shared" si="14"/>
        <v>0</v>
      </c>
      <c r="AH27" s="7">
        <v>241825</v>
      </c>
      <c r="AI27" s="14">
        <f t="shared" si="15"/>
        <v>155</v>
      </c>
      <c r="AJ27" s="7">
        <v>11581983</v>
      </c>
      <c r="AK27" s="14">
        <f t="shared" si="16"/>
        <v>6063</v>
      </c>
      <c r="AL27" s="7">
        <v>28945</v>
      </c>
      <c r="AM27" s="14">
        <f t="shared" si="17"/>
        <v>0</v>
      </c>
      <c r="AN27" s="7">
        <v>36353</v>
      </c>
      <c r="AO27" s="14">
        <f t="shared" si="18"/>
        <v>759</v>
      </c>
      <c r="AP27" s="13"/>
      <c r="AQ27" s="53">
        <v>620734</v>
      </c>
      <c r="AR27" s="22">
        <f t="shared" si="34"/>
        <v>10420000</v>
      </c>
      <c r="AS27" s="22">
        <v>234978</v>
      </c>
      <c r="AT27" s="22">
        <f t="shared" si="19"/>
        <v>0</v>
      </c>
      <c r="AU27" s="53">
        <v>90908</v>
      </c>
      <c r="AV27" s="22">
        <f t="shared" si="20"/>
        <v>150000</v>
      </c>
      <c r="AW27" s="22">
        <v>269527</v>
      </c>
      <c r="AX27" s="22">
        <f t="shared" si="21"/>
        <v>0</v>
      </c>
      <c r="AY27" s="53">
        <v>478650</v>
      </c>
      <c r="AZ27" s="22">
        <f t="shared" si="22"/>
        <v>2560000</v>
      </c>
      <c r="BA27" s="22">
        <v>19321</v>
      </c>
      <c r="BB27" s="22">
        <f t="shared" si="23"/>
        <v>0</v>
      </c>
      <c r="BC27" s="53">
        <v>474757</v>
      </c>
      <c r="BD27" s="22">
        <f t="shared" si="24"/>
        <v>3800000</v>
      </c>
      <c r="BE27" s="22">
        <v>124015</v>
      </c>
      <c r="BF27" s="22">
        <f t="shared" si="25"/>
        <v>0</v>
      </c>
      <c r="BG27" s="13"/>
      <c r="BH27" s="53">
        <v>1010669</v>
      </c>
      <c r="BI27" s="22">
        <f t="shared" si="26"/>
        <v>1035</v>
      </c>
      <c r="BJ27" s="53">
        <v>545015</v>
      </c>
      <c r="BK27" s="22">
        <f t="shared" si="27"/>
        <v>510</v>
      </c>
      <c r="BL27" s="53">
        <v>280653</v>
      </c>
      <c r="BM27" s="22">
        <f t="shared" si="28"/>
        <v>186</v>
      </c>
      <c r="BN27" s="53">
        <v>148783</v>
      </c>
      <c r="BO27" s="22">
        <f t="shared" si="29"/>
        <v>140</v>
      </c>
      <c r="BP27" s="53">
        <v>145338</v>
      </c>
      <c r="BQ27" s="22">
        <f t="shared" si="30"/>
        <v>54</v>
      </c>
      <c r="BR27" s="53">
        <v>89932</v>
      </c>
      <c r="BS27" s="22">
        <f t="shared" si="31"/>
        <v>18</v>
      </c>
      <c r="BT27" s="53">
        <v>505769</v>
      </c>
      <c r="BU27" s="22">
        <f t="shared" si="32"/>
        <v>90</v>
      </c>
      <c r="BV27" s="53">
        <v>2821</v>
      </c>
      <c r="BW27" s="22">
        <f t="shared" si="33"/>
        <v>1</v>
      </c>
      <c r="BX27" s="53">
        <v>377386</v>
      </c>
      <c r="BY27" s="22">
        <f t="shared" si="35"/>
        <v>18</v>
      </c>
      <c r="BZ27" s="13"/>
      <c r="CA27" s="7"/>
    </row>
    <row r="28" spans="1:79" ht="22.5" customHeight="1" x14ac:dyDescent="0.25">
      <c r="A28" s="12">
        <f t="shared" si="0"/>
        <v>44798</v>
      </c>
      <c r="B28" s="7">
        <v>579381</v>
      </c>
      <c r="C28" s="7">
        <f t="shared" si="1"/>
        <v>3767</v>
      </c>
      <c r="D28" s="7">
        <v>30872424</v>
      </c>
      <c r="E28" s="7">
        <f t="shared" si="2"/>
        <v>8419</v>
      </c>
      <c r="F28" s="7">
        <v>8625228</v>
      </c>
      <c r="G28" s="9">
        <f t="shared" si="3"/>
        <v>3247</v>
      </c>
      <c r="H28" s="13"/>
      <c r="I28" s="7">
        <v>94921</v>
      </c>
      <c r="J28" s="14">
        <f t="shared" si="4"/>
        <v>112.9</v>
      </c>
      <c r="K28" s="7">
        <v>21637</v>
      </c>
      <c r="L28" s="14">
        <f t="shared" si="5"/>
        <v>7.9030000000000005</v>
      </c>
      <c r="M28" s="13"/>
      <c r="N28" s="7">
        <v>61193</v>
      </c>
      <c r="O28" s="14">
        <f t="shared" si="6"/>
        <v>7352.9411764705874</v>
      </c>
      <c r="P28" s="7">
        <v>239315</v>
      </c>
      <c r="Q28" s="14">
        <f t="shared" si="7"/>
        <v>39</v>
      </c>
      <c r="R28" s="7">
        <v>53846286</v>
      </c>
      <c r="S28" s="14">
        <f t="shared" si="8"/>
        <v>12958</v>
      </c>
      <c r="T28" s="13"/>
      <c r="U28" s="7">
        <v>48437</v>
      </c>
      <c r="V28" s="7">
        <f t="shared" si="9"/>
        <v>302</v>
      </c>
      <c r="W28" s="7">
        <v>1209</v>
      </c>
      <c r="X28" s="14">
        <f t="shared" si="39"/>
        <v>8</v>
      </c>
      <c r="Y28" s="7">
        <v>294</v>
      </c>
      <c r="Z28" s="14">
        <f t="shared" si="40"/>
        <v>0</v>
      </c>
      <c r="AA28" s="7">
        <v>841158</v>
      </c>
      <c r="AB28" s="8">
        <f t="shared" si="12"/>
        <v>2570000</v>
      </c>
      <c r="AC28" s="7">
        <v>368584</v>
      </c>
      <c r="AD28" s="8">
        <f t="shared" si="36"/>
        <v>0</v>
      </c>
      <c r="AE28" s="13"/>
      <c r="AF28" s="7">
        <v>67138</v>
      </c>
      <c r="AG28" s="7">
        <f t="shared" si="14"/>
        <v>0</v>
      </c>
      <c r="AH28" s="7">
        <v>241976</v>
      </c>
      <c r="AI28" s="14">
        <f t="shared" si="15"/>
        <v>151</v>
      </c>
      <c r="AJ28" s="7">
        <v>11586812</v>
      </c>
      <c r="AK28" s="14">
        <f t="shared" si="16"/>
        <v>4829</v>
      </c>
      <c r="AL28" s="7">
        <v>28946</v>
      </c>
      <c r="AM28" s="14">
        <f t="shared" si="17"/>
        <v>1</v>
      </c>
      <c r="AN28" s="7">
        <v>37070</v>
      </c>
      <c r="AO28" s="14">
        <f t="shared" si="18"/>
        <v>717</v>
      </c>
      <c r="AP28" s="13"/>
      <c r="AQ28" s="53">
        <v>621596</v>
      </c>
      <c r="AR28" s="22">
        <f t="shared" si="34"/>
        <v>8620000</v>
      </c>
      <c r="AS28" s="53">
        <v>234978</v>
      </c>
      <c r="AT28" s="22">
        <f t="shared" si="19"/>
        <v>0</v>
      </c>
      <c r="AU28" s="53">
        <v>90990</v>
      </c>
      <c r="AV28" s="22">
        <f t="shared" si="20"/>
        <v>820000</v>
      </c>
      <c r="AW28" s="53">
        <v>269527</v>
      </c>
      <c r="AX28" s="22">
        <f t="shared" si="21"/>
        <v>0</v>
      </c>
      <c r="AY28" s="53">
        <v>478857</v>
      </c>
      <c r="AZ28" s="22">
        <f t="shared" si="22"/>
        <v>2070000</v>
      </c>
      <c r="BA28" s="53">
        <v>19321</v>
      </c>
      <c r="BB28" s="22">
        <f t="shared" si="23"/>
        <v>0</v>
      </c>
      <c r="BC28" s="53">
        <v>475051</v>
      </c>
      <c r="BD28" s="22">
        <f t="shared" si="24"/>
        <v>2940000</v>
      </c>
      <c r="BE28" s="53">
        <v>124015</v>
      </c>
      <c r="BF28" s="22">
        <f t="shared" si="25"/>
        <v>0</v>
      </c>
      <c r="BG28" s="13"/>
      <c r="BH28" s="53">
        <v>1011638</v>
      </c>
      <c r="BI28" s="22">
        <f t="shared" si="26"/>
        <v>969</v>
      </c>
      <c r="BJ28" s="53">
        <v>545495</v>
      </c>
      <c r="BK28" s="22">
        <f t="shared" si="27"/>
        <v>480</v>
      </c>
      <c r="BL28" s="53">
        <v>280843</v>
      </c>
      <c r="BM28" s="22">
        <f t="shared" si="28"/>
        <v>190</v>
      </c>
      <c r="BN28" s="53">
        <v>148909</v>
      </c>
      <c r="BO28" s="22">
        <f t="shared" si="29"/>
        <v>126</v>
      </c>
      <c r="BP28" s="53">
        <v>145388</v>
      </c>
      <c r="BQ28" s="22">
        <f t="shared" si="30"/>
        <v>50</v>
      </c>
      <c r="BR28" s="53">
        <v>89948</v>
      </c>
      <c r="BS28" s="22">
        <f t="shared" si="31"/>
        <v>16</v>
      </c>
      <c r="BT28" s="53">
        <v>505868</v>
      </c>
      <c r="BU28" s="22">
        <f t="shared" si="32"/>
        <v>99</v>
      </c>
      <c r="BV28" s="53">
        <v>2822</v>
      </c>
      <c r="BW28" s="22">
        <f t="shared" si="33"/>
        <v>1</v>
      </c>
      <c r="BX28" s="53">
        <v>377409</v>
      </c>
      <c r="BY28" s="22">
        <f t="shared" si="35"/>
        <v>23</v>
      </c>
      <c r="BZ28" s="13"/>
      <c r="CA28" s="7"/>
    </row>
    <row r="29" spans="1:79" ht="21" customHeight="1" x14ac:dyDescent="0.25">
      <c r="A29" s="12">
        <f t="shared" si="0"/>
        <v>44799</v>
      </c>
      <c r="B29" s="7">
        <v>583942</v>
      </c>
      <c r="C29" s="7">
        <f t="shared" si="1"/>
        <v>4561</v>
      </c>
      <c r="D29" s="7">
        <v>30882190</v>
      </c>
      <c r="E29" s="7">
        <f t="shared" si="2"/>
        <v>9766</v>
      </c>
      <c r="F29" s="7">
        <v>8628978</v>
      </c>
      <c r="G29" s="9">
        <f t="shared" si="3"/>
        <v>3750</v>
      </c>
      <c r="H29" s="13"/>
      <c r="I29" s="7">
        <v>95038</v>
      </c>
      <c r="J29" s="14">
        <f t="shared" si="4"/>
        <v>132.09299999999999</v>
      </c>
      <c r="K29" s="7">
        <v>21646</v>
      </c>
      <c r="L29" s="14">
        <f t="shared" si="5"/>
        <v>10.161</v>
      </c>
      <c r="M29" s="13"/>
      <c r="N29" s="7">
        <v>61256</v>
      </c>
      <c r="O29" s="14">
        <f t="shared" si="6"/>
        <v>8422.4598930481279</v>
      </c>
      <c r="P29" s="7">
        <v>239356</v>
      </c>
      <c r="Q29" s="14">
        <f t="shared" si="7"/>
        <v>41</v>
      </c>
      <c r="R29" s="7">
        <v>53861619</v>
      </c>
      <c r="S29" s="14">
        <f t="shared" si="8"/>
        <v>15333</v>
      </c>
      <c r="T29" s="13"/>
      <c r="U29" s="7">
        <v>48796</v>
      </c>
      <c r="V29" s="7">
        <f t="shared" si="9"/>
        <v>359</v>
      </c>
      <c r="W29" s="7">
        <v>1214</v>
      </c>
      <c r="X29" s="14">
        <f t="shared" si="39"/>
        <v>5</v>
      </c>
      <c r="Y29" s="7">
        <v>296</v>
      </c>
      <c r="Z29" s="14">
        <f t="shared" si="40"/>
        <v>2</v>
      </c>
      <c r="AA29" s="7">
        <v>841451</v>
      </c>
      <c r="AB29" s="8">
        <f t="shared" si="12"/>
        <v>2930000</v>
      </c>
      <c r="AC29" s="7">
        <v>368584</v>
      </c>
      <c r="AD29" s="8">
        <f t="shared" si="36"/>
        <v>0</v>
      </c>
      <c r="AE29" s="13"/>
      <c r="AF29" s="7">
        <v>67138</v>
      </c>
      <c r="AG29" s="7">
        <f t="shared" si="14"/>
        <v>0</v>
      </c>
      <c r="AH29" s="7">
        <v>242187</v>
      </c>
      <c r="AI29" s="14">
        <f t="shared" si="15"/>
        <v>211</v>
      </c>
      <c r="AJ29" s="7">
        <v>11594219</v>
      </c>
      <c r="AK29" s="14">
        <f t="shared" si="16"/>
        <v>7407</v>
      </c>
      <c r="AL29" s="7">
        <v>28946</v>
      </c>
      <c r="AM29" s="14">
        <f t="shared" si="17"/>
        <v>0</v>
      </c>
      <c r="AN29" s="7">
        <v>38031</v>
      </c>
      <c r="AO29" s="14">
        <f t="shared" si="18"/>
        <v>961</v>
      </c>
      <c r="AP29" s="13"/>
      <c r="AQ29" s="53">
        <v>622316</v>
      </c>
      <c r="AR29" s="22">
        <f t="shared" si="34"/>
        <v>7200000</v>
      </c>
      <c r="AS29" s="53">
        <v>234978</v>
      </c>
      <c r="AT29" s="22">
        <f t="shared" si="19"/>
        <v>0</v>
      </c>
      <c r="AU29" s="53">
        <v>91313</v>
      </c>
      <c r="AV29" s="22">
        <f t="shared" si="20"/>
        <v>3230000</v>
      </c>
      <c r="AW29" s="53">
        <v>269527</v>
      </c>
      <c r="AX29" s="22">
        <f t="shared" si="21"/>
        <v>0</v>
      </c>
      <c r="AY29" s="53">
        <v>479141</v>
      </c>
      <c r="AZ29" s="22">
        <f t="shared" si="22"/>
        <v>2840000</v>
      </c>
      <c r="BA29" s="53">
        <v>19321</v>
      </c>
      <c r="BB29" s="22">
        <f t="shared" si="23"/>
        <v>0</v>
      </c>
      <c r="BC29" s="53">
        <v>475381</v>
      </c>
      <c r="BD29" s="22">
        <f t="shared" si="24"/>
        <v>3300000</v>
      </c>
      <c r="BE29" s="53">
        <v>124015</v>
      </c>
      <c r="BF29" s="22">
        <f t="shared" si="25"/>
        <v>0</v>
      </c>
      <c r="BG29" s="13"/>
      <c r="BH29" s="53">
        <v>1012760</v>
      </c>
      <c r="BI29" s="22">
        <f t="shared" si="26"/>
        <v>1122</v>
      </c>
      <c r="BJ29" s="53">
        <v>546037</v>
      </c>
      <c r="BK29" s="22">
        <f t="shared" si="27"/>
        <v>542</v>
      </c>
      <c r="BL29" s="53">
        <v>281057</v>
      </c>
      <c r="BM29" s="22">
        <f t="shared" si="28"/>
        <v>214</v>
      </c>
      <c r="BN29" s="53">
        <v>149052</v>
      </c>
      <c r="BO29" s="22">
        <f t="shared" si="29"/>
        <v>143</v>
      </c>
      <c r="BP29" s="53">
        <v>145443</v>
      </c>
      <c r="BQ29" s="22">
        <f t="shared" si="30"/>
        <v>55</v>
      </c>
      <c r="BR29" s="53">
        <v>89961</v>
      </c>
      <c r="BS29" s="22">
        <f t="shared" si="31"/>
        <v>13</v>
      </c>
      <c r="BT29" s="53">
        <v>506007</v>
      </c>
      <c r="BU29" s="22">
        <f t="shared" si="32"/>
        <v>139</v>
      </c>
      <c r="BV29" s="53">
        <v>2823</v>
      </c>
      <c r="BW29" s="22">
        <f t="shared" si="33"/>
        <v>1</v>
      </c>
      <c r="BX29" s="53">
        <v>377479</v>
      </c>
      <c r="BY29" s="22">
        <f t="shared" si="35"/>
        <v>70</v>
      </c>
      <c r="BZ29" s="13"/>
      <c r="CA29" s="7"/>
    </row>
    <row r="30" spans="1:79" ht="22.5" customHeight="1" x14ac:dyDescent="0.25">
      <c r="A30" s="12">
        <f t="shared" si="0"/>
        <v>44800</v>
      </c>
      <c r="B30" s="7">
        <v>588400</v>
      </c>
      <c r="C30" s="7">
        <f t="shared" si="1"/>
        <v>4458</v>
      </c>
      <c r="D30" s="7">
        <v>30891446</v>
      </c>
      <c r="E30" s="7">
        <f t="shared" si="2"/>
        <v>9256</v>
      </c>
      <c r="F30" s="7">
        <v>8632627</v>
      </c>
      <c r="G30" s="9">
        <f t="shared" si="3"/>
        <v>3649</v>
      </c>
      <c r="H30" s="13"/>
      <c r="I30" s="7">
        <v>95155</v>
      </c>
      <c r="J30" s="14">
        <f t="shared" si="4"/>
        <v>132.09299999999999</v>
      </c>
      <c r="K30" s="7">
        <v>21653</v>
      </c>
      <c r="L30" s="14">
        <f t="shared" si="5"/>
        <v>7.9030000000000005</v>
      </c>
      <c r="M30" s="13"/>
      <c r="N30" s="7">
        <v>61316</v>
      </c>
      <c r="O30" s="14">
        <f t="shared" si="6"/>
        <v>8021.3903743315504</v>
      </c>
      <c r="P30" s="7">
        <v>239392</v>
      </c>
      <c r="Q30" s="14">
        <f t="shared" si="7"/>
        <v>36</v>
      </c>
      <c r="R30" s="7">
        <v>53877484</v>
      </c>
      <c r="S30" s="14">
        <f t="shared" si="8"/>
        <v>15865</v>
      </c>
      <c r="T30" s="13"/>
      <c r="U30" s="7">
        <v>49125</v>
      </c>
      <c r="V30" s="7">
        <f t="shared" si="9"/>
        <v>329</v>
      </c>
      <c r="W30" s="7">
        <v>1228</v>
      </c>
      <c r="X30" s="14">
        <f t="shared" si="39"/>
        <v>14</v>
      </c>
      <c r="Y30" s="7">
        <v>296</v>
      </c>
      <c r="Z30" s="14">
        <f t="shared" si="40"/>
        <v>0</v>
      </c>
      <c r="AA30" s="7">
        <v>841723</v>
      </c>
      <c r="AB30" s="8">
        <f t="shared" si="12"/>
        <v>2720000</v>
      </c>
      <c r="AC30" s="7">
        <v>368584</v>
      </c>
      <c r="AD30" s="8">
        <f t="shared" si="13"/>
        <v>0</v>
      </c>
      <c r="AE30" s="13"/>
      <c r="AF30" s="7">
        <v>67138</v>
      </c>
      <c r="AG30" s="7">
        <f t="shared" si="14"/>
        <v>0</v>
      </c>
      <c r="AH30" s="7">
        <v>242378</v>
      </c>
      <c r="AI30" s="14">
        <f t="shared" si="15"/>
        <v>191</v>
      </c>
      <c r="AJ30" s="7">
        <v>11602115</v>
      </c>
      <c r="AK30" s="14">
        <f t="shared" si="16"/>
        <v>7896</v>
      </c>
      <c r="AL30" s="7">
        <v>28947</v>
      </c>
      <c r="AM30" s="14">
        <f t="shared" si="17"/>
        <v>1</v>
      </c>
      <c r="AN30" s="7">
        <v>38944</v>
      </c>
      <c r="AO30" s="14">
        <f t="shared" si="18"/>
        <v>913</v>
      </c>
      <c r="AP30" s="13"/>
      <c r="AQ30" s="53">
        <v>623346</v>
      </c>
      <c r="AR30" s="22">
        <f t="shared" si="34"/>
        <v>10300000</v>
      </c>
      <c r="AS30" s="53">
        <v>234978</v>
      </c>
      <c r="AT30" s="22">
        <f t="shared" si="19"/>
        <v>0</v>
      </c>
      <c r="AU30" s="53">
        <v>91901</v>
      </c>
      <c r="AV30" s="22">
        <f t="shared" si="20"/>
        <v>5880000</v>
      </c>
      <c r="AW30" s="53">
        <v>269527</v>
      </c>
      <c r="AX30" s="22">
        <f t="shared" si="21"/>
        <v>0</v>
      </c>
      <c r="AY30" s="53">
        <v>479394</v>
      </c>
      <c r="AZ30" s="22">
        <f t="shared" si="22"/>
        <v>2530000</v>
      </c>
      <c r="BA30" s="53">
        <v>19321</v>
      </c>
      <c r="BB30" s="22">
        <f t="shared" si="23"/>
        <v>0</v>
      </c>
      <c r="BC30" s="53">
        <v>475692</v>
      </c>
      <c r="BD30" s="22">
        <f t="shared" si="24"/>
        <v>3110000</v>
      </c>
      <c r="BE30" s="53">
        <v>124015</v>
      </c>
      <c r="BF30" s="22">
        <f t="shared" si="25"/>
        <v>0</v>
      </c>
      <c r="BG30" s="13"/>
      <c r="BH30" s="53">
        <v>1013896</v>
      </c>
      <c r="BI30" s="22">
        <f t="shared" si="26"/>
        <v>1136</v>
      </c>
      <c r="BJ30" s="53">
        <v>546528</v>
      </c>
      <c r="BK30" s="22">
        <f t="shared" si="27"/>
        <v>491</v>
      </c>
      <c r="BL30" s="53">
        <v>281255</v>
      </c>
      <c r="BM30" s="22">
        <f t="shared" si="28"/>
        <v>198</v>
      </c>
      <c r="BN30" s="53">
        <v>149185</v>
      </c>
      <c r="BO30" s="22">
        <f t="shared" si="29"/>
        <v>133</v>
      </c>
      <c r="BP30" s="53">
        <v>145494</v>
      </c>
      <c r="BQ30" s="22">
        <f t="shared" si="30"/>
        <v>51</v>
      </c>
      <c r="BR30" s="53">
        <v>89971</v>
      </c>
      <c r="BS30" s="22">
        <f t="shared" si="31"/>
        <v>10</v>
      </c>
      <c r="BT30" s="53">
        <v>506103</v>
      </c>
      <c r="BU30" s="22">
        <f t="shared" si="32"/>
        <v>96</v>
      </c>
      <c r="BV30" s="53">
        <v>2824</v>
      </c>
      <c r="BW30" s="22">
        <f t="shared" si="33"/>
        <v>1</v>
      </c>
      <c r="BX30" s="53">
        <v>377555</v>
      </c>
      <c r="BY30" s="22">
        <f t="shared" si="35"/>
        <v>76</v>
      </c>
      <c r="BZ30" s="13"/>
      <c r="CA30" s="7"/>
    </row>
    <row r="31" spans="1:79" ht="23.25" customHeight="1" x14ac:dyDescent="0.25">
      <c r="A31" s="12">
        <f t="shared" si="0"/>
        <v>44801</v>
      </c>
      <c r="B31" s="7">
        <v>592841</v>
      </c>
      <c r="C31" s="7">
        <f t="shared" si="1"/>
        <v>4441</v>
      </c>
      <c r="D31" s="7">
        <v>30900760</v>
      </c>
      <c r="E31" s="7">
        <f t="shared" si="2"/>
        <v>9314</v>
      </c>
      <c r="F31" s="7">
        <v>8636460</v>
      </c>
      <c r="G31" s="9">
        <f t="shared" si="3"/>
        <v>3833</v>
      </c>
      <c r="H31" s="13"/>
      <c r="I31" s="7">
        <v>95289</v>
      </c>
      <c r="J31" s="14">
        <f t="shared" si="4"/>
        <v>151.286</v>
      </c>
      <c r="K31" s="7">
        <v>21661</v>
      </c>
      <c r="L31" s="14">
        <f t="shared" si="5"/>
        <v>9.032</v>
      </c>
      <c r="M31" s="13"/>
      <c r="N31" s="7">
        <v>61391</v>
      </c>
      <c r="O31" s="14">
        <f t="shared" si="6"/>
        <v>10026.737967914438</v>
      </c>
      <c r="P31" s="7">
        <v>239429</v>
      </c>
      <c r="Q31" s="14">
        <f t="shared" si="7"/>
        <v>37</v>
      </c>
      <c r="R31" s="7">
        <v>53893206</v>
      </c>
      <c r="S31" s="14">
        <f t="shared" si="8"/>
        <v>15722</v>
      </c>
      <c r="T31" s="13"/>
      <c r="U31" s="7">
        <v>49450</v>
      </c>
      <c r="V31" s="7">
        <f t="shared" si="9"/>
        <v>325</v>
      </c>
      <c r="W31" s="7">
        <v>1245</v>
      </c>
      <c r="X31" s="14">
        <f t="shared" si="39"/>
        <v>17</v>
      </c>
      <c r="Y31" s="7">
        <v>297</v>
      </c>
      <c r="Z31" s="14">
        <f t="shared" si="40"/>
        <v>1</v>
      </c>
      <c r="AA31" s="7">
        <v>842012</v>
      </c>
      <c r="AB31" s="8">
        <f t="shared" si="12"/>
        <v>2890000</v>
      </c>
      <c r="AC31" s="8">
        <v>368584</v>
      </c>
      <c r="AD31" s="8">
        <f t="shared" si="13"/>
        <v>0</v>
      </c>
      <c r="AE31" s="13"/>
      <c r="AF31" s="7">
        <v>67138</v>
      </c>
      <c r="AG31" s="7">
        <f t="shared" si="14"/>
        <v>0</v>
      </c>
      <c r="AH31" s="7">
        <v>242557</v>
      </c>
      <c r="AI31" s="14">
        <f t="shared" si="15"/>
        <v>179</v>
      </c>
      <c r="AJ31" s="7">
        <v>11609933</v>
      </c>
      <c r="AK31" s="14">
        <f t="shared" si="16"/>
        <v>7818</v>
      </c>
      <c r="AL31" s="7">
        <v>28949</v>
      </c>
      <c r="AM31" s="14">
        <f t="shared" si="17"/>
        <v>2</v>
      </c>
      <c r="AN31" s="7">
        <v>39834</v>
      </c>
      <c r="AO31" s="14">
        <f t="shared" si="18"/>
        <v>890</v>
      </c>
      <c r="AP31" s="13"/>
      <c r="AQ31" s="53">
        <v>624406</v>
      </c>
      <c r="AR31" s="22">
        <f t="shared" si="34"/>
        <v>10600000</v>
      </c>
      <c r="AS31" s="53">
        <v>234978</v>
      </c>
      <c r="AT31" s="22">
        <f t="shared" si="19"/>
        <v>0</v>
      </c>
      <c r="AU31" s="53">
        <v>92010</v>
      </c>
      <c r="AV31" s="22">
        <f t="shared" si="20"/>
        <v>1090000</v>
      </c>
      <c r="AW31" s="53">
        <v>269527</v>
      </c>
      <c r="AX31" s="22">
        <f t="shared" si="21"/>
        <v>0</v>
      </c>
      <c r="AY31" s="53">
        <v>479675</v>
      </c>
      <c r="AZ31" s="22">
        <f t="shared" si="22"/>
        <v>2810000</v>
      </c>
      <c r="BA31" s="53">
        <v>19321</v>
      </c>
      <c r="BB31" s="22">
        <f t="shared" si="23"/>
        <v>0</v>
      </c>
      <c r="BC31" s="53">
        <v>476052</v>
      </c>
      <c r="BD31" s="22">
        <f t="shared" si="24"/>
        <v>3600000</v>
      </c>
      <c r="BE31" s="53">
        <v>124015</v>
      </c>
      <c r="BF31" s="22">
        <f t="shared" si="25"/>
        <v>0</v>
      </c>
      <c r="BG31" s="13"/>
      <c r="BH31" s="53">
        <v>1015087</v>
      </c>
      <c r="BI31" s="22">
        <f t="shared" si="26"/>
        <v>1191</v>
      </c>
      <c r="BJ31" s="53">
        <v>547051</v>
      </c>
      <c r="BK31" s="22">
        <f t="shared" si="27"/>
        <v>523</v>
      </c>
      <c r="BL31" s="53">
        <v>281483</v>
      </c>
      <c r="BM31" s="22">
        <f t="shared" si="28"/>
        <v>228</v>
      </c>
      <c r="BN31" s="53">
        <v>149338</v>
      </c>
      <c r="BO31" s="22">
        <f t="shared" si="29"/>
        <v>153</v>
      </c>
      <c r="BP31" s="53">
        <v>145542</v>
      </c>
      <c r="BQ31" s="22">
        <f t="shared" si="30"/>
        <v>48</v>
      </c>
      <c r="BR31" s="53">
        <v>89984</v>
      </c>
      <c r="BS31" s="22">
        <f t="shared" si="31"/>
        <v>13</v>
      </c>
      <c r="BT31" s="53">
        <v>506208</v>
      </c>
      <c r="BU31" s="22">
        <f t="shared" si="32"/>
        <v>105</v>
      </c>
      <c r="BV31" s="53">
        <v>2825</v>
      </c>
      <c r="BW31" s="22">
        <f t="shared" si="33"/>
        <v>1</v>
      </c>
      <c r="BX31" s="53">
        <v>377650</v>
      </c>
      <c r="BY31" s="22">
        <f t="shared" si="35"/>
        <v>95</v>
      </c>
      <c r="BZ31" s="13"/>
      <c r="CA31" s="7"/>
    </row>
    <row r="32" spans="1:79" ht="23.25" customHeight="1" x14ac:dyDescent="0.25">
      <c r="A32" s="12">
        <f t="shared" si="0"/>
        <v>44802</v>
      </c>
      <c r="B32" s="7">
        <v>597612</v>
      </c>
      <c r="C32" s="7">
        <f t="shared" si="1"/>
        <v>4771</v>
      </c>
      <c r="D32" s="7">
        <v>30910887</v>
      </c>
      <c r="E32" s="7">
        <f t="shared" si="2"/>
        <v>10127</v>
      </c>
      <c r="F32" s="7">
        <v>8640624</v>
      </c>
      <c r="G32" s="9">
        <f t="shared" si="3"/>
        <v>4164</v>
      </c>
      <c r="H32" s="13"/>
      <c r="I32" s="7">
        <v>95402</v>
      </c>
      <c r="J32" s="14">
        <f t="shared" si="4"/>
        <v>127.577</v>
      </c>
      <c r="K32" s="7">
        <v>21670</v>
      </c>
      <c r="L32" s="14">
        <f t="shared" si="5"/>
        <v>10.161</v>
      </c>
      <c r="M32" s="13"/>
      <c r="N32" s="7">
        <v>61456</v>
      </c>
      <c r="O32" s="14">
        <f t="shared" si="6"/>
        <v>8689.8395721925135</v>
      </c>
      <c r="P32" s="7">
        <v>239466</v>
      </c>
      <c r="Q32" s="14">
        <f t="shared" si="7"/>
        <v>37</v>
      </c>
      <c r="R32" s="7">
        <v>53911091</v>
      </c>
      <c r="S32" s="14">
        <f t="shared" si="8"/>
        <v>17885</v>
      </c>
      <c r="T32" s="13"/>
      <c r="U32" s="7">
        <v>49804</v>
      </c>
      <c r="V32" s="7">
        <f t="shared" si="9"/>
        <v>354</v>
      </c>
      <c r="W32" s="7">
        <v>1263</v>
      </c>
      <c r="X32" s="14">
        <f t="shared" si="39"/>
        <v>18</v>
      </c>
      <c r="Y32" s="7">
        <v>298</v>
      </c>
      <c r="Z32" s="14">
        <f t="shared" si="40"/>
        <v>1</v>
      </c>
      <c r="AA32" s="7">
        <v>842312</v>
      </c>
      <c r="AB32" s="8">
        <f t="shared" si="12"/>
        <v>3000000</v>
      </c>
      <c r="AC32" s="8">
        <v>368584</v>
      </c>
      <c r="AD32" s="8">
        <f t="shared" si="13"/>
        <v>0</v>
      </c>
      <c r="AE32" s="13"/>
      <c r="AF32" s="7">
        <v>67138</v>
      </c>
      <c r="AG32" s="7">
        <f t="shared" si="14"/>
        <v>0</v>
      </c>
      <c r="AH32" s="7">
        <v>242702</v>
      </c>
      <c r="AI32" s="14">
        <f t="shared" si="15"/>
        <v>145</v>
      </c>
      <c r="AJ32" s="7">
        <v>11616042</v>
      </c>
      <c r="AK32" s="14">
        <f t="shared" si="16"/>
        <v>6109</v>
      </c>
      <c r="AL32" s="7">
        <v>28949</v>
      </c>
      <c r="AM32" s="14">
        <f t="shared" si="17"/>
        <v>0</v>
      </c>
      <c r="AN32" s="7">
        <v>40607</v>
      </c>
      <c r="AO32" s="14">
        <f t="shared" si="18"/>
        <v>773</v>
      </c>
      <c r="AP32" s="13"/>
      <c r="AQ32" s="53">
        <v>625310</v>
      </c>
      <c r="AR32" s="22">
        <f t="shared" si="34"/>
        <v>9040000</v>
      </c>
      <c r="AS32" s="53">
        <v>234978</v>
      </c>
      <c r="AT32" s="22">
        <f t="shared" si="19"/>
        <v>0</v>
      </c>
      <c r="AU32" s="53">
        <v>92243</v>
      </c>
      <c r="AV32" s="22">
        <f t="shared" si="20"/>
        <v>2330000</v>
      </c>
      <c r="AW32" s="53">
        <v>269527</v>
      </c>
      <c r="AX32" s="22">
        <f t="shared" si="21"/>
        <v>0</v>
      </c>
      <c r="AY32" s="53">
        <v>479967</v>
      </c>
      <c r="AZ32" s="22">
        <f t="shared" si="22"/>
        <v>2920000</v>
      </c>
      <c r="BA32" s="53">
        <v>19321</v>
      </c>
      <c r="BB32" s="22">
        <f t="shared" si="23"/>
        <v>0</v>
      </c>
      <c r="BC32" s="53">
        <v>476417</v>
      </c>
      <c r="BD32" s="22">
        <f t="shared" si="24"/>
        <v>3650000</v>
      </c>
      <c r="BE32" s="53">
        <v>124015</v>
      </c>
      <c r="BF32" s="22">
        <f t="shared" si="25"/>
        <v>0</v>
      </c>
      <c r="BG32" s="13"/>
      <c r="BH32" s="53">
        <v>1016239</v>
      </c>
      <c r="BI32" s="22">
        <f t="shared" si="26"/>
        <v>1152</v>
      </c>
      <c r="BJ32" s="53">
        <v>547575</v>
      </c>
      <c r="BK32" s="22">
        <f t="shared" si="27"/>
        <v>524</v>
      </c>
      <c r="BL32" s="53">
        <v>281705</v>
      </c>
      <c r="BM32" s="22">
        <f t="shared" si="28"/>
        <v>222</v>
      </c>
      <c r="BN32" s="53">
        <v>149483</v>
      </c>
      <c r="BO32" s="22">
        <f t="shared" si="29"/>
        <v>145</v>
      </c>
      <c r="BP32" s="53">
        <v>145595</v>
      </c>
      <c r="BQ32" s="22">
        <f t="shared" si="30"/>
        <v>53</v>
      </c>
      <c r="BR32" s="53">
        <v>89993</v>
      </c>
      <c r="BS32" s="22">
        <f t="shared" si="31"/>
        <v>9</v>
      </c>
      <c r="BT32" s="53">
        <v>506315</v>
      </c>
      <c r="BU32" s="22">
        <f t="shared" si="32"/>
        <v>107</v>
      </c>
      <c r="BV32" s="53">
        <v>2826</v>
      </c>
      <c r="BW32" s="22">
        <f t="shared" si="33"/>
        <v>1</v>
      </c>
      <c r="BX32" s="53">
        <v>377722</v>
      </c>
      <c r="BY32" s="22">
        <f t="shared" si="35"/>
        <v>72</v>
      </c>
      <c r="BZ32" s="13"/>
      <c r="CA32" s="7"/>
    </row>
    <row r="33" spans="1:79" ht="21.75" customHeight="1" x14ac:dyDescent="0.25">
      <c r="A33" s="12">
        <f t="shared" si="0"/>
        <v>44803</v>
      </c>
      <c r="B33" s="19">
        <v>601903</v>
      </c>
      <c r="C33" s="7">
        <f t="shared" si="1"/>
        <v>4291</v>
      </c>
      <c r="D33" s="7">
        <v>30920220</v>
      </c>
      <c r="E33" s="7">
        <f t="shared" si="2"/>
        <v>9333</v>
      </c>
      <c r="F33" s="7">
        <v>8644289</v>
      </c>
      <c r="G33" s="9">
        <f t="shared" si="3"/>
        <v>3665</v>
      </c>
      <c r="H33" s="13"/>
      <c r="I33" s="7">
        <v>95504</v>
      </c>
      <c r="J33" s="14">
        <f t="shared" si="4"/>
        <v>115.158</v>
      </c>
      <c r="K33" s="7">
        <v>21678</v>
      </c>
      <c r="L33" s="14">
        <f t="shared" si="5"/>
        <v>9.032</v>
      </c>
      <c r="M33" s="13"/>
      <c r="N33" s="7">
        <v>61506</v>
      </c>
      <c r="O33" s="14">
        <f t="shared" si="6"/>
        <v>6684.4919786096252</v>
      </c>
      <c r="P33" s="7">
        <v>239498</v>
      </c>
      <c r="Q33" s="14">
        <f t="shared" si="7"/>
        <v>32</v>
      </c>
      <c r="R33" s="7">
        <v>53928858</v>
      </c>
      <c r="S33" s="14">
        <f t="shared" si="8"/>
        <v>17767</v>
      </c>
      <c r="T33" s="13"/>
      <c r="U33" s="7">
        <v>50153</v>
      </c>
      <c r="V33" s="7">
        <f t="shared" si="9"/>
        <v>349</v>
      </c>
      <c r="W33" s="7">
        <v>1282</v>
      </c>
      <c r="X33" s="14">
        <f t="shared" si="39"/>
        <v>19</v>
      </c>
      <c r="Y33" s="7">
        <v>299</v>
      </c>
      <c r="Z33" s="14">
        <f t="shared" si="40"/>
        <v>1</v>
      </c>
      <c r="AA33" s="7">
        <v>842615</v>
      </c>
      <c r="AB33" s="8">
        <f t="shared" si="12"/>
        <v>3030000</v>
      </c>
      <c r="AC33" s="8">
        <v>368584</v>
      </c>
      <c r="AD33" s="8">
        <f t="shared" si="13"/>
        <v>0</v>
      </c>
      <c r="AE33" s="13"/>
      <c r="AF33" s="7">
        <v>67138</v>
      </c>
      <c r="AG33" s="7">
        <f t="shared" si="14"/>
        <v>0</v>
      </c>
      <c r="AH33" s="7">
        <v>242868</v>
      </c>
      <c r="AI33" s="14">
        <f t="shared" si="15"/>
        <v>166</v>
      </c>
      <c r="AJ33" s="7">
        <v>11622197</v>
      </c>
      <c r="AK33" s="14">
        <f t="shared" si="16"/>
        <v>6155</v>
      </c>
      <c r="AL33" s="7">
        <v>28949</v>
      </c>
      <c r="AM33" s="14">
        <f t="shared" si="17"/>
        <v>0</v>
      </c>
      <c r="AN33" s="7">
        <v>41412</v>
      </c>
      <c r="AO33" s="14">
        <f t="shared" si="18"/>
        <v>805</v>
      </c>
      <c r="AP33" s="13"/>
      <c r="AQ33" s="53">
        <v>625861</v>
      </c>
      <c r="AR33" s="22">
        <f t="shared" si="34"/>
        <v>5510000</v>
      </c>
      <c r="AS33" s="53">
        <v>234978</v>
      </c>
      <c r="AT33" s="22">
        <f t="shared" si="19"/>
        <v>0</v>
      </c>
      <c r="AU33" s="53">
        <v>92485</v>
      </c>
      <c r="AV33" s="22">
        <f t="shared" si="20"/>
        <v>2420000</v>
      </c>
      <c r="AW33" s="53">
        <v>269527</v>
      </c>
      <c r="AX33" s="22">
        <f t="shared" si="21"/>
        <v>0</v>
      </c>
      <c r="AY33" s="53">
        <v>480300</v>
      </c>
      <c r="AZ33" s="22">
        <f t="shared" si="22"/>
        <v>3330000</v>
      </c>
      <c r="BA33" s="53">
        <v>19321</v>
      </c>
      <c r="BB33" s="22">
        <f t="shared" si="23"/>
        <v>0</v>
      </c>
      <c r="BC33" s="53">
        <v>476756</v>
      </c>
      <c r="BD33" s="22">
        <f t="shared" si="24"/>
        <v>3390000</v>
      </c>
      <c r="BE33" s="53">
        <v>124015</v>
      </c>
      <c r="BF33" s="22">
        <f t="shared" si="25"/>
        <v>0</v>
      </c>
      <c r="BG33" s="13"/>
      <c r="BH33" s="53">
        <v>1017268</v>
      </c>
      <c r="BI33" s="22">
        <f t="shared" si="26"/>
        <v>1029</v>
      </c>
      <c r="BJ33" s="53">
        <v>548087</v>
      </c>
      <c r="BK33" s="22">
        <f t="shared" si="27"/>
        <v>512</v>
      </c>
      <c r="BL33" s="53">
        <v>281893</v>
      </c>
      <c r="BM33" s="22">
        <f t="shared" si="28"/>
        <v>188</v>
      </c>
      <c r="BN33" s="53">
        <v>149618</v>
      </c>
      <c r="BO33" s="22">
        <f t="shared" si="29"/>
        <v>135</v>
      </c>
      <c r="BP33" s="53">
        <v>145650</v>
      </c>
      <c r="BQ33" s="22">
        <f t="shared" si="30"/>
        <v>55</v>
      </c>
      <c r="BR33" s="53">
        <v>90003</v>
      </c>
      <c r="BS33" s="22">
        <f>(BR33-BR32)</f>
        <v>10</v>
      </c>
      <c r="BT33" s="53">
        <v>506407</v>
      </c>
      <c r="BU33" s="22">
        <f t="shared" si="32"/>
        <v>92</v>
      </c>
      <c r="BV33" s="53">
        <v>2827</v>
      </c>
      <c r="BW33" s="22">
        <f t="shared" si="33"/>
        <v>1</v>
      </c>
      <c r="BX33" s="53">
        <v>377769</v>
      </c>
      <c r="BY33" s="22">
        <f t="shared" si="35"/>
        <v>47</v>
      </c>
      <c r="BZ33" s="13"/>
      <c r="CA33" s="7"/>
    </row>
    <row r="34" spans="1:79" ht="21" customHeight="1" x14ac:dyDescent="0.25">
      <c r="A34" s="12">
        <f t="shared" si="0"/>
        <v>44804</v>
      </c>
      <c r="B34" s="27">
        <v>605917</v>
      </c>
      <c r="C34" s="7">
        <f t="shared" ref="C34" si="41">B34-B33</f>
        <v>4014</v>
      </c>
      <c r="D34" s="7">
        <v>30929108</v>
      </c>
      <c r="E34" s="7">
        <f t="shared" ref="E34" si="42">D34-D33</f>
        <v>8888</v>
      </c>
      <c r="F34" s="19">
        <v>8647779</v>
      </c>
      <c r="G34" s="9">
        <f t="shared" ref="G34" si="43">F34-F33</f>
        <v>3490</v>
      </c>
      <c r="H34" s="13"/>
      <c r="I34" s="7">
        <v>95606</v>
      </c>
      <c r="J34" s="14">
        <f t="shared" ref="J34" si="44">(I34-I33)*1.129</f>
        <v>115.158</v>
      </c>
      <c r="K34" s="7">
        <v>21686</v>
      </c>
      <c r="L34" s="14">
        <f t="shared" ref="L34" si="45">(K34-K33)*1.129</f>
        <v>9.032</v>
      </c>
      <c r="M34" s="13"/>
      <c r="N34" s="7">
        <v>61547</v>
      </c>
      <c r="O34" s="14">
        <f t="shared" ref="O34" si="46">(N34-N33)*1000/7.48</f>
        <v>5481.2834224598928</v>
      </c>
      <c r="P34" s="7">
        <v>239531</v>
      </c>
      <c r="Q34" s="14">
        <f t="shared" ref="Q34" si="47">P34-P33</f>
        <v>33</v>
      </c>
      <c r="R34" s="7">
        <v>53944619</v>
      </c>
      <c r="S34" s="14">
        <f t="shared" ref="S34" si="48">R34-R33</f>
        <v>15761</v>
      </c>
      <c r="T34" s="13"/>
      <c r="U34" s="7">
        <v>50493</v>
      </c>
      <c r="V34" s="7">
        <f t="shared" ref="V34" si="49">U34-U33</f>
        <v>340</v>
      </c>
      <c r="W34" s="7">
        <v>1300</v>
      </c>
      <c r="X34" s="14">
        <f t="shared" ref="X34" si="50">W34-W33</f>
        <v>18</v>
      </c>
      <c r="Y34" s="7">
        <v>299</v>
      </c>
      <c r="Z34" s="14">
        <f t="shared" ref="Z34" si="51">(Y34-Y33)</f>
        <v>0</v>
      </c>
      <c r="AA34" s="7">
        <v>842904</v>
      </c>
      <c r="AB34" s="8">
        <f t="shared" ref="AB34" si="52">(AA34-AA33)*10000</f>
        <v>2890000</v>
      </c>
      <c r="AC34" s="8">
        <v>368584</v>
      </c>
      <c r="AD34" s="8">
        <f t="shared" ref="AD34" si="53">(AC34-AC33)*10000</f>
        <v>0</v>
      </c>
      <c r="AE34" s="13"/>
      <c r="AF34" s="7">
        <v>67138</v>
      </c>
      <c r="AG34" s="7">
        <f t="shared" ref="AG34" si="54">AF34-AF33</f>
        <v>0</v>
      </c>
      <c r="AH34" s="7">
        <v>243030</v>
      </c>
      <c r="AI34" s="14">
        <v>0</v>
      </c>
      <c r="AJ34" s="7">
        <v>11626495</v>
      </c>
      <c r="AK34" s="14">
        <f t="shared" ref="AK34" si="55">AJ34-AJ33</f>
        <v>4298</v>
      </c>
      <c r="AL34" s="7">
        <v>28950</v>
      </c>
      <c r="AM34" s="14">
        <f t="shared" si="17"/>
        <v>1</v>
      </c>
      <c r="AN34" s="7">
        <v>42148</v>
      </c>
      <c r="AO34" s="14">
        <f t="shared" si="18"/>
        <v>736</v>
      </c>
      <c r="AP34" s="13"/>
      <c r="AQ34" s="53">
        <v>626215</v>
      </c>
      <c r="AR34" s="22">
        <f t="shared" si="34"/>
        <v>3540000</v>
      </c>
      <c r="AS34" s="53">
        <v>234978</v>
      </c>
      <c r="AT34" s="22">
        <f t="shared" si="19"/>
        <v>0</v>
      </c>
      <c r="AU34" s="53">
        <v>92636</v>
      </c>
      <c r="AV34" s="22">
        <f t="shared" si="20"/>
        <v>1510000</v>
      </c>
      <c r="AW34" s="53">
        <v>269527</v>
      </c>
      <c r="AX34" s="22">
        <f t="shared" si="21"/>
        <v>0</v>
      </c>
      <c r="AY34" s="53">
        <v>480605</v>
      </c>
      <c r="AZ34" s="22">
        <f t="shared" si="22"/>
        <v>3050000</v>
      </c>
      <c r="BA34" s="53">
        <v>19321</v>
      </c>
      <c r="BB34" s="22">
        <f t="shared" si="23"/>
        <v>0</v>
      </c>
      <c r="BC34" s="53">
        <v>477114</v>
      </c>
      <c r="BD34" s="22">
        <f t="shared" si="24"/>
        <v>3580000</v>
      </c>
      <c r="BE34" s="53">
        <v>124015</v>
      </c>
      <c r="BF34" s="22">
        <f t="shared" si="25"/>
        <v>0</v>
      </c>
      <c r="BG34" s="13"/>
      <c r="BH34" s="53">
        <v>1018293</v>
      </c>
      <c r="BI34" s="22">
        <f t="shared" si="26"/>
        <v>1025</v>
      </c>
      <c r="BJ34" s="53">
        <v>548569</v>
      </c>
      <c r="BK34" s="22">
        <f t="shared" si="27"/>
        <v>482</v>
      </c>
      <c r="BL34" s="53">
        <v>282070</v>
      </c>
      <c r="BM34" s="22">
        <f t="shared" si="28"/>
        <v>177</v>
      </c>
      <c r="BN34" s="53">
        <v>149760</v>
      </c>
      <c r="BO34" s="22">
        <f t="shared" si="29"/>
        <v>142</v>
      </c>
      <c r="BP34" s="53">
        <v>145700</v>
      </c>
      <c r="BQ34" s="22">
        <f t="shared" si="30"/>
        <v>50</v>
      </c>
      <c r="BR34" s="53">
        <v>90014</v>
      </c>
      <c r="BS34" s="22">
        <f>(BR34-BR33)</f>
        <v>11</v>
      </c>
      <c r="BT34" s="53">
        <v>506505</v>
      </c>
      <c r="BU34" s="22">
        <f t="shared" si="32"/>
        <v>98</v>
      </c>
      <c r="BV34" s="53">
        <v>2828</v>
      </c>
      <c r="BW34" s="22">
        <f t="shared" si="33"/>
        <v>1</v>
      </c>
      <c r="BX34" s="53">
        <v>377788</v>
      </c>
      <c r="BY34" s="22">
        <f t="shared" si="35"/>
        <v>19</v>
      </c>
      <c r="BZ34" s="13"/>
      <c r="CA34" s="7"/>
    </row>
    <row r="35" spans="1:79" ht="19.5" customHeight="1" x14ac:dyDescent="0.25">
      <c r="A35" s="87"/>
      <c r="B35" s="88"/>
      <c r="C35" s="88"/>
      <c r="D35" s="88"/>
      <c r="E35" s="88"/>
      <c r="F35" s="88"/>
      <c r="G35" s="89"/>
      <c r="H35" s="31"/>
      <c r="I35" s="90"/>
      <c r="J35" s="91"/>
      <c r="K35" s="91"/>
      <c r="L35" s="92"/>
      <c r="M35" s="26"/>
      <c r="N35" s="93"/>
      <c r="O35" s="94"/>
      <c r="P35" s="94"/>
      <c r="Q35" s="94"/>
      <c r="R35" s="94"/>
      <c r="S35" s="95"/>
      <c r="T35" s="21"/>
      <c r="U35" s="90"/>
      <c r="V35" s="91"/>
      <c r="W35" s="91"/>
      <c r="X35" s="91"/>
      <c r="Y35" s="91"/>
      <c r="Z35" s="91"/>
      <c r="AA35" s="91"/>
      <c r="AB35" s="91"/>
      <c r="AC35" s="91"/>
      <c r="AD35" s="92"/>
      <c r="AE35" s="21"/>
      <c r="AF35" s="90"/>
      <c r="AG35" s="91"/>
      <c r="AH35" s="91"/>
      <c r="AI35" s="91"/>
      <c r="AJ35" s="91"/>
      <c r="AK35" s="91"/>
      <c r="AL35" s="91"/>
      <c r="AM35" s="91"/>
      <c r="AN35" s="91"/>
      <c r="AO35" s="92"/>
      <c r="AP35" s="21"/>
      <c r="AQ35" s="61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3"/>
      <c r="BG35" s="21"/>
      <c r="BH35" s="61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3"/>
      <c r="BX35" s="51"/>
      <c r="BY35" s="51"/>
      <c r="BZ35" s="21"/>
      <c r="CA35" s="20"/>
    </row>
    <row r="36" spans="1:79" ht="15.75" x14ac:dyDescent="0.25">
      <c r="A36" s="28" t="s">
        <v>13</v>
      </c>
      <c r="B36" s="29"/>
      <c r="C36" s="30">
        <f>SUM(C4:C34)</f>
        <v>131318</v>
      </c>
      <c r="D36" s="29"/>
      <c r="E36" s="30">
        <f t="shared" ref="E36:G36" si="56">SUM(E4:E34)</f>
        <v>287463</v>
      </c>
      <c r="F36" s="29"/>
      <c r="G36" s="30">
        <f t="shared" si="56"/>
        <v>114571</v>
      </c>
      <c r="H36" s="38"/>
      <c r="I36" s="29"/>
      <c r="J36" s="16">
        <f>SUM(J4:J34)</f>
        <v>3858.9219999999987</v>
      </c>
      <c r="K36" s="29"/>
      <c r="L36" s="16">
        <f>SUM(L4:L34)</f>
        <v>249.86400000000003</v>
      </c>
      <c r="M36" s="39"/>
      <c r="N36" s="29"/>
      <c r="O36" s="44">
        <f>SUM(O4:O34)</f>
        <v>233288.77005347656</v>
      </c>
      <c r="P36" s="29"/>
      <c r="Q36" s="40">
        <f t="shared" ref="Q36" si="57">SUM(Q4:Q35)</f>
        <v>1258</v>
      </c>
      <c r="R36" s="29"/>
      <c r="S36" s="41">
        <f>SUM(S4:S35)</f>
        <v>472074</v>
      </c>
      <c r="T36" s="38"/>
      <c r="U36" s="29"/>
      <c r="V36" s="45">
        <f>SUM(V4:V34)</f>
        <v>10687</v>
      </c>
      <c r="W36" s="29"/>
      <c r="X36" s="45">
        <f>SUM(X4:X34)</f>
        <v>491</v>
      </c>
      <c r="Y36" s="29"/>
      <c r="Z36" s="45">
        <f>SUM(Z4:Z34)</f>
        <v>25</v>
      </c>
      <c r="AA36" s="29"/>
      <c r="AB36" s="45">
        <f>SUM(AB4:AB34)</f>
        <v>91710000</v>
      </c>
      <c r="AC36" s="29"/>
      <c r="AD36" s="45">
        <f>SUM(AD4:AD34)</f>
        <v>200000</v>
      </c>
      <c r="AE36" s="38"/>
      <c r="AF36" s="29"/>
      <c r="AG36" s="30">
        <f>SUM(AG4:AG34)</f>
        <v>0</v>
      </c>
      <c r="AH36" s="29"/>
      <c r="AI36" s="16">
        <f>SUM(AI4:AI34)</f>
        <v>5103</v>
      </c>
      <c r="AJ36" s="29"/>
      <c r="AK36" s="16">
        <f>SUM(AK4:AK32)</f>
        <v>162020</v>
      </c>
      <c r="AL36" s="29"/>
      <c r="AM36" s="16">
        <f>SUM(AM4:AM34)</f>
        <v>17</v>
      </c>
      <c r="AN36" s="29"/>
      <c r="AO36" s="16">
        <f>SUM(AO4:AO32)</f>
        <v>24060</v>
      </c>
      <c r="AP36" s="38"/>
      <c r="AQ36" s="48"/>
      <c r="AR36" s="22">
        <f>SUM(AR4:AR34)</f>
        <v>197880000</v>
      </c>
      <c r="AS36" s="48"/>
      <c r="AT36" s="22">
        <f t="shared" ref="AT36:BB36" si="58">SUM(AT4:AT34)</f>
        <v>0</v>
      </c>
      <c r="AU36" s="48"/>
      <c r="AV36" s="22">
        <f t="shared" si="58"/>
        <v>60800000</v>
      </c>
      <c r="AW36" s="48"/>
      <c r="AX36" s="22">
        <f t="shared" si="58"/>
        <v>0</v>
      </c>
      <c r="AY36" s="48"/>
      <c r="AZ36" s="22">
        <f t="shared" si="58"/>
        <v>76150000</v>
      </c>
      <c r="BA36" s="48"/>
      <c r="BB36" s="22">
        <f t="shared" si="58"/>
        <v>0</v>
      </c>
      <c r="BC36" s="48"/>
      <c r="BD36" s="22">
        <f>SUM(BD4:BD34)</f>
        <v>107110000</v>
      </c>
      <c r="BE36" s="48"/>
      <c r="BF36" s="22">
        <f>SUM(BF4:BF34)</f>
        <v>0</v>
      </c>
      <c r="BG36" s="21"/>
      <c r="BH36" s="48"/>
      <c r="BI36" s="22">
        <f>SUM(BI4:BI34)</f>
        <v>33132</v>
      </c>
      <c r="BJ36" s="48"/>
      <c r="BK36" s="22">
        <f t="shared" ref="BK36" si="59">SUM(BK4:BK34)</f>
        <v>15876</v>
      </c>
      <c r="BL36" s="48"/>
      <c r="BM36" s="22">
        <f t="shared" ref="BM36" si="60">SUM(BM4:BM34)</f>
        <v>6364</v>
      </c>
      <c r="BN36" s="48"/>
      <c r="BO36" s="22">
        <f t="shared" ref="BO36" si="61">SUM(BO4:BO34)</f>
        <v>4589</v>
      </c>
      <c r="BP36" s="48"/>
      <c r="BQ36" s="22">
        <f t="shared" ref="BQ36" si="62">SUM(BQ4:BQ34)</f>
        <v>1650</v>
      </c>
      <c r="BR36" s="48"/>
      <c r="BS36" s="22">
        <f>SUM(BS4:BS34)</f>
        <v>416</v>
      </c>
      <c r="BT36" s="48"/>
      <c r="BU36" s="22">
        <f>SUM(BU4:BU34)</f>
        <v>3171</v>
      </c>
      <c r="BV36" s="48"/>
      <c r="BW36" s="22">
        <f>SUM(BW4:BW34)</f>
        <v>30</v>
      </c>
      <c r="BX36" s="48"/>
      <c r="BY36" s="22">
        <f>SUM(BY4:BY34)</f>
        <v>956</v>
      </c>
      <c r="BZ36" s="21"/>
      <c r="CA36" s="7"/>
    </row>
    <row r="37" spans="1:79" x14ac:dyDescent="0.25">
      <c r="A37" s="22" t="s">
        <v>43</v>
      </c>
      <c r="B37" s="34"/>
      <c r="C37" s="32">
        <v>133235</v>
      </c>
      <c r="D37" s="34"/>
      <c r="E37" s="32">
        <v>289831</v>
      </c>
      <c r="F37" s="34"/>
      <c r="G37" s="32">
        <v>113726</v>
      </c>
      <c r="H37" s="33"/>
      <c r="I37" s="34"/>
      <c r="J37" s="32">
        <v>3972</v>
      </c>
      <c r="K37" s="34"/>
      <c r="L37" s="32">
        <v>228</v>
      </c>
      <c r="M37" s="33"/>
      <c r="N37" s="34"/>
      <c r="O37" s="32">
        <v>236497</v>
      </c>
      <c r="P37" s="34"/>
      <c r="Q37" s="32">
        <v>487949</v>
      </c>
      <c r="R37" s="34"/>
      <c r="S37" s="32">
        <v>1398</v>
      </c>
      <c r="T37" s="33"/>
      <c r="U37" s="34"/>
      <c r="V37" s="43">
        <v>11071</v>
      </c>
      <c r="W37" s="34"/>
      <c r="X37" s="43">
        <v>536</v>
      </c>
      <c r="Y37" s="34"/>
      <c r="Z37" s="43">
        <v>267</v>
      </c>
      <c r="AA37" s="47"/>
      <c r="AB37" s="43">
        <v>103390000</v>
      </c>
      <c r="AC37" s="47"/>
      <c r="AD37" s="43">
        <v>17670000</v>
      </c>
      <c r="AE37" s="33">
        <v>12241</v>
      </c>
      <c r="AF37" s="34"/>
      <c r="AG37" s="43">
        <v>0</v>
      </c>
      <c r="AH37" s="34"/>
      <c r="AI37" s="43">
        <v>5350</v>
      </c>
      <c r="AJ37" s="34"/>
      <c r="AK37" s="43">
        <v>145205</v>
      </c>
      <c r="AL37" s="34"/>
      <c r="AM37" s="43">
        <v>62</v>
      </c>
      <c r="AN37" s="34"/>
      <c r="AO37" s="43">
        <v>23798</v>
      </c>
      <c r="AP37" s="42"/>
      <c r="AQ37" s="48"/>
      <c r="AR37" s="22">
        <v>121930000</v>
      </c>
      <c r="AS37" s="48"/>
      <c r="AT37" s="22">
        <v>0</v>
      </c>
      <c r="AU37" s="48"/>
      <c r="AV37" s="22">
        <v>74240000</v>
      </c>
      <c r="AW37" s="48"/>
      <c r="AX37" s="22">
        <v>0</v>
      </c>
      <c r="AY37" s="48"/>
      <c r="AZ37" s="22">
        <v>78930000</v>
      </c>
      <c r="BA37" s="48"/>
      <c r="BB37" s="22">
        <v>0</v>
      </c>
      <c r="BC37" s="48"/>
      <c r="BD37" s="22">
        <v>100760000</v>
      </c>
      <c r="BE37" s="48"/>
      <c r="BF37" s="22">
        <v>0</v>
      </c>
      <c r="BG37" s="50"/>
      <c r="BH37" s="48"/>
      <c r="BI37" s="22">
        <v>33210</v>
      </c>
      <c r="BJ37" s="48"/>
      <c r="BK37" s="22">
        <v>16873</v>
      </c>
      <c r="BL37" s="48"/>
      <c r="BM37" s="22">
        <v>7035</v>
      </c>
      <c r="BN37" s="48"/>
      <c r="BO37" s="22">
        <v>5022</v>
      </c>
      <c r="BP37" s="48"/>
      <c r="BQ37" s="22">
        <v>1699</v>
      </c>
      <c r="BR37" s="48"/>
      <c r="BS37" s="22">
        <v>373</v>
      </c>
      <c r="BT37" s="48"/>
      <c r="BU37" s="22">
        <v>3346</v>
      </c>
      <c r="BV37" s="48"/>
      <c r="BW37" s="22">
        <v>30</v>
      </c>
      <c r="BX37" s="48"/>
      <c r="BY37" s="22">
        <v>758</v>
      </c>
      <c r="BZ37" s="50"/>
      <c r="CA37" s="49"/>
    </row>
    <row r="38" spans="1:79" ht="15.75" x14ac:dyDescent="0.25">
      <c r="A38" s="22" t="s">
        <v>31</v>
      </c>
      <c r="B38" s="23"/>
      <c r="C38" s="7">
        <f>C36-C37</f>
        <v>-1917</v>
      </c>
      <c r="D38" s="23"/>
      <c r="E38" s="7">
        <f>E36-E37</f>
        <v>-2368</v>
      </c>
      <c r="F38" s="23"/>
      <c r="G38" s="7">
        <f>G36-G37</f>
        <v>845</v>
      </c>
      <c r="H38" s="13"/>
      <c r="I38" s="23"/>
      <c r="J38" s="14">
        <f>J36-J37</f>
        <v>-113.07800000000134</v>
      </c>
      <c r="K38" s="23"/>
      <c r="L38" s="14">
        <f>L36-L37</f>
        <v>21.864000000000033</v>
      </c>
      <c r="M38" s="13"/>
      <c r="N38" s="23"/>
      <c r="O38" s="7">
        <f>O36-O37</f>
        <v>-3208.2299465234391</v>
      </c>
      <c r="P38" s="23"/>
      <c r="Q38" s="7">
        <f>Q36-Q37</f>
        <v>-486691</v>
      </c>
      <c r="R38" s="23"/>
      <c r="S38" s="14">
        <f>S36-S37</f>
        <v>470676</v>
      </c>
      <c r="T38" s="13"/>
      <c r="U38" s="23"/>
      <c r="V38" s="8">
        <f>V36-V37</f>
        <v>-384</v>
      </c>
      <c r="W38" s="23"/>
      <c r="X38" s="8">
        <f>X36-X37</f>
        <v>-45</v>
      </c>
      <c r="Y38" s="23"/>
      <c r="Z38" s="8">
        <f>Z36-Z37</f>
        <v>-242</v>
      </c>
      <c r="AA38" s="23"/>
      <c r="AB38" s="8">
        <f>AB36-AB37</f>
        <v>-11680000</v>
      </c>
      <c r="AC38" s="23"/>
      <c r="AD38" s="8">
        <f>AD36-AD37</f>
        <v>-17470000</v>
      </c>
      <c r="AE38" s="13">
        <f t="shared" ref="AE38" si="63">AE36-AE37</f>
        <v>-12241</v>
      </c>
      <c r="AF38" s="23"/>
      <c r="AG38" s="7">
        <f>AG36-AG37</f>
        <v>0</v>
      </c>
      <c r="AH38" s="23"/>
      <c r="AI38" s="7">
        <f t="shared" ref="AI38:BF38" si="64">AI36-AI37</f>
        <v>-247</v>
      </c>
      <c r="AJ38" s="23"/>
      <c r="AK38" s="7">
        <f t="shared" si="64"/>
        <v>16815</v>
      </c>
      <c r="AL38" s="23"/>
      <c r="AM38" s="7">
        <f t="shared" si="64"/>
        <v>-45</v>
      </c>
      <c r="AN38" s="23"/>
      <c r="AO38" s="7">
        <f t="shared" si="64"/>
        <v>262</v>
      </c>
      <c r="AP38" s="13"/>
      <c r="AQ38" s="23"/>
      <c r="AR38" s="7">
        <f t="shared" si="64"/>
        <v>75950000</v>
      </c>
      <c r="AS38" s="23"/>
      <c r="AT38" s="7">
        <f t="shared" si="64"/>
        <v>0</v>
      </c>
      <c r="AU38" s="23"/>
      <c r="AV38" s="7">
        <f t="shared" si="64"/>
        <v>-13440000</v>
      </c>
      <c r="AW38" s="23"/>
      <c r="AX38" s="7">
        <f t="shared" si="64"/>
        <v>0</v>
      </c>
      <c r="AY38" s="23"/>
      <c r="AZ38" s="7">
        <f t="shared" si="64"/>
        <v>-2780000</v>
      </c>
      <c r="BA38" s="23"/>
      <c r="BB38" s="7">
        <f t="shared" si="64"/>
        <v>0</v>
      </c>
      <c r="BC38" s="23"/>
      <c r="BD38" s="7">
        <f t="shared" si="64"/>
        <v>6350000</v>
      </c>
      <c r="BE38" s="23"/>
      <c r="BF38" s="7">
        <f t="shared" si="64"/>
        <v>0</v>
      </c>
      <c r="BG38" s="50"/>
      <c r="BH38" s="23"/>
      <c r="BI38" s="7">
        <f t="shared" ref="BI38" si="65">BI36-BI37</f>
        <v>-78</v>
      </c>
      <c r="BJ38" s="23"/>
      <c r="BK38" s="7">
        <f t="shared" ref="BK38" si="66">BK36-BK37</f>
        <v>-997</v>
      </c>
      <c r="BL38" s="23"/>
      <c r="BM38" s="7">
        <f t="shared" ref="BM38" si="67">BM36-BM37</f>
        <v>-671</v>
      </c>
      <c r="BN38" s="23"/>
      <c r="BO38" s="7">
        <f t="shared" ref="BO38" si="68">BO36-BO37</f>
        <v>-433</v>
      </c>
      <c r="BP38" s="23"/>
      <c r="BQ38" s="7">
        <f t="shared" ref="BQ38" si="69">BQ36-BQ37</f>
        <v>-49</v>
      </c>
      <c r="BR38" s="23"/>
      <c r="BS38" s="7">
        <f t="shared" ref="BS38" si="70">BS36-BS37</f>
        <v>43</v>
      </c>
      <c r="BT38" s="23"/>
      <c r="BU38" s="7">
        <f t="shared" ref="BU38" si="71">BU36-BU37</f>
        <v>-175</v>
      </c>
      <c r="BV38" s="23"/>
      <c r="BW38" s="7">
        <f t="shared" ref="BW38" si="72">BW36-BW37</f>
        <v>0</v>
      </c>
      <c r="BX38" s="23"/>
      <c r="BY38" s="7">
        <f t="shared" ref="BY38" si="73">BY36-BY37</f>
        <v>198</v>
      </c>
      <c r="BZ38" s="50"/>
      <c r="CA38" s="49"/>
    </row>
    <row r="39" spans="1:79" x14ac:dyDescent="0.25">
      <c r="A39" s="22" t="s">
        <v>32</v>
      </c>
      <c r="B39" s="37"/>
      <c r="C39" s="35">
        <f>C38/C37</f>
        <v>-1.4388111232033625E-2</v>
      </c>
      <c r="D39" s="37"/>
      <c r="E39" s="35">
        <f>E38/E37</f>
        <v>-8.1702785416328822E-3</v>
      </c>
      <c r="F39" s="37"/>
      <c r="G39" s="35">
        <f>G38/G37</f>
        <v>7.4301391062729719E-3</v>
      </c>
      <c r="H39" s="36"/>
      <c r="I39" s="37"/>
      <c r="J39" s="35">
        <f>J38/J37</f>
        <v>-2.846878147029238E-2</v>
      </c>
      <c r="K39" s="37"/>
      <c r="L39" s="35">
        <f>L38/L37</f>
        <v>9.5894736842105407E-2</v>
      </c>
      <c r="M39" s="36"/>
      <c r="N39" s="37"/>
      <c r="O39" s="35">
        <f>O38/O37</f>
        <v>-1.3565626399165483E-2</v>
      </c>
      <c r="P39" s="37"/>
      <c r="Q39" s="35">
        <f>Q38/Q37</f>
        <v>-0.99742186171095748</v>
      </c>
      <c r="R39" s="37"/>
      <c r="S39" s="35">
        <f>S38/S37</f>
        <v>336.67811158798281</v>
      </c>
      <c r="T39" s="36"/>
      <c r="U39" s="37"/>
      <c r="V39" s="46">
        <f>V38/V37</f>
        <v>-3.4685213621172432E-2</v>
      </c>
      <c r="W39" s="37"/>
      <c r="X39" s="46">
        <f>X38/X37</f>
        <v>-8.3955223880597021E-2</v>
      </c>
      <c r="Y39" s="37"/>
      <c r="Z39" s="46">
        <f>Z38/Z37</f>
        <v>-0.90636704119850187</v>
      </c>
      <c r="AA39" s="37"/>
      <c r="AB39" s="46">
        <f>AB38/AB37</f>
        <v>-0.11297030660605474</v>
      </c>
      <c r="AC39" s="37"/>
      <c r="AD39" s="46">
        <f>AD38/AD37</f>
        <v>-0.98868138087153368</v>
      </c>
      <c r="AE39" s="36"/>
      <c r="AF39" s="37"/>
      <c r="AG39" s="35" t="e">
        <f>AG38/AG37</f>
        <v>#DIV/0!</v>
      </c>
      <c r="AH39" s="37"/>
      <c r="AI39" s="35">
        <f t="shared" ref="AI39:BF39" si="74">AI38/AI37</f>
        <v>-4.6168224299065419E-2</v>
      </c>
      <c r="AJ39" s="37"/>
      <c r="AK39" s="35">
        <f t="shared" si="74"/>
        <v>0.11580179745876519</v>
      </c>
      <c r="AL39" s="37"/>
      <c r="AM39" s="35">
        <f t="shared" si="74"/>
        <v>-0.72580645161290325</v>
      </c>
      <c r="AN39" s="37"/>
      <c r="AO39" s="35">
        <f t="shared" si="74"/>
        <v>1.1009328515001261E-2</v>
      </c>
      <c r="AP39" s="36"/>
      <c r="AQ39" s="37"/>
      <c r="AR39" s="35">
        <f t="shared" si="74"/>
        <v>0.62289838431887146</v>
      </c>
      <c r="AS39" s="37"/>
      <c r="AT39" s="35" t="e">
        <f t="shared" si="74"/>
        <v>#DIV/0!</v>
      </c>
      <c r="AU39" s="37"/>
      <c r="AV39" s="35">
        <f t="shared" si="74"/>
        <v>-0.18103448275862069</v>
      </c>
      <c r="AW39" s="37"/>
      <c r="AX39" s="35" t="e">
        <f t="shared" si="74"/>
        <v>#DIV/0!</v>
      </c>
      <c r="AY39" s="37"/>
      <c r="AZ39" s="35">
        <f t="shared" si="74"/>
        <v>-3.5221081971367037E-2</v>
      </c>
      <c r="BA39" s="37"/>
      <c r="BB39" s="35" t="e">
        <f t="shared" si="74"/>
        <v>#DIV/0!</v>
      </c>
      <c r="BC39" s="37"/>
      <c r="BD39" s="35">
        <f t="shared" si="74"/>
        <v>6.3021040095275899E-2</v>
      </c>
      <c r="BE39" s="37"/>
      <c r="BF39" s="35" t="e">
        <f t="shared" si="74"/>
        <v>#DIV/0!</v>
      </c>
      <c r="BG39" s="50"/>
      <c r="BH39" s="37"/>
      <c r="BI39" s="35">
        <f t="shared" ref="BI39" si="75">BI38/BI37</f>
        <v>-2.3486901535682025E-3</v>
      </c>
      <c r="BJ39" s="37"/>
      <c r="BK39" s="35">
        <f t="shared" ref="BK39" si="76">BK38/BK37</f>
        <v>-5.9088484561133171E-2</v>
      </c>
      <c r="BL39" s="37"/>
      <c r="BM39" s="35">
        <f t="shared" ref="BM39" si="77">BM38/BM37</f>
        <v>-9.538024164889837E-2</v>
      </c>
      <c r="BN39" s="37"/>
      <c r="BO39" s="35">
        <f t="shared" ref="BO39" si="78">BO38/BO37</f>
        <v>-8.6220629231381921E-2</v>
      </c>
      <c r="BP39" s="37"/>
      <c r="BQ39" s="35">
        <f t="shared" ref="BQ39" si="79">BQ38/BQ37</f>
        <v>-2.8840494408475574E-2</v>
      </c>
      <c r="BR39" s="37"/>
      <c r="BS39" s="35">
        <f t="shared" ref="BS39" si="80">BS38/BS37</f>
        <v>0.11528150134048257</v>
      </c>
      <c r="BT39" s="37"/>
      <c r="BU39" s="35">
        <f t="shared" ref="BU39" si="81">BU38/BU37</f>
        <v>-5.2301255230125521E-2</v>
      </c>
      <c r="BV39" s="37"/>
      <c r="BW39" s="35">
        <f t="shared" ref="BW39" si="82">BW38/BW37</f>
        <v>0</v>
      </c>
      <c r="BX39" s="37"/>
      <c r="BY39" s="35">
        <f t="shared" ref="BY39" si="83">BY38/BY37</f>
        <v>0.26121372031662271</v>
      </c>
      <c r="BZ39" s="50"/>
      <c r="CA39" s="49"/>
    </row>
    <row r="41" spans="1:79" x14ac:dyDescent="0.25">
      <c r="E41" s="96"/>
    </row>
  </sheetData>
  <mergeCells count="89">
    <mergeCell ref="AQ35:BF35"/>
    <mergeCell ref="A35:G35"/>
    <mergeCell ref="I35:L35"/>
    <mergeCell ref="N35:S35"/>
    <mergeCell ref="U35:AD35"/>
    <mergeCell ref="AF35:AO35"/>
    <mergeCell ref="A1:A3"/>
    <mergeCell ref="R2:R3"/>
    <mergeCell ref="U2:U3"/>
    <mergeCell ref="W2:W3"/>
    <mergeCell ref="Y2:Y3"/>
    <mergeCell ref="I2:I3"/>
    <mergeCell ref="K2:K3"/>
    <mergeCell ref="N2:N3"/>
    <mergeCell ref="P2:P3"/>
    <mergeCell ref="I1:L1"/>
    <mergeCell ref="B1:G1"/>
    <mergeCell ref="N1:S1"/>
    <mergeCell ref="O2:O3"/>
    <mergeCell ref="Q2:Q3"/>
    <mergeCell ref="S2:S3"/>
    <mergeCell ref="J2:J3"/>
    <mergeCell ref="CA1:CA3"/>
    <mergeCell ref="AF2:AF3"/>
    <mergeCell ref="AH2:AH3"/>
    <mergeCell ref="AJ2:AJ3"/>
    <mergeCell ref="AL2:AL3"/>
    <mergeCell ref="AN2:AN3"/>
    <mergeCell ref="AF1:AN1"/>
    <mergeCell ref="AO2:AO3"/>
    <mergeCell ref="AQ2:AQ3"/>
    <mergeCell ref="AR2:AR3"/>
    <mergeCell ref="AS2:AS3"/>
    <mergeCell ref="AT2:AT3"/>
    <mergeCell ref="AQ1:AT1"/>
    <mergeCell ref="AU1:AX1"/>
    <mergeCell ref="AU2:AU3"/>
    <mergeCell ref="AV2:AV3"/>
    <mergeCell ref="L2:L3"/>
    <mergeCell ref="C2:C3"/>
    <mergeCell ref="B2:B3"/>
    <mergeCell ref="E2:E3"/>
    <mergeCell ref="F2:F3"/>
    <mergeCell ref="G2:G3"/>
    <mergeCell ref="D2:D3"/>
    <mergeCell ref="U1:AD1"/>
    <mergeCell ref="AG2:AG3"/>
    <mergeCell ref="AI2:AI3"/>
    <mergeCell ref="AK2:AK3"/>
    <mergeCell ref="AM2:AM3"/>
    <mergeCell ref="Z2:Z3"/>
    <mergeCell ref="X2:X3"/>
    <mergeCell ref="V2:V3"/>
    <mergeCell ref="AB2:AB3"/>
    <mergeCell ref="AD2:AD3"/>
    <mergeCell ref="AA2:AA3"/>
    <mergeCell ref="AC2:AC3"/>
    <mergeCell ref="AW2:AW3"/>
    <mergeCell ref="AX2:AX3"/>
    <mergeCell ref="AY1:BB1"/>
    <mergeCell ref="AY2:AY3"/>
    <mergeCell ref="AZ2:AZ3"/>
    <mergeCell ref="BA2:BA3"/>
    <mergeCell ref="BB2:BB3"/>
    <mergeCell ref="BC1:BF1"/>
    <mergeCell ref="BC2:BC3"/>
    <mergeCell ref="BD2:BD3"/>
    <mergeCell ref="BE2:BE3"/>
    <mergeCell ref="BF2:BF3"/>
    <mergeCell ref="BH35:BW35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X2:BX3"/>
    <mergeCell ref="BY2:BY3"/>
    <mergeCell ref="BH1:BY1"/>
    <mergeCell ref="BT2:BT3"/>
    <mergeCell ref="BU2:BU3"/>
    <mergeCell ref="BV2:BV3"/>
    <mergeCell ref="BW2:BW3"/>
  </mergeCells>
  <pageMargins left="0" right="0" top="0" bottom="0" header="0" footer="0"/>
  <pageSetup paperSize="5" scale="74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Four Seasons Hotel Baltimore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Gibbons</dc:creator>
  <cp:keywords/>
  <dc:description/>
  <cp:lastModifiedBy>Robin Baugus</cp:lastModifiedBy>
  <cp:revision/>
  <cp:lastPrinted>2022-06-06T15:55:38Z</cp:lastPrinted>
  <dcterms:created xsi:type="dcterms:W3CDTF">2014-07-01T13:26:04Z</dcterms:created>
  <dcterms:modified xsi:type="dcterms:W3CDTF">2022-09-01T15:00:18Z</dcterms:modified>
  <cp:category/>
  <cp:contentStatus/>
</cp:coreProperties>
</file>