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9" i="2"/>
  <c r="I29" i="2"/>
  <c r="H29" i="2"/>
  <c r="F29" i="2"/>
  <c r="E29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<sst xmlns="http://schemas.openxmlformats.org/spreadsheetml/2006/main" count="105" uniqueCount="38">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</sst>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Q23" sqref="Q2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8785</v>
      </c>
      <c r="F14" s="14">
        <v>0.11799999999999999</v>
      </c>
      <c r="G14" s="16">
        <f>'04 - 2022'!D20-'04 - 2022'!D19+'04 - 2022'!E20-'04 - 2022'!E19</f>
        <v>19.399999999999977</v>
      </c>
      <c r="H14" s="14">
        <v>0.99</v>
      </c>
      <c r="I14" s="16">
        <f>'04 - 2022'!J20-'04 - 2022'!J19</f>
        <v>20936</v>
      </c>
      <c r="J14" s="14">
        <v>8.1000000000000003E-2</v>
      </c>
      <c r="K14" s="23">
        <f>'04 - 2022'!H20-'04 - 2022'!H19</f>
        <v>0</v>
      </c>
      <c r="L14" s="16">
        <f>'04 - 2022'!I20-'04 - 2022'!I19</f>
        <v>107</v>
      </c>
      <c r="M14" s="15">
        <v>4.393629424766913</v>
      </c>
      <c r="N14" s="16">
        <v>73</v>
      </c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9012</v>
      </c>
      <c r="F15" s="14">
        <v>0.11799999999999999</v>
      </c>
      <c r="G15" s="16">
        <f>'04 - 2022'!D21-'04 - 2022'!D20+'04 - 2022'!E21-'04 - 2022'!E20</f>
        <v>21.539999999999964</v>
      </c>
      <c r="H15" s="14">
        <v>0.99</v>
      </c>
      <c r="I15" s="16">
        <f>'04 - 2022'!J21-'04 - 2022'!J20</f>
        <v>20280</v>
      </c>
      <c r="J15" s="14">
        <v>8.1000000000000003E-2</v>
      </c>
      <c r="K15" s="23">
        <f>'04 - 2022'!H21-'04 - 2022'!H20</f>
        <v>0</v>
      </c>
      <c r="L15" s="16">
        <f>'04 - 2022'!I21-'04 - 2022'!I20</f>
        <v>97</v>
      </c>
      <c r="M15" s="15">
        <v>4.393629424766913</v>
      </c>
      <c r="N15" s="16">
        <v>66</v>
      </c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8904</v>
      </c>
      <c r="F16" s="14">
        <v>0.11799999999999999</v>
      </c>
      <c r="G16" s="16">
        <f>'04 - 2022'!D22-'04 - 2022'!D21+'04 - 2022'!E22-'04 - 2022'!E21</f>
        <v>21.319999999999936</v>
      </c>
      <c r="H16" s="14">
        <v>0.99</v>
      </c>
      <c r="I16" s="16">
        <f>'04 - 2022'!J22-'04 - 2022'!J21</f>
        <v>21743</v>
      </c>
      <c r="J16" s="14">
        <v>8.1000000000000003E-2</v>
      </c>
      <c r="K16" s="23">
        <f>'04 - 2022'!H22-'04 - 2022'!H21</f>
        <v>0</v>
      </c>
      <c r="L16" s="16">
        <f>'04 - 2022'!I22-'04 - 2022'!I21</f>
        <v>103</v>
      </c>
      <c r="M16" s="15">
        <v>4.393629424766913</v>
      </c>
      <c r="N16" s="16">
        <v>67</v>
      </c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9491</v>
      </c>
      <c r="F17" s="14">
        <v>0.11799999999999999</v>
      </c>
      <c r="G17" s="16">
        <f>'04 - 2022'!D23-'04 - 2022'!D22+'04 - 2022'!E23-'04 - 2022'!E22</f>
        <v>27.830000000000041</v>
      </c>
      <c r="H17" s="14">
        <v>0.99</v>
      </c>
      <c r="I17" s="16">
        <f>'04 - 2022'!J23-'04 - 2022'!J22</f>
        <v>23328</v>
      </c>
      <c r="J17" s="14">
        <v>8.1000000000000003E-2</v>
      </c>
      <c r="K17" s="23">
        <f>'04 - 2022'!H23-'04 - 2022'!H22</f>
        <v>0</v>
      </c>
      <c r="L17" s="16">
        <f>'04 - 2022'!I23-'04 - 2022'!I22</f>
        <v>115</v>
      </c>
      <c r="M17" s="15">
        <v>4.393629424766913</v>
      </c>
      <c r="N17" s="16">
        <v>67</v>
      </c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9002</v>
      </c>
      <c r="F18" s="14">
        <v>0.11799999999999999</v>
      </c>
      <c r="G18" s="16">
        <f>'04 - 2022'!D24-'04 - 2022'!D23+'04 - 2022'!E24-'04 - 2022'!E23</f>
        <v>23.789999999999964</v>
      </c>
      <c r="H18" s="14">
        <v>0.99</v>
      </c>
      <c r="I18" s="16">
        <f>'04 - 2022'!J24-'04 - 2022'!J23</f>
        <v>24011</v>
      </c>
      <c r="J18" s="14">
        <v>8.1000000000000003E-2</v>
      </c>
      <c r="K18" s="23">
        <f>'04 - 2022'!H24-'04 - 2022'!H23</f>
        <v>0</v>
      </c>
      <c r="L18" s="16">
        <f>'04 - 2022'!I24-'04 - 2022'!I23</f>
        <v>94</v>
      </c>
      <c r="M18" s="15">
        <v>4.393629424766913</v>
      </c>
      <c r="N18" s="16">
        <v>71</v>
      </c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9001</v>
      </c>
      <c r="F19" s="14">
        <v>0.11799999999999999</v>
      </c>
      <c r="G19" s="16">
        <f>'04 - 2022'!D25-'04 - 2022'!D24+'04 - 2022'!E25-'04 - 2022'!E24</f>
        <v>23.659999999999854</v>
      </c>
      <c r="H19" s="14">
        <v>0.99</v>
      </c>
      <c r="I19" s="16">
        <f>'04 - 2022'!J25-'04 - 2022'!J24</f>
        <v>23711</v>
      </c>
      <c r="J19" s="14">
        <v>8.1000000000000003E-2</v>
      </c>
      <c r="K19" s="23">
        <f>'04 - 2022'!H25-'04 - 2022'!H24</f>
        <v>0</v>
      </c>
      <c r="L19" s="16">
        <f>'04 - 2022'!I25-'04 - 2022'!I24</f>
        <v>101</v>
      </c>
      <c r="M19" s="15">
        <v>4.393629424766913</v>
      </c>
      <c r="N19" s="16">
        <v>56</v>
      </c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9143</v>
      </c>
      <c r="F20" s="14">
        <v>0.11799999999999999</v>
      </c>
      <c r="G20" s="16">
        <f>'04 - 2022'!D26-'04 - 2022'!D25+'04 - 2022'!E26-'04 - 2022'!E25</f>
        <v>22.730000000000132</v>
      </c>
      <c r="H20" s="14">
        <v>0.99</v>
      </c>
      <c r="I20" s="16">
        <f>'04 - 2022'!J26-'04 - 2022'!J25</f>
        <v>19855</v>
      </c>
      <c r="J20" s="14">
        <v>8.1000000000000003E-2</v>
      </c>
      <c r="K20" s="23">
        <f>'04 - 2022'!H26-'04 - 2022'!H25</f>
        <v>0</v>
      </c>
      <c r="L20" s="16">
        <f>'04 - 2022'!I26-'04 - 2022'!I25</f>
        <v>96</v>
      </c>
      <c r="M20" s="15">
        <v>4.393629424766913</v>
      </c>
      <c r="N20" s="16">
        <v>72</v>
      </c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8874</v>
      </c>
      <c r="F21" s="14">
        <v>0.11799999999999999</v>
      </c>
      <c r="G21" s="16">
        <f>'04 - 2022'!D27-'04 - 2022'!D26+'04 - 2022'!E27-'04 - 2022'!E26</f>
        <v>22.059999999999945</v>
      </c>
      <c r="H21" s="14">
        <v>0.99</v>
      </c>
      <c r="I21" s="16">
        <f>'04 - 2022'!J27-'04 - 2022'!J26</f>
        <v>18960</v>
      </c>
      <c r="J21" s="14">
        <v>8.1000000000000003E-2</v>
      </c>
      <c r="K21" s="23">
        <f>'04 - 2022'!H27-'04 - 2022'!H26</f>
        <v>0</v>
      </c>
      <c r="L21" s="16">
        <f>'04 - 2022'!I27-'04 - 2022'!I26</f>
        <v>105</v>
      </c>
      <c r="M21" s="15">
        <v>4.393629424766913</v>
      </c>
      <c r="N21" s="16">
        <v>72</v>
      </c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9031</v>
      </c>
      <c r="F22" s="14">
        <v>0.11799999999999999</v>
      </c>
      <c r="G22" s="16">
        <f>'04 - 2022'!D28-'04 - 2022'!D27+'04 - 2022'!E28-'04 - 2022'!E27</f>
        <v>24.740000000000009</v>
      </c>
      <c r="H22" s="14">
        <v>0.99</v>
      </c>
      <c r="I22" s="16">
        <f>'04 - 2022'!J28-'04 - 2022'!J27</f>
        <v>21448</v>
      </c>
      <c r="J22" s="14">
        <v>8.1000000000000003E-2</v>
      </c>
      <c r="K22" s="23">
        <f>'04 - 2022'!H28-'04 - 2022'!H27</f>
        <v>0</v>
      </c>
      <c r="L22" s="16">
        <f>'04 - 2022'!I28-'04 - 2022'!I27</f>
        <v>103</v>
      </c>
      <c r="M22" s="15">
        <v>4.393629424766913</v>
      </c>
      <c r="N22" s="16">
        <v>64</v>
      </c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9021</v>
      </c>
      <c r="F23" s="14">
        <v>0.11799999999999999</v>
      </c>
      <c r="G23" s="16">
        <f>'04 - 2022'!D29-'04 - 2022'!D28+'04 - 2022'!E29-'04 - 2022'!E28</f>
        <v>23.919999999999959</v>
      </c>
      <c r="H23" s="14">
        <v>0.99</v>
      </c>
      <c r="I23" s="16">
        <f>'04 - 2022'!J29-'04 - 2022'!J28</f>
        <v>22032</v>
      </c>
      <c r="J23" s="14">
        <v>8.1000000000000003E-2</v>
      </c>
      <c r="K23" s="23">
        <f>'04 - 2022'!H29-'04 - 2022'!H28</f>
        <v>0</v>
      </c>
      <c r="L23" s="16">
        <f>'04 - 2022'!I29-'04 - 2022'!I28</f>
        <v>96</v>
      </c>
      <c r="M23" s="15">
        <v>4.393629424766913</v>
      </c>
      <c r="N23" s="16">
        <v>63</v>
      </c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9518</v>
      </c>
      <c r="F24" s="14">
        <v>0.11799999999999999</v>
      </c>
      <c r="G24" s="16">
        <f>'04 - 2022'!D30-'04 - 2022'!D29+'04 - 2022'!E30-'04 - 2022'!E29</f>
        <v>24.199999999999932</v>
      </c>
      <c r="H24" s="14">
        <v>0.99</v>
      </c>
      <c r="I24" s="16">
        <f>'04 - 2022'!J30-'04 - 2022'!J29</f>
        <v>22247</v>
      </c>
      <c r="J24" s="14">
        <v>8.1000000000000003E-2</v>
      </c>
      <c r="K24" s="23">
        <f>'04 - 2022'!H30-'04 - 2022'!H29</f>
        <v>0</v>
      </c>
      <c r="L24" s="16">
        <f>'04 - 2022'!I30-'04 - 2022'!I29</f>
        <v>105</v>
      </c>
      <c r="M24" s="15">
        <v>4.393629424766913</v>
      </c>
      <c r="N24" s="16">
        <v>65</v>
      </c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9244</v>
      </c>
      <c r="F25" s="14">
        <v>0.11799999999999999</v>
      </c>
      <c r="G25" s="16">
        <f>'04 - 2022'!D31-'04 - 2022'!D30+'04 - 2022'!E31-'04 - 2022'!E30</f>
        <v>24.620000000000005</v>
      </c>
      <c r="H25" s="14">
        <v>0.99</v>
      </c>
      <c r="I25" s="16">
        <f>'04 - 2022'!J31-'04 - 2022'!J30</f>
        <v>21931</v>
      </c>
      <c r="J25" s="14">
        <v>8.1000000000000003E-2</v>
      </c>
      <c r="K25" s="23">
        <f>'04 - 2022'!H31-'04 - 2022'!H30</f>
        <v>0</v>
      </c>
      <c r="L25" s="16">
        <f>'04 - 2022'!I31-'04 - 2022'!I30</f>
        <v>98</v>
      </c>
      <c r="M25" s="15">
        <v>4.393629424766913</v>
      </c>
      <c r="N25" s="16">
        <v>57</v>
      </c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8920</v>
      </c>
      <c r="F26" s="14">
        <v>0.11799999999999999</v>
      </c>
      <c r="G26" s="16">
        <f>'04 - 2022'!D32-'04 - 2022'!D31+'04 - 2022'!E32-'04 - 2022'!E31</f>
        <v>23.709999999999923</v>
      </c>
      <c r="H26" s="14">
        <v>0.99</v>
      </c>
      <c r="I26" s="16">
        <f>'04 - 2022'!J32-'04 - 2022'!J31</f>
        <v>24084</v>
      </c>
      <c r="J26" s="14">
        <v>8.1000000000000003E-2</v>
      </c>
      <c r="K26" s="23">
        <f>'04 - 2022'!H32-'04 - 2022'!H31</f>
        <v>0</v>
      </c>
      <c r="L26" s="16">
        <f>'04 - 2022'!I32-'04 - 2022'!I31</f>
        <v>90</v>
      </c>
      <c r="M26" s="15">
        <v>4.393629424766913</v>
      </c>
      <c r="N26" s="16">
        <v>51</v>
      </c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9224</v>
      </c>
      <c r="F27" s="14">
        <v>0.11799999999999999</v>
      </c>
      <c r="G27" s="16">
        <f>'04 - 2022'!D33-'04 - 2022'!D32+'04 - 2022'!E33-'04 - 2022'!E32</f>
        <v>23.959999999999923</v>
      </c>
      <c r="H27" s="14">
        <v>0.99</v>
      </c>
      <c r="I27" s="16">
        <f>'04 - 2022'!J33-'04 - 2022'!J32</f>
        <v>24066</v>
      </c>
      <c r="J27" s="14">
        <v>8.1000000000000003E-2</v>
      </c>
      <c r="K27" s="23">
        <f>'04 - 2022'!H33-'04 - 2022'!H32</f>
        <v>0</v>
      </c>
      <c r="L27" s="16">
        <f>'04 - 2022'!I33-'04 - 2022'!I32</f>
        <v>100</v>
      </c>
      <c r="M27" s="15">
        <v>4.393629424766913</v>
      </c>
      <c r="N27" s="16">
        <v>55</v>
      </c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9200</v>
      </c>
      <c r="F28" s="14">
        <v>0.11799999999999999</v>
      </c>
      <c r="G28" s="16">
        <f>'04 - 2022'!D34-'04 - 2022'!D33+'04 - 2022'!E34-'04 - 2022'!E33</f>
        <v>23.720000000000027</v>
      </c>
      <c r="H28" s="14">
        <v>0.99</v>
      </c>
      <c r="I28" s="16">
        <f>'04 - 2022'!J34-'04 - 2022'!J33</f>
        <v>23116</v>
      </c>
      <c r="J28" s="14">
        <v>8.1000000000000003E-2</v>
      </c>
      <c r="K28" s="23">
        <f>'04 - 2022'!H34-'04 - 2022'!H33</f>
        <v>0</v>
      </c>
      <c r="L28" s="16">
        <f>'04 - 2022'!I34-'04 - 2022'!I33</f>
        <v>96</v>
      </c>
      <c r="M28" s="15">
        <v>4.393629424766913</v>
      </c>
      <c r="N28" s="19">
        <v>58</v>
      </c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 t="e">
        <f>'04 - 2022'!B34-'04 - 2022'!#REF!+'04 - 2022'!C34-'04 - 2022'!#REF!</f>
        <v>#REF!</v>
      </c>
      <c r="F29" s="14">
        <v>0.11799999999999999</v>
      </c>
      <c r="G29" s="16" t="e">
        <f>'04 - 2022'!D34-'04 - 2022'!#REF!+'04 - 2022'!E34-'04 - 2022'!#REF!</f>
        <v>#REF!</v>
      </c>
      <c r="H29" s="14">
        <v>0.99</v>
      </c>
      <c r="I29" s="16" t="e">
        <f>'04 - 2022'!J34-'04 - 2022'!#REF!</f>
        <v>#REF!</v>
      </c>
      <c r="J29" s="14">
        <v>8.1000000000000003E-2</v>
      </c>
      <c r="K29" s="23" t="e">
        <f>'04 - 2022'!H34-'04 - 2022'!#REF!</f>
        <v>#REF!</v>
      </c>
      <c r="L29" s="16" t="e">
        <f>'04 - 2022'!I34-'04 - 2022'!#REF!</f>
        <v>#REF!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v>0</v>
      </c>
      <c r="F30" s="14">
        <v>0.11799999999999999</v>
      </c>
      <c r="G30" s="16">
        <v>0</v>
      </c>
      <c r="H30" s="14">
        <v>0.99</v>
      </c>
      <c r="I30" s="16">
        <v>0</v>
      </c>
      <c r="J30" s="14">
        <v>8.1000000000000003E-2</v>
      </c>
      <c r="K30" s="23">
        <v>0</v>
      </c>
      <c r="L30" s="16"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18" sqref="O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3369</v>
      </c>
      <c r="F14" s="16">
        <f>'04 - 2022'!C20-'04 - 2022'!C19</f>
        <v>5416</v>
      </c>
      <c r="G14" s="14">
        <v>0.11799999999999999</v>
      </c>
      <c r="H14" s="16">
        <f>'04 - 2022'!E20-'04 - 2022'!E19</f>
        <v>19.480000000000018</v>
      </c>
      <c r="I14" s="16">
        <f>'04 - 2022'!F20-'04 - 2022'!F19</f>
        <v>7.1200000000001182</v>
      </c>
      <c r="J14" s="16">
        <f>'04 - 2022'!G20-'04 - 2022'!G19</f>
        <v>36.129999999997381</v>
      </c>
      <c r="K14" s="14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3498</v>
      </c>
      <c r="F15" s="16">
        <f>'04 - 2022'!C21-'04 - 2022'!C20</f>
        <v>5514</v>
      </c>
      <c r="G15" s="14">
        <v>0.11799999999999999</v>
      </c>
      <c r="H15" s="16">
        <f>'04 - 2022'!E21-'04 - 2022'!E20</f>
        <v>21.610000000000014</v>
      </c>
      <c r="I15" s="16">
        <f>'04 - 2022'!F21-'04 - 2022'!F20</f>
        <v>7.5299999999999727</v>
      </c>
      <c r="J15" s="16">
        <f>'04 - 2022'!G21-'04 - 2022'!G20</f>
        <v>39.070000000006985</v>
      </c>
      <c r="K15" s="14">
        <v>0.74</v>
      </c>
      <c r="L15" s="16">
        <v>66</v>
      </c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3504</v>
      </c>
      <c r="F16" s="16">
        <f>'04 - 2022'!C22-'04 - 2022'!C21</f>
        <v>5400</v>
      </c>
      <c r="G16" s="14">
        <v>0.11799999999999999</v>
      </c>
      <c r="H16" s="16">
        <f>'04 - 2022'!E22-'04 - 2022'!E21</f>
        <v>20.789999999999964</v>
      </c>
      <c r="I16" s="16">
        <f>'04 - 2022'!F22-'04 - 2022'!F21</f>
        <v>7.7200000000000273</v>
      </c>
      <c r="J16" s="16">
        <f>'04 - 2022'!G22-'04 - 2022'!G21</f>
        <v>38.339999999996508</v>
      </c>
      <c r="K16" s="14">
        <v>0.74</v>
      </c>
      <c r="L16" s="16">
        <v>67</v>
      </c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3721</v>
      </c>
      <c r="F17" s="16">
        <f>'04 - 2022'!C23-'04 - 2022'!C22</f>
        <v>5770</v>
      </c>
      <c r="G17" s="14">
        <v>0.11799999999999999</v>
      </c>
      <c r="H17" s="16">
        <f>'04 - 2022'!E23-'04 - 2022'!E22</f>
        <v>27.910000000000082</v>
      </c>
      <c r="I17" s="16">
        <f>'04 - 2022'!F23-'04 - 2022'!F22</f>
        <v>7.2000000000000455</v>
      </c>
      <c r="J17" s="16">
        <f>'04 - 2022'!G23-'04 - 2022'!G22</f>
        <v>40.680000000000291</v>
      </c>
      <c r="K17" s="14">
        <v>0.74</v>
      </c>
      <c r="L17" s="16">
        <v>67</v>
      </c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3481</v>
      </c>
      <c r="F18" s="16">
        <f>'04 - 2022'!C24-'04 - 2022'!C23</f>
        <v>5521</v>
      </c>
      <c r="G18" s="14">
        <v>0.11799999999999999</v>
      </c>
      <c r="H18" s="16">
        <f>'04 - 2022'!E24-'04 - 2022'!E23</f>
        <v>23.870000000000005</v>
      </c>
      <c r="I18" s="16">
        <f>'04 - 2022'!F24-'04 - 2022'!F23</f>
        <v>5.8199999999999363</v>
      </c>
      <c r="J18" s="16">
        <f>'04 - 2022'!G24-'04 - 2022'!G23</f>
        <v>39.519999999996799</v>
      </c>
      <c r="K18" s="14">
        <v>0.74</v>
      </c>
      <c r="L18" s="16">
        <v>71</v>
      </c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3528</v>
      </c>
      <c r="F19" s="16">
        <f>'04 - 2022'!C25-'04 - 2022'!C24</f>
        <v>5473</v>
      </c>
      <c r="G19" s="14">
        <v>0.11799999999999999</v>
      </c>
      <c r="H19" s="16">
        <f>'04 - 2022'!E25-'04 - 2022'!E24</f>
        <v>23.739999999999895</v>
      </c>
      <c r="I19" s="16">
        <f>'04 - 2022'!F25-'04 - 2022'!F24</f>
        <v>6.2200000000000273</v>
      </c>
      <c r="J19" s="16">
        <f>'04 - 2022'!G25-'04 - 2022'!G24</f>
        <v>38.480000000003201</v>
      </c>
      <c r="K19" s="14">
        <v>0.74</v>
      </c>
      <c r="L19" s="16">
        <v>56</v>
      </c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3723</v>
      </c>
      <c r="F20" s="16">
        <f>'04 - 2022'!C26-'04 - 2022'!C25</f>
        <v>5420</v>
      </c>
      <c r="G20" s="14">
        <v>0.11799999999999999</v>
      </c>
      <c r="H20" s="16">
        <f>'04 - 2022'!E26-'04 - 2022'!E25</f>
        <v>22.790000000000077</v>
      </c>
      <c r="I20" s="16">
        <f>'04 - 2022'!F26-'04 - 2022'!F25</f>
        <v>6.5099999999999909</v>
      </c>
      <c r="J20" s="16">
        <f>'04 - 2022'!G26-'04 - 2022'!G25</f>
        <v>38.180000000000291</v>
      </c>
      <c r="K20" s="14">
        <v>0.74</v>
      </c>
      <c r="L20" s="4">
        <v>72</v>
      </c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3616</v>
      </c>
      <c r="F21" s="16">
        <f>'04 - 2022'!C27-'04 - 2022'!C26</f>
        <v>5258</v>
      </c>
      <c r="G21" s="14">
        <v>0.11799999999999999</v>
      </c>
      <c r="H21" s="16">
        <f>'04 - 2022'!E27-'04 - 2022'!E26</f>
        <v>22.139999999999986</v>
      </c>
      <c r="I21" s="16">
        <f>'04 - 2022'!F27-'04 - 2022'!F26</f>
        <v>6.9700000000000273</v>
      </c>
      <c r="J21" s="16">
        <f>'04 - 2022'!G27-'04 - 2022'!G26</f>
        <v>37.260000000002037</v>
      </c>
      <c r="K21" s="14">
        <v>0.74</v>
      </c>
      <c r="L21" s="4">
        <v>72</v>
      </c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3591</v>
      </c>
      <c r="F22" s="16">
        <f>'04 - 2022'!C28-'04 - 2022'!C27</f>
        <v>5440</v>
      </c>
      <c r="G22" s="14">
        <v>0.11799999999999999</v>
      </c>
      <c r="H22" s="16">
        <f>'04 - 2022'!E28-'04 - 2022'!E27</f>
        <v>24.360000000000014</v>
      </c>
      <c r="I22" s="16">
        <f>'04 - 2022'!F28-'04 - 2022'!F27</f>
        <v>7.1899999999998272</v>
      </c>
      <c r="J22" s="16">
        <f>'04 - 2022'!G28-'04 - 2022'!G27</f>
        <v>38.110000000000582</v>
      </c>
      <c r="K22" s="14">
        <v>0.74</v>
      </c>
      <c r="L22" s="16">
        <v>64</v>
      </c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3596</v>
      </c>
      <c r="F23" s="16">
        <f>'04 - 2022'!C29-'04 - 2022'!C28</f>
        <v>5425</v>
      </c>
      <c r="G23" s="14">
        <v>0.11799999999999999</v>
      </c>
      <c r="H23" s="16">
        <f>'04 - 2022'!E29-'04 - 2022'!E28</f>
        <v>24</v>
      </c>
      <c r="I23" s="16">
        <f>'04 - 2022'!F29-'04 - 2022'!F28</f>
        <v>6.2100000000000364</v>
      </c>
      <c r="J23" s="16">
        <f>'04 - 2022'!G29-'04 - 2022'!G28</f>
        <v>35.229999999995925</v>
      </c>
      <c r="K23" s="14">
        <v>0.74</v>
      </c>
      <c r="L23" s="16">
        <v>63</v>
      </c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3864</v>
      </c>
      <c r="F24" s="16">
        <f>'04 - 2022'!C30-'04 - 2022'!C29</f>
        <v>5654</v>
      </c>
      <c r="G24" s="14">
        <v>0.11799999999999999</v>
      </c>
      <c r="H24" s="16">
        <f>'04 - 2022'!E30-'04 - 2022'!E29</f>
        <v>24.279999999999973</v>
      </c>
      <c r="I24" s="16">
        <f>'04 - 2022'!F30-'04 - 2022'!F29</f>
        <v>6.9200000000000728</v>
      </c>
      <c r="J24" s="16">
        <f>'04 - 2022'!G30-'04 - 2022'!G29</f>
        <v>38.940000000002328</v>
      </c>
      <c r="K24" s="14">
        <v>0.74</v>
      </c>
      <c r="L24" s="16">
        <v>65</v>
      </c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3868</v>
      </c>
      <c r="F25" s="16">
        <f>'04 - 2022'!C31-'04 - 2022'!C30</f>
        <v>5376</v>
      </c>
      <c r="G25" s="14">
        <v>0.11799999999999999</v>
      </c>
      <c r="H25" s="16">
        <f>'04 - 2022'!E31-'04 - 2022'!E30</f>
        <v>24.720000000000027</v>
      </c>
      <c r="I25" s="16">
        <f>'04 - 2022'!F31-'04 - 2022'!F30</f>
        <v>6.2999999999999545</v>
      </c>
      <c r="J25" s="16">
        <f>'04 - 2022'!G31-'04 - 2022'!G30</f>
        <v>37.169999999998254</v>
      </c>
      <c r="K25" s="14">
        <v>0.74</v>
      </c>
      <c r="L25" s="4">
        <v>57</v>
      </c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3608</v>
      </c>
      <c r="F26" s="16">
        <f>'04 - 2022'!C32-'04 - 2022'!C31</f>
        <v>5312</v>
      </c>
      <c r="G26" s="14">
        <v>0.11799999999999999</v>
      </c>
      <c r="H26" s="16">
        <f>'04 - 2022'!E32-'04 - 2022'!E31</f>
        <v>23.779999999999973</v>
      </c>
      <c r="I26" s="16">
        <f>'04 - 2022'!F32-'04 - 2022'!F31</f>
        <v>6.9000000000000909</v>
      </c>
      <c r="J26" s="16">
        <f>'04 - 2022'!G32-'04 - 2022'!G31</f>
        <v>36.680000000000291</v>
      </c>
      <c r="K26" s="14">
        <v>0.74</v>
      </c>
      <c r="L26" s="4">
        <v>51</v>
      </c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3782</v>
      </c>
      <c r="F27" s="16">
        <f>'04 - 2022'!C33-'04 - 2022'!C32</f>
        <v>5442</v>
      </c>
      <c r="G27" s="14">
        <v>0.11799999999999999</v>
      </c>
      <c r="H27" s="16">
        <f>'04 - 2022'!E33-'04 - 2022'!E32</f>
        <v>24.049999999999955</v>
      </c>
      <c r="I27" s="16">
        <f>'04 - 2022'!F33-'04 - 2022'!F32</f>
        <v>5.7899999999999636</v>
      </c>
      <c r="J27" s="16">
        <f>'04 - 2022'!G33-'04 - 2022'!G32</f>
        <v>35.349999999998545</v>
      </c>
      <c r="K27" s="14">
        <v>0.74</v>
      </c>
      <c r="L27" s="16">
        <v>55</v>
      </c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3787</v>
      </c>
      <c r="F28" s="16">
        <f>'04 - 2022'!C34-'04 - 2022'!C33</f>
        <v>5413</v>
      </c>
      <c r="G28" s="14">
        <v>0.11799999999999999</v>
      </c>
      <c r="H28" s="16">
        <f>'04 - 2022'!E34-'04 - 2022'!E33</f>
        <v>23.800000000000068</v>
      </c>
      <c r="I28" s="16">
        <f>'04 - 2022'!F34-'04 - 2022'!F33</f>
        <v>7.0999999999999091</v>
      </c>
      <c r="J28" s="16">
        <f>'04 - 2022'!G34-'04 - 2022'!G33</f>
        <v>37.5</v>
      </c>
      <c r="K28" s="14">
        <v>0.74</v>
      </c>
      <c r="L28" s="4">
        <v>58</v>
      </c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 t="e">
        <f>'04 - 2022'!B34-'04 - 2022'!#REF!</f>
        <v>#REF!</v>
      </c>
      <c r="F29" s="16" t="e">
        <f>'04 - 2022'!C34-'04 - 2022'!#REF!</f>
        <v>#REF!</v>
      </c>
      <c r="G29" s="14">
        <v>0.11799999999999999</v>
      </c>
      <c r="H29" s="16" t="e">
        <f>'04 - 2022'!E34-'04 - 2022'!#REF!</f>
        <v>#REF!</v>
      </c>
      <c r="I29" s="16" t="e">
        <f>'04 - 2022'!F34-'04 - 2022'!#REF!</f>
        <v>#REF!</v>
      </c>
      <c r="J29" s="16" t="e">
        <f>'04 - 2022'!G34-'04 - 2022'!#REF!</f>
        <v>#REF!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v>0</v>
      </c>
      <c r="F30" s="16">
        <v>0</v>
      </c>
      <c r="G30" s="14">
        <v>0.11799999999999999</v>
      </c>
      <c r="H30" s="16">
        <v>0</v>
      </c>
      <c r="I30" s="16">
        <v>0</v>
      </c>
      <c r="J30" s="16"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7" zoomScaleNormal="100" workbookViewId="0">
      <selection activeCell="C35" sqref="C3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</row>
    <row r="5" spans="1:17" ht="16.5" thickBot="1" x14ac:dyDescent="0.3">
      <c r="A5" s="39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92">
        <v>623179</v>
      </c>
      <c r="D16" s="93">
        <v>0.65</v>
      </c>
      <c r="E16" s="94">
        <v>588.77</v>
      </c>
      <c r="F16" s="95">
        <v>1947.18</v>
      </c>
      <c r="G16" s="96">
        <v>40512.17</v>
      </c>
      <c r="H16" s="92">
        <v>14528</v>
      </c>
      <c r="I16" s="92">
        <v>153434</v>
      </c>
      <c r="J16" s="92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92">
        <v>628546</v>
      </c>
      <c r="D17" s="93">
        <v>0.57999999999999996</v>
      </c>
      <c r="E17" s="94">
        <v>609.51</v>
      </c>
      <c r="F17" s="95">
        <v>1952.57</v>
      </c>
      <c r="G17" s="96">
        <v>40550</v>
      </c>
      <c r="H17" s="92">
        <v>14528</v>
      </c>
      <c r="I17" s="92">
        <v>153528</v>
      </c>
      <c r="J17" s="92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92">
        <v>633818</v>
      </c>
      <c r="D18" s="93">
        <v>0.5</v>
      </c>
      <c r="E18" s="94">
        <v>632.17999999999995</v>
      </c>
      <c r="F18" s="95">
        <v>1958.22</v>
      </c>
      <c r="G18" s="96">
        <v>40594.32</v>
      </c>
      <c r="H18" s="92">
        <v>14528</v>
      </c>
      <c r="I18" s="92">
        <v>153610</v>
      </c>
      <c r="J18" s="92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>
        <v>932692</v>
      </c>
      <c r="C20" s="47">
        <v>644619</v>
      </c>
      <c r="D20" s="57">
        <v>0.32</v>
      </c>
      <c r="E20" s="60">
        <v>673.89</v>
      </c>
      <c r="F20" s="26">
        <v>1971.45</v>
      </c>
      <c r="G20" s="48">
        <v>40661.089999999997</v>
      </c>
      <c r="H20" s="34">
        <v>14528</v>
      </c>
      <c r="I20" s="47">
        <v>153819</v>
      </c>
      <c r="J20" s="47">
        <v>54660488</v>
      </c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>
        <v>936190</v>
      </c>
      <c r="C21" s="47">
        <v>650133</v>
      </c>
      <c r="D21" s="57">
        <v>0.25</v>
      </c>
      <c r="E21" s="60">
        <v>695.5</v>
      </c>
      <c r="F21" s="26">
        <v>1978.98</v>
      </c>
      <c r="G21" s="48">
        <v>40700.160000000003</v>
      </c>
      <c r="H21" s="36">
        <v>14528</v>
      </c>
      <c r="I21" s="47">
        <v>153916</v>
      </c>
      <c r="J21" s="47">
        <v>54680768</v>
      </c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>
        <v>939694</v>
      </c>
      <c r="C22" s="86">
        <v>655533</v>
      </c>
      <c r="D22" s="57">
        <v>0.78</v>
      </c>
      <c r="E22" s="60">
        <v>716.29</v>
      </c>
      <c r="F22" s="26">
        <v>1986.7</v>
      </c>
      <c r="G22" s="48">
        <v>40738.5</v>
      </c>
      <c r="H22" s="36">
        <v>14528</v>
      </c>
      <c r="I22" s="48">
        <v>154019</v>
      </c>
      <c r="J22" s="47">
        <v>54702511</v>
      </c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>
        <v>943415</v>
      </c>
      <c r="C23" s="47">
        <v>661303</v>
      </c>
      <c r="D23" s="57">
        <v>0.7</v>
      </c>
      <c r="E23" s="60">
        <v>744.2</v>
      </c>
      <c r="F23" s="26">
        <v>1993.9</v>
      </c>
      <c r="G23" s="48">
        <v>40779.18</v>
      </c>
      <c r="H23" s="36">
        <v>14528</v>
      </c>
      <c r="I23" s="47">
        <v>154134</v>
      </c>
      <c r="J23" s="47">
        <v>54725839</v>
      </c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>
        <v>946896</v>
      </c>
      <c r="C24" s="47">
        <v>666824</v>
      </c>
      <c r="D24" s="57">
        <v>0.62</v>
      </c>
      <c r="E24" s="54">
        <v>768.07</v>
      </c>
      <c r="F24" s="26">
        <v>1999.72</v>
      </c>
      <c r="G24" s="48">
        <v>40818.699999999997</v>
      </c>
      <c r="H24" s="36">
        <v>14528</v>
      </c>
      <c r="I24" s="47">
        <v>154228</v>
      </c>
      <c r="J24" s="47">
        <v>54749850</v>
      </c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>
        <v>950424</v>
      </c>
      <c r="C25" s="48">
        <v>672297</v>
      </c>
      <c r="D25" s="59">
        <v>0.54</v>
      </c>
      <c r="E25" s="60">
        <v>791.81</v>
      </c>
      <c r="F25" s="26">
        <v>2005.94</v>
      </c>
      <c r="G25" s="48">
        <v>40857.18</v>
      </c>
      <c r="H25" s="36">
        <v>14528</v>
      </c>
      <c r="I25" s="47">
        <v>154329</v>
      </c>
      <c r="J25" s="47">
        <v>54773561</v>
      </c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>
        <v>954147</v>
      </c>
      <c r="C26" s="48">
        <v>677717</v>
      </c>
      <c r="D26" s="59">
        <v>0.48</v>
      </c>
      <c r="E26" s="60">
        <v>814.6</v>
      </c>
      <c r="F26" s="26">
        <v>2012.45</v>
      </c>
      <c r="G26" s="48">
        <v>40895.360000000001</v>
      </c>
      <c r="H26" s="34">
        <v>14528</v>
      </c>
      <c r="I26" s="47">
        <v>154425</v>
      </c>
      <c r="J26" s="47">
        <v>54793416</v>
      </c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>
        <v>957763</v>
      </c>
      <c r="C27" s="47">
        <v>682975</v>
      </c>
      <c r="D27" s="57">
        <v>0.4</v>
      </c>
      <c r="E27" s="54">
        <v>836.74</v>
      </c>
      <c r="F27" s="26">
        <v>2019.42</v>
      </c>
      <c r="G27" s="48">
        <v>40932.620000000003</v>
      </c>
      <c r="H27" s="34">
        <v>14528</v>
      </c>
      <c r="I27" s="47">
        <v>154530</v>
      </c>
      <c r="J27" s="47">
        <v>54812376</v>
      </c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>
        <v>961354</v>
      </c>
      <c r="C28" s="47">
        <v>688415</v>
      </c>
      <c r="D28" s="57">
        <v>0.78</v>
      </c>
      <c r="E28" s="60">
        <v>861.1</v>
      </c>
      <c r="F28" s="26">
        <v>2026.61</v>
      </c>
      <c r="G28" s="48">
        <v>40970.730000000003</v>
      </c>
      <c r="H28" s="36">
        <v>14528</v>
      </c>
      <c r="I28" s="47">
        <v>154633</v>
      </c>
      <c r="J28" s="47">
        <v>54833824</v>
      </c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>
        <v>964950</v>
      </c>
      <c r="C29" s="47">
        <v>693840</v>
      </c>
      <c r="D29" s="57">
        <v>0.7</v>
      </c>
      <c r="E29" s="60">
        <v>885.1</v>
      </c>
      <c r="F29" s="26">
        <v>2032.82</v>
      </c>
      <c r="G29" s="48">
        <v>41005.96</v>
      </c>
      <c r="H29" s="36">
        <v>14528</v>
      </c>
      <c r="I29" s="47">
        <v>154729</v>
      </c>
      <c r="J29" s="47">
        <v>54855856</v>
      </c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>
        <v>968814</v>
      </c>
      <c r="C30" s="47">
        <v>699494</v>
      </c>
      <c r="D30" s="57">
        <v>0.62</v>
      </c>
      <c r="E30" s="60">
        <v>909.38</v>
      </c>
      <c r="F30" s="26">
        <v>2039.74</v>
      </c>
      <c r="G30" s="48">
        <v>41044.9</v>
      </c>
      <c r="H30" s="36">
        <v>14528</v>
      </c>
      <c r="I30" s="47">
        <v>154834</v>
      </c>
      <c r="J30" s="47">
        <v>54878103</v>
      </c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>
        <v>972682</v>
      </c>
      <c r="C31" s="47">
        <v>704870</v>
      </c>
      <c r="D31" s="57">
        <v>0.52</v>
      </c>
      <c r="E31" s="60">
        <v>934.1</v>
      </c>
      <c r="F31" s="26">
        <v>2046.04</v>
      </c>
      <c r="G31" s="48">
        <v>41082.07</v>
      </c>
      <c r="H31" s="36">
        <v>14528</v>
      </c>
      <c r="I31" s="47">
        <v>154932</v>
      </c>
      <c r="J31" s="47">
        <v>54900034</v>
      </c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>
        <v>976290</v>
      </c>
      <c r="C32" s="47">
        <v>710182</v>
      </c>
      <c r="D32" s="57">
        <v>0.45</v>
      </c>
      <c r="E32" s="60">
        <v>957.88</v>
      </c>
      <c r="F32" s="26">
        <v>2052.94</v>
      </c>
      <c r="G32" s="48">
        <v>41118.75</v>
      </c>
      <c r="H32" s="36">
        <v>14528</v>
      </c>
      <c r="I32" s="47">
        <v>155022</v>
      </c>
      <c r="J32" s="47">
        <v>54924118</v>
      </c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>
        <v>980072</v>
      </c>
      <c r="C33" s="47">
        <v>715624</v>
      </c>
      <c r="D33" s="57">
        <v>0.36</v>
      </c>
      <c r="E33" s="60">
        <v>981.93</v>
      </c>
      <c r="F33" s="26">
        <v>2058.73</v>
      </c>
      <c r="G33" s="48">
        <v>41154.1</v>
      </c>
      <c r="H33" s="36">
        <v>14528</v>
      </c>
      <c r="I33" s="47">
        <v>155122</v>
      </c>
      <c r="J33" s="47">
        <v>54948184</v>
      </c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>
        <v>983859</v>
      </c>
      <c r="C34" s="50">
        <v>721037</v>
      </c>
      <c r="D34" s="59">
        <v>0.28000000000000003</v>
      </c>
      <c r="E34" s="60">
        <v>1005.73</v>
      </c>
      <c r="F34" s="26">
        <v>2065.83</v>
      </c>
      <c r="G34" s="48">
        <v>41191.599999999999</v>
      </c>
      <c r="H34" s="36">
        <v>14528</v>
      </c>
      <c r="I34" s="48">
        <v>155218</v>
      </c>
      <c r="J34" s="48">
        <v>54971300</v>
      </c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48"/>
      <c r="C35" s="50"/>
      <c r="D35" s="59"/>
      <c r="E35" s="60"/>
      <c r="F35" s="26"/>
      <c r="G35" s="48"/>
      <c r="H35" s="36"/>
      <c r="I35" s="48"/>
      <c r="J35" s="48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2022-04-27T08:14:10Z</dcterms:modified>
</cp:coreProperties>
</file>