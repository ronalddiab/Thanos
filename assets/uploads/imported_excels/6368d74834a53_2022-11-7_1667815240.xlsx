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283" documentId="13_ncr:1_{651390B6-1DF5-854A-B05D-095BDDA8C3D3}" xr6:coauthVersionLast="47" xr6:coauthVersionMax="47" xr10:uidLastSave="{20516806-75CF-4049-9DD6-A9606DD05418}"/>
  <bookViews>
    <workbookView xWindow="0" yWindow="0" windowWidth="25600" windowHeight="1600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I33" i="1"/>
  <c r="G27" i="4"/>
  <c r="G39" i="4"/>
  <c r="F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40" i="3"/>
  <c r="N33" i="1"/>
  <c r="F9" i="4"/>
  <c r="L40" i="3"/>
  <c r="O40" i="3"/>
  <c r="I40" i="3"/>
  <c r="G2" i="1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O41" i="3" l="1"/>
  <c r="H32" i="4"/>
  <c r="F37" i="2"/>
  <c r="G37" i="2" s="1"/>
  <c r="F38" i="2"/>
  <c r="G38" i="2" s="1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 s="1"/>
  <c r="F19" i="4"/>
  <c r="G19" i="4" s="1"/>
  <c r="F18" i="4"/>
  <c r="I11" i="1" s="1"/>
  <c r="F17" i="4"/>
  <c r="F16" i="4"/>
  <c r="I9" i="1" s="1"/>
  <c r="F15" i="4"/>
  <c r="F14" i="4"/>
  <c r="F13" i="4"/>
  <c r="I6" i="1" s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2" i="1"/>
  <c r="I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8" i="4"/>
  <c r="G37" i="4"/>
  <c r="G36" i="4"/>
  <c r="G35" i="4"/>
  <c r="G33" i="4"/>
  <c r="G31" i="4"/>
  <c r="G30" i="4"/>
  <c r="I22" i="1"/>
  <c r="G28" i="4"/>
  <c r="G26" i="4"/>
  <c r="G25" i="4"/>
  <c r="G23" i="4"/>
  <c r="G17" i="4"/>
  <c r="G15" i="4"/>
  <c r="G14" i="4"/>
  <c r="H14" i="4" s="1"/>
  <c r="G11" i="4"/>
  <c r="H11" i="4" s="1"/>
  <c r="G9" i="4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I21" i="2"/>
  <c r="J21" i="2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G20" i="4"/>
  <c r="G13" i="4"/>
  <c r="G21" i="4"/>
  <c r="K25" i="5"/>
  <c r="L25" i="5" s="1"/>
  <c r="K10" i="5"/>
  <c r="L10" i="5" s="1"/>
  <c r="K18" i="5"/>
  <c r="L18" i="5" s="1"/>
  <c r="K26" i="5"/>
  <c r="L26" i="5" s="1"/>
  <c r="K15" i="5"/>
  <c r="L8" i="1" s="1"/>
  <c r="K38" i="5"/>
  <c r="L38" i="5" s="1"/>
  <c r="K9" i="5"/>
  <c r="L9" i="5" s="1"/>
  <c r="G29" i="4"/>
  <c r="G16" i="2"/>
  <c r="E25" i="1"/>
  <c r="E8" i="1"/>
  <c r="E15" i="1"/>
  <c r="E29" i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P22" i="3"/>
  <c r="M10" i="3"/>
  <c r="M37" i="3"/>
  <c r="P37" i="3"/>
  <c r="M29" i="3"/>
  <c r="P29" i="3"/>
  <c r="M21" i="3"/>
  <c r="M18" i="3"/>
  <c r="M11" i="3"/>
  <c r="P11" i="3"/>
  <c r="Q11" i="3" s="1"/>
  <c r="R11" i="3" s="1"/>
  <c r="M36" i="3"/>
  <c r="M28" i="3"/>
  <c r="P28" i="3"/>
  <c r="Q28" i="3" s="1"/>
  <c r="R28" i="3" s="1"/>
  <c r="M20" i="3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 s="1"/>
  <c r="R15" i="3" s="1"/>
  <c r="P24" i="3"/>
  <c r="P35" i="3"/>
  <c r="P26" i="3"/>
  <c r="Q26" i="3" s="1"/>
  <c r="P18" i="3"/>
  <c r="P9" i="3"/>
  <c r="P32" i="3"/>
  <c r="Q32" i="3" s="1"/>
  <c r="R32" i="3" s="1"/>
  <c r="Q36" i="3"/>
  <c r="R36" i="3" s="1"/>
  <c r="Q13" i="3" l="1"/>
  <c r="R13" i="3" s="1"/>
  <c r="Q9" i="3"/>
  <c r="R9" i="3" s="1"/>
  <c r="K24" i="5"/>
  <c r="L24" i="5" s="1"/>
  <c r="Q38" i="3"/>
  <c r="R38" i="3" s="1"/>
  <c r="Q23" i="3"/>
  <c r="Q24" i="3"/>
  <c r="R24" i="3" s="1"/>
  <c r="Q29" i="3"/>
  <c r="R29" i="3" s="1"/>
  <c r="Q22" i="3"/>
  <c r="R22" i="3" s="1"/>
  <c r="Q34" i="3"/>
  <c r="R34" i="3" s="1"/>
  <c r="E11" i="1"/>
  <c r="G22" i="2"/>
  <c r="K22" i="2" s="1"/>
  <c r="L22" i="2" s="1"/>
  <c r="M22" i="2" s="1"/>
  <c r="M33" i="1"/>
  <c r="G33" i="1"/>
  <c r="Q17" i="3"/>
  <c r="H10" i="1" s="1"/>
  <c r="Q12" i="3"/>
  <c r="R12" i="3" s="1"/>
  <c r="Q10" i="3"/>
  <c r="R10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H9" i="4"/>
  <c r="K11" i="5"/>
  <c r="K14" i="5"/>
  <c r="L14" i="5" s="1"/>
  <c r="K22" i="5"/>
  <c r="L15" i="1" s="1"/>
  <c r="K27" i="5"/>
  <c r="L27" i="5" s="1"/>
  <c r="K28" i="5"/>
  <c r="K30" i="5"/>
  <c r="L30" i="5" s="1"/>
  <c r="K31" i="5"/>
  <c r="L31" i="5" s="1"/>
  <c r="K33" i="5"/>
  <c r="L33" i="5" s="1"/>
  <c r="K34" i="5"/>
  <c r="K35" i="5"/>
  <c r="L35" i="5" s="1"/>
  <c r="K36" i="5"/>
  <c r="L36" i="5" s="1"/>
  <c r="D40" i="3"/>
  <c r="L11" i="5"/>
  <c r="L4" i="1"/>
  <c r="L2" i="1"/>
  <c r="K17" i="5"/>
  <c r="L10" i="1" s="1"/>
  <c r="K13" i="5"/>
  <c r="K32" i="5"/>
  <c r="L25" i="1" s="1"/>
  <c r="K19" i="5"/>
  <c r="L22" i="5"/>
  <c r="L24" i="1"/>
  <c r="L28" i="1"/>
  <c r="L31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R14" i="3" s="1"/>
  <c r="Q25" i="3"/>
  <c r="R25" i="3" s="1"/>
  <c r="Q30" i="3"/>
  <c r="R30" i="3" s="1"/>
  <c r="Q31" i="3"/>
  <c r="R31" i="3" s="1"/>
  <c r="H19" i="1"/>
  <c r="J37" i="3"/>
  <c r="Q37" i="3" s="1"/>
  <c r="H1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2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28" i="5"/>
  <c r="L21" i="1"/>
  <c r="L29" i="1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R19" i="3"/>
  <c r="H32" i="1"/>
  <c r="H24" i="1"/>
  <c r="R26" i="3"/>
  <c r="H17" i="1"/>
  <c r="R17" i="3"/>
  <c r="H31" i="1"/>
  <c r="H27" i="1"/>
  <c r="H15" i="1"/>
  <c r="H11" i="1"/>
  <c r="H4" i="1"/>
  <c r="R23" i="3"/>
  <c r="R27" i="3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D14" i="4"/>
  <c r="D14" i="5" s="1"/>
  <c r="C40" i="3"/>
  <c r="D40" i="4"/>
  <c r="C10" i="4"/>
  <c r="C10" i="5" s="1"/>
  <c r="C40" i="5" s="1"/>
  <c r="D9" i="5"/>
  <c r="D40" i="5" s="1"/>
  <c r="L32" i="5" l="1"/>
  <c r="L21" i="5"/>
  <c r="L23" i="1"/>
  <c r="L17" i="5"/>
  <c r="L7" i="1"/>
  <c r="H22" i="1"/>
  <c r="H7" i="1"/>
  <c r="H26" i="1"/>
  <c r="H23" i="1"/>
  <c r="R35" i="3"/>
  <c r="H14" i="1"/>
  <c r="H5" i="1"/>
  <c r="E33" i="1"/>
  <c r="F30" i="1"/>
  <c r="L16" i="5"/>
  <c r="L16" i="1"/>
  <c r="L1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H16" i="4"/>
  <c r="H24" i="4"/>
  <c r="H18" i="4"/>
  <c r="M37" i="2"/>
  <c r="F31" i="1"/>
  <c r="F4" i="1"/>
  <c r="F7" i="1"/>
  <c r="F15" i="1"/>
  <c r="M23" i="2"/>
  <c r="C40" i="4"/>
  <c r="L40" i="5" l="1"/>
  <c r="H33" i="1"/>
  <c r="H40" i="4"/>
  <c r="M8" i="2"/>
  <c r="M39" i="2" s="1"/>
  <c r="F2" i="1"/>
</calcChain>
</file>

<file path=xl/sharedStrings.xml><?xml version="1.0" encoding="utf-8"?>
<sst xmlns="http://schemas.openxmlformats.org/spreadsheetml/2006/main" count="113" uniqueCount="59">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</sst>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43" fontId="11" fillId="0" borderId="1" xfId="0" applyNumberFormat="1" applyFont="1" applyBorder="1" applyAlignment="1">
      <alignment horizontal="center" vertical="center" shrinkToFit="1"/>
    </xf>
    <xf numFmtId="2" fontId="19" fillId="11" borderId="1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/>
    </xf>
    <xf numFmtId="167" fontId="17" fillId="0" borderId="1" xfId="4" applyNumberFormat="1" applyFont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 applyBorder="1"/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26" activePane="bottomRight" state="frozen"/>
      <selection pane="bottomRight" activeCell="K37" sqref="K37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9.5703125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7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10</v>
      </c>
      <c r="D2" s="7">
        <v>2022</v>
      </c>
      <c r="E2" s="9">
        <f>Electricity!F8+Electricity!I8</f>
        <v>9779.9999999992906</v>
      </c>
      <c r="F2" s="10">
        <f>Electricity!L8/TOTAL!E2</f>
        <v>1229.8944785276108</v>
      </c>
      <c r="G2" s="9">
        <f>Gas!F9+Gas!I9+Gas!L9+Gas!O9</f>
        <v>72.28000000000111</v>
      </c>
      <c r="H2" s="10">
        <f>Gas!Q9/TOTAL!G2</f>
        <v>15839.999999999998</v>
      </c>
      <c r="I2" s="9">
        <f>'Fuel Diesel'!F9</f>
        <v>0</v>
      </c>
      <c r="J2" s="11">
        <v>24300</v>
      </c>
      <c r="K2" s="9">
        <f>Water!E9+Water!G9+Water!I9</f>
        <v>168</v>
      </c>
      <c r="L2" s="10">
        <f>Water!K9/TOTAL!K2</f>
        <v>4000</v>
      </c>
      <c r="M2" s="9">
        <f>Electricity!C8</f>
        <v>26</v>
      </c>
      <c r="N2" s="9">
        <f>Electricity!D8</f>
        <v>120</v>
      </c>
    </row>
    <row r="3" spans="1:14">
      <c r="A3" s="6" t="s">
        <v>14</v>
      </c>
      <c r="B3" s="7">
        <f>B2+1</f>
        <v>2</v>
      </c>
      <c r="C3" s="8">
        <v>10</v>
      </c>
      <c r="D3" s="7">
        <v>2022</v>
      </c>
      <c r="E3" s="9">
        <f>Electricity!F9+Electricity!I9</f>
        <v>9340.0000000002583</v>
      </c>
      <c r="F3" s="10">
        <f>Electricity!L9/TOTAL!E3</f>
        <v>1232.9545503212016</v>
      </c>
      <c r="G3" s="9">
        <f>Gas!F10+Gas!I10+Gas!L10+Gas!O10</f>
        <v>25.6700000000003</v>
      </c>
      <c r="H3" s="10">
        <f>Gas!Q10/TOTAL!G3</f>
        <v>15840</v>
      </c>
      <c r="I3" s="9">
        <f>'Fuel Diesel'!F10</f>
        <v>0</v>
      </c>
      <c r="J3" s="11">
        <v>24300</v>
      </c>
      <c r="K3" s="9">
        <f>Water!E10+Water!G10+Water!I10</f>
        <v>185</v>
      </c>
      <c r="L3" s="10">
        <f>Water!K10/TOTAL!K3</f>
        <v>4000</v>
      </c>
      <c r="M3" s="9">
        <f>Electricity!C9</f>
        <v>29</v>
      </c>
      <c r="N3" s="9">
        <f>Electricity!D9</f>
        <v>148</v>
      </c>
    </row>
    <row r="4" spans="1:14">
      <c r="A4" s="6" t="s">
        <v>14</v>
      </c>
      <c r="B4" s="7">
        <f t="shared" ref="B4:B30" si="0">B3+1</f>
        <v>3</v>
      </c>
      <c r="C4" s="8">
        <v>10</v>
      </c>
      <c r="D4" s="7">
        <v>2022</v>
      </c>
      <c r="E4" s="9">
        <f>Electricity!F10+Electricity!I10</f>
        <v>9559.9999999999454</v>
      </c>
      <c r="F4" s="10">
        <f>Electricity!L10/TOTAL!E4</f>
        <v>1231.9850418410015</v>
      </c>
      <c r="G4" s="9">
        <f>Gas!F11+Gas!I11+Gas!L11+Gas!O11</f>
        <v>26.119999999999436</v>
      </c>
      <c r="H4" s="10">
        <f>Gas!Q11/TOTAL!G4</f>
        <v>15840</v>
      </c>
      <c r="I4" s="9">
        <f>'Fuel Diesel'!F11</f>
        <v>0</v>
      </c>
      <c r="J4" s="11">
        <v>24300</v>
      </c>
      <c r="K4" s="9">
        <f>Water!E11+Water!G11+Water!I11</f>
        <v>183</v>
      </c>
      <c r="L4" s="10">
        <f>Water!K11/TOTAL!K4</f>
        <v>4000</v>
      </c>
      <c r="M4" s="9">
        <f>Electricity!C10</f>
        <v>36</v>
      </c>
      <c r="N4" s="9">
        <f>Electricity!D10</f>
        <v>139</v>
      </c>
    </row>
    <row r="5" spans="1:14">
      <c r="A5" s="6" t="s">
        <v>14</v>
      </c>
      <c r="B5" s="7">
        <f t="shared" si="0"/>
        <v>4</v>
      </c>
      <c r="C5" s="8">
        <v>10</v>
      </c>
      <c r="D5" s="7">
        <v>2022</v>
      </c>
      <c r="E5" s="9">
        <f>Electricity!F11+Electricity!I11</f>
        <v>9499.999999999658</v>
      </c>
      <c r="F5" s="10">
        <f>Electricity!L11/TOTAL!E5</f>
        <v>1232.5720000000072</v>
      </c>
      <c r="G5" s="9">
        <f>Gas!F12+Gas!I12+Gas!L12+Gas!O12</f>
        <v>25.980000000000473</v>
      </c>
      <c r="H5" s="10">
        <f>Gas!Q12/TOTAL!G5</f>
        <v>15840.000000000002</v>
      </c>
      <c r="I5" s="9">
        <f>'Fuel Diesel'!F12</f>
        <v>0</v>
      </c>
      <c r="J5" s="11">
        <v>24300</v>
      </c>
      <c r="K5" s="9">
        <f>Water!E12+Water!G12+Water!I12</f>
        <v>176</v>
      </c>
      <c r="L5" s="10">
        <f>Water!K12/TOTAL!K5</f>
        <v>4000</v>
      </c>
      <c r="M5" s="9">
        <f>Electricity!C11</f>
        <v>33</v>
      </c>
      <c r="N5" s="9">
        <f>Electricity!D11</f>
        <v>127</v>
      </c>
    </row>
    <row r="6" spans="1:14">
      <c r="A6" s="6" t="s">
        <v>14</v>
      </c>
      <c r="B6" s="7">
        <f t="shared" si="0"/>
        <v>5</v>
      </c>
      <c r="C6" s="8">
        <v>10</v>
      </c>
      <c r="D6" s="7">
        <v>2022</v>
      </c>
      <c r="E6" s="9">
        <f>Electricity!F12+Electricity!I12</f>
        <v>9400.0000000000909</v>
      </c>
      <c r="F6" s="10">
        <f>Electricity!L12/TOTAL!E6</f>
        <v>1235.9904255319084</v>
      </c>
      <c r="G6" s="9">
        <f>Gas!F13+Gas!I13+Gas!L13+Gas!O13</f>
        <v>24.139999999998963</v>
      </c>
      <c r="H6" s="10">
        <f>Gas!Q13/TOTAL!G6</f>
        <v>15840</v>
      </c>
      <c r="I6" s="9">
        <f>'Fuel Diesel'!F13</f>
        <v>0</v>
      </c>
      <c r="J6" s="11">
        <v>24300</v>
      </c>
      <c r="K6" s="9">
        <f>Water!E13+Water!G13+Water!I13</f>
        <v>172</v>
      </c>
      <c r="L6" s="10">
        <f>Water!K13/TOTAL!K6</f>
        <v>4000</v>
      </c>
      <c r="M6" s="9">
        <f>Electricity!C12</f>
        <v>31</v>
      </c>
      <c r="N6" s="9">
        <f>Electricity!D12</f>
        <v>149</v>
      </c>
    </row>
    <row r="7" spans="1:14">
      <c r="A7" s="6" t="s">
        <v>14</v>
      </c>
      <c r="B7" s="7">
        <f t="shared" si="0"/>
        <v>6</v>
      </c>
      <c r="C7" s="8">
        <v>10</v>
      </c>
      <c r="D7" s="7">
        <v>2022</v>
      </c>
      <c r="E7" s="9">
        <f>Electricity!F13+Electricity!I13</f>
        <v>9300.0000000004093</v>
      </c>
      <c r="F7" s="10">
        <f>Electricity!L13/TOTAL!E7</f>
        <v>1240.707150537635</v>
      </c>
      <c r="G7" s="9">
        <f>Gas!F14+Gas!I14+Gas!L14+Gas!O14</f>
        <v>28.240000000000236</v>
      </c>
      <c r="H7" s="10">
        <f>Gas!Q14/TOTAL!G7</f>
        <v>15840</v>
      </c>
      <c r="I7" s="9">
        <f>'Fuel Diesel'!F14</f>
        <v>0</v>
      </c>
      <c r="J7" s="11">
        <v>24300</v>
      </c>
      <c r="K7" s="9">
        <f>Water!E14+Water!G14+Water!I14</f>
        <v>157</v>
      </c>
      <c r="L7" s="10">
        <f>Water!K14/TOTAL!K7</f>
        <v>4000</v>
      </c>
      <c r="M7" s="9">
        <f>Electricity!C13</f>
        <v>29</v>
      </c>
      <c r="N7" s="9">
        <f>Electricity!D13</f>
        <v>113</v>
      </c>
    </row>
    <row r="8" spans="1:14">
      <c r="A8" s="6" t="s">
        <v>14</v>
      </c>
      <c r="B8" s="7">
        <f t="shared" si="0"/>
        <v>7</v>
      </c>
      <c r="C8" s="8">
        <v>10</v>
      </c>
      <c r="D8" s="7">
        <v>2022</v>
      </c>
      <c r="E8" s="9">
        <f>Electricity!F14+Electricity!I14</f>
        <v>9779.9999999998581</v>
      </c>
      <c r="F8" s="10">
        <f>Electricity!L14/TOTAL!E8</f>
        <v>1233.3884969325172</v>
      </c>
      <c r="G8" s="9">
        <f>Gas!F15+Gas!I15+Gas!L15+Gas!O15</f>
        <v>77.0600000000004</v>
      </c>
      <c r="H8" s="10">
        <f>Gas!Q15/TOTAL!G8</f>
        <v>15840.000000000002</v>
      </c>
      <c r="I8" s="9">
        <f>'Fuel Diesel'!F15</f>
        <v>0</v>
      </c>
      <c r="J8" s="11">
        <v>24300</v>
      </c>
      <c r="K8" s="9">
        <f>Water!E15+Water!G15+Water!I15</f>
        <v>174</v>
      </c>
      <c r="L8" s="10">
        <f>Water!K15/TOTAL!K8</f>
        <v>4000</v>
      </c>
      <c r="M8" s="9">
        <f>Electricity!C14</f>
        <v>29</v>
      </c>
      <c r="N8" s="9">
        <f>Electricity!D14</f>
        <v>112</v>
      </c>
    </row>
    <row r="9" spans="1:14">
      <c r="A9" s="6" t="s">
        <v>14</v>
      </c>
      <c r="B9" s="7">
        <f t="shared" si="0"/>
        <v>8</v>
      </c>
      <c r="C9" s="8">
        <v>10</v>
      </c>
      <c r="D9" s="7">
        <v>2022</v>
      </c>
      <c r="E9" s="9">
        <f>Electricity!F15+Electricity!I15</f>
        <v>9580.00000000004</v>
      </c>
      <c r="F9" s="10">
        <f>Electricity!L15/TOTAL!E9</f>
        <v>1240.1139352818329</v>
      </c>
      <c r="G9" s="9">
        <f>Gas!F16+Gas!I16+Gas!L16+Gas!O16</f>
        <v>22.920000000000073</v>
      </c>
      <c r="H9" s="10">
        <f>Gas!Q16/TOTAL!G9</f>
        <v>15840</v>
      </c>
      <c r="I9" s="9">
        <f>'Fuel Diesel'!F16</f>
        <v>0</v>
      </c>
      <c r="J9" s="11">
        <v>24300</v>
      </c>
      <c r="K9" s="9">
        <f>Water!E16+Water!G16+Water!I16</f>
        <v>154</v>
      </c>
      <c r="L9" s="10">
        <f>Water!K16/TOTAL!K9</f>
        <v>4000</v>
      </c>
      <c r="M9" s="9">
        <f>Electricity!C15</f>
        <v>24</v>
      </c>
      <c r="N9" s="9">
        <f>Electricity!D15</f>
        <v>178</v>
      </c>
    </row>
    <row r="10" spans="1:14">
      <c r="A10" s="6" t="s">
        <v>14</v>
      </c>
      <c r="B10" s="7">
        <f t="shared" si="0"/>
        <v>9</v>
      </c>
      <c r="C10" s="8">
        <v>10</v>
      </c>
      <c r="D10" s="7">
        <v>2022</v>
      </c>
      <c r="E10" s="9">
        <f>Electricity!F16+Electricity!I16</f>
        <v>10460.000000000378</v>
      </c>
      <c r="F10" s="10">
        <f>Electricity!L16/TOTAL!E10</f>
        <v>1238.1451720841292</v>
      </c>
      <c r="G10" s="9">
        <f>Gas!F17+Gas!I17+Gas!L17+Gas!O17</f>
        <v>24.239999999999554</v>
      </c>
      <c r="H10" s="10">
        <f>Gas!Q17/TOTAL!G10</f>
        <v>15840</v>
      </c>
      <c r="I10" s="9">
        <f>'Fuel Diesel'!F17</f>
        <v>0</v>
      </c>
      <c r="J10" s="11">
        <v>24300</v>
      </c>
      <c r="K10" s="9">
        <f>Water!E17+Water!G17+Water!I17</f>
        <v>159</v>
      </c>
      <c r="L10" s="10">
        <f>Water!K17/TOTAL!K10</f>
        <v>4000</v>
      </c>
      <c r="M10" s="9">
        <f>Electricity!C16</f>
        <v>39</v>
      </c>
      <c r="N10" s="9">
        <f>Electricity!D16</f>
        <v>145</v>
      </c>
    </row>
    <row r="11" spans="1:14">
      <c r="A11" s="6" t="s">
        <v>14</v>
      </c>
      <c r="B11" s="7">
        <f t="shared" si="0"/>
        <v>10</v>
      </c>
      <c r="C11" s="8">
        <v>10</v>
      </c>
      <c r="D11" s="7">
        <v>2022</v>
      </c>
      <c r="E11" s="9">
        <f>Electricity!F17+Electricity!I17</f>
        <v>9939.9999999997126</v>
      </c>
      <c r="F11" s="10">
        <f>Electricity!L17/TOTAL!E11</f>
        <v>1234.1618209255546</v>
      </c>
      <c r="G11" s="9">
        <f>Gas!F18+Gas!I18+Gas!L18+Gas!O18</f>
        <v>24.560000000000173</v>
      </c>
      <c r="H11" s="10">
        <f>Gas!Q18/TOTAL!G11</f>
        <v>15839.999999999998</v>
      </c>
      <c r="I11" s="9">
        <f>'Fuel Diesel'!F18</f>
        <v>0</v>
      </c>
      <c r="J11" s="11">
        <v>24300</v>
      </c>
      <c r="K11" s="9">
        <f>Water!E18+Water!G18+Water!I18</f>
        <v>198</v>
      </c>
      <c r="L11" s="10">
        <f>Water!K18/TOTAL!K11</f>
        <v>4000</v>
      </c>
      <c r="M11" s="9">
        <f>Electricity!C17</f>
        <v>39</v>
      </c>
      <c r="N11" s="9">
        <f>Electricity!D17</f>
        <v>156</v>
      </c>
    </row>
    <row r="12" spans="1:14">
      <c r="A12" s="6" t="s">
        <v>14</v>
      </c>
      <c r="B12" s="7">
        <f t="shared" si="0"/>
        <v>11</v>
      </c>
      <c r="C12" s="8">
        <v>10</v>
      </c>
      <c r="D12" s="7">
        <v>2022</v>
      </c>
      <c r="E12" s="9">
        <f>Electricity!F18+Electricity!I18</f>
        <v>9439.9999999997126</v>
      </c>
      <c r="F12" s="10">
        <f>Electricity!L18/TOTAL!E12</f>
        <v>1236.7862817796645</v>
      </c>
      <c r="G12" s="9">
        <f>Gas!F19+Gas!I19+Gas!L19+Gas!O19</f>
        <v>76.099999999999</v>
      </c>
      <c r="H12" s="10">
        <f>Gas!Q19/TOTAL!G12</f>
        <v>15840</v>
      </c>
      <c r="I12" s="9">
        <f>'Fuel Diesel'!F19</f>
        <v>0</v>
      </c>
      <c r="J12" s="11">
        <v>24300</v>
      </c>
      <c r="K12" s="9">
        <f>Water!E19+Water!G19+Water!I19</f>
        <v>209</v>
      </c>
      <c r="L12" s="10">
        <f>Water!K19/TOTAL!K12</f>
        <v>4000</v>
      </c>
      <c r="M12" s="9">
        <f>Electricity!C18</f>
        <v>41</v>
      </c>
      <c r="N12" s="9">
        <f>Electricity!D18</f>
        <v>213</v>
      </c>
    </row>
    <row r="13" spans="1:14">
      <c r="A13" s="6" t="s">
        <v>14</v>
      </c>
      <c r="B13" s="7">
        <f t="shared" si="0"/>
        <v>12</v>
      </c>
      <c r="C13" s="8">
        <v>10</v>
      </c>
      <c r="D13" s="7">
        <v>2022</v>
      </c>
      <c r="E13" s="9">
        <f>Electricity!F19+Electricity!I19</f>
        <v>9400.0000000006585</v>
      </c>
      <c r="F13" s="10">
        <f>Electricity!L19/TOTAL!E13</f>
        <v>1234.7786702127619</v>
      </c>
      <c r="G13" s="9">
        <f>Gas!F20+Gas!I20+Gas!L20+Gas!O20</f>
        <v>25.750000000000227</v>
      </c>
      <c r="H13" s="10">
        <f>Gas!Q20/TOTAL!G13</f>
        <v>15840</v>
      </c>
      <c r="I13" s="9">
        <f>'Fuel Diesel'!F20</f>
        <v>0</v>
      </c>
      <c r="J13" s="11">
        <v>24300</v>
      </c>
      <c r="K13" s="9">
        <f>Water!E20+Water!G20+Water!I20</f>
        <v>187</v>
      </c>
      <c r="L13" s="10">
        <f>Water!K20/TOTAL!K13</f>
        <v>4000</v>
      </c>
      <c r="M13" s="9">
        <f>Electricity!C19</f>
        <v>29</v>
      </c>
      <c r="N13" s="9">
        <f>Electricity!D19</f>
        <v>136</v>
      </c>
    </row>
    <row r="14" spans="1:14">
      <c r="A14" s="6" t="s">
        <v>14</v>
      </c>
      <c r="B14" s="7">
        <f t="shared" si="0"/>
        <v>13</v>
      </c>
      <c r="C14" s="8">
        <v>10</v>
      </c>
      <c r="D14" s="7">
        <v>2022</v>
      </c>
      <c r="E14" s="9">
        <f>Electricity!F20+Electricity!I20</f>
        <v>9959.9999999993543</v>
      </c>
      <c r="F14" s="10">
        <f>Electricity!L20/TOTAL!E14</f>
        <v>1238.5453313253083</v>
      </c>
      <c r="G14" s="9">
        <f>Gas!F21+Gas!I21+Gas!L21+Gas!O21</f>
        <v>26.9200000000003</v>
      </c>
      <c r="H14" s="10">
        <f>Gas!Q21/TOTAL!G14</f>
        <v>15840</v>
      </c>
      <c r="I14" s="9">
        <f>'Fuel Diesel'!F21</f>
        <v>0</v>
      </c>
      <c r="J14" s="11">
        <v>24300</v>
      </c>
      <c r="K14" s="9">
        <f>Water!E21+Water!G21+Water!I21</f>
        <v>166</v>
      </c>
      <c r="L14" s="10">
        <f>Water!K21/TOTAL!K14</f>
        <v>4000</v>
      </c>
      <c r="M14" s="9">
        <f>Electricity!C20</f>
        <v>31</v>
      </c>
      <c r="N14" s="9">
        <f>Electricity!D20</f>
        <v>133</v>
      </c>
    </row>
    <row r="15" spans="1:14">
      <c r="A15" s="6" t="s">
        <v>14</v>
      </c>
      <c r="B15" s="7">
        <f t="shared" si="0"/>
        <v>14</v>
      </c>
      <c r="C15" s="8">
        <v>10</v>
      </c>
      <c r="D15" s="7">
        <v>2022</v>
      </c>
      <c r="E15" s="9">
        <f>Electricity!F21+Electricity!I21</f>
        <v>10500.000000000568</v>
      </c>
      <c r="F15" s="10">
        <f>Electricity!L21/TOTAL!E15</f>
        <v>1232.3436190476095</v>
      </c>
      <c r="G15" s="9">
        <f>Gas!F22+Gas!I22+Gas!L22+Gas!O22</f>
        <v>76.340000000000146</v>
      </c>
      <c r="H15" s="10">
        <f>Gas!Q22/TOTAL!G15</f>
        <v>15840.000000000002</v>
      </c>
      <c r="I15" s="9">
        <f>'Fuel Diesel'!F22</f>
        <v>0</v>
      </c>
      <c r="J15" s="11">
        <v>24300</v>
      </c>
      <c r="K15" s="9">
        <f>Water!E22+Water!G22+Water!I22</f>
        <v>201</v>
      </c>
      <c r="L15" s="10">
        <f>Water!K22/TOTAL!K15</f>
        <v>4000</v>
      </c>
      <c r="M15" s="9">
        <f>Electricity!C21</f>
        <v>42</v>
      </c>
      <c r="N15" s="9">
        <f>Electricity!D21</f>
        <v>137</v>
      </c>
    </row>
    <row r="16" spans="1:14">
      <c r="A16" s="6" t="s">
        <v>14</v>
      </c>
      <c r="B16" s="7">
        <f t="shared" si="0"/>
        <v>15</v>
      </c>
      <c r="C16" s="8">
        <v>10</v>
      </c>
      <c r="D16" s="7">
        <v>2022</v>
      </c>
      <c r="E16" s="9">
        <f>Electricity!F22+Electricity!I22</f>
        <v>10339.999999999463</v>
      </c>
      <c r="F16" s="10">
        <f>Electricity!L22/TOTAL!E16</f>
        <v>1234.8888297872395</v>
      </c>
      <c r="G16" s="9">
        <f>Gas!F23+Gas!I23+Gas!L23+Gas!O23</f>
        <v>29.350000000000591</v>
      </c>
      <c r="H16" s="10">
        <f>Gas!Q23/TOTAL!G16</f>
        <v>15840</v>
      </c>
      <c r="I16" s="9">
        <f>'Fuel Diesel'!F23</f>
        <v>0</v>
      </c>
      <c r="J16" s="11">
        <v>24300</v>
      </c>
      <c r="K16" s="9">
        <f>Water!E23+Water!G23+Water!I23</f>
        <v>223</v>
      </c>
      <c r="L16" s="10">
        <f>Water!K23/TOTAL!K16</f>
        <v>8124.9865470852019</v>
      </c>
      <c r="M16" s="9">
        <f>Electricity!C22</f>
        <v>41</v>
      </c>
      <c r="N16" s="9">
        <f>Electricity!D22</f>
        <v>184</v>
      </c>
    </row>
    <row r="17" spans="1:14">
      <c r="A17" s="6" t="s">
        <v>14</v>
      </c>
      <c r="B17" s="7">
        <f t="shared" si="0"/>
        <v>16</v>
      </c>
      <c r="C17" s="8">
        <v>10</v>
      </c>
      <c r="D17" s="7">
        <v>2022</v>
      </c>
      <c r="E17" s="9">
        <f>Electricity!F23+Electricity!I23</f>
        <v>10259.999999999991</v>
      </c>
      <c r="F17" s="10">
        <f>Electricity!L23/TOTAL!E17</f>
        <v>1236.7462962962959</v>
      </c>
      <c r="G17" s="9">
        <f>Gas!F24+Gas!I24+Gas!L24+Gas!O24</f>
        <v>26.089999999999463</v>
      </c>
      <c r="H17" s="10">
        <f>Gas!Q24/TOTAL!G17</f>
        <v>15840</v>
      </c>
      <c r="I17" s="9">
        <f>'Fuel Diesel'!F24</f>
        <v>0</v>
      </c>
      <c r="J17" s="11">
        <v>24300</v>
      </c>
      <c r="K17" s="9">
        <f>Water!E24+Water!G24+Water!I24</f>
        <v>220</v>
      </c>
      <c r="L17" s="10">
        <f>Water!K24/TOTAL!K17</f>
        <v>4043.5545454545454</v>
      </c>
      <c r="M17" s="9">
        <f>Electricity!C23</f>
        <v>45</v>
      </c>
      <c r="N17" s="9">
        <f>Electricity!D23</f>
        <v>200</v>
      </c>
    </row>
    <row r="18" spans="1:14">
      <c r="A18" s="6" t="s">
        <v>14</v>
      </c>
      <c r="B18" s="7">
        <f t="shared" si="0"/>
        <v>17</v>
      </c>
      <c r="C18" s="8">
        <v>10</v>
      </c>
      <c r="D18" s="7">
        <v>2022</v>
      </c>
      <c r="E18" s="9">
        <f>Electricity!F24+Electricity!I24</f>
        <v>10559.999999999833</v>
      </c>
      <c r="F18" s="10">
        <f>Electricity!L24/TOTAL!E18</f>
        <v>1235.0494791666729</v>
      </c>
      <c r="G18" s="9">
        <f>Gas!F25+Gas!I25+Gas!L25+Gas!O25</f>
        <v>26.059999999999263</v>
      </c>
      <c r="H18" s="10">
        <f>Gas!Q25/TOTAL!G18</f>
        <v>15840</v>
      </c>
      <c r="I18" s="9">
        <f>'Fuel Diesel'!F25</f>
        <v>0</v>
      </c>
      <c r="J18" s="11">
        <v>24300</v>
      </c>
      <c r="K18" s="9">
        <f>Water!E25+Water!G25+Water!I25</f>
        <v>215</v>
      </c>
      <c r="L18" s="10">
        <f>Water!K25/TOTAL!K18</f>
        <v>4000</v>
      </c>
      <c r="M18" s="9">
        <f>Electricity!C24</f>
        <v>36</v>
      </c>
      <c r="N18" s="9">
        <f>Electricity!D24</f>
        <v>175</v>
      </c>
    </row>
    <row r="19" spans="1:14">
      <c r="A19" s="6" t="s">
        <v>14</v>
      </c>
      <c r="B19" s="7">
        <f t="shared" si="0"/>
        <v>18</v>
      </c>
      <c r="C19" s="8">
        <v>10</v>
      </c>
      <c r="D19" s="7">
        <v>2022</v>
      </c>
      <c r="E19" s="9">
        <f>Electricity!F25+Electricity!I25</f>
        <v>10640.0000000001</v>
      </c>
      <c r="F19" s="10">
        <f>Electricity!L25/TOTAL!E19</f>
        <v>1235.398214285711</v>
      </c>
      <c r="G19" s="9">
        <f>Gas!F26+Gas!I26+Gas!L26+Gas!O26</f>
        <v>22.51000000000181</v>
      </c>
      <c r="H19" s="10">
        <f>Gas!Q26/TOTAL!G19</f>
        <v>15840</v>
      </c>
      <c r="I19" s="9">
        <f>'Fuel Diesel'!F26</f>
        <v>0</v>
      </c>
      <c r="J19" s="11">
        <v>24300</v>
      </c>
      <c r="K19" s="9">
        <f>Water!E26+Water!G26+Water!I26</f>
        <v>230</v>
      </c>
      <c r="L19" s="10">
        <f>Water!K26/TOTAL!K19</f>
        <v>4000</v>
      </c>
      <c r="M19" s="9">
        <f>Electricity!C25</f>
        <v>37</v>
      </c>
      <c r="N19" s="9">
        <f>Electricity!D25</f>
        <v>168</v>
      </c>
    </row>
    <row r="20" spans="1:14">
      <c r="A20" s="6" t="s">
        <v>14</v>
      </c>
      <c r="B20" s="7">
        <f t="shared" si="0"/>
        <v>19</v>
      </c>
      <c r="C20" s="8">
        <v>10</v>
      </c>
      <c r="D20" s="7">
        <v>2022</v>
      </c>
      <c r="E20" s="9">
        <f>Electricity!F26+Electricity!I26</f>
        <v>10340.000000000373</v>
      </c>
      <c r="F20" s="10">
        <f>Electricity!L26/TOTAL!E20</f>
        <v>1234.8888297872313</v>
      </c>
      <c r="G20" s="9">
        <f>Gas!F27+Gas!I27+Gas!L27+Gas!O27</f>
        <v>32.989999999998417</v>
      </c>
      <c r="H20" s="10">
        <f>Gas!Q27/TOTAL!G20</f>
        <v>15840</v>
      </c>
      <c r="I20" s="9">
        <f>'Fuel Diesel'!F27</f>
        <v>8</v>
      </c>
      <c r="J20" s="11">
        <v>24300</v>
      </c>
      <c r="K20" s="9">
        <f>Water!E27+Water!G27+Water!I27</f>
        <v>243</v>
      </c>
      <c r="L20" s="10">
        <f>Water!K27/TOTAL!K20</f>
        <v>4000</v>
      </c>
      <c r="M20" s="9">
        <f>Electricity!C26</f>
        <v>34</v>
      </c>
      <c r="N20" s="9">
        <f>Electricity!D26</f>
        <v>163</v>
      </c>
    </row>
    <row r="21" spans="1:14">
      <c r="A21" s="6" t="s">
        <v>14</v>
      </c>
      <c r="B21" s="7">
        <f t="shared" si="0"/>
        <v>20</v>
      </c>
      <c r="C21" s="8">
        <v>10</v>
      </c>
      <c r="D21" s="7">
        <v>2022</v>
      </c>
      <c r="E21" s="9">
        <f>Electricity!F27+Electricity!I27</f>
        <v>10259.999999999536</v>
      </c>
      <c r="F21" s="10">
        <f>Electricity!L27/TOTAL!E21</f>
        <v>1237.8564814814845</v>
      </c>
      <c r="G21" s="9">
        <f>Gas!F28+Gas!I28+Gas!L28+Gas!O28</f>
        <v>22.5</v>
      </c>
      <c r="H21" s="10">
        <f>Gas!Q28/TOTAL!G21</f>
        <v>15840</v>
      </c>
      <c r="I21" s="9">
        <f>'Fuel Diesel'!F28</f>
        <v>0</v>
      </c>
      <c r="J21" s="11">
        <v>24300</v>
      </c>
      <c r="K21" s="9">
        <f>Water!E28+Water!G28+Water!I28</f>
        <v>201</v>
      </c>
      <c r="L21" s="10">
        <f>Water!K28/TOTAL!K21</f>
        <v>4000</v>
      </c>
      <c r="M21" s="9">
        <f>Electricity!C27</f>
        <v>26</v>
      </c>
      <c r="N21" s="9">
        <f>Electricity!D27</f>
        <v>125</v>
      </c>
    </row>
    <row r="22" spans="1:14">
      <c r="A22" s="6" t="s">
        <v>14</v>
      </c>
      <c r="B22" s="7">
        <f t="shared" si="0"/>
        <v>21</v>
      </c>
      <c r="C22" s="8">
        <v>10</v>
      </c>
      <c r="D22" s="7">
        <v>2022</v>
      </c>
      <c r="E22" s="9">
        <f>Electricity!F28+Electricity!I28</f>
        <v>10260.000000000446</v>
      </c>
      <c r="F22" s="10">
        <f>Electricity!L28/TOTAL!E22</f>
        <v>1233.4157407407392</v>
      </c>
      <c r="G22" s="9">
        <f>Gas!F29+Gas!I29+Gas!L29+Gas!O29</f>
        <v>27.390000000000555</v>
      </c>
      <c r="H22" s="10">
        <f>Gas!Q29/TOTAL!G22</f>
        <v>15840.000000000002</v>
      </c>
      <c r="I22" s="9">
        <f>'Fuel Diesel'!F29</f>
        <v>0</v>
      </c>
      <c r="J22" s="11">
        <v>24300</v>
      </c>
      <c r="K22" s="9">
        <f>Water!E29+Water!G29+Water!I29</f>
        <v>190</v>
      </c>
      <c r="L22" s="10">
        <f>Water!K29/TOTAL!K22</f>
        <v>4000</v>
      </c>
      <c r="M22" s="9">
        <f>Electricity!C28</f>
        <v>31</v>
      </c>
      <c r="N22" s="9">
        <f>Electricity!D28</f>
        <v>167</v>
      </c>
    </row>
    <row r="23" spans="1:14">
      <c r="A23" s="6" t="s">
        <v>14</v>
      </c>
      <c r="B23" s="7">
        <f t="shared" si="0"/>
        <v>22</v>
      </c>
      <c r="C23" s="8">
        <v>10</v>
      </c>
      <c r="D23" s="7">
        <v>2022</v>
      </c>
      <c r="E23" s="9">
        <f>Electricity!F29+Electricity!I29</f>
        <v>10059.999999999603</v>
      </c>
      <c r="F23" s="10">
        <f>Electricity!L29/TOTAL!E23</f>
        <v>1235.2917992047715</v>
      </c>
      <c r="G23" s="9">
        <f>Gas!F30+Gas!I30+Gas!L30+Gas!O30</f>
        <v>73.8700000000008</v>
      </c>
      <c r="H23" s="10">
        <f>Gas!Q30/TOTAL!G23</f>
        <v>15840</v>
      </c>
      <c r="I23" s="9">
        <f>'Fuel Diesel'!F30</f>
        <v>0</v>
      </c>
      <c r="J23" s="11">
        <v>24300</v>
      </c>
      <c r="K23" s="9">
        <f>Water!E30+Water!G30+Water!I30</f>
        <v>178</v>
      </c>
      <c r="L23" s="10">
        <f>Water!K30/TOTAL!K23</f>
        <v>4592.1460674157306</v>
      </c>
      <c r="M23" s="9">
        <f>Electricity!C29</f>
        <v>37</v>
      </c>
      <c r="N23" s="9">
        <f>Electricity!D29</f>
        <v>142</v>
      </c>
    </row>
    <row r="24" spans="1:14">
      <c r="A24" s="6" t="s">
        <v>14</v>
      </c>
      <c r="B24" s="7">
        <f t="shared" si="0"/>
        <v>23</v>
      </c>
      <c r="C24" s="8">
        <v>10</v>
      </c>
      <c r="D24" s="7">
        <v>2022</v>
      </c>
      <c r="E24" s="9">
        <f>Electricity!F30+Electricity!I30</f>
        <v>10620.000000000233</v>
      </c>
      <c r="F24" s="10">
        <f>Electricity!L30/TOTAL!E24</f>
        <v>1234.5071092278745</v>
      </c>
      <c r="G24" s="9">
        <f>Gas!F31+Gas!I31+Gas!L31+Gas!O31</f>
        <v>24.049999999999955</v>
      </c>
      <c r="H24" s="10">
        <f>Gas!Q31/TOTAL!G24</f>
        <v>15840</v>
      </c>
      <c r="I24" s="9">
        <f>'Fuel Diesel'!F31</f>
        <v>0</v>
      </c>
      <c r="J24" s="11">
        <v>24300</v>
      </c>
      <c r="K24" s="9">
        <f>Water!E31+Water!G31+Water!I31</f>
        <v>190</v>
      </c>
      <c r="L24" s="10">
        <f>Water!K31/TOTAL!K24</f>
        <v>4000</v>
      </c>
      <c r="M24" s="9">
        <f>Electricity!C30</f>
        <v>37</v>
      </c>
      <c r="N24" s="9">
        <f>Electricity!D30</f>
        <v>176</v>
      </c>
    </row>
    <row r="25" spans="1:14">
      <c r="A25" s="6" t="s">
        <v>14</v>
      </c>
      <c r="B25" s="7">
        <f t="shared" si="0"/>
        <v>24</v>
      </c>
      <c r="C25" s="8">
        <v>10</v>
      </c>
      <c r="D25" s="7">
        <v>2022</v>
      </c>
      <c r="E25" s="9">
        <f>Electricity!F31+Electricity!I31</f>
        <v>9759.9999999998763</v>
      </c>
      <c r="F25" s="10">
        <f>Electricity!L31/TOTAL!E25</f>
        <v>1234.7488729508202</v>
      </c>
      <c r="G25" s="9">
        <f>Gas!F32+Gas!I32+Gas!L32+Gas!O32</f>
        <v>75.3299999999997</v>
      </c>
      <c r="H25" s="10">
        <f>Gas!Q32/TOTAL!G25</f>
        <v>15839.999999999998</v>
      </c>
      <c r="I25" s="9">
        <f>'Fuel Diesel'!F32</f>
        <v>9</v>
      </c>
      <c r="J25" s="11">
        <v>24300</v>
      </c>
      <c r="K25" s="9">
        <f>Water!E32+Water!G32+Water!I32</f>
        <v>184</v>
      </c>
      <c r="L25" s="10">
        <f>Water!K32/TOTAL!K25</f>
        <v>4000</v>
      </c>
      <c r="M25" s="9">
        <f>Electricity!C31</f>
        <v>32</v>
      </c>
      <c r="N25" s="9">
        <f>Electricity!D31</f>
        <v>179</v>
      </c>
    </row>
    <row r="26" spans="1:14">
      <c r="A26" s="6" t="s">
        <v>14</v>
      </c>
      <c r="B26" s="7">
        <f>B25+1</f>
        <v>25</v>
      </c>
      <c r="C26" s="8">
        <v>10</v>
      </c>
      <c r="D26" s="7">
        <v>2022</v>
      </c>
      <c r="E26" s="9">
        <f>Electricity!F32+Electricity!I32</f>
        <v>9880.0000000002219</v>
      </c>
      <c r="F26" s="10">
        <f>Electricity!L32/TOTAL!E26</f>
        <v>1234.7394230769194</v>
      </c>
      <c r="G26" s="9">
        <f>Gas!F33+Gas!I33+Gas!L33+Gas!O33</f>
        <v>24.539999999998827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Water!E33+Water!G33+Water!I33</f>
        <v>193</v>
      </c>
      <c r="L26" s="10">
        <f>Water!K33/TOTAL!K26</f>
        <v>4000</v>
      </c>
      <c r="M26" s="9">
        <f>Electricity!C32</f>
        <v>40</v>
      </c>
      <c r="N26" s="9">
        <f>Electricity!D32</f>
        <v>162</v>
      </c>
    </row>
    <row r="27" spans="1:14">
      <c r="A27" s="6" t="s">
        <v>14</v>
      </c>
      <c r="B27" s="7">
        <f t="shared" si="0"/>
        <v>26</v>
      </c>
      <c r="C27" s="8">
        <v>10</v>
      </c>
      <c r="D27" s="7">
        <v>2022</v>
      </c>
      <c r="E27" s="9">
        <f>Electricity!F33+Electricity!I33</f>
        <v>9840.0000000003729</v>
      </c>
      <c r="F27" s="10">
        <f>Electricity!L33/TOTAL!E27</f>
        <v>1237.4435467479666</v>
      </c>
      <c r="G27" s="9">
        <f>Gas!F34+Gas!I34+Gas!L34+Gas!O34</f>
        <v>26.2900000000011</v>
      </c>
      <c r="H27" s="10">
        <f>Gas!Q34/TOTAL!G27</f>
        <v>15840</v>
      </c>
      <c r="I27" s="9">
        <f>'Fuel Diesel'!F34</f>
        <v>0</v>
      </c>
      <c r="J27" s="11">
        <v>24300</v>
      </c>
      <c r="K27" s="9">
        <f>Water!E34+Water!G34+Water!I34</f>
        <v>214</v>
      </c>
      <c r="L27" s="10">
        <f>Water!K34/TOTAL!K27</f>
        <v>4000</v>
      </c>
      <c r="M27" s="9">
        <f>Electricity!C33</f>
        <v>34</v>
      </c>
      <c r="N27" s="9">
        <f>Electricity!D33</f>
        <v>179</v>
      </c>
    </row>
    <row r="28" spans="1:14">
      <c r="A28" s="6" t="s">
        <v>14</v>
      </c>
      <c r="B28" s="7">
        <f t="shared" si="0"/>
        <v>27</v>
      </c>
      <c r="C28" s="8">
        <v>10</v>
      </c>
      <c r="D28" s="7">
        <v>2022</v>
      </c>
      <c r="E28" s="9">
        <f>Electricity!F34+Electricity!I34</f>
        <v>9819.9999999998217</v>
      </c>
      <c r="F28" s="10">
        <f>Electricity!L34/TOTAL!E28</f>
        <v>1237.6439409368616</v>
      </c>
      <c r="G28" s="9">
        <f>Gas!F35+Gas!I35+Gas!L35+Gas!O35</f>
        <v>26.5600000000004</v>
      </c>
      <c r="H28" s="10">
        <f>Gas!Q35/TOTAL!G28</f>
        <v>15839.999999999998</v>
      </c>
      <c r="I28" s="9">
        <f>'Fuel Diesel'!F35</f>
        <v>0</v>
      </c>
      <c r="J28" s="11">
        <v>24300</v>
      </c>
      <c r="K28" s="9">
        <f>Water!E35+Water!G35+Water!I35</f>
        <v>210</v>
      </c>
      <c r="L28" s="10">
        <f>Water!K35/TOTAL!K28</f>
        <v>4000</v>
      </c>
      <c r="M28" s="9">
        <f>Electricity!C34</f>
        <v>34</v>
      </c>
      <c r="N28" s="9">
        <f>Electricity!D34</f>
        <v>117</v>
      </c>
    </row>
    <row r="29" spans="1:14">
      <c r="A29" s="6" t="s">
        <v>14</v>
      </c>
      <c r="B29" s="7">
        <f t="shared" si="0"/>
        <v>28</v>
      </c>
      <c r="C29" s="8">
        <v>10</v>
      </c>
      <c r="D29" s="7">
        <v>2022</v>
      </c>
      <c r="E29" s="9">
        <f>Electricity!F35+Electricity!I35</f>
        <v>9639.9999999995307</v>
      </c>
      <c r="F29" s="10">
        <f>Electricity!L35/TOTAL!E29</f>
        <v>1232.3953838174345</v>
      </c>
      <c r="G29" s="9">
        <f>Gas!F36+Gas!I36+Gas!L36+Gas!O36</f>
        <v>76.629999999998745</v>
      </c>
      <c r="H29" s="10">
        <f>Gas!Q36/TOTAL!G29</f>
        <v>15840</v>
      </c>
      <c r="I29" s="9">
        <f>'Fuel Diesel'!F36</f>
        <v>0</v>
      </c>
      <c r="J29" s="11">
        <v>24300</v>
      </c>
      <c r="K29" s="9">
        <f>Water!E36+Water!G36+Water!I36</f>
        <v>199</v>
      </c>
      <c r="L29" s="10">
        <f>Water!K36/TOTAL!K29</f>
        <v>4096.3015075376888</v>
      </c>
      <c r="M29" s="9">
        <f>Electricity!C35</f>
        <v>34</v>
      </c>
      <c r="N29" s="9">
        <f>Electricity!D35</f>
        <v>185</v>
      </c>
    </row>
    <row r="30" spans="1:14">
      <c r="A30" s="116" t="s">
        <v>14</v>
      </c>
      <c r="B30" s="117">
        <f t="shared" si="0"/>
        <v>29</v>
      </c>
      <c r="C30" s="118">
        <v>10</v>
      </c>
      <c r="D30" s="117">
        <v>2022</v>
      </c>
      <c r="E30" s="119">
        <f>Electricity!F36+Electricity!I36</f>
        <v>9800.0000000001819</v>
      </c>
      <c r="F30" s="120">
        <f>Electricity!L36/TOTAL!E30</f>
        <v>1230.8713775510146</v>
      </c>
      <c r="G30" s="119">
        <f>Gas!F37+Gas!I37+Gas!L37+Gas!O37</f>
        <v>77.06000000000131</v>
      </c>
      <c r="H30" s="120">
        <f>Gas!Q37/TOTAL!G30</f>
        <v>15839.999999999998</v>
      </c>
      <c r="I30" s="119">
        <f>'Fuel Diesel'!F37</f>
        <v>0</v>
      </c>
      <c r="J30" s="121">
        <v>24300</v>
      </c>
      <c r="K30" s="119">
        <f>Water!E37+Water!G37+Water!I37</f>
        <v>203</v>
      </c>
      <c r="L30" s="120">
        <f>Water!K37/TOTAL!K30</f>
        <v>4755.231527093596</v>
      </c>
      <c r="M30" s="119">
        <f>Electricity!C36</f>
        <v>29</v>
      </c>
      <c r="N30" s="119">
        <f>Electricity!D36</f>
        <v>202</v>
      </c>
    </row>
    <row r="31" spans="1:14">
      <c r="A31" s="122" t="s">
        <v>14</v>
      </c>
      <c r="B31" s="123">
        <v>30</v>
      </c>
      <c r="C31" s="124">
        <v>10</v>
      </c>
      <c r="D31" s="123">
        <v>2022</v>
      </c>
      <c r="E31" s="125">
        <f>Electricity!F37+Electricity!I37</f>
        <v>9179.9999999999491</v>
      </c>
      <c r="F31" s="126">
        <f>Electricity!L37/TOTAL!E31</f>
        <v>1235.8320261437952</v>
      </c>
      <c r="G31" s="125">
        <f>Gas!F38+Gas!I38+Gas!L38+Gas!O38</f>
        <v>27.189999999999827</v>
      </c>
      <c r="H31" s="126">
        <f>Gas!Q38/TOTAL!G31</f>
        <v>15840.000000000002</v>
      </c>
      <c r="I31" s="125">
        <f>'Fuel Diesel'!F38</f>
        <v>0</v>
      </c>
      <c r="J31" s="127">
        <v>24300</v>
      </c>
      <c r="K31" s="125">
        <f>Water!E38+Water!G38+Water!I38</f>
        <v>192</v>
      </c>
      <c r="L31" s="126">
        <f>Water!K38/TOTAL!K31</f>
        <v>4000</v>
      </c>
      <c r="M31" s="125">
        <f>Electricity!C37</f>
        <v>29</v>
      </c>
      <c r="N31" s="125">
        <f>Electricity!D37</f>
        <v>163</v>
      </c>
    </row>
    <row r="32" spans="1:14">
      <c r="A32" s="122" t="s">
        <v>14</v>
      </c>
      <c r="B32" s="123">
        <v>31</v>
      </c>
      <c r="C32" s="124">
        <v>10</v>
      </c>
      <c r="D32" s="123">
        <v>2022</v>
      </c>
      <c r="E32" s="125">
        <f>Electricity!F38+Electricity!I38</f>
        <v>9580.0000000004948</v>
      </c>
      <c r="F32" s="126">
        <f>Electricity!L38/TOTAL!E32</f>
        <v>1234.1689979123141</v>
      </c>
      <c r="G32" s="125">
        <f>Gas!F39+Gas!I39+Gas!L39+Gas!O39</f>
        <v>25.5</v>
      </c>
      <c r="H32" s="126">
        <f>Gas!Q39/TOTAL!G32</f>
        <v>15840</v>
      </c>
      <c r="I32" s="125">
        <f>'Fuel Diesel'!F39</f>
        <v>16</v>
      </c>
      <c r="J32" s="127">
        <v>24300</v>
      </c>
      <c r="K32" s="125">
        <f>Water!E39+Water!G39+Water!I39</f>
        <v>189</v>
      </c>
      <c r="L32" s="126">
        <f>Water!K39/TOTAL!K32</f>
        <v>4050.6984126984125</v>
      </c>
      <c r="M32" s="125">
        <f>Electricity!C38</f>
        <v>28</v>
      </c>
      <c r="N32" s="125">
        <f>Electricity!D38</f>
        <v>71</v>
      </c>
    </row>
    <row r="33" spans="2:14" s="115" customFormat="1">
      <c r="B33" s="128"/>
      <c r="C33" s="128"/>
      <c r="D33" s="128"/>
      <c r="E33" s="129">
        <f>SUM(E2:E32)</f>
        <v>306780</v>
      </c>
      <c r="F33" s="129">
        <f>SUM(F2:F32)/31</f>
        <v>1235.10494591819</v>
      </c>
      <c r="G33" s="129">
        <f>SUM(G2:G32)</f>
        <v>1200.2300000000012</v>
      </c>
      <c r="H33" s="130">
        <f>SUM(H2:H32)/31</f>
        <v>15840</v>
      </c>
      <c r="I33" s="129">
        <f>SUM(I2:I32)</f>
        <v>33</v>
      </c>
      <c r="J33" s="131">
        <v>24300</v>
      </c>
      <c r="K33" s="129">
        <f>SUM(K2:K32)</f>
        <v>5963</v>
      </c>
      <c r="L33" s="132">
        <f>SUM(L2:L32)/31</f>
        <v>4182.6747937833925</v>
      </c>
      <c r="M33" s="129">
        <f>SUM(M2:M32)</f>
        <v>1042</v>
      </c>
      <c r="N33" s="129">
        <f>SUM(N2:N32)</f>
        <v>4764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D7" workbookViewId="0">
      <selection activeCell="D8" sqref="D8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02" t="s">
        <v>15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2"/>
      <c r="N1" s="12"/>
    </row>
    <row r="2" spans="1:14" ht="15.9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3">
        <v>44835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6"/>
    </row>
    <row r="5" spans="1:14">
      <c r="A5" s="17"/>
      <c r="B5" s="104" t="s">
        <v>17</v>
      </c>
      <c r="C5" s="104" t="s">
        <v>18</v>
      </c>
      <c r="D5" s="104" t="s">
        <v>13</v>
      </c>
      <c r="E5" s="105" t="s">
        <v>19</v>
      </c>
      <c r="F5" s="105"/>
      <c r="G5" s="105"/>
      <c r="H5" s="106" t="s">
        <v>20</v>
      </c>
      <c r="I5" s="106"/>
      <c r="J5" s="106"/>
      <c r="K5" s="104" t="s">
        <v>21</v>
      </c>
      <c r="L5" s="104" t="s">
        <v>22</v>
      </c>
      <c r="M5" s="104" t="s">
        <v>23</v>
      </c>
      <c r="N5" s="18"/>
    </row>
    <row r="6" spans="1:14" s="19" customFormat="1">
      <c r="A6" s="17"/>
      <c r="B6" s="104"/>
      <c r="C6" s="104"/>
      <c r="D6" s="104"/>
      <c r="E6" s="104" t="s">
        <v>24</v>
      </c>
      <c r="F6" s="104" t="s">
        <v>25</v>
      </c>
      <c r="G6" s="104" t="s">
        <v>26</v>
      </c>
      <c r="H6" s="104" t="s">
        <v>24</v>
      </c>
      <c r="I6" s="104" t="s">
        <v>25</v>
      </c>
      <c r="J6" s="104" t="s">
        <v>27</v>
      </c>
      <c r="K6" s="104"/>
      <c r="L6" s="104"/>
      <c r="M6" s="104"/>
      <c r="N6" s="18"/>
    </row>
    <row r="7" spans="1:14">
      <c r="A7" s="20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21"/>
    </row>
    <row r="8" spans="1:14">
      <c r="A8" s="20"/>
      <c r="B8" s="22">
        <v>1</v>
      </c>
      <c r="C8" s="91">
        <v>26</v>
      </c>
      <c r="D8" s="99">
        <v>120</v>
      </c>
      <c r="E8" s="24">
        <v>4.1099999999996726</v>
      </c>
      <c r="F8" s="25">
        <f t="shared" ref="F8:F38" si="0">E8*2000</f>
        <v>8219.9999999993452</v>
      </c>
      <c r="G8" s="26">
        <f t="shared" ref="G8:G38" si="1">F8*1035.5</f>
        <v>8511809.999999322</v>
      </c>
      <c r="H8" s="24">
        <v>0.77999999999997272</v>
      </c>
      <c r="I8" s="25">
        <f t="shared" ref="I8:I38" si="2">H8*2000</f>
        <v>1559.9999999999454</v>
      </c>
      <c r="J8" s="26">
        <f t="shared" ref="J8:J38" si="3">I8*1553.25</f>
        <v>2423069.9999999152</v>
      </c>
      <c r="K8" s="24">
        <f t="shared" ref="K8:K38" si="4">G8+J8</f>
        <v>10934879.999999236</v>
      </c>
      <c r="L8" s="27">
        <f t="shared" ref="L8:L38" si="5">K8*1.1</f>
        <v>12028367.999999162</v>
      </c>
      <c r="M8" s="28">
        <f>L8/14381</f>
        <v>836.40692580482312</v>
      </c>
      <c r="N8" s="29"/>
    </row>
    <row r="9" spans="1:14">
      <c r="A9" s="20"/>
      <c r="B9" s="22">
        <v>2</v>
      </c>
      <c r="C9" s="92">
        <v>29</v>
      </c>
      <c r="D9" s="99">
        <v>148</v>
      </c>
      <c r="E9" s="24">
        <v>3.9000000000000909</v>
      </c>
      <c r="F9" s="25">
        <f t="shared" si="0"/>
        <v>7800.0000000001819</v>
      </c>
      <c r="G9" s="26">
        <f t="shared" si="1"/>
        <v>8076900.0000001881</v>
      </c>
      <c r="H9" s="24">
        <v>0.77000000000003865</v>
      </c>
      <c r="I9" s="25">
        <f t="shared" si="2"/>
        <v>1540.0000000000773</v>
      </c>
      <c r="J9" s="26">
        <f t="shared" si="3"/>
        <v>2392005.0000001201</v>
      </c>
      <c r="K9" s="24">
        <f t="shared" si="4"/>
        <v>10468905.000000309</v>
      </c>
      <c r="L9" s="27">
        <f t="shared" si="5"/>
        <v>11515795.500000341</v>
      </c>
      <c r="M9" s="28">
        <f t="shared" ref="M9:M38" si="6">L9/14381</f>
        <v>800.76458521662892</v>
      </c>
      <c r="N9" s="29"/>
    </row>
    <row r="10" spans="1:14">
      <c r="A10" s="20"/>
      <c r="B10" s="22">
        <v>3</v>
      </c>
      <c r="C10" s="91">
        <v>36</v>
      </c>
      <c r="D10" s="99">
        <v>139</v>
      </c>
      <c r="E10" s="24">
        <v>4</v>
      </c>
      <c r="F10" s="25">
        <f t="shared" si="0"/>
        <v>8000</v>
      </c>
      <c r="G10" s="26">
        <f t="shared" si="1"/>
        <v>8284000</v>
      </c>
      <c r="H10" s="24">
        <v>0.77999999999997272</v>
      </c>
      <c r="I10" s="25">
        <f t="shared" si="2"/>
        <v>1559.9999999999454</v>
      </c>
      <c r="J10" s="26">
        <f t="shared" si="3"/>
        <v>2423069.9999999152</v>
      </c>
      <c r="K10" s="24">
        <f t="shared" si="4"/>
        <v>10707069.999999914</v>
      </c>
      <c r="L10" s="27">
        <f t="shared" si="5"/>
        <v>11777776.999999907</v>
      </c>
      <c r="M10" s="28">
        <f t="shared" si="6"/>
        <v>818.98178151727325</v>
      </c>
      <c r="N10" s="29"/>
    </row>
    <row r="11" spans="1:14">
      <c r="A11" s="20"/>
      <c r="B11" s="22">
        <v>4</v>
      </c>
      <c r="C11" s="91">
        <v>33</v>
      </c>
      <c r="D11" s="99">
        <v>127</v>
      </c>
      <c r="E11" s="24">
        <v>3.9699999999997999</v>
      </c>
      <c r="F11" s="25">
        <f t="shared" si="0"/>
        <v>7939.9999999995998</v>
      </c>
      <c r="G11" s="26">
        <f t="shared" si="1"/>
        <v>8221869.9999995856</v>
      </c>
      <c r="H11" s="24">
        <v>0.78000000000002956</v>
      </c>
      <c r="I11" s="25">
        <f t="shared" si="2"/>
        <v>1560.0000000000591</v>
      </c>
      <c r="J11" s="26">
        <f t="shared" si="3"/>
        <v>2423070.0000000917</v>
      </c>
      <c r="K11" s="24">
        <f t="shared" si="4"/>
        <v>10644939.999999678</v>
      </c>
      <c r="L11" s="27">
        <f t="shared" si="5"/>
        <v>11709433.999999646</v>
      </c>
      <c r="M11" s="28">
        <f t="shared" si="6"/>
        <v>814.22946943881834</v>
      </c>
      <c r="N11" s="29"/>
    </row>
    <row r="12" spans="1:14">
      <c r="A12" s="20"/>
      <c r="B12" s="22">
        <v>5</v>
      </c>
      <c r="C12" s="92">
        <v>31</v>
      </c>
      <c r="D12" s="99">
        <v>149</v>
      </c>
      <c r="E12" s="24">
        <v>3.9000000000000909</v>
      </c>
      <c r="F12" s="25">
        <f t="shared" si="0"/>
        <v>7800.0000000001819</v>
      </c>
      <c r="G12" s="26">
        <f t="shared" si="1"/>
        <v>8076900.0000001881</v>
      </c>
      <c r="H12" s="24">
        <v>0.79999999999995453</v>
      </c>
      <c r="I12" s="25">
        <f t="shared" si="2"/>
        <v>1599.9999999999091</v>
      </c>
      <c r="J12" s="26">
        <f t="shared" si="3"/>
        <v>2485199.9999998589</v>
      </c>
      <c r="K12" s="24">
        <f t="shared" si="4"/>
        <v>10562100.000000047</v>
      </c>
      <c r="L12" s="27">
        <f t="shared" si="5"/>
        <v>11618310.000000052</v>
      </c>
      <c r="M12" s="28">
        <f t="shared" si="6"/>
        <v>807.8930533342641</v>
      </c>
      <c r="N12" s="29"/>
    </row>
    <row r="13" spans="1:14">
      <c r="A13" s="20"/>
      <c r="B13" s="22">
        <v>6</v>
      </c>
      <c r="C13" s="91">
        <v>29</v>
      </c>
      <c r="D13" s="99">
        <v>113</v>
      </c>
      <c r="E13" s="24">
        <v>3.8200000000001637</v>
      </c>
      <c r="F13" s="25">
        <f t="shared" si="0"/>
        <v>7640.0000000003274</v>
      </c>
      <c r="G13" s="26">
        <f t="shared" si="1"/>
        <v>7911220.000000339</v>
      </c>
      <c r="H13" s="24">
        <v>0.83000000000004093</v>
      </c>
      <c r="I13" s="25">
        <f t="shared" si="2"/>
        <v>1660.0000000000819</v>
      </c>
      <c r="J13" s="26">
        <f t="shared" si="3"/>
        <v>2578395.0000001271</v>
      </c>
      <c r="K13" s="24">
        <f t="shared" si="4"/>
        <v>10489615.000000466</v>
      </c>
      <c r="L13" s="27">
        <f t="shared" si="5"/>
        <v>11538576.500000514</v>
      </c>
      <c r="M13" s="28">
        <f t="shared" si="6"/>
        <v>802.34868924278658</v>
      </c>
      <c r="N13" s="29"/>
    </row>
    <row r="14" spans="1:14">
      <c r="A14" s="20"/>
      <c r="B14" s="22">
        <v>7</v>
      </c>
      <c r="C14" s="92">
        <v>29</v>
      </c>
      <c r="D14" s="99">
        <v>112</v>
      </c>
      <c r="E14" s="24">
        <v>4.0799999999999272</v>
      </c>
      <c r="F14" s="25">
        <f t="shared" si="0"/>
        <v>8159.9999999998545</v>
      </c>
      <c r="G14" s="26">
        <f t="shared" si="1"/>
        <v>8449679.9999998491</v>
      </c>
      <c r="H14" s="24">
        <v>0.81000000000000227</v>
      </c>
      <c r="I14" s="25">
        <f t="shared" si="2"/>
        <v>1620.0000000000045</v>
      </c>
      <c r="J14" s="26">
        <f t="shared" si="3"/>
        <v>2516265.000000007</v>
      </c>
      <c r="K14" s="24">
        <f t="shared" si="4"/>
        <v>10965944.999999857</v>
      </c>
      <c r="L14" s="27">
        <f t="shared" si="5"/>
        <v>12062539.499999844</v>
      </c>
      <c r="M14" s="28">
        <f t="shared" si="6"/>
        <v>838.783081844089</v>
      </c>
      <c r="N14" s="29"/>
    </row>
    <row r="15" spans="1:14">
      <c r="A15" s="20"/>
      <c r="B15" s="22">
        <v>8</v>
      </c>
      <c r="C15" s="91">
        <v>24</v>
      </c>
      <c r="D15" s="99">
        <v>178</v>
      </c>
      <c r="E15" s="24">
        <v>3.9400000000000546</v>
      </c>
      <c r="F15" s="25">
        <f t="shared" si="0"/>
        <v>7880.0000000001091</v>
      </c>
      <c r="G15" s="26">
        <f t="shared" si="1"/>
        <v>8159740.0000001127</v>
      </c>
      <c r="H15" s="24">
        <v>0.84999999999996589</v>
      </c>
      <c r="I15" s="25">
        <f t="shared" si="2"/>
        <v>1699.9999999999318</v>
      </c>
      <c r="J15" s="26">
        <f t="shared" si="3"/>
        <v>2640524.9999998938</v>
      </c>
      <c r="K15" s="24">
        <f t="shared" si="4"/>
        <v>10800265.000000007</v>
      </c>
      <c r="L15" s="27">
        <f t="shared" si="5"/>
        <v>11880291.500000009</v>
      </c>
      <c r="M15" s="28">
        <f t="shared" si="6"/>
        <v>826.1102496349356</v>
      </c>
      <c r="N15" s="29"/>
    </row>
    <row r="16" spans="1:14">
      <c r="A16" s="20"/>
      <c r="B16" s="22">
        <v>9</v>
      </c>
      <c r="C16" s="92">
        <v>39</v>
      </c>
      <c r="D16" s="99">
        <v>145</v>
      </c>
      <c r="E16" s="24">
        <v>4.3200000000001637</v>
      </c>
      <c r="F16" s="25">
        <f t="shared" si="0"/>
        <v>8640.0000000003274</v>
      </c>
      <c r="G16" s="26">
        <f t="shared" si="1"/>
        <v>8946720.000000339</v>
      </c>
      <c r="H16" s="24">
        <v>0.91000000000002501</v>
      </c>
      <c r="I16" s="25">
        <f t="shared" si="2"/>
        <v>1820.00000000005</v>
      </c>
      <c r="J16" s="26">
        <f t="shared" si="3"/>
        <v>2826915.0000000778</v>
      </c>
      <c r="K16" s="24">
        <f t="shared" si="4"/>
        <v>11773635.000000417</v>
      </c>
      <c r="L16" s="27">
        <f t="shared" si="5"/>
        <v>12950998.50000046</v>
      </c>
      <c r="M16" s="28">
        <f t="shared" si="6"/>
        <v>900.56313886381054</v>
      </c>
      <c r="N16" s="29"/>
    </row>
    <row r="17" spans="1:14">
      <c r="A17" s="20"/>
      <c r="B17" s="22">
        <v>10</v>
      </c>
      <c r="C17" s="91">
        <v>39</v>
      </c>
      <c r="D17" s="99">
        <v>156</v>
      </c>
      <c r="E17" s="24">
        <v>4.1399999999998727</v>
      </c>
      <c r="F17" s="25">
        <f t="shared" si="0"/>
        <v>8279.9999999997453</v>
      </c>
      <c r="G17" s="26">
        <f t="shared" si="1"/>
        <v>8573939.9999997355</v>
      </c>
      <c r="H17" s="24">
        <v>0.82999999999998408</v>
      </c>
      <c r="I17" s="25">
        <f t="shared" si="2"/>
        <v>1659.9999999999682</v>
      </c>
      <c r="J17" s="26">
        <f t="shared" si="3"/>
        <v>2578394.9999999506</v>
      </c>
      <c r="K17" s="24">
        <f t="shared" si="4"/>
        <v>11152334.999999687</v>
      </c>
      <c r="L17" s="27">
        <f t="shared" si="5"/>
        <v>12267568.499999657</v>
      </c>
      <c r="M17" s="28">
        <f t="shared" si="6"/>
        <v>853.04001807938653</v>
      </c>
      <c r="N17" s="29"/>
    </row>
    <row r="18" spans="1:14">
      <c r="A18" s="20"/>
      <c r="B18" s="22">
        <v>11</v>
      </c>
      <c r="C18" s="92">
        <v>41</v>
      </c>
      <c r="D18" s="99">
        <v>213</v>
      </c>
      <c r="E18" s="24">
        <v>3.9099999999998545</v>
      </c>
      <c r="F18" s="25">
        <f t="shared" si="0"/>
        <v>7819.999999999709</v>
      </c>
      <c r="G18" s="26">
        <f t="shared" si="1"/>
        <v>8097609.9999996983</v>
      </c>
      <c r="H18" s="24">
        <v>0.81000000000000227</v>
      </c>
      <c r="I18" s="25">
        <f t="shared" si="2"/>
        <v>1620.0000000000045</v>
      </c>
      <c r="J18" s="26">
        <f t="shared" si="3"/>
        <v>2516265.000000007</v>
      </c>
      <c r="K18" s="24">
        <f t="shared" si="4"/>
        <v>10613874.999999706</v>
      </c>
      <c r="L18" s="27">
        <f t="shared" si="5"/>
        <v>11675262.499999678</v>
      </c>
      <c r="M18" s="28">
        <f t="shared" si="6"/>
        <v>811.85331339960214</v>
      </c>
      <c r="N18" s="29"/>
    </row>
    <row r="19" spans="1:14">
      <c r="A19" s="20"/>
      <c r="B19" s="22">
        <v>12</v>
      </c>
      <c r="C19" s="93">
        <v>29</v>
      </c>
      <c r="D19" s="99">
        <v>136</v>
      </c>
      <c r="E19" s="24">
        <v>3.9100000000003092</v>
      </c>
      <c r="F19" s="25">
        <f t="shared" si="0"/>
        <v>7820.0000000006185</v>
      </c>
      <c r="G19" s="26">
        <f t="shared" si="1"/>
        <v>8097610.0000006407</v>
      </c>
      <c r="H19" s="24">
        <v>0.79000000000002046</v>
      </c>
      <c r="I19" s="25">
        <f t="shared" si="2"/>
        <v>1580.0000000000409</v>
      </c>
      <c r="J19" s="26">
        <f t="shared" si="3"/>
        <v>2454135.0000000638</v>
      </c>
      <c r="K19" s="24">
        <f t="shared" si="4"/>
        <v>10551745.000000704</v>
      </c>
      <c r="L19" s="27">
        <f t="shared" si="5"/>
        <v>11606919.500000775</v>
      </c>
      <c r="M19" s="28">
        <f t="shared" si="6"/>
        <v>807.1010013212416</v>
      </c>
      <c r="N19" s="29"/>
    </row>
    <row r="20" spans="1:14">
      <c r="A20" s="20"/>
      <c r="B20" s="22">
        <v>13</v>
      </c>
      <c r="C20" s="94">
        <v>31</v>
      </c>
      <c r="D20" s="99">
        <v>133</v>
      </c>
      <c r="E20" s="24">
        <v>4.1099999999996726</v>
      </c>
      <c r="F20" s="25">
        <f t="shared" si="0"/>
        <v>8219.9999999993452</v>
      </c>
      <c r="G20" s="26">
        <f t="shared" si="1"/>
        <v>8511809.999999322</v>
      </c>
      <c r="H20" s="24">
        <v>0.87000000000000455</v>
      </c>
      <c r="I20" s="25">
        <f t="shared" si="2"/>
        <v>1740.0000000000091</v>
      </c>
      <c r="J20" s="26">
        <f t="shared" si="3"/>
        <v>2702655.000000014</v>
      </c>
      <c r="K20" s="24">
        <f t="shared" si="4"/>
        <v>11214464.999999337</v>
      </c>
      <c r="L20" s="27">
        <f t="shared" si="5"/>
        <v>12335911.499999272</v>
      </c>
      <c r="M20" s="28">
        <f t="shared" si="6"/>
        <v>857.79233015779653</v>
      </c>
      <c r="N20" s="29"/>
    </row>
    <row r="21" spans="1:14">
      <c r="A21" s="20"/>
      <c r="B21" s="22">
        <v>14</v>
      </c>
      <c r="C21" s="94">
        <v>42</v>
      </c>
      <c r="D21" s="99">
        <v>137</v>
      </c>
      <c r="E21" s="24">
        <v>4.3900000000003274</v>
      </c>
      <c r="F21" s="25">
        <f t="shared" si="0"/>
        <v>8780.0000000006548</v>
      </c>
      <c r="G21" s="26">
        <f t="shared" si="1"/>
        <v>9091690.000000678</v>
      </c>
      <c r="H21" s="24">
        <v>0.8599999999999568</v>
      </c>
      <c r="I21" s="25">
        <f t="shared" si="2"/>
        <v>1719.9999999999136</v>
      </c>
      <c r="J21" s="26">
        <f t="shared" si="3"/>
        <v>2671589.9999998659</v>
      </c>
      <c r="K21" s="24">
        <f t="shared" si="4"/>
        <v>11763280.000000544</v>
      </c>
      <c r="L21" s="27">
        <f t="shared" si="5"/>
        <v>12939608.0000006</v>
      </c>
      <c r="M21" s="28">
        <f t="shared" si="6"/>
        <v>899.77108685074745</v>
      </c>
      <c r="N21" s="29"/>
    </row>
    <row r="22" spans="1:14">
      <c r="A22" s="20"/>
      <c r="B22" s="22">
        <v>15</v>
      </c>
      <c r="C22" s="91">
        <v>41</v>
      </c>
      <c r="D22" s="99">
        <v>184</v>
      </c>
      <c r="E22" s="24">
        <v>4.2999999999997272</v>
      </c>
      <c r="F22" s="25">
        <f t="shared" si="0"/>
        <v>8599.9999999994543</v>
      </c>
      <c r="G22" s="26">
        <f t="shared" si="1"/>
        <v>8905299.9999994356</v>
      </c>
      <c r="H22" s="24">
        <v>0.87000000000000455</v>
      </c>
      <c r="I22" s="25">
        <f t="shared" si="2"/>
        <v>1740.0000000000091</v>
      </c>
      <c r="J22" s="26">
        <f t="shared" si="3"/>
        <v>2702655.000000014</v>
      </c>
      <c r="K22" s="24">
        <f t="shared" si="4"/>
        <v>11607954.999999449</v>
      </c>
      <c r="L22" s="27">
        <f t="shared" si="5"/>
        <v>12768750.499999395</v>
      </c>
      <c r="M22" s="28">
        <f t="shared" si="6"/>
        <v>887.89030665457165</v>
      </c>
      <c r="N22" s="29"/>
    </row>
    <row r="23" spans="1:14">
      <c r="A23" s="20"/>
      <c r="B23" s="22">
        <v>16</v>
      </c>
      <c r="C23" s="91">
        <v>45</v>
      </c>
      <c r="D23" s="99">
        <v>200</v>
      </c>
      <c r="E23" s="24">
        <v>4.25</v>
      </c>
      <c r="F23" s="25">
        <f t="shared" si="0"/>
        <v>8500</v>
      </c>
      <c r="G23" s="26">
        <f t="shared" si="1"/>
        <v>8801750</v>
      </c>
      <c r="H23" s="24">
        <v>0.87999999999999545</v>
      </c>
      <c r="I23" s="25">
        <f t="shared" si="2"/>
        <v>1759.9999999999909</v>
      </c>
      <c r="J23" s="26">
        <f t="shared" si="3"/>
        <v>2733719.999999986</v>
      </c>
      <c r="K23" s="24">
        <f t="shared" si="4"/>
        <v>11535469.999999985</v>
      </c>
      <c r="L23" s="27">
        <f t="shared" si="5"/>
        <v>12689016.999999985</v>
      </c>
      <c r="M23" s="28">
        <f t="shared" si="6"/>
        <v>882.34594256310311</v>
      </c>
      <c r="N23" s="29"/>
    </row>
    <row r="24" spans="1:14">
      <c r="A24" s="20"/>
      <c r="B24" s="22">
        <v>17</v>
      </c>
      <c r="C24" s="91">
        <v>36</v>
      </c>
      <c r="D24" s="99">
        <v>175</v>
      </c>
      <c r="E24" s="24">
        <v>4.3899999999998727</v>
      </c>
      <c r="F24" s="25">
        <f t="shared" si="0"/>
        <v>8779.9999999997453</v>
      </c>
      <c r="G24" s="26">
        <f t="shared" si="1"/>
        <v>9091689.9999997355</v>
      </c>
      <c r="H24" s="24">
        <v>0.8900000000000432</v>
      </c>
      <c r="I24" s="25">
        <f t="shared" si="2"/>
        <v>1780.0000000000864</v>
      </c>
      <c r="J24" s="26">
        <f t="shared" si="3"/>
        <v>2764785.0000001341</v>
      </c>
      <c r="K24" s="24">
        <f t="shared" si="4"/>
        <v>11856474.99999987</v>
      </c>
      <c r="L24" s="27">
        <f t="shared" si="5"/>
        <v>13042122.499999858</v>
      </c>
      <c r="M24" s="28">
        <f t="shared" si="6"/>
        <v>906.89955496835114</v>
      </c>
      <c r="N24" s="29"/>
    </row>
    <row r="25" spans="1:14">
      <c r="A25" s="20"/>
      <c r="B25" s="22">
        <v>18</v>
      </c>
      <c r="C25" s="92">
        <v>37</v>
      </c>
      <c r="D25" s="99">
        <v>168</v>
      </c>
      <c r="E25" s="24">
        <v>4.4200000000000728</v>
      </c>
      <c r="F25" s="25">
        <f t="shared" si="0"/>
        <v>8840.0000000001455</v>
      </c>
      <c r="G25" s="26">
        <f t="shared" si="1"/>
        <v>9153820.0000001509</v>
      </c>
      <c r="H25" s="24">
        <v>0.89999999999997726</v>
      </c>
      <c r="I25" s="25">
        <f t="shared" si="2"/>
        <v>1799.9999999999545</v>
      </c>
      <c r="J25" s="26">
        <f t="shared" si="3"/>
        <v>2795849.9999999292</v>
      </c>
      <c r="K25" s="24">
        <f t="shared" si="4"/>
        <v>11949670.00000008</v>
      </c>
      <c r="L25" s="27">
        <f t="shared" si="5"/>
        <v>13144637.000000089</v>
      </c>
      <c r="M25" s="28">
        <f t="shared" si="6"/>
        <v>914.02802308602247</v>
      </c>
      <c r="N25" s="29"/>
    </row>
    <row r="26" spans="1:14">
      <c r="A26" s="20"/>
      <c r="B26" s="22">
        <v>19</v>
      </c>
      <c r="C26" s="91">
        <v>34</v>
      </c>
      <c r="D26" s="99">
        <v>163</v>
      </c>
      <c r="E26" s="24">
        <v>4.3000000000001819</v>
      </c>
      <c r="F26" s="25">
        <f t="shared" si="0"/>
        <v>8600.0000000003638</v>
      </c>
      <c r="G26" s="26">
        <f t="shared" si="1"/>
        <v>8905300.0000003763</v>
      </c>
      <c r="H26" s="24">
        <v>0.87000000000000455</v>
      </c>
      <c r="I26" s="25">
        <f t="shared" si="2"/>
        <v>1740.0000000000091</v>
      </c>
      <c r="J26" s="26">
        <f t="shared" si="3"/>
        <v>2702655.000000014</v>
      </c>
      <c r="K26" s="24">
        <f t="shared" si="4"/>
        <v>11607955.000000391</v>
      </c>
      <c r="L26" s="27">
        <f t="shared" si="5"/>
        <v>12768750.500000432</v>
      </c>
      <c r="M26" s="28">
        <f t="shared" si="6"/>
        <v>887.89030665464372</v>
      </c>
      <c r="N26" s="29"/>
    </row>
    <row r="27" spans="1:14">
      <c r="A27" s="20"/>
      <c r="B27" s="22">
        <v>20</v>
      </c>
      <c r="C27" s="92">
        <v>26</v>
      </c>
      <c r="D27" s="99">
        <v>125</v>
      </c>
      <c r="E27" s="24">
        <v>4.2399999999997817</v>
      </c>
      <c r="F27" s="25">
        <f t="shared" si="0"/>
        <v>8479.9999999995634</v>
      </c>
      <c r="G27" s="26">
        <f t="shared" si="1"/>
        <v>8781039.9999995474</v>
      </c>
      <c r="H27" s="24">
        <v>0.88999999999998636</v>
      </c>
      <c r="I27" s="25">
        <f t="shared" si="2"/>
        <v>1779.9999999999727</v>
      </c>
      <c r="J27" s="26">
        <f t="shared" si="3"/>
        <v>2764784.9999999576</v>
      </c>
      <c r="K27" s="24">
        <f t="shared" si="4"/>
        <v>11545824.999999505</v>
      </c>
      <c r="L27" s="27">
        <f t="shared" si="5"/>
        <v>12700407.499999456</v>
      </c>
      <c r="M27" s="28">
        <f t="shared" si="6"/>
        <v>883.13799457613914</v>
      </c>
      <c r="N27" s="29"/>
    </row>
    <row r="28" spans="1:14">
      <c r="A28" s="20"/>
      <c r="B28" s="22">
        <v>21</v>
      </c>
      <c r="C28" s="91">
        <v>31</v>
      </c>
      <c r="D28" s="99">
        <v>167</v>
      </c>
      <c r="E28" s="24">
        <v>4.2800000000002001</v>
      </c>
      <c r="F28" s="25">
        <f t="shared" si="0"/>
        <v>8560.0000000004002</v>
      </c>
      <c r="G28" s="26">
        <f t="shared" si="1"/>
        <v>8863880.0000004135</v>
      </c>
      <c r="H28" s="24">
        <v>0.85000000000002274</v>
      </c>
      <c r="I28" s="25">
        <f t="shared" si="2"/>
        <v>1700.0000000000455</v>
      </c>
      <c r="J28" s="26">
        <f t="shared" si="3"/>
        <v>2640525.0000000708</v>
      </c>
      <c r="K28" s="24">
        <f t="shared" si="4"/>
        <v>11504405.000000484</v>
      </c>
      <c r="L28" s="27">
        <f t="shared" si="5"/>
        <v>12654845.500000535</v>
      </c>
      <c r="M28" s="28">
        <f t="shared" si="6"/>
        <v>879.96978652392283</v>
      </c>
      <c r="N28" s="29"/>
    </row>
    <row r="29" spans="1:14">
      <c r="A29" s="20"/>
      <c r="B29" s="22">
        <v>22</v>
      </c>
      <c r="C29" s="92">
        <v>37</v>
      </c>
      <c r="D29" s="99">
        <v>142</v>
      </c>
      <c r="E29" s="24">
        <v>4.1799999999998363</v>
      </c>
      <c r="F29" s="25">
        <f t="shared" si="0"/>
        <v>8359.9999999996726</v>
      </c>
      <c r="G29" s="26">
        <f t="shared" si="1"/>
        <v>8656779.999999661</v>
      </c>
      <c r="H29" s="24">
        <v>0.84999999999996589</v>
      </c>
      <c r="I29" s="25">
        <f t="shared" si="2"/>
        <v>1699.9999999999318</v>
      </c>
      <c r="J29" s="26">
        <f t="shared" si="3"/>
        <v>2640524.9999998938</v>
      </c>
      <c r="K29" s="24">
        <f t="shared" si="4"/>
        <v>11297304.999999555</v>
      </c>
      <c r="L29" s="27">
        <f t="shared" si="5"/>
        <v>12427035.499999512</v>
      </c>
      <c r="M29" s="28">
        <f t="shared" si="6"/>
        <v>864.12874626239568</v>
      </c>
      <c r="N29" s="29"/>
    </row>
    <row r="30" spans="1:14">
      <c r="A30" s="20"/>
      <c r="B30" s="22">
        <v>23</v>
      </c>
      <c r="C30" s="91">
        <v>37</v>
      </c>
      <c r="D30" s="99">
        <v>176</v>
      </c>
      <c r="E30" s="24">
        <v>4.4200000000000728</v>
      </c>
      <c r="F30" s="25">
        <f t="shared" si="0"/>
        <v>8840.0000000001455</v>
      </c>
      <c r="G30" s="26">
        <f>F30*1035.5</f>
        <v>9153820.0000001509</v>
      </c>
      <c r="H30" s="24">
        <v>0.8900000000000432</v>
      </c>
      <c r="I30" s="25">
        <f t="shared" si="2"/>
        <v>1780.0000000000864</v>
      </c>
      <c r="J30" s="26">
        <f t="shared" si="3"/>
        <v>2764785.0000001341</v>
      </c>
      <c r="K30" s="24">
        <f t="shared" si="4"/>
        <v>11918605.000000285</v>
      </c>
      <c r="L30" s="27">
        <f t="shared" si="5"/>
        <v>13110465.500000315</v>
      </c>
      <c r="M30" s="28">
        <f t="shared" si="6"/>
        <v>911.6518670468198</v>
      </c>
      <c r="N30" s="29"/>
    </row>
    <row r="31" spans="1:14">
      <c r="A31" s="20"/>
      <c r="B31" s="22">
        <v>24</v>
      </c>
      <c r="C31" s="92">
        <v>32</v>
      </c>
      <c r="D31" s="99">
        <v>179</v>
      </c>
      <c r="E31" s="24">
        <v>4.0599999999999454</v>
      </c>
      <c r="F31" s="25">
        <f t="shared" si="0"/>
        <v>8119.9999999998909</v>
      </c>
      <c r="G31" s="26">
        <f t="shared" si="1"/>
        <v>8408259.9999998864</v>
      </c>
      <c r="H31" s="24">
        <v>0.81999999999999318</v>
      </c>
      <c r="I31" s="25">
        <f t="shared" si="2"/>
        <v>1639.9999999999864</v>
      </c>
      <c r="J31" s="26">
        <f t="shared" si="3"/>
        <v>2547329.9999999786</v>
      </c>
      <c r="K31" s="24">
        <f t="shared" si="4"/>
        <v>10955589.999999866</v>
      </c>
      <c r="L31" s="27">
        <f t="shared" si="5"/>
        <v>12051148.999999853</v>
      </c>
      <c r="M31" s="28">
        <f t="shared" si="6"/>
        <v>837.99102983101682</v>
      </c>
      <c r="N31" s="29"/>
    </row>
    <row r="32" spans="1:14">
      <c r="A32" s="20"/>
      <c r="B32" s="22">
        <v>25</v>
      </c>
      <c r="C32" s="91">
        <v>40</v>
      </c>
      <c r="D32" s="99">
        <v>162</v>
      </c>
      <c r="E32" s="24">
        <v>4.1100000000001273</v>
      </c>
      <c r="F32" s="25">
        <f t="shared" si="0"/>
        <v>8220.0000000002547</v>
      </c>
      <c r="G32" s="26">
        <f t="shared" si="1"/>
        <v>8511810.0000002645</v>
      </c>
      <c r="H32" s="24">
        <v>0.82999999999998408</v>
      </c>
      <c r="I32" s="25">
        <f t="shared" si="2"/>
        <v>1659.9999999999682</v>
      </c>
      <c r="J32" s="26">
        <f t="shared" si="3"/>
        <v>2578394.9999999506</v>
      </c>
      <c r="K32" s="24">
        <f t="shared" si="4"/>
        <v>11090205.000000216</v>
      </c>
      <c r="L32" s="27">
        <f t="shared" si="5"/>
        <v>12199225.500000238</v>
      </c>
      <c r="M32" s="28">
        <f t="shared" si="6"/>
        <v>848.28770600099006</v>
      </c>
      <c r="N32" s="29"/>
    </row>
    <row r="33" spans="1:16">
      <c r="A33" s="20"/>
      <c r="B33" s="22">
        <v>26</v>
      </c>
      <c r="C33" s="91">
        <v>34</v>
      </c>
      <c r="D33" s="99">
        <v>179</v>
      </c>
      <c r="E33" s="24">
        <v>4.0700000000001637</v>
      </c>
      <c r="F33" s="25">
        <f t="shared" si="0"/>
        <v>8140.0000000003274</v>
      </c>
      <c r="G33" s="26">
        <f t="shared" si="1"/>
        <v>8428970.000000339</v>
      </c>
      <c r="H33" s="24">
        <v>0.85000000000002274</v>
      </c>
      <c r="I33" s="25">
        <f t="shared" si="2"/>
        <v>1700.0000000000455</v>
      </c>
      <c r="J33" s="26">
        <f t="shared" si="3"/>
        <v>2640525.0000000708</v>
      </c>
      <c r="K33" s="24">
        <f t="shared" si="4"/>
        <v>11069495.00000041</v>
      </c>
      <c r="L33" s="27">
        <f t="shared" si="5"/>
        <v>12176444.500000453</v>
      </c>
      <c r="M33" s="28">
        <f t="shared" si="6"/>
        <v>846.70360197485934</v>
      </c>
      <c r="N33" s="29"/>
    </row>
    <row r="34" spans="1:16">
      <c r="A34" s="20"/>
      <c r="B34" s="22">
        <v>27</v>
      </c>
      <c r="C34" s="91">
        <v>34</v>
      </c>
      <c r="D34" s="99">
        <v>117</v>
      </c>
      <c r="E34" s="24">
        <v>4.0599999999999454</v>
      </c>
      <c r="F34" s="25">
        <f t="shared" si="0"/>
        <v>8119.9999999998909</v>
      </c>
      <c r="G34" s="26">
        <f t="shared" si="1"/>
        <v>8408259.9999998864</v>
      </c>
      <c r="H34" s="24">
        <v>0.84999999999996589</v>
      </c>
      <c r="I34" s="25">
        <f t="shared" si="2"/>
        <v>1699.9999999999318</v>
      </c>
      <c r="J34" s="26">
        <f t="shared" si="3"/>
        <v>2640524.9999998938</v>
      </c>
      <c r="K34" s="24">
        <f t="shared" si="4"/>
        <v>11048784.99999978</v>
      </c>
      <c r="L34" s="27">
        <f t="shared" si="5"/>
        <v>12153663.49999976</v>
      </c>
      <c r="M34" s="28">
        <f t="shared" si="6"/>
        <v>845.11949794866553</v>
      </c>
      <c r="N34" s="29"/>
    </row>
    <row r="35" spans="1:16">
      <c r="A35" s="20"/>
      <c r="B35" s="22">
        <v>28</v>
      </c>
      <c r="C35" s="91">
        <v>34</v>
      </c>
      <c r="D35" s="99">
        <v>185</v>
      </c>
      <c r="E35" s="24">
        <v>4.0299999999997453</v>
      </c>
      <c r="F35" s="25">
        <f t="shared" si="0"/>
        <v>8059.9999999994907</v>
      </c>
      <c r="G35" s="26">
        <f t="shared" si="1"/>
        <v>8346129.9999994729</v>
      </c>
      <c r="H35" s="24">
        <v>0.79000000000002046</v>
      </c>
      <c r="I35" s="25">
        <f t="shared" si="2"/>
        <v>1580.0000000000409</v>
      </c>
      <c r="J35" s="26">
        <f t="shared" si="3"/>
        <v>2454135.0000000638</v>
      </c>
      <c r="K35" s="24">
        <f t="shared" si="4"/>
        <v>10800264.999999536</v>
      </c>
      <c r="L35" s="27">
        <f t="shared" si="5"/>
        <v>11880291.499999491</v>
      </c>
      <c r="M35" s="28">
        <f t="shared" si="6"/>
        <v>826.11024963489967</v>
      </c>
      <c r="N35" s="29"/>
    </row>
    <row r="36" spans="1:16">
      <c r="A36" s="20"/>
      <c r="B36" s="22">
        <v>29</v>
      </c>
      <c r="C36" s="91">
        <v>29</v>
      </c>
      <c r="D36" s="99">
        <v>202</v>
      </c>
      <c r="E36" s="24">
        <v>4.1100000000001273</v>
      </c>
      <c r="F36" s="25">
        <f t="shared" si="0"/>
        <v>8220.0000000002547</v>
      </c>
      <c r="G36" s="26">
        <f t="shared" si="1"/>
        <v>8511810.0000002645</v>
      </c>
      <c r="H36" s="24">
        <v>0.78999999999996362</v>
      </c>
      <c r="I36" s="25">
        <f t="shared" si="2"/>
        <v>1579.9999999999272</v>
      </c>
      <c r="J36" s="26">
        <f t="shared" si="3"/>
        <v>2454134.9999998868</v>
      </c>
      <c r="K36" s="24">
        <f t="shared" si="4"/>
        <v>10965945.000000151</v>
      </c>
      <c r="L36" s="27">
        <f t="shared" si="5"/>
        <v>12062539.500000168</v>
      </c>
      <c r="M36" s="28">
        <f t="shared" si="6"/>
        <v>838.78308184411151</v>
      </c>
      <c r="N36" s="29"/>
    </row>
    <row r="37" spans="1:16">
      <c r="A37" s="20"/>
      <c r="B37" s="22">
        <v>30</v>
      </c>
      <c r="C37" s="91">
        <v>29</v>
      </c>
      <c r="D37" s="99">
        <v>163</v>
      </c>
      <c r="E37" s="24">
        <v>3.8099999999999454</v>
      </c>
      <c r="F37" s="25">
        <f t="shared" si="0"/>
        <v>7619.9999999998909</v>
      </c>
      <c r="G37" s="26">
        <f>F37*1035.5</f>
        <v>7890509.9999998873</v>
      </c>
      <c r="H37" s="24">
        <v>0.78000000000002956</v>
      </c>
      <c r="I37" s="25">
        <f t="shared" si="2"/>
        <v>1560.0000000000591</v>
      </c>
      <c r="J37" s="26">
        <f t="shared" si="3"/>
        <v>2423070.0000000917</v>
      </c>
      <c r="K37" s="24">
        <f t="shared" si="4"/>
        <v>10313579.99999998</v>
      </c>
      <c r="L37" s="27">
        <f t="shared" si="5"/>
        <v>11344937.999999978</v>
      </c>
      <c r="M37" s="28">
        <f t="shared" si="6"/>
        <v>788.88380502051166</v>
      </c>
      <c r="N37" s="29"/>
    </row>
    <row r="38" spans="1:16">
      <c r="A38" s="20"/>
      <c r="B38" s="22">
        <v>31</v>
      </c>
      <c r="C38" s="91">
        <v>28</v>
      </c>
      <c r="D38" s="99">
        <v>71</v>
      </c>
      <c r="E38" s="24">
        <v>3.9900000000002365</v>
      </c>
      <c r="F38" s="25">
        <f t="shared" si="0"/>
        <v>7980.0000000004729</v>
      </c>
      <c r="G38" s="26">
        <f t="shared" si="1"/>
        <v>8263290.0000004899</v>
      </c>
      <c r="H38" s="24">
        <v>0.80000000000001137</v>
      </c>
      <c r="I38" s="25">
        <f t="shared" si="2"/>
        <v>1600.0000000000227</v>
      </c>
      <c r="J38" s="26">
        <f t="shared" si="3"/>
        <v>2485200.0000000354</v>
      </c>
      <c r="K38" s="24">
        <f t="shared" si="4"/>
        <v>10748490.000000525</v>
      </c>
      <c r="L38" s="27">
        <f t="shared" si="5"/>
        <v>11823339.000000579</v>
      </c>
      <c r="M38" s="28">
        <f t="shared" si="6"/>
        <v>822.14998956961119</v>
      </c>
      <c r="N38" s="29"/>
    </row>
    <row r="39" spans="1:16">
      <c r="C39" s="30">
        <f>SUM(C8:C38)</f>
        <v>1042</v>
      </c>
      <c r="D39" s="30">
        <f>SUM(D8:D38)</f>
        <v>4764</v>
      </c>
      <c r="E39" s="31">
        <v>3.2799999999999727</v>
      </c>
      <c r="F39" s="30">
        <f>SUM(F8:F38)</f>
        <v>255039.99999999997</v>
      </c>
      <c r="I39" s="30">
        <f>SUM(I8:I38)</f>
        <v>51740.000000000007</v>
      </c>
      <c r="L39" s="32">
        <f>SUM(L8:L38)</f>
        <v>378904982.50000012</v>
      </c>
      <c r="M39" s="33">
        <f>SUM(M8:M38)</f>
        <v>26347.610214866836</v>
      </c>
      <c r="N39" s="34"/>
      <c r="P39" s="35"/>
    </row>
    <row r="41" spans="1:16">
      <c r="G41" s="82" t="s">
        <v>28</v>
      </c>
      <c r="H41" s="83"/>
      <c r="I41" s="84">
        <f>F39+I39</f>
        <v>306780</v>
      </c>
      <c r="M41" s="36"/>
      <c r="P41" s="37"/>
    </row>
    <row r="42" spans="1:16">
      <c r="M42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O37" sqref="O37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02" t="s">
        <v>29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21" ht="15.9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7">
        <v>44835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6"/>
    </row>
    <row r="5" spans="1:21">
      <c r="A5" s="17"/>
      <c r="B5" s="104" t="s">
        <v>17</v>
      </c>
      <c r="C5" s="104" t="s">
        <v>18</v>
      </c>
      <c r="D5" s="104" t="s">
        <v>13</v>
      </c>
      <c r="E5" s="108" t="s">
        <v>30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9" t="s">
        <v>31</v>
      </c>
      <c r="R5" s="109"/>
      <c r="S5" s="18"/>
    </row>
    <row r="6" spans="1:21" s="19" customFormat="1">
      <c r="A6" s="17"/>
      <c r="B6" s="104"/>
      <c r="C6" s="104"/>
      <c r="D6" s="104"/>
      <c r="E6" s="108" t="s">
        <v>32</v>
      </c>
      <c r="F6" s="108"/>
      <c r="G6" s="108"/>
      <c r="H6" s="108" t="s">
        <v>33</v>
      </c>
      <c r="I6" s="108"/>
      <c r="J6" s="108"/>
      <c r="K6" s="108" t="s">
        <v>34</v>
      </c>
      <c r="L6" s="108"/>
      <c r="M6" s="108"/>
      <c r="N6" s="110" t="s">
        <v>35</v>
      </c>
      <c r="O6" s="110"/>
      <c r="P6" s="110"/>
      <c r="Q6" s="109"/>
      <c r="R6" s="109"/>
      <c r="S6" s="18"/>
    </row>
    <row r="7" spans="1:21" ht="24">
      <c r="A7" s="20"/>
      <c r="B7" s="104"/>
      <c r="C7" s="104"/>
      <c r="D7" s="104"/>
      <c r="E7" s="104" t="s">
        <v>36</v>
      </c>
      <c r="F7" s="111" t="s">
        <v>37</v>
      </c>
      <c r="G7" s="43" t="s">
        <v>38</v>
      </c>
      <c r="H7" s="104" t="s">
        <v>39</v>
      </c>
      <c r="I7" s="104" t="s">
        <v>37</v>
      </c>
      <c r="J7" s="43" t="s">
        <v>38</v>
      </c>
      <c r="K7" s="104" t="s">
        <v>36</v>
      </c>
      <c r="L7" s="104" t="s">
        <v>37</v>
      </c>
      <c r="M7" s="43" t="s">
        <v>40</v>
      </c>
      <c r="N7" s="104" t="s">
        <v>41</v>
      </c>
      <c r="O7" s="104" t="s">
        <v>37</v>
      </c>
      <c r="P7" s="43" t="s">
        <v>40</v>
      </c>
      <c r="Q7" s="109"/>
      <c r="R7" s="109"/>
      <c r="S7" s="21"/>
    </row>
    <row r="8" spans="1:21">
      <c r="A8" s="20"/>
      <c r="B8" s="104"/>
      <c r="C8" s="104"/>
      <c r="D8" s="104"/>
      <c r="E8" s="104"/>
      <c r="F8" s="112"/>
      <c r="G8" s="44">
        <v>15840</v>
      </c>
      <c r="H8" s="104"/>
      <c r="I8" s="104"/>
      <c r="J8" s="44">
        <f>G8</f>
        <v>15840</v>
      </c>
      <c r="K8" s="104"/>
      <c r="L8" s="104"/>
      <c r="M8" s="44">
        <f>J8</f>
        <v>15840</v>
      </c>
      <c r="N8" s="104"/>
      <c r="O8" s="104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26</v>
      </c>
      <c r="D9" s="47">
        <f>Electricity!D8</f>
        <v>120</v>
      </c>
      <c r="E9" s="89">
        <v>12546.28</v>
      </c>
      <c r="F9" s="96">
        <v>17.550000000001091</v>
      </c>
      <c r="G9" s="49">
        <f>F9*$G$8</f>
        <v>277992.00000001729</v>
      </c>
      <c r="H9" s="48">
        <v>1581.35</v>
      </c>
      <c r="I9" s="90">
        <v>4.7300000000000182</v>
      </c>
      <c r="J9" s="49">
        <f>I9*$J$8</f>
        <v>74923.200000000288</v>
      </c>
      <c r="K9" s="48"/>
      <c r="L9" s="24">
        <v>0</v>
      </c>
      <c r="M9" s="25">
        <f>L9*$M$8</f>
        <v>0</v>
      </c>
      <c r="N9" s="48"/>
      <c r="O9" s="24">
        <v>50</v>
      </c>
      <c r="P9" s="50">
        <f>O9*$P$8</f>
        <v>792000</v>
      </c>
      <c r="Q9" s="51">
        <f>P9+G9+J9+M9</f>
        <v>1144915.2000000174</v>
      </c>
      <c r="R9" s="52">
        <f>Q9/14381</f>
        <v>79.613044989918464</v>
      </c>
      <c r="S9" s="21"/>
    </row>
    <row r="10" spans="1:21">
      <c r="A10" s="20"/>
      <c r="B10" s="22">
        <v>2</v>
      </c>
      <c r="C10" s="46">
        <f>Electricity!C9</f>
        <v>29</v>
      </c>
      <c r="D10" s="47">
        <f>Electricity!D9</f>
        <v>148</v>
      </c>
      <c r="E10" s="89">
        <v>12566.12</v>
      </c>
      <c r="F10" s="97">
        <v>19.840000000000146</v>
      </c>
      <c r="G10" s="49">
        <f>F10*$G$8</f>
        <v>314265.60000000231</v>
      </c>
      <c r="H10" s="48">
        <v>1587.18</v>
      </c>
      <c r="I10" s="90">
        <v>5.8300000000001546</v>
      </c>
      <c r="J10" s="49">
        <f>I10*$J$8</f>
        <v>92347.200000002456</v>
      </c>
      <c r="K10" s="48"/>
      <c r="L10" s="24">
        <v>0</v>
      </c>
      <c r="M10" s="25">
        <f t="shared" ref="M10:M39" si="0">L10*$M$8</f>
        <v>0</v>
      </c>
      <c r="N10" s="48"/>
      <c r="O10" s="24"/>
      <c r="P10" s="50">
        <f>O10*$P$8</f>
        <v>0</v>
      </c>
      <c r="Q10" s="51">
        <f>J10+M10+G10+P10</f>
        <v>406612.80000000476</v>
      </c>
      <c r="R10" s="52">
        <f t="shared" ref="R10:R39" si="1">Q10/14381</f>
        <v>28.274306376469283</v>
      </c>
      <c r="S10" s="21"/>
    </row>
    <row r="11" spans="1:21">
      <c r="A11" s="20"/>
      <c r="B11" s="22">
        <v>3</v>
      </c>
      <c r="C11" s="46">
        <f>Electricity!C10</f>
        <v>36</v>
      </c>
      <c r="D11" s="47">
        <f>Electricity!D10</f>
        <v>139</v>
      </c>
      <c r="E11" s="89">
        <v>12586.6</v>
      </c>
      <c r="F11" s="97">
        <v>20.479999999999563</v>
      </c>
      <c r="G11" s="49">
        <f t="shared" ref="G11:G39" si="2">F11*$G$8</f>
        <v>324403.19999999308</v>
      </c>
      <c r="H11" s="48">
        <v>1592.82</v>
      </c>
      <c r="I11" s="90">
        <v>5.6399999999998727</v>
      </c>
      <c r="J11" s="49">
        <f t="shared" ref="J11:J39" si="3">I11*$J$8</f>
        <v>89337.599999997983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9" si="4">O11*$P$8</f>
        <v>0</v>
      </c>
      <c r="Q11" s="51">
        <f t="shared" ref="Q11:Q39" si="5">J11+M11+G11+P11</f>
        <v>413740.79999999108</v>
      </c>
      <c r="R11" s="52">
        <f t="shared" si="1"/>
        <v>28.769960364369034</v>
      </c>
      <c r="S11" s="21"/>
    </row>
    <row r="12" spans="1:21">
      <c r="A12" s="20"/>
      <c r="B12" s="22">
        <v>4</v>
      </c>
      <c r="C12" s="46">
        <f>Electricity!C11</f>
        <v>33</v>
      </c>
      <c r="D12" s="47">
        <f>Electricity!D11</f>
        <v>127</v>
      </c>
      <c r="E12" s="89">
        <v>12605.45</v>
      </c>
      <c r="F12" s="97">
        <v>18.850000000000364</v>
      </c>
      <c r="G12" s="49">
        <f t="shared" si="2"/>
        <v>298584.00000000576</v>
      </c>
      <c r="H12" s="48">
        <v>1599.95</v>
      </c>
      <c r="I12" s="90">
        <v>7.1300000000001091</v>
      </c>
      <c r="J12" s="49">
        <f t="shared" si="3"/>
        <v>112939.20000000173</v>
      </c>
      <c r="K12" s="48"/>
      <c r="L12" s="24">
        <v>0</v>
      </c>
      <c r="M12" s="25">
        <f t="shared" si="0"/>
        <v>0</v>
      </c>
      <c r="N12" s="48"/>
      <c r="O12" s="24">
        <v>0</v>
      </c>
      <c r="P12" s="50">
        <f t="shared" si="4"/>
        <v>0</v>
      </c>
      <c r="Q12" s="51">
        <f t="shared" si="5"/>
        <v>411523.20000000752</v>
      </c>
      <c r="R12" s="52">
        <f t="shared" si="1"/>
        <v>28.615756901467737</v>
      </c>
      <c r="S12" s="21"/>
    </row>
    <row r="13" spans="1:21">
      <c r="A13" s="20"/>
      <c r="B13" s="22">
        <v>5</v>
      </c>
      <c r="C13" s="46">
        <f>Electricity!C12</f>
        <v>31</v>
      </c>
      <c r="D13" s="47">
        <f>Electricity!D12</f>
        <v>149</v>
      </c>
      <c r="E13" s="89">
        <v>12625.24</v>
      </c>
      <c r="F13" s="97">
        <v>19.789999999999054</v>
      </c>
      <c r="G13" s="49">
        <f t="shared" si="2"/>
        <v>313473.59999998502</v>
      </c>
      <c r="H13" s="48">
        <v>1604.3</v>
      </c>
      <c r="I13" s="90">
        <v>4.3499999999999091</v>
      </c>
      <c r="J13" s="49">
        <f t="shared" si="3"/>
        <v>68903.999999998559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382377.59999998356</v>
      </c>
      <c r="R13" s="52">
        <f t="shared" si="1"/>
        <v>26.589082817605423</v>
      </c>
      <c r="S13" s="21"/>
    </row>
    <row r="14" spans="1:21">
      <c r="A14" s="20"/>
      <c r="B14" s="22">
        <v>6</v>
      </c>
      <c r="C14" s="46">
        <f>Electricity!C13</f>
        <v>29</v>
      </c>
      <c r="D14" s="47">
        <f>Electricity!D13</f>
        <v>113</v>
      </c>
      <c r="E14" s="89">
        <v>12648.5</v>
      </c>
      <c r="F14" s="97">
        <v>23.260000000000218</v>
      </c>
      <c r="G14" s="49">
        <f t="shared" si="2"/>
        <v>368438.40000000346</v>
      </c>
      <c r="H14" s="48">
        <v>1609.28</v>
      </c>
      <c r="I14" s="90">
        <v>4.9800000000000182</v>
      </c>
      <c r="J14" s="49">
        <f t="shared" si="3"/>
        <v>78883.200000000288</v>
      </c>
      <c r="K14" s="48"/>
      <c r="L14" s="24">
        <v>0</v>
      </c>
      <c r="M14" s="25">
        <f t="shared" si="0"/>
        <v>0</v>
      </c>
      <c r="N14" s="48"/>
      <c r="O14" s="24"/>
      <c r="P14" s="50">
        <f t="shared" si="4"/>
        <v>0</v>
      </c>
      <c r="Q14" s="51">
        <f t="shared" si="5"/>
        <v>447321.60000000376</v>
      </c>
      <c r="R14" s="52">
        <f t="shared" si="1"/>
        <v>31.105041374035448</v>
      </c>
      <c r="S14" s="21"/>
    </row>
    <row r="15" spans="1:21">
      <c r="A15" s="20"/>
      <c r="B15" s="22">
        <v>7</v>
      </c>
      <c r="C15" s="46">
        <f>Electricity!C14</f>
        <v>29</v>
      </c>
      <c r="D15" s="47">
        <f>Electricity!D14</f>
        <v>112</v>
      </c>
      <c r="E15" s="89">
        <v>12670.85</v>
      </c>
      <c r="F15" s="97">
        <v>22.350000000000364</v>
      </c>
      <c r="G15" s="49">
        <f t="shared" si="2"/>
        <v>354024.00000000576</v>
      </c>
      <c r="H15" s="48">
        <v>1613.99</v>
      </c>
      <c r="I15" s="90">
        <v>4.7100000000000364</v>
      </c>
      <c r="J15" s="49">
        <f t="shared" si="3"/>
        <v>74606.400000000576</v>
      </c>
      <c r="K15" s="48"/>
      <c r="L15" s="24">
        <v>0</v>
      </c>
      <c r="M15" s="25">
        <f t="shared" si="0"/>
        <v>0</v>
      </c>
      <c r="N15" s="48"/>
      <c r="O15" s="24">
        <v>50</v>
      </c>
      <c r="P15" s="50">
        <f t="shared" si="4"/>
        <v>792000</v>
      </c>
      <c r="Q15" s="51">
        <f t="shared" si="5"/>
        <v>1220630.4000000064</v>
      </c>
      <c r="R15" s="52">
        <f t="shared" si="1"/>
        <v>84.87799179472961</v>
      </c>
      <c r="S15" s="21"/>
    </row>
    <row r="16" spans="1:21">
      <c r="A16" s="20"/>
      <c r="B16" s="22">
        <v>8</v>
      </c>
      <c r="C16" s="46">
        <f>Electricity!C15</f>
        <v>24</v>
      </c>
      <c r="D16" s="47">
        <f>Electricity!D15</f>
        <v>178</v>
      </c>
      <c r="E16" s="89">
        <v>12689.1</v>
      </c>
      <c r="F16" s="97">
        <v>18.25</v>
      </c>
      <c r="G16" s="49">
        <f t="shared" si="2"/>
        <v>289080</v>
      </c>
      <c r="H16" s="48">
        <v>1618.66</v>
      </c>
      <c r="I16" s="90">
        <v>4.6700000000000728</v>
      </c>
      <c r="J16" s="49">
        <f t="shared" si="3"/>
        <v>73972.800000001153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363052.80000000115</v>
      </c>
      <c r="R16" s="52">
        <f t="shared" si="1"/>
        <v>25.245309783742517</v>
      </c>
      <c r="S16" s="21"/>
    </row>
    <row r="17" spans="1:19">
      <c r="A17" s="20"/>
      <c r="B17" s="22">
        <v>9</v>
      </c>
      <c r="C17" s="46">
        <f>Electricity!C16</f>
        <v>39</v>
      </c>
      <c r="D17" s="47">
        <f>Electricity!D16</f>
        <v>145</v>
      </c>
      <c r="E17" s="79">
        <v>12708.75</v>
      </c>
      <c r="F17" s="97">
        <v>19.649999999999636</v>
      </c>
      <c r="G17" s="49">
        <f t="shared" si="2"/>
        <v>311255.99999999424</v>
      </c>
      <c r="H17" s="48">
        <v>1623.25</v>
      </c>
      <c r="I17" s="90">
        <v>4.5899999999999181</v>
      </c>
      <c r="J17" s="49">
        <f t="shared" si="3"/>
        <v>72705.599999998696</v>
      </c>
      <c r="K17" s="48"/>
      <c r="L17" s="24">
        <v>0</v>
      </c>
      <c r="M17" s="25">
        <f t="shared" si="0"/>
        <v>0</v>
      </c>
      <c r="N17" s="48"/>
      <c r="O17" s="24">
        <v>0</v>
      </c>
      <c r="P17" s="50">
        <f t="shared" si="4"/>
        <v>0</v>
      </c>
      <c r="Q17" s="51">
        <f t="shared" si="5"/>
        <v>383961.59999999293</v>
      </c>
      <c r="R17" s="52">
        <f t="shared" si="1"/>
        <v>26.699228148250672</v>
      </c>
      <c r="S17" s="21"/>
    </row>
    <row r="18" spans="1:19">
      <c r="A18" s="20"/>
      <c r="B18" s="22">
        <v>10</v>
      </c>
      <c r="C18" s="46">
        <f>Electricity!C17</f>
        <v>39</v>
      </c>
      <c r="D18" s="47">
        <f>Electricity!D17</f>
        <v>156</v>
      </c>
      <c r="E18" s="89">
        <v>12727.34</v>
      </c>
      <c r="F18" s="97">
        <v>18.590000000000146</v>
      </c>
      <c r="G18" s="49">
        <f t="shared" si="2"/>
        <v>294465.60000000231</v>
      </c>
      <c r="H18" s="48">
        <v>1629.22</v>
      </c>
      <c r="I18" s="90">
        <v>5.9700000000000273</v>
      </c>
      <c r="J18" s="49">
        <f t="shared" si="3"/>
        <v>94564.800000000425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389030.4000000027</v>
      </c>
      <c r="R18" s="52">
        <f t="shared" si="1"/>
        <v>27.051693206314074</v>
      </c>
      <c r="S18" s="21"/>
    </row>
    <row r="19" spans="1:19">
      <c r="A19" s="20"/>
      <c r="B19" s="22">
        <v>11</v>
      </c>
      <c r="C19" s="46">
        <f>Electricity!C18</f>
        <v>41</v>
      </c>
      <c r="D19" s="47">
        <f>Electricity!D18</f>
        <v>213</v>
      </c>
      <c r="E19" s="89">
        <v>12747.71</v>
      </c>
      <c r="F19" s="98">
        <v>20.369999999998981</v>
      </c>
      <c r="G19" s="49">
        <f t="shared" si="2"/>
        <v>322660.79999998386</v>
      </c>
      <c r="H19" s="48">
        <v>1634.95</v>
      </c>
      <c r="I19" s="90">
        <v>5.7300000000000182</v>
      </c>
      <c r="J19" s="49">
        <f t="shared" si="3"/>
        <v>90763.200000000288</v>
      </c>
      <c r="K19" s="48"/>
      <c r="L19" s="24">
        <v>50</v>
      </c>
      <c r="M19" s="25">
        <f t="shared" si="0"/>
        <v>792000</v>
      </c>
      <c r="N19" s="48"/>
      <c r="O19" s="24">
        <v>0</v>
      </c>
      <c r="P19" s="50">
        <f t="shared" si="4"/>
        <v>0</v>
      </c>
      <c r="Q19" s="51">
        <f t="shared" si="5"/>
        <v>1205423.9999999842</v>
      </c>
      <c r="R19" s="52">
        <f t="shared" si="1"/>
        <v>83.820596620539888</v>
      </c>
      <c r="S19" s="21"/>
    </row>
    <row r="20" spans="1:19">
      <c r="A20" s="20"/>
      <c r="B20" s="22">
        <v>12</v>
      </c>
      <c r="C20" s="46">
        <f>Electricity!C19</f>
        <v>29</v>
      </c>
      <c r="D20" s="47">
        <f>Electricity!D19</f>
        <v>136</v>
      </c>
      <c r="E20" s="89">
        <v>12768.14</v>
      </c>
      <c r="F20" s="98">
        <v>20.430000000000291</v>
      </c>
      <c r="G20" s="49">
        <f t="shared" si="2"/>
        <v>323611.20000000461</v>
      </c>
      <c r="H20" s="48">
        <v>1640.27</v>
      </c>
      <c r="I20" s="90">
        <v>5.3199999999999363</v>
      </c>
      <c r="J20" s="49">
        <f t="shared" si="3"/>
        <v>84268.799999998999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407880.00000000361</v>
      </c>
      <c r="R20" s="52">
        <f t="shared" si="1"/>
        <v>28.362422640984885</v>
      </c>
      <c r="S20" s="21"/>
    </row>
    <row r="21" spans="1:19">
      <c r="A21" s="20"/>
      <c r="B21" s="22">
        <v>13</v>
      </c>
      <c r="C21" s="46">
        <f>Electricity!C20</f>
        <v>31</v>
      </c>
      <c r="D21" s="47">
        <f>Electricity!D20</f>
        <v>133</v>
      </c>
      <c r="E21" s="89">
        <v>12790.24</v>
      </c>
      <c r="F21" s="98">
        <v>22.100000000000364</v>
      </c>
      <c r="G21" s="49">
        <f t="shared" si="2"/>
        <v>350064.00000000576</v>
      </c>
      <c r="H21" s="48">
        <v>1645.09</v>
      </c>
      <c r="I21" s="90">
        <v>4.8199999999999363</v>
      </c>
      <c r="J21" s="49">
        <f t="shared" si="3"/>
        <v>76348.799999998999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426412.80000000476</v>
      </c>
      <c r="R21" s="52">
        <f t="shared" si="1"/>
        <v>29.651123009526788</v>
      </c>
      <c r="S21" s="21"/>
    </row>
    <row r="22" spans="1:19">
      <c r="A22" s="20"/>
      <c r="B22" s="22">
        <v>14</v>
      </c>
      <c r="C22" s="46">
        <f>Electricity!C21</f>
        <v>42</v>
      </c>
      <c r="D22" s="47">
        <f>Electricity!D21</f>
        <v>137</v>
      </c>
      <c r="E22" s="89">
        <v>12811.74</v>
      </c>
      <c r="F22" s="98">
        <v>21.5</v>
      </c>
      <c r="G22" s="49">
        <f t="shared" si="2"/>
        <v>340560</v>
      </c>
      <c r="H22" s="48">
        <v>1649.93</v>
      </c>
      <c r="I22" s="90">
        <v>4.8400000000001455</v>
      </c>
      <c r="J22" s="49">
        <f t="shared" si="3"/>
        <v>76665.600000002305</v>
      </c>
      <c r="K22" s="48"/>
      <c r="L22" s="24">
        <v>0</v>
      </c>
      <c r="M22" s="25">
        <f t="shared" si="0"/>
        <v>0</v>
      </c>
      <c r="N22" s="48"/>
      <c r="O22" s="24">
        <v>50</v>
      </c>
      <c r="P22" s="50">
        <f t="shared" si="4"/>
        <v>792000</v>
      </c>
      <c r="Q22" s="51">
        <f t="shared" si="5"/>
        <v>1209225.6000000024</v>
      </c>
      <c r="R22" s="52">
        <f t="shared" si="1"/>
        <v>84.084945414088196</v>
      </c>
      <c r="S22" s="21"/>
    </row>
    <row r="23" spans="1:19">
      <c r="A23" s="20"/>
      <c r="B23" s="22">
        <v>15</v>
      </c>
      <c r="C23" s="46">
        <f>Electricity!C22</f>
        <v>41</v>
      </c>
      <c r="D23" s="47">
        <f>Electricity!D22</f>
        <v>184</v>
      </c>
      <c r="E23" s="89">
        <v>12836.19</v>
      </c>
      <c r="F23" s="98">
        <v>24.450000000000728</v>
      </c>
      <c r="G23" s="49">
        <f t="shared" si="2"/>
        <v>387288.00000001153</v>
      </c>
      <c r="H23" s="48">
        <v>1654.83</v>
      </c>
      <c r="I23" s="90">
        <v>4.8999999999998636</v>
      </c>
      <c r="J23" s="49">
        <f t="shared" si="3"/>
        <v>77615.999999997846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464904.00000000937</v>
      </c>
      <c r="R23" s="52">
        <f t="shared" si="1"/>
        <v>32.327654544190899</v>
      </c>
      <c r="S23" s="21"/>
    </row>
    <row r="24" spans="1:19">
      <c r="A24" s="20"/>
      <c r="B24" s="22">
        <v>16</v>
      </c>
      <c r="C24" s="46">
        <f>Electricity!C23</f>
        <v>45</v>
      </c>
      <c r="D24" s="47">
        <f>Electricity!D23</f>
        <v>200</v>
      </c>
      <c r="E24" s="89">
        <v>12857.25</v>
      </c>
      <c r="F24" s="98">
        <v>21.059999999999491</v>
      </c>
      <c r="G24" s="49">
        <f t="shared" si="2"/>
        <v>333590.39999999193</v>
      </c>
      <c r="H24" s="48">
        <v>1659.86</v>
      </c>
      <c r="I24" s="90">
        <v>5.0299999999999727</v>
      </c>
      <c r="J24" s="49">
        <f t="shared" si="3"/>
        <v>79675.199999999575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413265.59999999148</v>
      </c>
      <c r="R24" s="52">
        <f t="shared" si="1"/>
        <v>28.736916765175682</v>
      </c>
      <c r="S24" s="21"/>
    </row>
    <row r="25" spans="1:19">
      <c r="A25" s="20"/>
      <c r="B25" s="22">
        <v>17</v>
      </c>
      <c r="C25" s="46">
        <f>Electricity!C24</f>
        <v>36</v>
      </c>
      <c r="D25" s="47">
        <f>Electricity!D24</f>
        <v>175</v>
      </c>
      <c r="E25" s="89">
        <v>12877.96</v>
      </c>
      <c r="F25" s="98">
        <v>20.709999999999127</v>
      </c>
      <c r="G25" s="49">
        <f t="shared" si="2"/>
        <v>328046.39999998617</v>
      </c>
      <c r="H25" s="48">
        <v>1665.21</v>
      </c>
      <c r="I25" s="90">
        <v>5.3500000000001364</v>
      </c>
      <c r="J25" s="49">
        <f t="shared" si="3"/>
        <v>84744.000000002154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412790.39999998832</v>
      </c>
      <c r="R25" s="52">
        <f t="shared" si="1"/>
        <v>28.703873165982081</v>
      </c>
      <c r="S25" s="21"/>
    </row>
    <row r="26" spans="1:19">
      <c r="A26" s="20"/>
      <c r="B26" s="22">
        <v>18</v>
      </c>
      <c r="C26" s="46">
        <f>Electricity!C25</f>
        <v>37</v>
      </c>
      <c r="D26" s="47">
        <f>Electricity!D25</f>
        <v>168</v>
      </c>
      <c r="E26" s="89">
        <v>12895.54</v>
      </c>
      <c r="F26" s="98">
        <v>17.580000000001746</v>
      </c>
      <c r="G26" s="49">
        <f t="shared" si="2"/>
        <v>278467.20000002766</v>
      </c>
      <c r="H26" s="48">
        <v>1670.14</v>
      </c>
      <c r="I26" s="90">
        <v>4.9300000000000637</v>
      </c>
      <c r="J26" s="49">
        <f t="shared" si="3"/>
        <v>78091.200000001001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356558.40000002866</v>
      </c>
      <c r="R26" s="52">
        <f t="shared" si="1"/>
        <v>24.793713928101567</v>
      </c>
      <c r="S26" s="21"/>
    </row>
    <row r="27" spans="1:19">
      <c r="A27" s="20"/>
      <c r="B27" s="22">
        <v>19</v>
      </c>
      <c r="C27" s="46">
        <f>Electricity!C26</f>
        <v>34</v>
      </c>
      <c r="D27" s="47">
        <f>Electricity!D26</f>
        <v>163</v>
      </c>
      <c r="E27" s="95">
        <v>12923.72</v>
      </c>
      <c r="F27" s="98">
        <v>28.179999999998472</v>
      </c>
      <c r="G27" s="49">
        <f t="shared" si="2"/>
        <v>446371.1999999758</v>
      </c>
      <c r="H27" s="48">
        <v>1674.95</v>
      </c>
      <c r="I27" s="90">
        <v>4.8099999999999454</v>
      </c>
      <c r="J27" s="49">
        <f t="shared" si="3"/>
        <v>76190.399999999136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522561.59999997495</v>
      </c>
      <c r="R27" s="52">
        <f t="shared" si="1"/>
        <v>36.33694457965197</v>
      </c>
      <c r="S27" s="21"/>
    </row>
    <row r="28" spans="1:19">
      <c r="A28" s="20"/>
      <c r="B28" s="22">
        <v>20</v>
      </c>
      <c r="C28" s="46">
        <f>Electricity!C27</f>
        <v>26</v>
      </c>
      <c r="D28" s="47">
        <f>Electricity!D27</f>
        <v>125</v>
      </c>
      <c r="E28" s="95">
        <v>12941.14</v>
      </c>
      <c r="F28" s="98">
        <v>17.420000000000073</v>
      </c>
      <c r="G28" s="49">
        <f t="shared" si="2"/>
        <v>275932.80000000115</v>
      </c>
      <c r="H28" s="48">
        <v>1680.03</v>
      </c>
      <c r="I28" s="90">
        <v>5.0799999999999272</v>
      </c>
      <c r="J28" s="49">
        <f t="shared" si="3"/>
        <v>80467.199999998847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356400</v>
      </c>
      <c r="R28" s="52">
        <f t="shared" si="1"/>
        <v>24.782699395035117</v>
      </c>
      <c r="S28" s="21"/>
    </row>
    <row r="29" spans="1:19">
      <c r="A29" s="20"/>
      <c r="B29" s="22">
        <v>21</v>
      </c>
      <c r="C29" s="46">
        <f>Electricity!C28</f>
        <v>31</v>
      </c>
      <c r="D29" s="47">
        <f>Electricity!D28</f>
        <v>167</v>
      </c>
      <c r="E29" s="95">
        <v>12963.66</v>
      </c>
      <c r="F29" s="98">
        <v>22.520000000000437</v>
      </c>
      <c r="G29" s="49">
        <f t="shared" si="2"/>
        <v>356716.80000000692</v>
      </c>
      <c r="H29" s="48">
        <v>1684.9</v>
      </c>
      <c r="I29" s="90">
        <v>4.8700000000001182</v>
      </c>
      <c r="J29" s="49">
        <f t="shared" si="3"/>
        <v>77140.80000000188</v>
      </c>
      <c r="K29" s="48"/>
      <c r="L29" s="24"/>
      <c r="M29" s="25">
        <f t="shared" si="0"/>
        <v>0</v>
      </c>
      <c r="N29" s="48"/>
      <c r="O29" s="24"/>
      <c r="P29" s="50">
        <f t="shared" si="4"/>
        <v>0</v>
      </c>
      <c r="Q29" s="51">
        <f t="shared" si="5"/>
        <v>433857.60000000882</v>
      </c>
      <c r="R29" s="52">
        <f t="shared" si="1"/>
        <v>30.168806063556694</v>
      </c>
      <c r="S29" s="21"/>
    </row>
    <row r="30" spans="1:19">
      <c r="A30" s="20"/>
      <c r="B30" s="22">
        <v>22</v>
      </c>
      <c r="C30" s="46">
        <f>Electricity!C29</f>
        <v>37</v>
      </c>
      <c r="D30" s="47">
        <f>Electricity!D29</f>
        <v>142</v>
      </c>
      <c r="E30" s="95">
        <v>12982.53</v>
      </c>
      <c r="F30" s="98">
        <v>18.8700000000008</v>
      </c>
      <c r="G30" s="49">
        <f t="shared" si="2"/>
        <v>298900.80000001268</v>
      </c>
      <c r="H30" s="48">
        <v>1689.9</v>
      </c>
      <c r="I30" s="90">
        <v>5</v>
      </c>
      <c r="J30" s="49">
        <f t="shared" si="3"/>
        <v>79200</v>
      </c>
      <c r="K30" s="48"/>
      <c r="L30" s="24">
        <v>0</v>
      </c>
      <c r="M30" s="25">
        <f t="shared" si="0"/>
        <v>0</v>
      </c>
      <c r="N30" s="48"/>
      <c r="O30" s="24">
        <v>50</v>
      </c>
      <c r="P30" s="50">
        <f t="shared" si="4"/>
        <v>792000</v>
      </c>
      <c r="Q30" s="51">
        <f t="shared" si="5"/>
        <v>1170100.8000000126</v>
      </c>
      <c r="R30" s="52">
        <f t="shared" si="1"/>
        <v>81.364355747167281</v>
      </c>
      <c r="S30" s="21"/>
    </row>
    <row r="31" spans="1:19">
      <c r="A31" s="20"/>
      <c r="B31" s="22">
        <v>23</v>
      </c>
      <c r="C31" s="46">
        <f>Electricity!C30</f>
        <v>37</v>
      </c>
      <c r="D31" s="47">
        <f>Electricity!D30</f>
        <v>176</v>
      </c>
      <c r="E31" s="95">
        <v>13002.2</v>
      </c>
      <c r="F31" s="98">
        <v>19.670000000000073</v>
      </c>
      <c r="G31" s="49">
        <f t="shared" si="2"/>
        <v>311572.80000000115</v>
      </c>
      <c r="H31" s="48">
        <v>1694.28</v>
      </c>
      <c r="I31" s="90">
        <v>4.3799999999998818</v>
      </c>
      <c r="J31" s="49">
        <f t="shared" si="3"/>
        <v>69379.19999999812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380951.9999999993</v>
      </c>
      <c r="R31" s="52">
        <f t="shared" si="1"/>
        <v>26.489952020026376</v>
      </c>
      <c r="S31" s="21"/>
    </row>
    <row r="32" spans="1:19">
      <c r="A32" s="20"/>
      <c r="B32" s="22">
        <v>24</v>
      </c>
      <c r="C32" s="46">
        <f>Electricity!C31</f>
        <v>32</v>
      </c>
      <c r="D32" s="47">
        <f>Electricity!D31</f>
        <v>179</v>
      </c>
      <c r="E32" s="95">
        <v>13022.93</v>
      </c>
      <c r="F32" s="98">
        <v>20.729999999999563</v>
      </c>
      <c r="G32" s="49">
        <f t="shared" si="2"/>
        <v>328363.19999999308</v>
      </c>
      <c r="H32" s="48">
        <v>1698.88</v>
      </c>
      <c r="I32" s="90">
        <v>4.6000000000001364</v>
      </c>
      <c r="J32" s="49">
        <f t="shared" si="3"/>
        <v>72864.000000002154</v>
      </c>
      <c r="K32" s="48"/>
      <c r="L32" s="24">
        <v>50</v>
      </c>
      <c r="M32" s="25">
        <f t="shared" si="0"/>
        <v>792000</v>
      </c>
      <c r="N32" s="48"/>
      <c r="O32" s="24">
        <v>0</v>
      </c>
      <c r="P32" s="50">
        <f t="shared" si="4"/>
        <v>0</v>
      </c>
      <c r="Q32" s="51">
        <f t="shared" si="5"/>
        <v>1193227.1999999951</v>
      </c>
      <c r="R32" s="52">
        <f t="shared" si="1"/>
        <v>82.972477574577226</v>
      </c>
      <c r="S32" s="21"/>
    </row>
    <row r="33" spans="1:21">
      <c r="A33" s="20"/>
      <c r="B33" s="22">
        <v>25</v>
      </c>
      <c r="C33" s="46">
        <f>Electricity!C32</f>
        <v>40</v>
      </c>
      <c r="D33" s="47">
        <f>Electricity!D32</f>
        <v>162</v>
      </c>
      <c r="E33" s="95">
        <v>13042.55</v>
      </c>
      <c r="F33" s="98">
        <v>19.619999999998981</v>
      </c>
      <c r="G33" s="49">
        <f t="shared" si="2"/>
        <v>310780.79999998386</v>
      </c>
      <c r="H33" s="48">
        <v>1703.8</v>
      </c>
      <c r="I33" s="90">
        <v>4.9199999999998454</v>
      </c>
      <c r="J33" s="49">
        <f t="shared" si="3"/>
        <v>77932.799999997544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388713.59999998141</v>
      </c>
      <c r="R33" s="52">
        <f t="shared" si="1"/>
        <v>27.029664140183673</v>
      </c>
      <c r="S33" s="21"/>
    </row>
    <row r="34" spans="1:21">
      <c r="A34" s="20"/>
      <c r="B34" s="22">
        <v>26</v>
      </c>
      <c r="C34" s="46">
        <f>Electricity!C33</f>
        <v>34</v>
      </c>
      <c r="D34" s="47">
        <f>Electricity!D33</f>
        <v>179</v>
      </c>
      <c r="E34" s="95">
        <v>13065.68</v>
      </c>
      <c r="F34" s="98">
        <v>23.130000000001019</v>
      </c>
      <c r="G34" s="49">
        <f t="shared" si="2"/>
        <v>366379.20000001614</v>
      </c>
      <c r="H34" s="48">
        <v>1706.96</v>
      </c>
      <c r="I34" s="90">
        <v>3.1600000000000819</v>
      </c>
      <c r="J34" s="49">
        <f t="shared" si="3"/>
        <v>50054.400000001297</v>
      </c>
      <c r="K34" s="48"/>
      <c r="L34" s="24">
        <v>0</v>
      </c>
      <c r="M34" s="25">
        <f t="shared" si="0"/>
        <v>0</v>
      </c>
      <c r="N34" s="48"/>
      <c r="O34" s="24"/>
      <c r="P34" s="50">
        <f t="shared" si="4"/>
        <v>0</v>
      </c>
      <c r="Q34" s="51">
        <f t="shared" si="5"/>
        <v>416433.60000001744</v>
      </c>
      <c r="R34" s="52">
        <f t="shared" si="1"/>
        <v>28.957207426466688</v>
      </c>
      <c r="S34" s="21"/>
    </row>
    <row r="35" spans="1:21">
      <c r="A35" s="20"/>
      <c r="B35" s="22">
        <v>27</v>
      </c>
      <c r="C35" s="46">
        <f>Electricity!C34</f>
        <v>34</v>
      </c>
      <c r="D35" s="47">
        <f>Electricity!D34</f>
        <v>117</v>
      </c>
      <c r="E35" s="95">
        <v>13085.53</v>
      </c>
      <c r="F35" s="98">
        <v>19.850000000000364</v>
      </c>
      <c r="G35" s="49">
        <f t="shared" si="2"/>
        <v>314424.00000000576</v>
      </c>
      <c r="H35" s="48">
        <v>1713.67</v>
      </c>
      <c r="I35" s="90">
        <v>6.7100000000000364</v>
      </c>
      <c r="J35" s="49">
        <f t="shared" si="3"/>
        <v>106286.40000000058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420710.40000000631</v>
      </c>
      <c r="R35" s="52">
        <f t="shared" si="1"/>
        <v>29.254599819206334</v>
      </c>
      <c r="S35" s="21"/>
    </row>
    <row r="36" spans="1:21">
      <c r="A36" s="20"/>
      <c r="B36" s="22">
        <v>28</v>
      </c>
      <c r="C36" s="46">
        <f>Electricity!C35</f>
        <v>34</v>
      </c>
      <c r="D36" s="47">
        <f>Electricity!D35</f>
        <v>185</v>
      </c>
      <c r="E36" s="95">
        <v>13106.64</v>
      </c>
      <c r="F36" s="98">
        <v>21.109999999998763</v>
      </c>
      <c r="G36" s="49">
        <f t="shared" si="2"/>
        <v>334382.39999998041</v>
      </c>
      <c r="H36" s="48">
        <v>1719.19</v>
      </c>
      <c r="I36" s="90">
        <v>5.5199999999999818</v>
      </c>
      <c r="J36" s="49">
        <f t="shared" si="3"/>
        <v>87436.799999999712</v>
      </c>
      <c r="K36" s="48"/>
      <c r="L36" s="24">
        <v>0</v>
      </c>
      <c r="M36" s="25">
        <f t="shared" si="0"/>
        <v>0</v>
      </c>
      <c r="N36" s="48"/>
      <c r="O36" s="24">
        <v>50</v>
      </c>
      <c r="P36" s="50">
        <f t="shared" si="4"/>
        <v>792000</v>
      </c>
      <c r="Q36" s="51">
        <f t="shared" si="5"/>
        <v>1213819.1999999802</v>
      </c>
      <c r="R36" s="52">
        <f t="shared" si="1"/>
        <v>84.40436687295599</v>
      </c>
      <c r="S36" s="21"/>
    </row>
    <row r="37" spans="1:21">
      <c r="A37" s="20"/>
      <c r="B37" s="22">
        <v>29</v>
      </c>
      <c r="C37" s="46">
        <f>Electricity!C36</f>
        <v>29</v>
      </c>
      <c r="D37" s="47">
        <f>Electricity!D36</f>
        <v>202</v>
      </c>
      <c r="E37" s="78">
        <v>13128.62</v>
      </c>
      <c r="F37" s="98">
        <v>21.980000000001382</v>
      </c>
      <c r="G37" s="49">
        <f t="shared" si="2"/>
        <v>348163.2000000219</v>
      </c>
      <c r="H37" s="48">
        <v>1724.27</v>
      </c>
      <c r="I37" s="90">
        <v>5.0799999999999272</v>
      </c>
      <c r="J37" s="49">
        <f t="shared" si="3"/>
        <v>80467.199999998847</v>
      </c>
      <c r="K37" s="48"/>
      <c r="L37" s="24">
        <v>50</v>
      </c>
      <c r="M37" s="25">
        <f t="shared" si="0"/>
        <v>792000</v>
      </c>
      <c r="N37" s="48"/>
      <c r="O37" s="24">
        <v>0</v>
      </c>
      <c r="P37" s="50">
        <f t="shared" si="4"/>
        <v>0</v>
      </c>
      <c r="Q37" s="51">
        <f t="shared" si="5"/>
        <v>1220630.4000000206</v>
      </c>
      <c r="R37" s="52">
        <f t="shared" si="1"/>
        <v>84.87799179473059</v>
      </c>
      <c r="S37" s="21"/>
    </row>
    <row r="38" spans="1:21">
      <c r="A38" s="20"/>
      <c r="B38" s="22">
        <v>30</v>
      </c>
      <c r="C38" s="46">
        <f>Electricity!C37</f>
        <v>29</v>
      </c>
      <c r="D38" s="47">
        <f>Electricity!D37</f>
        <v>163</v>
      </c>
      <c r="E38" s="78">
        <v>13150.19</v>
      </c>
      <c r="F38" s="98">
        <v>21.569999999999709</v>
      </c>
      <c r="G38" s="49">
        <f t="shared" si="2"/>
        <v>341668.79999999539</v>
      </c>
      <c r="H38" s="48">
        <v>1729.89</v>
      </c>
      <c r="I38" s="90">
        <v>5.6200000000001182</v>
      </c>
      <c r="J38" s="49">
        <f t="shared" si="3"/>
        <v>89020.80000000188</v>
      </c>
      <c r="K38" s="48"/>
      <c r="L38" s="24">
        <v>0</v>
      </c>
      <c r="M38" s="25">
        <f t="shared" si="0"/>
        <v>0</v>
      </c>
      <c r="N38" s="48"/>
      <c r="O38" s="24">
        <v>0</v>
      </c>
      <c r="P38" s="50">
        <f t="shared" si="4"/>
        <v>0</v>
      </c>
      <c r="Q38" s="51">
        <f t="shared" si="5"/>
        <v>430689.5999999973</v>
      </c>
      <c r="R38" s="52">
        <f t="shared" si="1"/>
        <v>29.948515402266693</v>
      </c>
      <c r="S38" s="21"/>
    </row>
    <row r="39" spans="1:21">
      <c r="A39" s="20"/>
      <c r="B39" s="22">
        <v>31</v>
      </c>
      <c r="C39" s="46">
        <f>Electricity!C38</f>
        <v>28</v>
      </c>
      <c r="D39" s="47">
        <f>Electricity!D38</f>
        <v>71</v>
      </c>
      <c r="E39" s="78">
        <v>13171.03</v>
      </c>
      <c r="F39" s="98">
        <v>20.840000000000146</v>
      </c>
      <c r="G39" s="49">
        <f t="shared" si="2"/>
        <v>330105.60000000231</v>
      </c>
      <c r="H39" s="48">
        <v>1734.55</v>
      </c>
      <c r="I39" s="90">
        <v>4.6599999999998545</v>
      </c>
      <c r="J39" s="49">
        <f t="shared" si="3"/>
        <v>73814.399999997695</v>
      </c>
      <c r="K39" s="48"/>
      <c r="L39" s="24">
        <v>0</v>
      </c>
      <c r="M39" s="25">
        <f t="shared" si="0"/>
        <v>0</v>
      </c>
      <c r="N39" s="48"/>
      <c r="O39" s="24">
        <v>0</v>
      </c>
      <c r="P39" s="50">
        <f t="shared" si="4"/>
        <v>0</v>
      </c>
      <c r="Q39" s="51">
        <f t="shared" si="5"/>
        <v>403920</v>
      </c>
      <c r="R39" s="52">
        <f t="shared" si="1"/>
        <v>28.087059314373132</v>
      </c>
      <c r="S39" s="21"/>
    </row>
    <row r="40" spans="1:21">
      <c r="C40" s="53">
        <f>SUM(C9:C39)</f>
        <v>1042</v>
      </c>
      <c r="D40" s="53">
        <f>SUM(D9:D39)</f>
        <v>4764</v>
      </c>
      <c r="E40" s="30"/>
      <c r="F40" s="30">
        <f>SUM(F9:F39)</f>
        <v>642.30000000000109</v>
      </c>
      <c r="G40" s="40"/>
      <c r="H40" s="40"/>
      <c r="I40" s="30">
        <f>SUM(I9:I39)</f>
        <v>157.93000000000006</v>
      </c>
      <c r="J40" s="40"/>
      <c r="K40" s="40"/>
      <c r="L40" s="30">
        <f>SUM(L9:L39)</f>
        <v>150</v>
      </c>
      <c r="M40" s="40"/>
      <c r="N40" s="39"/>
      <c r="O40" s="30">
        <f>SUM(O9:O39)</f>
        <v>250</v>
      </c>
      <c r="P40" s="40"/>
      <c r="Q40"/>
      <c r="R40" s="88">
        <f>SUM(R9:R39)</f>
        <v>1321.9973019956903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43</v>
      </c>
      <c r="O41" s="63">
        <f>F40+I40+L40+O40</f>
        <v>1200.2300000000012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30" workbookViewId="0">
      <selection activeCell="G8" sqref="G8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4" bestFit="1" customWidth="1"/>
    <col min="7" max="7" width="14" style="74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02" t="s">
        <v>44</v>
      </c>
      <c r="C1" s="102"/>
      <c r="D1" s="102"/>
      <c r="E1" s="102"/>
      <c r="F1" s="102"/>
      <c r="G1" s="102"/>
      <c r="H1" s="102"/>
    </row>
    <row r="2" spans="1:9" ht="15.95">
      <c r="B2" s="102" t="s">
        <v>16</v>
      </c>
      <c r="C2" s="102"/>
      <c r="D2" s="102"/>
      <c r="E2" s="102"/>
      <c r="F2" s="102"/>
      <c r="G2" s="102"/>
      <c r="H2" s="102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7">
        <v>44835</v>
      </c>
      <c r="C4" s="107"/>
      <c r="D4" s="107"/>
      <c r="E4" s="107"/>
      <c r="F4" s="107"/>
      <c r="G4" s="107"/>
      <c r="H4" s="107"/>
      <c r="I4" s="16"/>
    </row>
    <row r="5" spans="1:9">
      <c r="A5" s="66"/>
      <c r="B5" s="104" t="s">
        <v>45</v>
      </c>
      <c r="C5" s="104" t="s">
        <v>18</v>
      </c>
      <c r="D5" s="104" t="s">
        <v>13</v>
      </c>
      <c r="E5" s="104" t="s">
        <v>46</v>
      </c>
      <c r="F5" s="104"/>
      <c r="G5" s="104"/>
      <c r="H5" s="104" t="s">
        <v>23</v>
      </c>
      <c r="I5" s="18"/>
    </row>
    <row r="6" spans="1:9">
      <c r="A6" s="66"/>
      <c r="B6" s="104"/>
      <c r="C6" s="104"/>
      <c r="D6" s="104"/>
      <c r="E6" s="104"/>
      <c r="F6" s="104"/>
      <c r="G6" s="104"/>
      <c r="H6" s="104"/>
      <c r="I6" s="18"/>
    </row>
    <row r="7" spans="1:9" s="19" customFormat="1" ht="24">
      <c r="A7" s="66"/>
      <c r="B7" s="104"/>
      <c r="C7" s="104"/>
      <c r="D7" s="104"/>
      <c r="E7" s="43" t="s">
        <v>36</v>
      </c>
      <c r="F7" s="113" t="s">
        <v>47</v>
      </c>
      <c r="G7" s="67" t="s">
        <v>40</v>
      </c>
      <c r="H7" s="104"/>
      <c r="I7" s="18"/>
    </row>
    <row r="8" spans="1:9" s="19" customFormat="1">
      <c r="A8" s="66"/>
      <c r="B8" s="104"/>
      <c r="C8" s="104"/>
      <c r="D8" s="104"/>
      <c r="E8" s="100">
        <v>5436</v>
      </c>
      <c r="F8" s="113"/>
      <c r="G8" s="67">
        <v>24300</v>
      </c>
      <c r="H8" s="104"/>
      <c r="I8" s="18"/>
    </row>
    <row r="9" spans="1:9">
      <c r="A9" s="68"/>
      <c r="B9" s="22">
        <v>1</v>
      </c>
      <c r="C9" s="23">
        <f>Gas!C9</f>
        <v>26</v>
      </c>
      <c r="D9" s="23">
        <f>Gas!D9</f>
        <v>120</v>
      </c>
      <c r="E9" s="101">
        <v>5436</v>
      </c>
      <c r="F9" s="69">
        <f>E9-E8</f>
        <v>0</v>
      </c>
      <c r="G9" s="69">
        <f t="shared" ref="G9:G39" si="0">F9*$G$8</f>
        <v>0</v>
      </c>
      <c r="H9" s="80">
        <f>G9/14381</f>
        <v>0</v>
      </c>
      <c r="I9" s="21"/>
    </row>
    <row r="10" spans="1:9">
      <c r="A10" s="68"/>
      <c r="B10" s="22">
        <v>2</v>
      </c>
      <c r="C10" s="23">
        <f>Gas!C10</f>
        <v>29</v>
      </c>
      <c r="D10" s="23">
        <f>Gas!D10</f>
        <v>148</v>
      </c>
      <c r="E10" s="101">
        <v>5436</v>
      </c>
      <c r="F10" s="70">
        <f t="shared" ref="F10:F39" si="1">E10-E9</f>
        <v>0</v>
      </c>
      <c r="G10" s="69">
        <f>F10*$G$8</f>
        <v>0</v>
      </c>
      <c r="H10" s="80">
        <f t="shared" ref="H10:H39" si="2">G10/14381</f>
        <v>0</v>
      </c>
      <c r="I10" s="21"/>
    </row>
    <row r="11" spans="1:9">
      <c r="A11" s="68"/>
      <c r="B11" s="22">
        <v>3</v>
      </c>
      <c r="C11" s="23">
        <f>Gas!C11</f>
        <v>36</v>
      </c>
      <c r="D11" s="23">
        <f>Gas!D11</f>
        <v>139</v>
      </c>
      <c r="E11" s="101">
        <v>5436</v>
      </c>
      <c r="F11" s="70">
        <f t="shared" si="1"/>
        <v>0</v>
      </c>
      <c r="G11" s="69">
        <f t="shared" si="0"/>
        <v>0</v>
      </c>
      <c r="H11" s="80">
        <f t="shared" si="2"/>
        <v>0</v>
      </c>
      <c r="I11" s="21"/>
    </row>
    <row r="12" spans="1:9">
      <c r="A12" s="68"/>
      <c r="B12" s="22">
        <v>4</v>
      </c>
      <c r="C12" s="23">
        <f>Gas!C12</f>
        <v>33</v>
      </c>
      <c r="D12" s="23">
        <f>Gas!D12</f>
        <v>127</v>
      </c>
      <c r="E12" s="101">
        <v>5436</v>
      </c>
      <c r="F12" s="70">
        <f t="shared" si="1"/>
        <v>0</v>
      </c>
      <c r="G12" s="69">
        <f t="shared" si="0"/>
        <v>0</v>
      </c>
      <c r="H12" s="80">
        <f t="shared" si="2"/>
        <v>0</v>
      </c>
      <c r="I12" s="21"/>
    </row>
    <row r="13" spans="1:9">
      <c r="A13" s="68"/>
      <c r="B13" s="22">
        <v>5</v>
      </c>
      <c r="C13" s="23">
        <f>Gas!C13</f>
        <v>31</v>
      </c>
      <c r="D13" s="23">
        <f>Gas!D13</f>
        <v>149</v>
      </c>
      <c r="E13" s="101">
        <v>5436</v>
      </c>
      <c r="F13" s="70">
        <f t="shared" si="1"/>
        <v>0</v>
      </c>
      <c r="G13" s="69">
        <f t="shared" si="0"/>
        <v>0</v>
      </c>
      <c r="H13" s="80">
        <f t="shared" si="2"/>
        <v>0</v>
      </c>
      <c r="I13" s="21"/>
    </row>
    <row r="14" spans="1:9">
      <c r="A14" s="68"/>
      <c r="B14" s="22">
        <v>6</v>
      </c>
      <c r="C14" s="23">
        <f>Gas!C14</f>
        <v>29</v>
      </c>
      <c r="D14" s="23">
        <f>Gas!D14</f>
        <v>113</v>
      </c>
      <c r="E14" s="101">
        <v>5436</v>
      </c>
      <c r="F14" s="70">
        <f t="shared" si="1"/>
        <v>0</v>
      </c>
      <c r="G14" s="69">
        <f t="shared" si="0"/>
        <v>0</v>
      </c>
      <c r="H14" s="80">
        <f t="shared" si="2"/>
        <v>0</v>
      </c>
      <c r="I14" s="21"/>
    </row>
    <row r="15" spans="1:9">
      <c r="A15" s="68"/>
      <c r="B15" s="22">
        <v>7</v>
      </c>
      <c r="C15" s="23">
        <f>Gas!C15</f>
        <v>29</v>
      </c>
      <c r="D15" s="23">
        <f>Gas!D15</f>
        <v>112</v>
      </c>
      <c r="E15" s="101">
        <v>5436</v>
      </c>
      <c r="F15" s="70">
        <f t="shared" si="1"/>
        <v>0</v>
      </c>
      <c r="G15" s="69">
        <f t="shared" si="0"/>
        <v>0</v>
      </c>
      <c r="H15" s="80">
        <f t="shared" si="2"/>
        <v>0</v>
      </c>
      <c r="I15" s="21"/>
    </row>
    <row r="16" spans="1:9">
      <c r="A16" s="68"/>
      <c r="B16" s="22">
        <v>8</v>
      </c>
      <c r="C16" s="23">
        <f>Gas!C16</f>
        <v>24</v>
      </c>
      <c r="D16" s="23">
        <f>Gas!D16</f>
        <v>178</v>
      </c>
      <c r="E16" s="101">
        <v>5436</v>
      </c>
      <c r="F16" s="70">
        <f t="shared" si="1"/>
        <v>0</v>
      </c>
      <c r="G16" s="69">
        <f t="shared" si="0"/>
        <v>0</v>
      </c>
      <c r="H16" s="80">
        <f t="shared" si="2"/>
        <v>0</v>
      </c>
      <c r="I16" s="21"/>
    </row>
    <row r="17" spans="1:9">
      <c r="A17" s="68"/>
      <c r="B17" s="22">
        <v>9</v>
      </c>
      <c r="C17" s="23">
        <f>Gas!C17</f>
        <v>39</v>
      </c>
      <c r="D17" s="23">
        <f>Gas!D17</f>
        <v>145</v>
      </c>
      <c r="E17" s="101">
        <v>5436</v>
      </c>
      <c r="F17" s="70">
        <f t="shared" si="1"/>
        <v>0</v>
      </c>
      <c r="G17" s="69">
        <f t="shared" si="0"/>
        <v>0</v>
      </c>
      <c r="H17" s="80">
        <f t="shared" si="2"/>
        <v>0</v>
      </c>
      <c r="I17" s="21"/>
    </row>
    <row r="18" spans="1:9">
      <c r="A18" s="68"/>
      <c r="B18" s="22">
        <v>10</v>
      </c>
      <c r="C18" s="23">
        <f>Gas!C18</f>
        <v>39</v>
      </c>
      <c r="D18" s="23">
        <f>Gas!D18</f>
        <v>156</v>
      </c>
      <c r="E18" s="101">
        <v>5436</v>
      </c>
      <c r="F18" s="70">
        <f t="shared" si="1"/>
        <v>0</v>
      </c>
      <c r="G18" s="69">
        <f t="shared" si="0"/>
        <v>0</v>
      </c>
      <c r="H18" s="80">
        <f t="shared" si="2"/>
        <v>0</v>
      </c>
      <c r="I18" s="21"/>
    </row>
    <row r="19" spans="1:9">
      <c r="A19" s="68"/>
      <c r="B19" s="22">
        <v>11</v>
      </c>
      <c r="C19" s="23">
        <f>Gas!C19</f>
        <v>41</v>
      </c>
      <c r="D19" s="23">
        <f>Gas!D19</f>
        <v>213</v>
      </c>
      <c r="E19" s="101">
        <v>5436</v>
      </c>
      <c r="F19" s="70">
        <f t="shared" si="1"/>
        <v>0</v>
      </c>
      <c r="G19" s="69">
        <f t="shared" si="0"/>
        <v>0</v>
      </c>
      <c r="H19" s="80">
        <f t="shared" si="2"/>
        <v>0</v>
      </c>
      <c r="I19" s="21"/>
    </row>
    <row r="20" spans="1:9">
      <c r="A20" s="68"/>
      <c r="B20" s="22">
        <v>12</v>
      </c>
      <c r="C20" s="23">
        <f>Gas!C20</f>
        <v>29</v>
      </c>
      <c r="D20" s="23">
        <f>Gas!D20</f>
        <v>136</v>
      </c>
      <c r="E20" s="101">
        <v>5436</v>
      </c>
      <c r="F20" s="70">
        <f t="shared" si="1"/>
        <v>0</v>
      </c>
      <c r="G20" s="69">
        <f t="shared" si="0"/>
        <v>0</v>
      </c>
      <c r="H20" s="80">
        <f t="shared" si="2"/>
        <v>0</v>
      </c>
      <c r="I20" s="21"/>
    </row>
    <row r="21" spans="1:9">
      <c r="A21" s="68"/>
      <c r="B21" s="22">
        <v>13</v>
      </c>
      <c r="C21" s="23">
        <f>Gas!C21</f>
        <v>31</v>
      </c>
      <c r="D21" s="23">
        <f>Gas!D21</f>
        <v>133</v>
      </c>
      <c r="E21" s="101">
        <v>5436</v>
      </c>
      <c r="F21" s="70">
        <f t="shared" si="1"/>
        <v>0</v>
      </c>
      <c r="G21" s="69">
        <f t="shared" si="0"/>
        <v>0</v>
      </c>
      <c r="H21" s="80">
        <f t="shared" si="2"/>
        <v>0</v>
      </c>
      <c r="I21" s="21"/>
    </row>
    <row r="22" spans="1:9">
      <c r="A22" s="68"/>
      <c r="B22" s="22">
        <v>14</v>
      </c>
      <c r="C22" s="23">
        <f>Gas!C22</f>
        <v>42</v>
      </c>
      <c r="D22" s="23">
        <f>Gas!D22</f>
        <v>137</v>
      </c>
      <c r="E22" s="101">
        <v>5436</v>
      </c>
      <c r="F22" s="70">
        <f t="shared" si="1"/>
        <v>0</v>
      </c>
      <c r="G22" s="69">
        <f t="shared" si="0"/>
        <v>0</v>
      </c>
      <c r="H22" s="80">
        <f t="shared" si="2"/>
        <v>0</v>
      </c>
      <c r="I22" s="21"/>
    </row>
    <row r="23" spans="1:9">
      <c r="A23" s="68"/>
      <c r="B23" s="22">
        <v>15</v>
      </c>
      <c r="C23" s="23">
        <f>Gas!C23</f>
        <v>41</v>
      </c>
      <c r="D23" s="23">
        <f>Gas!D23</f>
        <v>184</v>
      </c>
      <c r="E23" s="101">
        <v>5436</v>
      </c>
      <c r="F23" s="70">
        <f t="shared" si="1"/>
        <v>0</v>
      </c>
      <c r="G23" s="69">
        <f t="shared" si="0"/>
        <v>0</v>
      </c>
      <c r="H23" s="80">
        <f t="shared" si="2"/>
        <v>0</v>
      </c>
      <c r="I23" s="21"/>
    </row>
    <row r="24" spans="1:9">
      <c r="A24" s="68"/>
      <c r="B24" s="22">
        <v>16</v>
      </c>
      <c r="C24" s="23">
        <f>Gas!C24</f>
        <v>45</v>
      </c>
      <c r="D24" s="23">
        <f>Gas!D24</f>
        <v>200</v>
      </c>
      <c r="E24" s="101">
        <v>5436</v>
      </c>
      <c r="F24" s="70">
        <f t="shared" si="1"/>
        <v>0</v>
      </c>
      <c r="G24" s="69">
        <f t="shared" si="0"/>
        <v>0</v>
      </c>
      <c r="H24" s="80">
        <f t="shared" si="2"/>
        <v>0</v>
      </c>
      <c r="I24" s="21"/>
    </row>
    <row r="25" spans="1:9">
      <c r="A25" s="68"/>
      <c r="B25" s="22">
        <v>17</v>
      </c>
      <c r="C25" s="23">
        <f>Gas!C25</f>
        <v>36</v>
      </c>
      <c r="D25" s="23">
        <f>Gas!D25</f>
        <v>175</v>
      </c>
      <c r="E25" s="101">
        <v>5436</v>
      </c>
      <c r="F25" s="70">
        <f t="shared" si="1"/>
        <v>0</v>
      </c>
      <c r="G25" s="69">
        <f t="shared" si="0"/>
        <v>0</v>
      </c>
      <c r="H25" s="80">
        <f t="shared" si="2"/>
        <v>0</v>
      </c>
      <c r="I25" s="21"/>
    </row>
    <row r="26" spans="1:9">
      <c r="A26" s="68"/>
      <c r="B26" s="22">
        <v>18</v>
      </c>
      <c r="C26" s="23">
        <f>Gas!C26</f>
        <v>37</v>
      </c>
      <c r="D26" s="23">
        <f>Gas!D26</f>
        <v>168</v>
      </c>
      <c r="E26" s="101">
        <v>5436</v>
      </c>
      <c r="F26" s="70">
        <f t="shared" si="1"/>
        <v>0</v>
      </c>
      <c r="G26" s="69">
        <f t="shared" si="0"/>
        <v>0</v>
      </c>
      <c r="H26" s="80">
        <f t="shared" si="2"/>
        <v>0</v>
      </c>
      <c r="I26" s="21"/>
    </row>
    <row r="27" spans="1:9">
      <c r="A27" s="68"/>
      <c r="B27" s="22">
        <v>19</v>
      </c>
      <c r="C27" s="23">
        <f>Gas!C27</f>
        <v>34</v>
      </c>
      <c r="D27" s="23">
        <f>Gas!D27</f>
        <v>163</v>
      </c>
      <c r="E27" s="101">
        <v>5444</v>
      </c>
      <c r="F27" s="70">
        <f t="shared" si="1"/>
        <v>8</v>
      </c>
      <c r="G27" s="69">
        <f>F27*$G$8</f>
        <v>194400</v>
      </c>
      <c r="H27" s="80">
        <f t="shared" si="2"/>
        <v>13.517836033655518</v>
      </c>
      <c r="I27" s="21"/>
    </row>
    <row r="28" spans="1:9">
      <c r="A28" s="68"/>
      <c r="B28" s="22">
        <v>20</v>
      </c>
      <c r="C28" s="23">
        <f>Gas!C28</f>
        <v>26</v>
      </c>
      <c r="D28" s="23">
        <f>Gas!D28</f>
        <v>125</v>
      </c>
      <c r="E28" s="101">
        <v>5444</v>
      </c>
      <c r="F28" s="70">
        <f t="shared" si="1"/>
        <v>0</v>
      </c>
      <c r="G28" s="69">
        <f t="shared" si="0"/>
        <v>0</v>
      </c>
      <c r="H28" s="80">
        <f t="shared" si="2"/>
        <v>0</v>
      </c>
      <c r="I28" s="21"/>
    </row>
    <row r="29" spans="1:9">
      <c r="A29" s="68"/>
      <c r="B29" s="22">
        <v>21</v>
      </c>
      <c r="C29" s="23">
        <f>Gas!C29</f>
        <v>31</v>
      </c>
      <c r="D29" s="23">
        <f>Gas!D29</f>
        <v>167</v>
      </c>
      <c r="E29" s="101">
        <v>5444</v>
      </c>
      <c r="F29" s="70">
        <f t="shared" si="1"/>
        <v>0</v>
      </c>
      <c r="G29" s="69">
        <f t="shared" si="0"/>
        <v>0</v>
      </c>
      <c r="H29" s="80">
        <f t="shared" si="2"/>
        <v>0</v>
      </c>
      <c r="I29" s="21"/>
    </row>
    <row r="30" spans="1:9">
      <c r="A30" s="68"/>
      <c r="B30" s="22">
        <v>22</v>
      </c>
      <c r="C30" s="23">
        <f>Gas!C30</f>
        <v>37</v>
      </c>
      <c r="D30" s="23">
        <f>Gas!D30</f>
        <v>142</v>
      </c>
      <c r="E30" s="101">
        <v>5444</v>
      </c>
      <c r="F30" s="70">
        <f t="shared" si="1"/>
        <v>0</v>
      </c>
      <c r="G30" s="69">
        <f t="shared" si="0"/>
        <v>0</v>
      </c>
      <c r="H30" s="80">
        <f t="shared" si="2"/>
        <v>0</v>
      </c>
      <c r="I30" s="21"/>
    </row>
    <row r="31" spans="1:9">
      <c r="A31" s="68"/>
      <c r="B31" s="22">
        <v>23</v>
      </c>
      <c r="C31" s="23">
        <f>Gas!C31</f>
        <v>37</v>
      </c>
      <c r="D31" s="23">
        <f>Gas!D31</f>
        <v>176</v>
      </c>
      <c r="E31" s="101">
        <v>5444</v>
      </c>
      <c r="F31" s="70">
        <f t="shared" si="1"/>
        <v>0</v>
      </c>
      <c r="G31" s="69">
        <f t="shared" si="0"/>
        <v>0</v>
      </c>
      <c r="H31" s="80">
        <f t="shared" si="2"/>
        <v>0</v>
      </c>
      <c r="I31" s="21"/>
    </row>
    <row r="32" spans="1:9">
      <c r="A32" s="68"/>
      <c r="B32" s="22">
        <v>24</v>
      </c>
      <c r="C32" s="23">
        <f>Gas!C32</f>
        <v>32</v>
      </c>
      <c r="D32" s="23">
        <f>Gas!D32</f>
        <v>179</v>
      </c>
      <c r="E32" s="101">
        <v>5453</v>
      </c>
      <c r="F32" s="70">
        <f t="shared" si="1"/>
        <v>9</v>
      </c>
      <c r="G32" s="69"/>
      <c r="H32" s="80">
        <f t="shared" si="2"/>
        <v>0</v>
      </c>
      <c r="I32" s="21"/>
    </row>
    <row r="33" spans="1:11">
      <c r="A33" s="68"/>
      <c r="B33" s="22">
        <v>25</v>
      </c>
      <c r="C33" s="23">
        <f>Gas!C33</f>
        <v>40</v>
      </c>
      <c r="D33" s="23">
        <f>Gas!D33</f>
        <v>162</v>
      </c>
      <c r="E33" s="101">
        <v>5453</v>
      </c>
      <c r="F33" s="70">
        <f t="shared" si="1"/>
        <v>0</v>
      </c>
      <c r="G33" s="69">
        <f t="shared" si="0"/>
        <v>0</v>
      </c>
      <c r="H33" s="80">
        <f t="shared" si="2"/>
        <v>0</v>
      </c>
      <c r="I33" s="21"/>
    </row>
    <row r="34" spans="1:11">
      <c r="A34" s="68"/>
      <c r="B34" s="22">
        <v>26</v>
      </c>
      <c r="C34" s="23">
        <f>Gas!C34</f>
        <v>34</v>
      </c>
      <c r="D34" s="23">
        <f>Gas!D34</f>
        <v>179</v>
      </c>
      <c r="E34" s="101">
        <v>5453</v>
      </c>
      <c r="F34" s="70">
        <f t="shared" si="1"/>
        <v>0</v>
      </c>
      <c r="G34" s="69">
        <f t="shared" si="0"/>
        <v>0</v>
      </c>
      <c r="H34" s="80">
        <f t="shared" si="2"/>
        <v>0</v>
      </c>
      <c r="I34" s="21"/>
    </row>
    <row r="35" spans="1:11">
      <c r="A35" s="68"/>
      <c r="B35" s="22">
        <v>27</v>
      </c>
      <c r="C35" s="23">
        <f>Gas!C35</f>
        <v>34</v>
      </c>
      <c r="D35" s="23">
        <f>Gas!D35</f>
        <v>117</v>
      </c>
      <c r="E35" s="101">
        <v>5453</v>
      </c>
      <c r="F35" s="70">
        <f t="shared" si="1"/>
        <v>0</v>
      </c>
      <c r="G35" s="69">
        <f t="shared" si="0"/>
        <v>0</v>
      </c>
      <c r="H35" s="80">
        <f t="shared" si="2"/>
        <v>0</v>
      </c>
      <c r="I35" s="21"/>
    </row>
    <row r="36" spans="1:11">
      <c r="A36" s="68"/>
      <c r="B36" s="22">
        <v>28</v>
      </c>
      <c r="C36" s="23">
        <f>Gas!C36</f>
        <v>34</v>
      </c>
      <c r="D36" s="23">
        <f>Gas!D36</f>
        <v>185</v>
      </c>
      <c r="E36" s="101">
        <v>5453</v>
      </c>
      <c r="F36" s="70">
        <f t="shared" si="1"/>
        <v>0</v>
      </c>
      <c r="G36" s="69">
        <f t="shared" si="0"/>
        <v>0</v>
      </c>
      <c r="H36" s="80">
        <f t="shared" si="2"/>
        <v>0</v>
      </c>
      <c r="I36" s="21"/>
    </row>
    <row r="37" spans="1:11">
      <c r="A37" s="68"/>
      <c r="B37" s="22">
        <v>29</v>
      </c>
      <c r="C37" s="23">
        <f>Gas!C37</f>
        <v>29</v>
      </c>
      <c r="D37" s="23">
        <f>Gas!D37</f>
        <v>202</v>
      </c>
      <c r="E37" s="101">
        <v>5453</v>
      </c>
      <c r="F37" s="70">
        <f t="shared" si="1"/>
        <v>0</v>
      </c>
      <c r="G37" s="69">
        <f t="shared" si="0"/>
        <v>0</v>
      </c>
      <c r="H37" s="80">
        <f t="shared" si="2"/>
        <v>0</v>
      </c>
      <c r="I37" s="21"/>
    </row>
    <row r="38" spans="1:11">
      <c r="A38" s="68"/>
      <c r="B38" s="22">
        <v>30</v>
      </c>
      <c r="C38" s="23">
        <f>Gas!C38</f>
        <v>29</v>
      </c>
      <c r="D38" s="23">
        <f>Gas!D38</f>
        <v>163</v>
      </c>
      <c r="E38" s="101">
        <v>5453</v>
      </c>
      <c r="F38" s="70">
        <f t="shared" si="1"/>
        <v>0</v>
      </c>
      <c r="G38" s="69">
        <f t="shared" si="0"/>
        <v>0</v>
      </c>
      <c r="H38" s="80">
        <f t="shared" si="2"/>
        <v>0</v>
      </c>
      <c r="I38" s="21"/>
    </row>
    <row r="39" spans="1:11">
      <c r="A39" s="68"/>
      <c r="B39" s="22">
        <v>31</v>
      </c>
      <c r="C39" s="23">
        <f>Gas!C39</f>
        <v>28</v>
      </c>
      <c r="D39" s="23">
        <f>Gas!D39</f>
        <v>71</v>
      </c>
      <c r="E39" s="101">
        <v>5469</v>
      </c>
      <c r="F39" s="70">
        <f t="shared" si="1"/>
        <v>16</v>
      </c>
      <c r="G39" s="69">
        <f>F39*$G$8</f>
        <v>388800</v>
      </c>
      <c r="H39" s="80">
        <f t="shared" si="2"/>
        <v>27.035672067311037</v>
      </c>
      <c r="I39" s="21"/>
    </row>
    <row r="40" spans="1:11">
      <c r="C40" s="30">
        <f>SUM(C9:C39)</f>
        <v>1042</v>
      </c>
      <c r="D40" s="30">
        <f>SUM(D9:D39)</f>
        <v>4764</v>
      </c>
      <c r="E40" s="30"/>
      <c r="F40" s="30">
        <f>SUM(F9:F39)</f>
        <v>33</v>
      </c>
      <c r="G40" s="30"/>
      <c r="H40" s="71">
        <f>SUM(H9:H39)</f>
        <v>40.553508100966553</v>
      </c>
      <c r="K40" s="35"/>
    </row>
    <row r="41" spans="1:11">
      <c r="E41" s="30"/>
      <c r="F41" s="72"/>
      <c r="G41" s="72"/>
      <c r="H41" s="41"/>
    </row>
    <row r="42" spans="1:11">
      <c r="E42" s="59"/>
      <c r="F42" s="73"/>
      <c r="G42" s="73"/>
    </row>
    <row r="43" spans="1:11">
      <c r="E43" s="59"/>
      <c r="F43" s="73"/>
      <c r="G43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21" workbookViewId="0">
      <selection activeCell="I25" sqref="I25:I39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42578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42578125" customWidth="1"/>
    <col min="15" max="15" width="20.42578125" customWidth="1"/>
  </cols>
  <sheetData>
    <row r="2" spans="1:13" ht="15.95">
      <c r="B2" s="102" t="s">
        <v>48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3" ht="15.95">
      <c r="B3" s="102" t="s">
        <v>16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3">
        <v>44835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6"/>
    </row>
    <row r="6" spans="1:13">
      <c r="A6" s="17"/>
      <c r="B6" s="104">
        <v>3</v>
      </c>
      <c r="C6" s="104" t="s">
        <v>49</v>
      </c>
      <c r="D6" s="104" t="s">
        <v>13</v>
      </c>
      <c r="E6" s="108" t="s">
        <v>50</v>
      </c>
      <c r="F6" s="108"/>
      <c r="G6" s="110" t="s">
        <v>51</v>
      </c>
      <c r="H6" s="110"/>
      <c r="I6" s="110"/>
      <c r="J6" s="110"/>
      <c r="K6" s="104" t="s">
        <v>52</v>
      </c>
      <c r="L6" s="104" t="s">
        <v>53</v>
      </c>
      <c r="M6" s="18"/>
    </row>
    <row r="7" spans="1:13" s="19" customFormat="1">
      <c r="A7" s="17"/>
      <c r="B7" s="104"/>
      <c r="C7" s="104"/>
      <c r="D7" s="104"/>
      <c r="E7" s="104" t="s">
        <v>54</v>
      </c>
      <c r="F7" s="104" t="s">
        <v>55</v>
      </c>
      <c r="G7" s="104" t="s">
        <v>54</v>
      </c>
      <c r="H7" s="104" t="s">
        <v>56</v>
      </c>
      <c r="I7" s="104" t="s">
        <v>54</v>
      </c>
      <c r="J7" s="104" t="s">
        <v>57</v>
      </c>
      <c r="K7" s="104"/>
      <c r="L7" s="104"/>
      <c r="M7" s="18"/>
    </row>
    <row r="8" spans="1:13">
      <c r="A8" s="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21"/>
    </row>
    <row r="9" spans="1:13">
      <c r="A9" s="20"/>
      <c r="B9" s="22">
        <v>1</v>
      </c>
      <c r="C9" s="23">
        <f>'Fuel Diesel'!C9</f>
        <v>26</v>
      </c>
      <c r="D9" s="23">
        <f>'Fuel Diesel'!D9</f>
        <v>120</v>
      </c>
      <c r="E9" s="24">
        <v>0</v>
      </c>
      <c r="F9" s="26">
        <f>E9*13582</f>
        <v>0</v>
      </c>
      <c r="G9" s="24">
        <v>58</v>
      </c>
      <c r="H9" s="26">
        <f>G9*4000</f>
        <v>232000</v>
      </c>
      <c r="I9" s="24">
        <v>110</v>
      </c>
      <c r="J9" s="26">
        <f>I9*4000</f>
        <v>440000</v>
      </c>
      <c r="K9" s="24">
        <f t="shared" ref="K9:K39" si="0">F9+H9+J9</f>
        <v>672000</v>
      </c>
      <c r="L9" s="75">
        <f>K9/14381</f>
        <v>46.7283220916487</v>
      </c>
      <c r="M9" s="21"/>
    </row>
    <row r="10" spans="1:13">
      <c r="A10" s="20"/>
      <c r="B10" s="22">
        <v>2</v>
      </c>
      <c r="C10" s="23">
        <f>'Fuel Diesel'!C10</f>
        <v>29</v>
      </c>
      <c r="D10" s="23">
        <f>'Fuel Diesel'!D10</f>
        <v>148</v>
      </c>
      <c r="E10" s="24">
        <v>0</v>
      </c>
      <c r="F10" s="26">
        <f>E10*13582</f>
        <v>0</v>
      </c>
      <c r="G10" s="24">
        <v>69</v>
      </c>
      <c r="H10" s="26">
        <f>G10*4000</f>
        <v>276000</v>
      </c>
      <c r="I10" s="24">
        <v>116</v>
      </c>
      <c r="J10" s="26">
        <f>I10*4000</f>
        <v>464000</v>
      </c>
      <c r="K10" s="24">
        <f t="shared" si="0"/>
        <v>740000</v>
      </c>
      <c r="L10" s="75">
        <f t="shared" ref="L10:L39" si="1">K10/14381</f>
        <v>51.456783255684584</v>
      </c>
      <c r="M10" s="21"/>
    </row>
    <row r="11" spans="1:13">
      <c r="A11" s="20"/>
      <c r="B11" s="22">
        <v>3</v>
      </c>
      <c r="C11" s="23">
        <f>'Fuel Diesel'!C11</f>
        <v>36</v>
      </c>
      <c r="D11" s="23">
        <f>'Fuel Diesel'!D11</f>
        <v>139</v>
      </c>
      <c r="E11" s="24">
        <v>0</v>
      </c>
      <c r="F11" s="26">
        <f t="shared" ref="F11:F39" si="2">E11*13582</f>
        <v>0</v>
      </c>
      <c r="G11" s="24">
        <v>66</v>
      </c>
      <c r="H11" s="26">
        <f t="shared" ref="H11:H39" si="3">G11*4000</f>
        <v>264000</v>
      </c>
      <c r="I11" s="24">
        <v>117</v>
      </c>
      <c r="J11" s="26">
        <f t="shared" ref="J11:J39" si="4">I11*4000</f>
        <v>468000</v>
      </c>
      <c r="K11" s="24">
        <f t="shared" si="0"/>
        <v>732000</v>
      </c>
      <c r="L11" s="75">
        <f t="shared" si="1"/>
        <v>50.90049370697448</v>
      </c>
      <c r="M11" s="21"/>
    </row>
    <row r="12" spans="1:13">
      <c r="A12" s="20"/>
      <c r="B12" s="22">
        <v>4</v>
      </c>
      <c r="C12" s="23">
        <f>'Fuel Diesel'!C12</f>
        <v>33</v>
      </c>
      <c r="D12" s="23">
        <f>'Fuel Diesel'!D12</f>
        <v>127</v>
      </c>
      <c r="E12" s="24">
        <v>0</v>
      </c>
      <c r="F12" s="26">
        <f t="shared" si="2"/>
        <v>0</v>
      </c>
      <c r="G12" s="24">
        <v>64</v>
      </c>
      <c r="H12" s="26">
        <f t="shared" si="3"/>
        <v>256000</v>
      </c>
      <c r="I12" s="24">
        <v>112</v>
      </c>
      <c r="J12" s="26">
        <f t="shared" si="4"/>
        <v>448000</v>
      </c>
      <c r="K12" s="24">
        <f t="shared" si="0"/>
        <v>704000</v>
      </c>
      <c r="L12" s="75">
        <f t="shared" si="1"/>
        <v>48.953480286489118</v>
      </c>
      <c r="M12" s="21"/>
    </row>
    <row r="13" spans="1:13">
      <c r="A13" s="20"/>
      <c r="B13" s="22">
        <v>5</v>
      </c>
      <c r="C13" s="23">
        <f>'Fuel Diesel'!C13</f>
        <v>31</v>
      </c>
      <c r="D13" s="23">
        <f>'Fuel Diesel'!D13</f>
        <v>149</v>
      </c>
      <c r="E13" s="24">
        <v>0</v>
      </c>
      <c r="F13" s="26">
        <f t="shared" si="2"/>
        <v>0</v>
      </c>
      <c r="G13" s="24">
        <v>62</v>
      </c>
      <c r="H13" s="26">
        <f t="shared" si="3"/>
        <v>248000</v>
      </c>
      <c r="I13" s="24">
        <v>110</v>
      </c>
      <c r="J13" s="26">
        <f t="shared" si="4"/>
        <v>440000</v>
      </c>
      <c r="K13" s="24">
        <f t="shared" si="0"/>
        <v>688000</v>
      </c>
      <c r="L13" s="75">
        <f t="shared" si="1"/>
        <v>47.840901189068909</v>
      </c>
      <c r="M13" s="21"/>
    </row>
    <row r="14" spans="1:13">
      <c r="A14" s="20"/>
      <c r="B14" s="22">
        <v>6</v>
      </c>
      <c r="C14" s="23">
        <f>'Fuel Diesel'!C14</f>
        <v>29</v>
      </c>
      <c r="D14" s="23">
        <f>'Fuel Diesel'!D14</f>
        <v>113</v>
      </c>
      <c r="E14" s="24">
        <v>0</v>
      </c>
      <c r="F14" s="26">
        <f t="shared" si="2"/>
        <v>0</v>
      </c>
      <c r="G14" s="24">
        <v>57</v>
      </c>
      <c r="H14" s="26">
        <f t="shared" si="3"/>
        <v>228000</v>
      </c>
      <c r="I14" s="24">
        <v>100</v>
      </c>
      <c r="J14" s="26">
        <f t="shared" si="4"/>
        <v>400000</v>
      </c>
      <c r="K14" s="24">
        <f t="shared" si="0"/>
        <v>628000</v>
      </c>
      <c r="L14" s="75">
        <f t="shared" si="1"/>
        <v>43.668729573743136</v>
      </c>
      <c r="M14" s="21"/>
    </row>
    <row r="15" spans="1:13">
      <c r="A15" s="20"/>
      <c r="B15" s="22">
        <v>7</v>
      </c>
      <c r="C15" s="23">
        <f>'Fuel Diesel'!C15</f>
        <v>29</v>
      </c>
      <c r="D15" s="23">
        <f>'Fuel Diesel'!D15</f>
        <v>112</v>
      </c>
      <c r="E15" s="24">
        <v>0</v>
      </c>
      <c r="F15" s="26">
        <f t="shared" si="2"/>
        <v>0</v>
      </c>
      <c r="G15" s="24">
        <v>59</v>
      </c>
      <c r="H15" s="26">
        <f t="shared" si="3"/>
        <v>236000</v>
      </c>
      <c r="I15" s="24">
        <v>115</v>
      </c>
      <c r="J15" s="26">
        <f t="shared" si="4"/>
        <v>460000</v>
      </c>
      <c r="K15" s="24">
        <f t="shared" si="0"/>
        <v>696000</v>
      </c>
      <c r="L15" s="75">
        <f t="shared" si="1"/>
        <v>48.397190737779013</v>
      </c>
      <c r="M15" s="21"/>
    </row>
    <row r="16" spans="1:13">
      <c r="A16" s="20"/>
      <c r="B16" s="22">
        <v>8</v>
      </c>
      <c r="C16" s="23">
        <f>'Fuel Diesel'!C16</f>
        <v>24</v>
      </c>
      <c r="D16" s="23">
        <f>'Fuel Diesel'!D16</f>
        <v>178</v>
      </c>
      <c r="E16" s="24">
        <v>0</v>
      </c>
      <c r="F16" s="26">
        <f t="shared" si="2"/>
        <v>0</v>
      </c>
      <c r="G16" s="24">
        <v>59</v>
      </c>
      <c r="H16" s="26">
        <f t="shared" si="3"/>
        <v>236000</v>
      </c>
      <c r="I16" s="24">
        <v>95</v>
      </c>
      <c r="J16" s="26">
        <f t="shared" si="4"/>
        <v>380000</v>
      </c>
      <c r="K16" s="24">
        <f t="shared" si="0"/>
        <v>616000</v>
      </c>
      <c r="L16" s="75">
        <f t="shared" si="1"/>
        <v>42.834295250677975</v>
      </c>
      <c r="M16" s="21"/>
    </row>
    <row r="17" spans="1:13">
      <c r="A17" s="20"/>
      <c r="B17" s="22">
        <v>9</v>
      </c>
      <c r="C17" s="23">
        <f>'Fuel Diesel'!C17</f>
        <v>39</v>
      </c>
      <c r="D17" s="23">
        <f>'Fuel Diesel'!D17</f>
        <v>145</v>
      </c>
      <c r="E17" s="24">
        <v>0</v>
      </c>
      <c r="F17" s="26">
        <f t="shared" si="2"/>
        <v>0</v>
      </c>
      <c r="G17" s="24">
        <v>58</v>
      </c>
      <c r="H17" s="26">
        <f t="shared" si="3"/>
        <v>232000</v>
      </c>
      <c r="I17" s="24">
        <v>101</v>
      </c>
      <c r="J17" s="26">
        <f t="shared" si="4"/>
        <v>404000</v>
      </c>
      <c r="K17" s="24">
        <f t="shared" si="0"/>
        <v>636000</v>
      </c>
      <c r="L17" s="75">
        <f t="shared" si="1"/>
        <v>44.22501912245324</v>
      </c>
      <c r="M17" s="21"/>
    </row>
    <row r="18" spans="1:13">
      <c r="A18" s="20"/>
      <c r="B18" s="22">
        <v>10</v>
      </c>
      <c r="C18" s="23">
        <f>'Fuel Diesel'!C18</f>
        <v>39</v>
      </c>
      <c r="D18" s="23">
        <f>'Fuel Diesel'!D18</f>
        <v>156</v>
      </c>
      <c r="E18" s="24">
        <v>0</v>
      </c>
      <c r="F18" s="26">
        <f t="shared" si="2"/>
        <v>0</v>
      </c>
      <c r="G18" s="24">
        <v>75</v>
      </c>
      <c r="H18" s="26">
        <f t="shared" si="3"/>
        <v>300000</v>
      </c>
      <c r="I18" s="24">
        <v>123</v>
      </c>
      <c r="J18" s="26">
        <f t="shared" si="4"/>
        <v>492000</v>
      </c>
      <c r="K18" s="24">
        <f t="shared" si="0"/>
        <v>792000</v>
      </c>
      <c r="L18" s="75">
        <f t="shared" si="1"/>
        <v>55.07266532230026</v>
      </c>
      <c r="M18" s="21"/>
    </row>
    <row r="19" spans="1:13">
      <c r="A19" s="20"/>
      <c r="B19" s="22">
        <v>11</v>
      </c>
      <c r="C19" s="23">
        <f>'Fuel Diesel'!C19</f>
        <v>41</v>
      </c>
      <c r="D19" s="23">
        <f>'Fuel Diesel'!D19</f>
        <v>213</v>
      </c>
      <c r="E19" s="24">
        <v>0</v>
      </c>
      <c r="F19" s="26">
        <f t="shared" si="2"/>
        <v>0</v>
      </c>
      <c r="G19" s="24">
        <v>73</v>
      </c>
      <c r="H19" s="26">
        <f t="shared" si="3"/>
        <v>292000</v>
      </c>
      <c r="I19" s="24">
        <v>136</v>
      </c>
      <c r="J19" s="26">
        <f t="shared" si="4"/>
        <v>544000</v>
      </c>
      <c r="K19" s="24">
        <f t="shared" si="0"/>
        <v>836000</v>
      </c>
      <c r="L19" s="75">
        <f t="shared" si="1"/>
        <v>58.132257840205824</v>
      </c>
      <c r="M19" s="21"/>
    </row>
    <row r="20" spans="1:13">
      <c r="A20" s="20"/>
      <c r="B20" s="22">
        <v>12</v>
      </c>
      <c r="C20" s="23">
        <f>'Fuel Diesel'!C20</f>
        <v>29</v>
      </c>
      <c r="D20" s="23">
        <f>'Fuel Diesel'!D20</f>
        <v>136</v>
      </c>
      <c r="E20" s="24">
        <v>0</v>
      </c>
      <c r="F20" s="26">
        <f t="shared" si="2"/>
        <v>0</v>
      </c>
      <c r="G20" s="24">
        <v>67</v>
      </c>
      <c r="H20" s="26">
        <f>G20*4000</f>
        <v>268000</v>
      </c>
      <c r="I20" s="24">
        <v>120</v>
      </c>
      <c r="J20" s="26">
        <f t="shared" si="4"/>
        <v>480000</v>
      </c>
      <c r="K20" s="24">
        <f t="shared" si="0"/>
        <v>748000</v>
      </c>
      <c r="L20" s="75">
        <f t="shared" si="1"/>
        <v>52.013072804394689</v>
      </c>
      <c r="M20" s="21"/>
    </row>
    <row r="21" spans="1:13">
      <c r="A21" s="20"/>
      <c r="B21" s="22">
        <v>13</v>
      </c>
      <c r="C21" s="23">
        <f>'Fuel Diesel'!C21</f>
        <v>31</v>
      </c>
      <c r="D21" s="23">
        <f>'Fuel Diesel'!D21</f>
        <v>133</v>
      </c>
      <c r="E21" s="24">
        <v>0</v>
      </c>
      <c r="F21" s="26">
        <f t="shared" si="2"/>
        <v>0</v>
      </c>
      <c r="G21" s="24">
        <v>61</v>
      </c>
      <c r="H21" s="26">
        <f t="shared" si="3"/>
        <v>244000</v>
      </c>
      <c r="I21" s="24">
        <v>105</v>
      </c>
      <c r="J21" s="26">
        <f t="shared" si="4"/>
        <v>420000</v>
      </c>
      <c r="K21" s="24">
        <f t="shared" si="0"/>
        <v>664000</v>
      </c>
      <c r="L21" s="75">
        <f t="shared" si="1"/>
        <v>46.172032542938602</v>
      </c>
      <c r="M21" s="21"/>
    </row>
    <row r="22" spans="1:13">
      <c r="A22" s="20"/>
      <c r="B22" s="22">
        <v>14</v>
      </c>
      <c r="C22" s="23">
        <f>'Fuel Diesel'!C22</f>
        <v>42</v>
      </c>
      <c r="D22" s="23">
        <f>'Fuel Diesel'!D22</f>
        <v>137</v>
      </c>
      <c r="E22" s="24">
        <v>0</v>
      </c>
      <c r="F22" s="26">
        <f t="shared" si="2"/>
        <v>0</v>
      </c>
      <c r="G22" s="24">
        <v>73</v>
      </c>
      <c r="H22" s="26">
        <f t="shared" si="3"/>
        <v>292000</v>
      </c>
      <c r="I22" s="24">
        <v>128</v>
      </c>
      <c r="J22" s="26">
        <f t="shared" si="4"/>
        <v>512000</v>
      </c>
      <c r="K22" s="24">
        <f t="shared" si="0"/>
        <v>804000</v>
      </c>
      <c r="L22" s="75">
        <f t="shared" si="1"/>
        <v>55.907099645365413</v>
      </c>
      <c r="M22" s="21"/>
    </row>
    <row r="23" spans="1:13">
      <c r="A23" s="20"/>
      <c r="B23" s="22">
        <v>15</v>
      </c>
      <c r="C23" s="23">
        <f>'Fuel Diesel'!C23</f>
        <v>41</v>
      </c>
      <c r="D23" s="23">
        <f>'Fuel Diesel'!D23</f>
        <v>184</v>
      </c>
      <c r="E23" s="24">
        <v>96</v>
      </c>
      <c r="F23" s="26">
        <f t="shared" si="2"/>
        <v>1303872</v>
      </c>
      <c r="G23" s="24">
        <v>46</v>
      </c>
      <c r="H23" s="26">
        <f t="shared" si="3"/>
        <v>184000</v>
      </c>
      <c r="I23" s="24">
        <v>81</v>
      </c>
      <c r="J23" s="26">
        <f t="shared" si="4"/>
        <v>324000</v>
      </c>
      <c r="K23" s="24">
        <f t="shared" si="0"/>
        <v>1811872</v>
      </c>
      <c r="L23" s="75">
        <f t="shared" si="1"/>
        <v>125.9906821500591</v>
      </c>
      <c r="M23" s="21"/>
    </row>
    <row r="24" spans="1:13">
      <c r="A24" s="20"/>
      <c r="B24" s="22">
        <v>16</v>
      </c>
      <c r="C24" s="23">
        <f>'Fuel Diesel'!C24</f>
        <v>45</v>
      </c>
      <c r="D24" s="23">
        <f>'Fuel Diesel'!D24</f>
        <v>200</v>
      </c>
      <c r="E24" s="24">
        <v>1</v>
      </c>
      <c r="F24" s="26">
        <f t="shared" si="2"/>
        <v>13582</v>
      </c>
      <c r="G24" s="24">
        <v>79</v>
      </c>
      <c r="H24" s="26">
        <f t="shared" si="3"/>
        <v>316000</v>
      </c>
      <c r="I24" s="24">
        <v>140</v>
      </c>
      <c r="J24" s="26">
        <f t="shared" si="4"/>
        <v>560000</v>
      </c>
      <c r="K24" s="24">
        <f t="shared" si="0"/>
        <v>889582</v>
      </c>
      <c r="L24" s="75">
        <f t="shared" si="1"/>
        <v>61.858146165078921</v>
      </c>
      <c r="M24" s="21"/>
    </row>
    <row r="25" spans="1:13">
      <c r="A25" s="20"/>
      <c r="B25" s="22">
        <v>17</v>
      </c>
      <c r="C25" s="23">
        <f>'Fuel Diesel'!C25</f>
        <v>36</v>
      </c>
      <c r="D25" s="23">
        <f>'Fuel Diesel'!D25</f>
        <v>175</v>
      </c>
      <c r="E25" s="24">
        <v>0</v>
      </c>
      <c r="F25" s="26">
        <f t="shared" si="2"/>
        <v>0</v>
      </c>
      <c r="G25" s="24">
        <v>79</v>
      </c>
      <c r="H25" s="26">
        <f t="shared" si="3"/>
        <v>316000</v>
      </c>
      <c r="I25" s="24">
        <v>136</v>
      </c>
      <c r="J25" s="26">
        <f t="shared" si="4"/>
        <v>544000</v>
      </c>
      <c r="K25" s="24">
        <f t="shared" si="0"/>
        <v>860000</v>
      </c>
      <c r="L25" s="75">
        <f t="shared" si="1"/>
        <v>59.801126486336138</v>
      </c>
      <c r="M25" s="21"/>
    </row>
    <row r="26" spans="1:13">
      <c r="A26" s="20"/>
      <c r="B26" s="22">
        <v>18</v>
      </c>
      <c r="C26" s="23">
        <f>'Fuel Diesel'!C26</f>
        <v>37</v>
      </c>
      <c r="D26" s="23">
        <f>'Fuel Diesel'!D26</f>
        <v>168</v>
      </c>
      <c r="E26" s="24">
        <v>0</v>
      </c>
      <c r="F26" s="26">
        <f t="shared" si="2"/>
        <v>0</v>
      </c>
      <c r="G26" s="24">
        <v>84</v>
      </c>
      <c r="H26" s="26">
        <f t="shared" si="3"/>
        <v>336000</v>
      </c>
      <c r="I26" s="24">
        <v>146</v>
      </c>
      <c r="J26" s="26">
        <f t="shared" si="4"/>
        <v>584000</v>
      </c>
      <c r="K26" s="24">
        <f t="shared" si="0"/>
        <v>920000</v>
      </c>
      <c r="L26" s="75">
        <f t="shared" si="1"/>
        <v>63.973298101661918</v>
      </c>
      <c r="M26" s="21"/>
    </row>
    <row r="27" spans="1:13">
      <c r="A27" s="20"/>
      <c r="B27" s="22">
        <v>19</v>
      </c>
      <c r="C27" s="23">
        <f>'Fuel Diesel'!C27</f>
        <v>34</v>
      </c>
      <c r="D27" s="23">
        <f>'Fuel Diesel'!D27</f>
        <v>163</v>
      </c>
      <c r="E27" s="24">
        <v>0</v>
      </c>
      <c r="F27" s="26">
        <f t="shared" si="2"/>
        <v>0</v>
      </c>
      <c r="G27" s="24">
        <v>88</v>
      </c>
      <c r="H27" s="26">
        <f t="shared" si="3"/>
        <v>352000</v>
      </c>
      <c r="I27" s="24">
        <v>155</v>
      </c>
      <c r="J27" s="26">
        <f t="shared" si="4"/>
        <v>620000</v>
      </c>
      <c r="K27" s="24">
        <f t="shared" si="0"/>
        <v>972000</v>
      </c>
      <c r="L27" s="75">
        <f t="shared" si="1"/>
        <v>67.589180168277593</v>
      </c>
      <c r="M27" s="21"/>
    </row>
    <row r="28" spans="1:13">
      <c r="A28" s="20"/>
      <c r="B28" s="22">
        <v>20</v>
      </c>
      <c r="C28" s="23">
        <f>'Fuel Diesel'!C28</f>
        <v>26</v>
      </c>
      <c r="D28" s="23">
        <f>'Fuel Diesel'!D28</f>
        <v>125</v>
      </c>
      <c r="E28" s="24">
        <v>0</v>
      </c>
      <c r="F28" s="26">
        <f t="shared" si="2"/>
        <v>0</v>
      </c>
      <c r="G28" s="24">
        <v>74</v>
      </c>
      <c r="H28" s="26">
        <f t="shared" si="3"/>
        <v>296000</v>
      </c>
      <c r="I28" s="24">
        <v>127</v>
      </c>
      <c r="J28" s="26">
        <f t="shared" si="4"/>
        <v>508000</v>
      </c>
      <c r="K28" s="24">
        <f t="shared" si="0"/>
        <v>804000</v>
      </c>
      <c r="L28" s="75">
        <f t="shared" si="1"/>
        <v>55.907099645365413</v>
      </c>
      <c r="M28" s="21"/>
    </row>
    <row r="29" spans="1:13">
      <c r="A29" s="20"/>
      <c r="B29" s="22">
        <v>21</v>
      </c>
      <c r="C29" s="23">
        <f>'Fuel Diesel'!C29</f>
        <v>31</v>
      </c>
      <c r="D29" s="23">
        <f>'Fuel Diesel'!D29</f>
        <v>167</v>
      </c>
      <c r="E29" s="24">
        <v>0</v>
      </c>
      <c r="F29" s="26">
        <f t="shared" si="2"/>
        <v>0</v>
      </c>
      <c r="G29" s="24">
        <v>70</v>
      </c>
      <c r="H29" s="26">
        <f t="shared" si="3"/>
        <v>280000</v>
      </c>
      <c r="I29" s="24">
        <v>120</v>
      </c>
      <c r="J29" s="26">
        <f t="shared" si="4"/>
        <v>480000</v>
      </c>
      <c r="K29" s="24">
        <f t="shared" si="0"/>
        <v>760000</v>
      </c>
      <c r="L29" s="75">
        <f t="shared" si="1"/>
        <v>52.847507127459842</v>
      </c>
      <c r="M29" s="21"/>
    </row>
    <row r="30" spans="1:13">
      <c r="A30" s="20"/>
      <c r="B30" s="22">
        <v>22</v>
      </c>
      <c r="C30" s="23">
        <f>'Fuel Diesel'!C30</f>
        <v>37</v>
      </c>
      <c r="D30" s="23">
        <f>'Fuel Diesel'!D30</f>
        <v>142</v>
      </c>
      <c r="E30" s="24">
        <v>11</v>
      </c>
      <c r="F30" s="26">
        <f t="shared" si="2"/>
        <v>149402</v>
      </c>
      <c r="G30" s="24">
        <v>65</v>
      </c>
      <c r="H30" s="26">
        <f t="shared" si="3"/>
        <v>260000</v>
      </c>
      <c r="I30" s="24">
        <v>102</v>
      </c>
      <c r="J30" s="26">
        <f t="shared" si="4"/>
        <v>408000</v>
      </c>
      <c r="K30" s="24">
        <f t="shared" si="0"/>
        <v>817402</v>
      </c>
      <c r="L30" s="75">
        <f t="shared" si="1"/>
        <v>56.83902371184201</v>
      </c>
      <c r="M30" s="21"/>
    </row>
    <row r="31" spans="1:13">
      <c r="A31" s="20"/>
      <c r="B31" s="22">
        <v>23</v>
      </c>
      <c r="C31" s="23">
        <f>'Fuel Diesel'!C31</f>
        <v>37</v>
      </c>
      <c r="D31" s="23">
        <f>'Fuel Diesel'!D31</f>
        <v>176</v>
      </c>
      <c r="E31" s="24">
        <v>0</v>
      </c>
      <c r="F31" s="26">
        <f t="shared" si="2"/>
        <v>0</v>
      </c>
      <c r="G31" s="24">
        <v>70</v>
      </c>
      <c r="H31" s="26">
        <f t="shared" si="3"/>
        <v>280000</v>
      </c>
      <c r="I31" s="24">
        <v>120</v>
      </c>
      <c r="J31" s="26">
        <f t="shared" si="4"/>
        <v>480000</v>
      </c>
      <c r="K31" s="24">
        <f t="shared" si="0"/>
        <v>760000</v>
      </c>
      <c r="L31" s="75">
        <f t="shared" si="1"/>
        <v>52.847507127459842</v>
      </c>
      <c r="M31" s="21"/>
    </row>
    <row r="32" spans="1:13">
      <c r="A32" s="20"/>
      <c r="B32" s="22">
        <v>24</v>
      </c>
      <c r="C32" s="23">
        <f>'Fuel Diesel'!C32</f>
        <v>32</v>
      </c>
      <c r="D32" s="23">
        <f>'Fuel Diesel'!D32</f>
        <v>179</v>
      </c>
      <c r="E32" s="24">
        <v>0</v>
      </c>
      <c r="F32" s="26">
        <f t="shared" si="2"/>
        <v>0</v>
      </c>
      <c r="G32" s="24">
        <v>79</v>
      </c>
      <c r="H32" s="26">
        <f t="shared" si="3"/>
        <v>316000</v>
      </c>
      <c r="I32" s="24">
        <v>105</v>
      </c>
      <c r="J32" s="26">
        <f t="shared" si="4"/>
        <v>420000</v>
      </c>
      <c r="K32" s="24">
        <f t="shared" si="0"/>
        <v>736000</v>
      </c>
      <c r="L32" s="75">
        <f t="shared" si="1"/>
        <v>51.178638481329529</v>
      </c>
      <c r="M32" s="21"/>
    </row>
    <row r="33" spans="1:15">
      <c r="A33" s="20"/>
      <c r="B33" s="22">
        <v>25</v>
      </c>
      <c r="C33" s="23">
        <f>'Fuel Diesel'!C33</f>
        <v>40</v>
      </c>
      <c r="D33" s="23">
        <f>'Fuel Diesel'!D33</f>
        <v>162</v>
      </c>
      <c r="E33" s="24">
        <v>0</v>
      </c>
      <c r="F33" s="26">
        <f t="shared" si="2"/>
        <v>0</v>
      </c>
      <c r="G33" s="24">
        <v>74</v>
      </c>
      <c r="H33" s="26">
        <f t="shared" si="3"/>
        <v>296000</v>
      </c>
      <c r="I33" s="24">
        <v>119</v>
      </c>
      <c r="J33" s="26">
        <f t="shared" si="4"/>
        <v>476000</v>
      </c>
      <c r="K33" s="24">
        <f t="shared" si="0"/>
        <v>772000</v>
      </c>
      <c r="L33" s="75">
        <f t="shared" si="1"/>
        <v>53.681941450524995</v>
      </c>
      <c r="M33" s="21"/>
    </row>
    <row r="34" spans="1:15">
      <c r="A34" s="20"/>
      <c r="B34" s="22">
        <v>26</v>
      </c>
      <c r="C34" s="23">
        <f>'Fuel Diesel'!C34</f>
        <v>34</v>
      </c>
      <c r="D34" s="23">
        <f>'Fuel Diesel'!D34</f>
        <v>179</v>
      </c>
      <c r="E34" s="24">
        <v>0</v>
      </c>
      <c r="F34" s="26">
        <f t="shared" si="2"/>
        <v>0</v>
      </c>
      <c r="G34" s="24">
        <v>79</v>
      </c>
      <c r="H34" s="26">
        <f t="shared" si="3"/>
        <v>316000</v>
      </c>
      <c r="I34" s="24">
        <v>135</v>
      </c>
      <c r="J34" s="26">
        <f t="shared" si="4"/>
        <v>540000</v>
      </c>
      <c r="K34" s="24">
        <f t="shared" si="0"/>
        <v>856000</v>
      </c>
      <c r="L34" s="75">
        <f t="shared" si="1"/>
        <v>59.522981711981089</v>
      </c>
      <c r="M34" s="21"/>
    </row>
    <row r="35" spans="1:15">
      <c r="A35" s="20"/>
      <c r="B35" s="22">
        <v>27</v>
      </c>
      <c r="C35" s="23">
        <f>'Fuel Diesel'!C35</f>
        <v>34</v>
      </c>
      <c r="D35" s="23">
        <f>'Fuel Diesel'!D35</f>
        <v>117</v>
      </c>
      <c r="E35" s="24">
        <v>0</v>
      </c>
      <c r="F35" s="26">
        <f t="shared" si="2"/>
        <v>0</v>
      </c>
      <c r="G35" s="24">
        <v>78</v>
      </c>
      <c r="H35" s="26">
        <f t="shared" si="3"/>
        <v>312000</v>
      </c>
      <c r="I35" s="24">
        <v>132</v>
      </c>
      <c r="J35" s="26">
        <f t="shared" si="4"/>
        <v>528000</v>
      </c>
      <c r="K35" s="24">
        <f t="shared" si="0"/>
        <v>840000</v>
      </c>
      <c r="L35" s="75">
        <f t="shared" si="1"/>
        <v>58.41040261456088</v>
      </c>
      <c r="M35" s="21"/>
    </row>
    <row r="36" spans="1:15">
      <c r="A36" s="20"/>
      <c r="B36" s="22">
        <v>28</v>
      </c>
      <c r="C36" s="23">
        <f>'Fuel Diesel'!C36</f>
        <v>34</v>
      </c>
      <c r="D36" s="23">
        <f>'Fuel Diesel'!D36</f>
        <v>185</v>
      </c>
      <c r="E36" s="24">
        <v>2</v>
      </c>
      <c r="F36" s="26">
        <f t="shared" si="2"/>
        <v>27164</v>
      </c>
      <c r="G36" s="24">
        <v>73</v>
      </c>
      <c r="H36" s="26">
        <f t="shared" si="3"/>
        <v>292000</v>
      </c>
      <c r="I36" s="24">
        <v>124</v>
      </c>
      <c r="J36" s="26">
        <f t="shared" si="4"/>
        <v>496000</v>
      </c>
      <c r="K36" s="24">
        <f t="shared" si="0"/>
        <v>815164</v>
      </c>
      <c r="L36" s="75">
        <f t="shared" si="1"/>
        <v>56.68340171059036</v>
      </c>
      <c r="M36" s="21"/>
    </row>
    <row r="37" spans="1:15">
      <c r="A37" s="20"/>
      <c r="B37" s="22">
        <v>29</v>
      </c>
      <c r="C37" s="23">
        <f>'Fuel Diesel'!C37</f>
        <v>29</v>
      </c>
      <c r="D37" s="23">
        <f>'Fuel Diesel'!D37</f>
        <v>202</v>
      </c>
      <c r="E37" s="24">
        <v>16</v>
      </c>
      <c r="F37" s="26">
        <f t="shared" si="2"/>
        <v>217312</v>
      </c>
      <c r="G37" s="24">
        <v>69</v>
      </c>
      <c r="H37" s="26">
        <f t="shared" si="3"/>
        <v>276000</v>
      </c>
      <c r="I37" s="24">
        <v>118</v>
      </c>
      <c r="J37" s="26">
        <f t="shared" si="4"/>
        <v>472000</v>
      </c>
      <c r="K37" s="24">
        <f t="shared" si="0"/>
        <v>965312</v>
      </c>
      <c r="L37" s="75">
        <f t="shared" si="1"/>
        <v>67.124122105555941</v>
      </c>
      <c r="M37" s="21"/>
    </row>
    <row r="38" spans="1:15">
      <c r="A38" s="20"/>
      <c r="B38" s="22">
        <v>30</v>
      </c>
      <c r="C38" s="23">
        <f>'Fuel Diesel'!C38</f>
        <v>29</v>
      </c>
      <c r="D38" s="23">
        <f>'Fuel Diesel'!D38</f>
        <v>163</v>
      </c>
      <c r="E38" s="24">
        <v>0</v>
      </c>
      <c r="F38" s="26">
        <f t="shared" si="2"/>
        <v>0</v>
      </c>
      <c r="G38" s="24">
        <v>69</v>
      </c>
      <c r="H38" s="26">
        <f t="shared" si="3"/>
        <v>276000</v>
      </c>
      <c r="I38" s="24">
        <v>123</v>
      </c>
      <c r="J38" s="26">
        <f t="shared" si="4"/>
        <v>492000</v>
      </c>
      <c r="K38" s="24">
        <f t="shared" si="0"/>
        <v>768000</v>
      </c>
      <c r="L38" s="75">
        <f t="shared" si="1"/>
        <v>53.403796676169947</v>
      </c>
      <c r="M38" s="21"/>
    </row>
    <row r="39" spans="1:15">
      <c r="A39" s="20"/>
      <c r="B39" s="22">
        <v>31</v>
      </c>
      <c r="C39" s="23">
        <f>'Fuel Diesel'!C39</f>
        <v>28</v>
      </c>
      <c r="D39" s="23">
        <f>'Fuel Diesel'!D39</f>
        <v>71</v>
      </c>
      <c r="E39" s="24">
        <v>1</v>
      </c>
      <c r="F39" s="26">
        <f t="shared" si="2"/>
        <v>13582</v>
      </c>
      <c r="G39" s="24">
        <v>77</v>
      </c>
      <c r="H39" s="26">
        <f t="shared" si="3"/>
        <v>308000</v>
      </c>
      <c r="I39" s="24">
        <v>111</v>
      </c>
      <c r="J39" s="26">
        <f t="shared" si="4"/>
        <v>444000</v>
      </c>
      <c r="K39" s="24">
        <f t="shared" si="0"/>
        <v>765582</v>
      </c>
      <c r="L39" s="75">
        <f t="shared" si="1"/>
        <v>53.235658160072319</v>
      </c>
      <c r="M39" s="21"/>
    </row>
    <row r="40" spans="1:15">
      <c r="C40" s="30">
        <f>SUM(C9:C39)</f>
        <v>1042</v>
      </c>
      <c r="D40" s="30">
        <f>SUM(D9:D39)</f>
        <v>4764</v>
      </c>
      <c r="E40" s="30">
        <v>0</v>
      </c>
      <c r="G40" s="30">
        <f>SUM(G9:G39)</f>
        <v>2154</v>
      </c>
      <c r="I40" s="30">
        <f>SUM(I9:I39)</f>
        <v>3682</v>
      </c>
      <c r="J40" s="87">
        <f>G40+I40</f>
        <v>5836</v>
      </c>
      <c r="K40" s="76"/>
      <c r="L40" s="81">
        <f>SUM(L9:L39)</f>
        <v>1743.1968569640499</v>
      </c>
      <c r="O40" s="35"/>
    </row>
    <row r="41" spans="1:15">
      <c r="H41" s="86" t="s">
        <v>58</v>
      </c>
      <c r="I41" s="85">
        <f>G40+I40</f>
        <v>5836</v>
      </c>
      <c r="L41" s="36"/>
    </row>
    <row r="42" spans="1:15">
      <c r="E42" s="19"/>
      <c r="F42" s="19"/>
      <c r="G42" s="19"/>
      <c r="H42" s="19"/>
      <c r="I42" s="77"/>
      <c r="J42" s="77"/>
      <c r="L42" s="38"/>
    </row>
    <row r="43" spans="1:15">
      <c r="E43" s="19"/>
      <c r="F43" s="19"/>
      <c r="G43" s="19"/>
      <c r="H43" s="19"/>
      <c r="I43" s="77"/>
      <c r="J43" s="77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AAAFBA-24AE-41D5-B538-7FF216155BDB}"/>
</file>

<file path=customXml/itemProps2.xml><?xml version="1.0" encoding="utf-8"?>
<ds:datastoreItem xmlns:ds="http://schemas.openxmlformats.org/officeDocument/2006/customXml" ds:itemID="{E1F59F86-2A63-47CA-80BE-C2B91424620F}"/>
</file>

<file path=customXml/itemProps3.xml><?xml version="1.0" encoding="utf-8"?>
<ds:datastoreItem xmlns:ds="http://schemas.openxmlformats.org/officeDocument/2006/customXml" ds:itemID="{4010D56E-76D4-4A07-ADB0-326CB9B39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2022-11-07T09:59:57Z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