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1 au 30.1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35" i="6" l="1"/>
  <c r="E35" i="6"/>
  <c r="C35" i="6"/>
  <c r="M30" i="4"/>
  <c r="J30" i="4"/>
  <c r="K30" i="4" s="1"/>
  <c r="M29" i="4"/>
  <c r="J29" i="4"/>
  <c r="K29" i="4" s="1"/>
  <c r="G34" i="6" l="1"/>
  <c r="E34" i="6"/>
  <c r="C34" i="6"/>
  <c r="G33" i="6"/>
  <c r="E33" i="6"/>
  <c r="C33" i="6"/>
  <c r="G28" i="4"/>
  <c r="E28" i="4"/>
  <c r="C28" i="4"/>
  <c r="G32" i="6" l="1"/>
  <c r="E32" i="6"/>
  <c r="C32" i="6"/>
  <c r="G27" i="4"/>
  <c r="E27" i="4"/>
  <c r="C27" i="4"/>
  <c r="G31" i="6" l="1"/>
  <c r="E31" i="6"/>
  <c r="C31" i="6"/>
  <c r="G30" i="6"/>
  <c r="E30" i="6"/>
  <c r="C30" i="6"/>
  <c r="G29" i="6"/>
  <c r="E29" i="6"/>
  <c r="C29" i="6"/>
  <c r="M26" i="4"/>
  <c r="J26" i="4"/>
  <c r="K26" i="4" s="1"/>
  <c r="M25" i="4"/>
  <c r="J25" i="4"/>
  <c r="K25" i="4" s="1"/>
  <c r="M24" i="4"/>
  <c r="J24" i="4"/>
  <c r="K24" i="4" s="1"/>
  <c r="G28" i="6" l="1"/>
  <c r="E28" i="6"/>
  <c r="C28" i="6"/>
  <c r="G23" i="4"/>
  <c r="E23" i="4"/>
  <c r="C23" i="4"/>
  <c r="G27" i="6" l="1"/>
  <c r="E27" i="6"/>
  <c r="C27" i="6"/>
  <c r="G22" i="4"/>
  <c r="E22" i="4"/>
  <c r="C22" i="4"/>
  <c r="G26" i="6" l="1"/>
  <c r="E26" i="6"/>
  <c r="C26" i="6"/>
  <c r="G25" i="6"/>
  <c r="E25" i="6"/>
  <c r="C25" i="6"/>
  <c r="G24" i="6"/>
  <c r="E24" i="6"/>
  <c r="C24" i="6"/>
  <c r="M21" i="4"/>
  <c r="K21" i="4"/>
  <c r="J21" i="4"/>
  <c r="M20" i="4"/>
  <c r="J20" i="4"/>
  <c r="K20" i="4" s="1"/>
  <c r="M19" i="4"/>
  <c r="J19" i="4"/>
  <c r="K19" i="4" s="1"/>
  <c r="M18" i="4"/>
  <c r="J18" i="4"/>
  <c r="K18" i="4" s="1"/>
  <c r="G23" i="6" l="1"/>
  <c r="E23" i="6"/>
  <c r="C23" i="6"/>
  <c r="G22" i="6" l="1"/>
  <c r="E22" i="6"/>
  <c r="C22" i="6"/>
  <c r="G21" i="6"/>
  <c r="E21" i="6"/>
  <c r="C21" i="6"/>
  <c r="G20" i="6"/>
  <c r="E20" i="6"/>
  <c r="C20" i="6"/>
  <c r="G17" i="4"/>
  <c r="E17" i="4"/>
  <c r="C17" i="4"/>
  <c r="G16" i="4"/>
  <c r="E16" i="4"/>
  <c r="C16" i="4"/>
  <c r="G15" i="4"/>
  <c r="E15" i="4"/>
  <c r="C15" i="4"/>
  <c r="G19" i="6" l="1"/>
  <c r="E19" i="6"/>
  <c r="C19" i="6"/>
  <c r="G14" i="4"/>
  <c r="E14" i="4"/>
  <c r="C14" i="4"/>
  <c r="C11" i="4" l="1"/>
  <c r="C12" i="4"/>
  <c r="C13" i="4"/>
  <c r="E12" i="4"/>
  <c r="E13" i="4"/>
  <c r="G12" i="4"/>
  <c r="G13" i="4"/>
  <c r="C16" i="6"/>
  <c r="C17" i="6"/>
  <c r="C18" i="6"/>
  <c r="E16" i="6"/>
  <c r="E17" i="6"/>
  <c r="E18" i="6"/>
  <c r="G16" i="6"/>
  <c r="G17" i="6"/>
  <c r="G18" i="6"/>
  <c r="W30" i="1" l="1"/>
  <c r="W31" i="1"/>
  <c r="W32" i="1"/>
  <c r="W33" i="1"/>
  <c r="W34" i="1"/>
  <c r="W35" i="1"/>
  <c r="W36" i="1"/>
  <c r="W37" i="1"/>
  <c r="W38" i="1"/>
  <c r="W39" i="1"/>
  <c r="W40" i="1"/>
  <c r="U30" i="1" l="1"/>
  <c r="U31" i="1"/>
  <c r="U32" i="1"/>
  <c r="U33" i="1"/>
  <c r="U34" i="1"/>
  <c r="U35" i="1"/>
  <c r="U36" i="1"/>
  <c r="U37" i="1"/>
  <c r="U38" i="1"/>
  <c r="U39" i="1"/>
  <c r="U4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0" i="1"/>
  <c r="E48" i="6"/>
  <c r="C48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48" i="6"/>
  <c r="J10" i="1"/>
  <c r="D10" i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G11" i="4"/>
  <c r="E11" i="4"/>
  <c r="G9" i="4"/>
  <c r="E9" i="4"/>
  <c r="C9" i="4"/>
  <c r="G8" i="4"/>
  <c r="E8" i="4"/>
  <c r="C8" i="4"/>
  <c r="G7" i="4"/>
  <c r="E7" i="4"/>
  <c r="C7" i="4"/>
  <c r="G6" i="4"/>
  <c r="E6" i="4"/>
  <c r="C6" i="4"/>
  <c r="G4" i="4"/>
  <c r="E4" i="4"/>
  <c r="C4" i="4"/>
  <c r="C42" i="4"/>
  <c r="E42" i="4"/>
  <c r="G42" i="4"/>
  <c r="D41" i="1" l="1"/>
  <c r="J41" i="1"/>
  <c r="K41" i="1"/>
  <c r="M41" i="4"/>
  <c r="J41" i="4"/>
  <c r="K41" i="4" s="1"/>
  <c r="M40" i="4"/>
  <c r="J40" i="4"/>
  <c r="K40" i="4" s="1"/>
  <c r="M34" i="4" l="1"/>
  <c r="J34" i="4"/>
  <c r="K34" i="4" s="1"/>
  <c r="M33" i="4"/>
  <c r="J33" i="4"/>
  <c r="K33" i="4" s="1"/>
  <c r="M14" i="4" l="1"/>
  <c r="J14" i="4"/>
  <c r="K14" i="4" s="1"/>
  <c r="M13" i="4"/>
  <c r="J13" i="4"/>
  <c r="K13" i="4" s="1"/>
  <c r="M12" i="4"/>
  <c r="J12" i="4"/>
  <c r="K12" i="4" s="1"/>
  <c r="F35" i="1" l="1"/>
  <c r="M32" i="1"/>
  <c r="K24" i="10"/>
  <c r="K23" i="10"/>
  <c r="K21" i="10"/>
  <c r="F27" i="1"/>
  <c r="K7" i="10"/>
  <c r="K6" i="10"/>
  <c r="K3" i="10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F24" i="1"/>
  <c r="K15" i="10"/>
  <c r="K12" i="10"/>
  <c r="F20" i="1"/>
  <c r="F18" i="1"/>
  <c r="K10" i="10"/>
  <c r="F15" i="1"/>
  <c r="F13" i="1"/>
  <c r="K17" i="10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J35" i="4"/>
  <c r="K35" i="4" s="1"/>
  <c r="J42" i="4"/>
  <c r="K42" i="4" s="1"/>
  <c r="L42" i="4"/>
  <c r="M35" i="4"/>
  <c r="I19" i="6"/>
  <c r="L13" i="1" s="1"/>
  <c r="I20" i="6"/>
  <c r="L14" i="1" s="1"/>
  <c r="I21" i="6"/>
  <c r="L15" i="1" s="1"/>
  <c r="I22" i="6"/>
  <c r="L16" i="1" s="1"/>
  <c r="I23" i="6"/>
  <c r="L17" i="1" s="1"/>
  <c r="I24" i="6"/>
  <c r="L18" i="1" s="1"/>
  <c r="I25" i="6"/>
  <c r="L19" i="1" s="1"/>
  <c r="I26" i="6"/>
  <c r="L20" i="1" s="1"/>
  <c r="I27" i="6"/>
  <c r="I28" i="6"/>
  <c r="L22" i="1" s="1"/>
  <c r="I29" i="6"/>
  <c r="L23" i="1" s="1"/>
  <c r="I30" i="6"/>
  <c r="L24" i="1" s="1"/>
  <c r="I31" i="6"/>
  <c r="I32" i="6"/>
  <c r="L26" i="1" s="1"/>
  <c r="I33" i="6"/>
  <c r="L27" i="1" s="1"/>
  <c r="I34" i="6"/>
  <c r="L28" i="1" s="1"/>
  <c r="I35" i="6"/>
  <c r="L29" i="1" s="1"/>
  <c r="I36" i="6"/>
  <c r="I37" i="6"/>
  <c r="I38" i="6"/>
  <c r="M33" i="1" s="1"/>
  <c r="I39" i="6"/>
  <c r="M34" i="1" s="1"/>
  <c r="I40" i="6"/>
  <c r="I41" i="6"/>
  <c r="I42" i="6"/>
  <c r="I43" i="6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I6" i="4" s="1"/>
  <c r="AE5" i="4"/>
  <c r="AD5" i="4"/>
  <c r="AC5" i="4"/>
  <c r="AE4" i="4"/>
  <c r="AD4" i="4"/>
  <c r="AC4" i="4"/>
  <c r="I4" i="4" s="1"/>
  <c r="Y40" i="1"/>
  <c r="Y39" i="1"/>
  <c r="Y38" i="1"/>
  <c r="Z38" i="1" s="1"/>
  <c r="I30" i="10"/>
  <c r="Y37" i="1"/>
  <c r="I29" i="10" s="1"/>
  <c r="Y34" i="1"/>
  <c r="Y33" i="1"/>
  <c r="Z33" i="1" s="1"/>
  <c r="Y32" i="1"/>
  <c r="Z32" i="1" s="1"/>
  <c r="Y31" i="1"/>
  <c r="Y30" i="1"/>
  <c r="Y29" i="1"/>
  <c r="Z29" i="1" s="1"/>
  <c r="Y27" i="1"/>
  <c r="Z27" i="1" s="1"/>
  <c r="Y26" i="1"/>
  <c r="Z26" i="1" s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I4" i="10" s="1"/>
  <c r="Y11" i="1"/>
  <c r="I3" i="10" s="1"/>
  <c r="Y10" i="1"/>
  <c r="I18" i="6"/>
  <c r="L12" i="1" s="1"/>
  <c r="I17" i="6"/>
  <c r="L11" i="1" s="1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I22" i="4"/>
  <c r="F29" i="1"/>
  <c r="F36" i="1"/>
  <c r="K29" i="10"/>
  <c r="K31" i="10"/>
  <c r="F10" i="1"/>
  <c r="L11" i="4"/>
  <c r="N11" i="4" s="1"/>
  <c r="I10" i="4"/>
  <c r="F12" i="1"/>
  <c r="K5" i="10"/>
  <c r="K4" i="10"/>
  <c r="F14" i="1"/>
  <c r="F19" i="1"/>
  <c r="K11" i="10"/>
  <c r="I11" i="10"/>
  <c r="K13" i="10"/>
  <c r="F21" i="1"/>
  <c r="K14" i="10"/>
  <c r="F22" i="1"/>
  <c r="K16" i="10"/>
  <c r="F25" i="1"/>
  <c r="F28" i="1"/>
  <c r="K20" i="10"/>
  <c r="F31" i="1"/>
  <c r="K25" i="10"/>
  <c r="F34" i="1"/>
  <c r="K26" i="10"/>
  <c r="L30" i="4" l="1"/>
  <c r="N30" i="4" s="1"/>
  <c r="O30" i="4" s="1"/>
  <c r="P30" i="4" s="1"/>
  <c r="G30" i="4"/>
  <c r="E30" i="4"/>
  <c r="C30" i="4"/>
  <c r="I30" i="4"/>
  <c r="E29" i="4"/>
  <c r="C29" i="4"/>
  <c r="I29" i="4"/>
  <c r="L29" i="4"/>
  <c r="N29" i="4" s="1"/>
  <c r="O29" i="4" s="1"/>
  <c r="P29" i="4" s="1"/>
  <c r="G29" i="4"/>
  <c r="M26" i="1"/>
  <c r="L25" i="1"/>
  <c r="C26" i="4"/>
  <c r="I26" i="4"/>
  <c r="L26" i="4"/>
  <c r="N26" i="4" s="1"/>
  <c r="O26" i="4" s="1"/>
  <c r="G26" i="4"/>
  <c r="E26" i="4"/>
  <c r="L24" i="4"/>
  <c r="N24" i="4" s="1"/>
  <c r="O24" i="4" s="1"/>
  <c r="E24" i="4"/>
  <c r="C24" i="4"/>
  <c r="I24" i="4"/>
  <c r="G24" i="4"/>
  <c r="I25" i="4"/>
  <c r="L25" i="4"/>
  <c r="N25" i="4" s="1"/>
  <c r="O25" i="4" s="1"/>
  <c r="G25" i="4"/>
  <c r="E25" i="4"/>
  <c r="C25" i="4"/>
  <c r="M22" i="1"/>
  <c r="E14" i="10" s="1"/>
  <c r="L21" i="1"/>
  <c r="E18" i="4"/>
  <c r="C18" i="4"/>
  <c r="I18" i="4"/>
  <c r="L18" i="4"/>
  <c r="N18" i="4" s="1"/>
  <c r="O18" i="4" s="1"/>
  <c r="P18" i="4" s="1"/>
  <c r="G18" i="4"/>
  <c r="AC43" i="4"/>
  <c r="K48" i="4" s="1"/>
  <c r="L48" i="4" s="1"/>
  <c r="M48" i="4" s="1"/>
  <c r="L19" i="4"/>
  <c r="N19" i="4" s="1"/>
  <c r="O19" i="4" s="1"/>
  <c r="G19" i="4"/>
  <c r="E19" i="4"/>
  <c r="C19" i="4"/>
  <c r="I19" i="4"/>
  <c r="I20" i="4"/>
  <c r="L20" i="4"/>
  <c r="N20" i="4" s="1"/>
  <c r="O20" i="4" s="1"/>
  <c r="G20" i="4"/>
  <c r="E20" i="4"/>
  <c r="C20" i="4"/>
  <c r="C21" i="4"/>
  <c r="I21" i="4"/>
  <c r="L21" i="4"/>
  <c r="N21" i="4" s="1"/>
  <c r="O21" i="4" s="1"/>
  <c r="G21" i="4"/>
  <c r="E21" i="4"/>
  <c r="Z12" i="1"/>
  <c r="I48" i="6"/>
  <c r="L10" i="1"/>
  <c r="L41" i="1" s="1"/>
  <c r="O11" i="4"/>
  <c r="U10" i="1" s="1"/>
  <c r="I2" i="10"/>
  <c r="Y41" i="1"/>
  <c r="G40" i="4"/>
  <c r="C40" i="4"/>
  <c r="E40" i="4"/>
  <c r="G32" i="4"/>
  <c r="C32" i="4"/>
  <c r="E32" i="4"/>
  <c r="C37" i="4"/>
  <c r="E37" i="4"/>
  <c r="G37" i="4"/>
  <c r="C38" i="4"/>
  <c r="E38" i="4"/>
  <c r="G38" i="4"/>
  <c r="C34" i="4"/>
  <c r="E34" i="4"/>
  <c r="G34" i="4"/>
  <c r="G36" i="4"/>
  <c r="C36" i="4"/>
  <c r="E36" i="4"/>
  <c r="I36" i="4"/>
  <c r="C41" i="4"/>
  <c r="E41" i="4"/>
  <c r="G41" i="4"/>
  <c r="C33" i="4"/>
  <c r="E33" i="4"/>
  <c r="G33" i="4"/>
  <c r="E39" i="4"/>
  <c r="G39" i="4"/>
  <c r="C39" i="4"/>
  <c r="E35" i="4"/>
  <c r="G35" i="4"/>
  <c r="C35" i="4"/>
  <c r="E31" i="4"/>
  <c r="G31" i="4"/>
  <c r="C31" i="4"/>
  <c r="E5" i="4"/>
  <c r="C5" i="4"/>
  <c r="G5" i="4"/>
  <c r="G10" i="4"/>
  <c r="E10" i="4"/>
  <c r="C10" i="4"/>
  <c r="L6" i="4"/>
  <c r="N6" i="4" s="1"/>
  <c r="O6" i="4" s="1"/>
  <c r="P6" i="4" s="1"/>
  <c r="I17" i="4"/>
  <c r="I32" i="4"/>
  <c r="L32" i="4"/>
  <c r="N32" i="4" s="1"/>
  <c r="O32" i="4" s="1"/>
  <c r="Z21" i="1"/>
  <c r="I19" i="10"/>
  <c r="I40" i="4"/>
  <c r="L40" i="4"/>
  <c r="N40" i="4" s="1"/>
  <c r="O40" i="4" s="1"/>
  <c r="I41" i="4"/>
  <c r="L41" i="4"/>
  <c r="N41" i="4" s="1"/>
  <c r="O41" i="4" s="1"/>
  <c r="P41" i="4" s="1"/>
  <c r="M37" i="1"/>
  <c r="E29" i="10" s="1"/>
  <c r="M38" i="1"/>
  <c r="E30" i="10" s="1"/>
  <c r="M35" i="1"/>
  <c r="E27" i="10" s="1"/>
  <c r="Z37" i="1"/>
  <c r="I33" i="4"/>
  <c r="L33" i="4"/>
  <c r="N33" i="4" s="1"/>
  <c r="O33" i="4" s="1"/>
  <c r="P33" i="4" s="1"/>
  <c r="I34" i="4"/>
  <c r="L34" i="4"/>
  <c r="N34" i="4" s="1"/>
  <c r="O34" i="4" s="1"/>
  <c r="I24" i="10"/>
  <c r="M29" i="1"/>
  <c r="E21" i="10" s="1"/>
  <c r="M30" i="1"/>
  <c r="I21" i="10"/>
  <c r="M27" i="1"/>
  <c r="O27" i="1" s="1"/>
  <c r="M28" i="1"/>
  <c r="I18" i="10"/>
  <c r="Z25" i="1"/>
  <c r="Z23" i="1"/>
  <c r="M19" i="1"/>
  <c r="E11" i="10" s="1"/>
  <c r="M20" i="1"/>
  <c r="Z20" i="1"/>
  <c r="I10" i="10"/>
  <c r="Z17" i="1"/>
  <c r="Z16" i="1"/>
  <c r="Z14" i="1"/>
  <c r="M13" i="1"/>
  <c r="E5" i="10" s="1"/>
  <c r="I13" i="4"/>
  <c r="L13" i="4"/>
  <c r="N13" i="4" s="1"/>
  <c r="O13" i="4" s="1"/>
  <c r="U12" i="1" s="1"/>
  <c r="W12" i="1" s="1"/>
  <c r="I14" i="4"/>
  <c r="L14" i="4"/>
  <c r="N14" i="4" s="1"/>
  <c r="O14" i="4" s="1"/>
  <c r="U13" i="1" s="1"/>
  <c r="W13" i="1" s="1"/>
  <c r="I12" i="4"/>
  <c r="L12" i="4"/>
  <c r="N12" i="4" s="1"/>
  <c r="O12" i="4" s="1"/>
  <c r="I5" i="10"/>
  <c r="M11" i="1"/>
  <c r="E3" i="10" s="1"/>
  <c r="Z11" i="1"/>
  <c r="K2" i="10"/>
  <c r="E26" i="10"/>
  <c r="O34" i="1"/>
  <c r="O32" i="1"/>
  <c r="E24" i="10"/>
  <c r="F40" i="1"/>
  <c r="M24" i="1"/>
  <c r="M18" i="1"/>
  <c r="K19" i="10"/>
  <c r="F33" i="1"/>
  <c r="O22" i="1"/>
  <c r="F11" i="1"/>
  <c r="F23" i="1"/>
  <c r="M16" i="1"/>
  <c r="O16" i="1" s="1"/>
  <c r="M21" i="1"/>
  <c r="O21" i="1" s="1"/>
  <c r="M31" i="1"/>
  <c r="O31" i="1" s="1"/>
  <c r="M25" i="1"/>
  <c r="M23" i="1"/>
  <c r="O23" i="1" s="1"/>
  <c r="M12" i="1"/>
  <c r="E4" i="10" s="1"/>
  <c r="M39" i="1"/>
  <c r="E31" i="10" s="1"/>
  <c r="M36" i="1"/>
  <c r="E28" i="10" s="1"/>
  <c r="M15" i="1"/>
  <c r="O15" i="1" s="1"/>
  <c r="M17" i="1"/>
  <c r="O17" i="1" s="1"/>
  <c r="L38" i="4"/>
  <c r="N38" i="4" s="1"/>
  <c r="O38" i="4" s="1"/>
  <c r="L23" i="4"/>
  <c r="N23" i="4" s="1"/>
  <c r="O23" i="4" s="1"/>
  <c r="U22" i="1" s="1"/>
  <c r="W22" i="1" s="1"/>
  <c r="I8" i="4"/>
  <c r="L27" i="4"/>
  <c r="N27" i="4" s="1"/>
  <c r="O27" i="4" s="1"/>
  <c r="I16" i="4"/>
  <c r="L22" i="4"/>
  <c r="N22" i="4" s="1"/>
  <c r="O22" i="4" s="1"/>
  <c r="L37" i="4"/>
  <c r="N37" i="4" s="1"/>
  <c r="O37" i="4" s="1"/>
  <c r="L28" i="4"/>
  <c r="N28" i="4" s="1"/>
  <c r="O28" i="4" s="1"/>
  <c r="U27" i="1" s="1"/>
  <c r="W27" i="1" s="1"/>
  <c r="I7" i="4"/>
  <c r="I31" i="4"/>
  <c r="I27" i="4"/>
  <c r="Q44" i="4"/>
  <c r="L31" i="4"/>
  <c r="N31" i="4" s="1"/>
  <c r="O31" i="4" s="1"/>
  <c r="P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40" i="1"/>
  <c r="K27" i="10"/>
  <c r="I27" i="10"/>
  <c r="E18" i="10"/>
  <c r="O26" i="1"/>
  <c r="E25" i="10"/>
  <c r="O33" i="1"/>
  <c r="P11" i="4"/>
  <c r="I39" i="4"/>
  <c r="O35" i="1"/>
  <c r="F17" i="1"/>
  <c r="K9" i="10"/>
  <c r="O39" i="1"/>
  <c r="I22" i="10"/>
  <c r="Z30" i="1"/>
  <c r="I31" i="10"/>
  <c r="Z39" i="1"/>
  <c r="E7" i="10"/>
  <c r="M14" i="1"/>
  <c r="L39" i="4"/>
  <c r="N39" i="4" s="1"/>
  <c r="O39" i="4" s="1"/>
  <c r="I23" i="10"/>
  <c r="Z31" i="1"/>
  <c r="L35" i="4"/>
  <c r="N35" i="4" s="1"/>
  <c r="O35" i="4" s="1"/>
  <c r="AC44" i="4"/>
  <c r="M10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6" i="1" s="1"/>
  <c r="W16" i="1" s="1"/>
  <c r="L9" i="4"/>
  <c r="N9" i="4" s="1"/>
  <c r="O9" i="4" s="1"/>
  <c r="P9" i="4" s="1"/>
  <c r="U17" i="1"/>
  <c r="W17" i="1" s="1"/>
  <c r="K30" i="10"/>
  <c r="F38" i="1"/>
  <c r="F32" i="1"/>
  <c r="Z10" i="1"/>
  <c r="I9" i="4"/>
  <c r="F30" i="1"/>
  <c r="I35" i="4"/>
  <c r="I7" i="10"/>
  <c r="Z15" i="1"/>
  <c r="I38" i="4"/>
  <c r="U28" i="1"/>
  <c r="W28" i="1" s="1"/>
  <c r="I15" i="4"/>
  <c r="I11" i="4"/>
  <c r="N42" i="4"/>
  <c r="O42" i="4" s="1"/>
  <c r="P42" i="4" s="1"/>
  <c r="L15" i="4"/>
  <c r="N15" i="4" s="1"/>
  <c r="O15" i="4" s="1"/>
  <c r="U14" i="1" s="1"/>
  <c r="W14" i="1" s="1"/>
  <c r="G43" i="1"/>
  <c r="J43" i="1" s="1"/>
  <c r="L16" i="4"/>
  <c r="N16" i="4" s="1"/>
  <c r="O16" i="4" s="1"/>
  <c r="U15" i="1" s="1"/>
  <c r="W15" i="1" s="1"/>
  <c r="I42" i="4"/>
  <c r="L36" i="4"/>
  <c r="N36" i="4" s="1"/>
  <c r="O36" i="4" s="1"/>
  <c r="U29" i="1"/>
  <c r="W29" i="1" s="1"/>
  <c r="P27" i="4" l="1"/>
  <c r="U26" i="1"/>
  <c r="W26" i="1" s="1"/>
  <c r="P24" i="4"/>
  <c r="U23" i="1"/>
  <c r="W23" i="1" s="1"/>
  <c r="P25" i="4"/>
  <c r="U24" i="1"/>
  <c r="W24" i="1" s="1"/>
  <c r="P26" i="4"/>
  <c r="U25" i="1"/>
  <c r="W25" i="1" s="1"/>
  <c r="P22" i="4"/>
  <c r="U21" i="1"/>
  <c r="W21" i="1" s="1"/>
  <c r="O19" i="1"/>
  <c r="P21" i="4"/>
  <c r="U20" i="1"/>
  <c r="W20" i="1" s="1"/>
  <c r="P19" i="4"/>
  <c r="U18" i="1"/>
  <c r="W18" i="1" s="1"/>
  <c r="C43" i="4"/>
  <c r="P20" i="4"/>
  <c r="U19" i="1"/>
  <c r="W19" i="1" s="1"/>
  <c r="G43" i="4"/>
  <c r="E43" i="4"/>
  <c r="Z41" i="1"/>
  <c r="I43" i="4"/>
  <c r="O13" i="1"/>
  <c r="M41" i="1"/>
  <c r="P12" i="4"/>
  <c r="U11" i="1"/>
  <c r="W11" i="1" s="1"/>
  <c r="N43" i="4"/>
  <c r="W10" i="1"/>
  <c r="O37" i="1"/>
  <c r="E8" i="10"/>
  <c r="E19" i="10"/>
  <c r="E15" i="10"/>
  <c r="O11" i="1"/>
  <c r="P32" i="4"/>
  <c r="P23" i="4"/>
  <c r="G18" i="10"/>
  <c r="O18" i="10" s="1"/>
  <c r="G11" i="10"/>
  <c r="O11" i="10" s="1"/>
  <c r="P28" i="4"/>
  <c r="P40" i="4"/>
  <c r="P38" i="4"/>
  <c r="P39" i="4"/>
  <c r="O36" i="1"/>
  <c r="P36" i="4"/>
  <c r="P35" i="4"/>
  <c r="P37" i="4"/>
  <c r="P34" i="4"/>
  <c r="E23" i="10"/>
  <c r="O29" i="1"/>
  <c r="G19" i="10"/>
  <c r="G16" i="10"/>
  <c r="E9" i="10"/>
  <c r="P14" i="4"/>
  <c r="P13" i="4"/>
  <c r="O12" i="1"/>
  <c r="G45" i="1"/>
  <c r="J45" i="1" s="1"/>
  <c r="L43" i="1" s="1"/>
  <c r="O38" i="1"/>
  <c r="E13" i="10"/>
  <c r="O10" i="4"/>
  <c r="E20" i="10"/>
  <c r="O28" i="1"/>
  <c r="O24" i="1"/>
  <c r="E16" i="10"/>
  <c r="O40" i="1"/>
  <c r="O18" i="1"/>
  <c r="E10" i="10"/>
  <c r="O20" i="1"/>
  <c r="E12" i="10"/>
  <c r="O25" i="1"/>
  <c r="E17" i="10"/>
  <c r="F16" i="1"/>
  <c r="F41" i="1" s="1"/>
  <c r="K8" i="10"/>
  <c r="G46" i="1"/>
  <c r="J46" i="1" s="1"/>
  <c r="L46" i="1" s="1"/>
  <c r="P17" i="4"/>
  <c r="E2" i="10"/>
  <c r="O10" i="1"/>
  <c r="G10" i="10"/>
  <c r="P15" i="4"/>
  <c r="G13" i="10"/>
  <c r="O14" i="1"/>
  <c r="E6" i="10"/>
  <c r="P16" i="4"/>
  <c r="O30" i="1"/>
  <c r="E22" i="10"/>
  <c r="U41" i="1" l="1"/>
  <c r="G47" i="1" s="1"/>
  <c r="J47" i="1" s="1"/>
  <c r="L47" i="1" s="1"/>
  <c r="W41" i="1"/>
  <c r="G12" i="10"/>
  <c r="O12" i="10" s="1"/>
  <c r="O41" i="1"/>
  <c r="O19" i="10"/>
  <c r="G14" i="10"/>
  <c r="O14" i="10" s="1"/>
  <c r="P10" i="4"/>
  <c r="G22" i="10"/>
  <c r="O22" i="10" s="1"/>
  <c r="G28" i="10"/>
  <c r="O28" i="10" s="1"/>
  <c r="G23" i="10"/>
  <c r="O23" i="10" s="1"/>
  <c r="O13" i="10"/>
  <c r="O10" i="10"/>
  <c r="O16" i="10"/>
  <c r="G9" i="10"/>
  <c r="O9" i="10" s="1"/>
  <c r="G4" i="10"/>
  <c r="O4" i="10" s="1"/>
  <c r="G29" i="10"/>
  <c r="O29" i="10" s="1"/>
  <c r="G8" i="10"/>
  <c r="O8" i="10" s="1"/>
  <c r="G7" i="10"/>
  <c r="O7" i="10" s="1"/>
  <c r="G21" i="10"/>
  <c r="O21" i="10" s="1"/>
  <c r="G15" i="10"/>
  <c r="O15" i="10" s="1"/>
  <c r="G20" i="10"/>
  <c r="O20" i="10" s="1"/>
  <c r="G17" i="10"/>
  <c r="O17" i="10" s="1"/>
  <c r="G24" i="10"/>
  <c r="O24" i="10" s="1"/>
  <c r="G27" i="10"/>
  <c r="O27" i="10" s="1"/>
  <c r="G31" i="10"/>
  <c r="G6" i="10"/>
  <c r="O6" i="10" s="1"/>
  <c r="G30" i="10"/>
  <c r="G26" i="10"/>
  <c r="O26" i="10" s="1"/>
  <c r="G25" i="10"/>
  <c r="O25" i="10" s="1"/>
  <c r="G5" i="10"/>
  <c r="O5" i="10" s="1"/>
  <c r="G3" i="10"/>
  <c r="O3" i="10" s="1"/>
  <c r="O43" i="4"/>
  <c r="P43" i="4" s="1"/>
  <c r="K47" i="4"/>
  <c r="G2" i="10" l="1"/>
  <c r="O2" i="10" s="1"/>
  <c r="M47" i="4"/>
  <c r="L47" i="4"/>
</calcChain>
</file>

<file path=xl/sharedStrings.xml><?xml version="1.0" encoding="utf-8"?>
<sst xmlns="http://schemas.openxmlformats.org/spreadsheetml/2006/main" count="124" uniqueCount="82">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</sst>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301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14" borderId="30" xfId="0" applyNumberFormat="1" applyFont="1" applyFill="1" applyBorder="1" applyAlignment="1">
      <alignment horizontal="center" vertical="center"/>
    </xf>
    <xf numFmtId="0" fontId="7" fillId="19" borderId="16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0" fontId="7" fillId="18" borderId="16" xfId="0" applyFont="1" applyFill="1" applyBorder="1" applyAlignment="1">
      <alignment horizontal="center" vertical="center"/>
    </xf>
    <xf numFmtId="10" fontId="7" fillId="15" borderId="44" xfId="0" applyNumberFormat="1" applyFont="1" applyFill="1" applyBorder="1" applyAlignment="1">
      <alignment horizontal="center" vertical="center"/>
    </xf>
    <xf numFmtId="0" fontId="7" fillId="19" borderId="43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76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650</c:v>
                </c:pt>
                <c:pt idx="1">
                  <c:v>490</c:v>
                </c:pt>
                <c:pt idx="2">
                  <c:v>530</c:v>
                </c:pt>
                <c:pt idx="3">
                  <c:v>530</c:v>
                </c:pt>
                <c:pt idx="4">
                  <c:v>820</c:v>
                </c:pt>
                <c:pt idx="5">
                  <c:v>570</c:v>
                </c:pt>
                <c:pt idx="6">
                  <c:v>530</c:v>
                </c:pt>
                <c:pt idx="7">
                  <c:v>520</c:v>
                </c:pt>
                <c:pt idx="8">
                  <c:v>430</c:v>
                </c:pt>
                <c:pt idx="9">
                  <c:v>460</c:v>
                </c:pt>
                <c:pt idx="10">
                  <c:v>480</c:v>
                </c:pt>
                <c:pt idx="11">
                  <c:v>470</c:v>
                </c:pt>
                <c:pt idx="12">
                  <c:v>470</c:v>
                </c:pt>
                <c:pt idx="13">
                  <c:v>430</c:v>
                </c:pt>
                <c:pt idx="14">
                  <c:v>430</c:v>
                </c:pt>
                <c:pt idx="15">
                  <c:v>490</c:v>
                </c:pt>
                <c:pt idx="16">
                  <c:v>410</c:v>
                </c:pt>
                <c:pt idx="17">
                  <c:v>550</c:v>
                </c:pt>
                <c:pt idx="18">
                  <c:v>460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36256"/>
        <c:axId val="115369472"/>
      </c:lineChart>
      <c:dateAx>
        <c:axId val="8473625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69472"/>
        <c:crosses val="autoZero"/>
        <c:auto val="1"/>
        <c:lblOffset val="100"/>
        <c:baseTimeUnit val="days"/>
      </c:dateAx>
      <c:valAx>
        <c:axId val="115369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3625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6601</c:v>
                </c:pt>
                <c:pt idx="1">
                  <c:v>6829</c:v>
                </c:pt>
                <c:pt idx="2">
                  <c:v>6220</c:v>
                </c:pt>
                <c:pt idx="3">
                  <c:v>5895</c:v>
                </c:pt>
                <c:pt idx="4">
                  <c:v>5595</c:v>
                </c:pt>
                <c:pt idx="5">
                  <c:v>5443</c:v>
                </c:pt>
                <c:pt idx="6">
                  <c:v>5630</c:v>
                </c:pt>
                <c:pt idx="7">
                  <c:v>5438</c:v>
                </c:pt>
                <c:pt idx="8">
                  <c:v>4337</c:v>
                </c:pt>
                <c:pt idx="9">
                  <c:v>5086</c:v>
                </c:pt>
                <c:pt idx="10">
                  <c:v>5322</c:v>
                </c:pt>
                <c:pt idx="11">
                  <c:v>5848</c:v>
                </c:pt>
                <c:pt idx="12">
                  <c:v>5368</c:v>
                </c:pt>
                <c:pt idx="13">
                  <c:v>4313</c:v>
                </c:pt>
                <c:pt idx="14">
                  <c:v>4161</c:v>
                </c:pt>
                <c:pt idx="15">
                  <c:v>4067</c:v>
                </c:pt>
                <c:pt idx="16">
                  <c:v>3975</c:v>
                </c:pt>
                <c:pt idx="17">
                  <c:v>4348</c:v>
                </c:pt>
                <c:pt idx="18">
                  <c:v>4553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9635</c:v>
                </c:pt>
                <c:pt idx="1">
                  <c:v>9858</c:v>
                </c:pt>
                <c:pt idx="2">
                  <c:v>8922</c:v>
                </c:pt>
                <c:pt idx="3">
                  <c:v>9460</c:v>
                </c:pt>
                <c:pt idx="4">
                  <c:v>9063</c:v>
                </c:pt>
                <c:pt idx="5">
                  <c:v>8722</c:v>
                </c:pt>
                <c:pt idx="6">
                  <c:v>7812</c:v>
                </c:pt>
                <c:pt idx="7">
                  <c:v>8595</c:v>
                </c:pt>
                <c:pt idx="8">
                  <c:v>6359</c:v>
                </c:pt>
                <c:pt idx="9">
                  <c:v>6258</c:v>
                </c:pt>
                <c:pt idx="10">
                  <c:v>6525</c:v>
                </c:pt>
                <c:pt idx="11">
                  <c:v>8265</c:v>
                </c:pt>
                <c:pt idx="12">
                  <c:v>8155</c:v>
                </c:pt>
                <c:pt idx="13">
                  <c:v>6837</c:v>
                </c:pt>
                <c:pt idx="14">
                  <c:v>5876</c:v>
                </c:pt>
                <c:pt idx="15">
                  <c:v>6236</c:v>
                </c:pt>
                <c:pt idx="16">
                  <c:v>6075</c:v>
                </c:pt>
                <c:pt idx="17">
                  <c:v>6368</c:v>
                </c:pt>
                <c:pt idx="18">
                  <c:v>6645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4498</c:v>
                </c:pt>
                <c:pt idx="1">
                  <c:v>4914</c:v>
                </c:pt>
                <c:pt idx="2">
                  <c:v>4151</c:v>
                </c:pt>
                <c:pt idx="3">
                  <c:v>4280</c:v>
                </c:pt>
                <c:pt idx="4">
                  <c:v>3763</c:v>
                </c:pt>
                <c:pt idx="5">
                  <c:v>4150</c:v>
                </c:pt>
                <c:pt idx="6">
                  <c:v>4362</c:v>
                </c:pt>
                <c:pt idx="7">
                  <c:v>3912</c:v>
                </c:pt>
                <c:pt idx="8">
                  <c:v>2915</c:v>
                </c:pt>
                <c:pt idx="9">
                  <c:v>3208</c:v>
                </c:pt>
                <c:pt idx="10">
                  <c:v>4245</c:v>
                </c:pt>
                <c:pt idx="11">
                  <c:v>4433</c:v>
                </c:pt>
                <c:pt idx="12">
                  <c:v>3841</c:v>
                </c:pt>
                <c:pt idx="13">
                  <c:v>3030</c:v>
                </c:pt>
                <c:pt idx="14">
                  <c:v>2895</c:v>
                </c:pt>
                <c:pt idx="15">
                  <c:v>2792</c:v>
                </c:pt>
                <c:pt idx="16">
                  <c:v>2771</c:v>
                </c:pt>
                <c:pt idx="17">
                  <c:v>2967</c:v>
                </c:pt>
                <c:pt idx="18">
                  <c:v>3164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61024"/>
        <c:axId val="83762560"/>
      </c:lineChart>
      <c:dateAx>
        <c:axId val="8376102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62560"/>
        <c:crosses val="autoZero"/>
        <c:auto val="1"/>
        <c:lblOffset val="100"/>
        <c:baseTimeUnit val="days"/>
      </c:dateAx>
      <c:valAx>
        <c:axId val="837625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6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43769</c:v>
                </c:pt>
                <c:pt idx="1">
                  <c:v>43770</c:v>
                </c:pt>
                <c:pt idx="2">
                  <c:v>43771</c:v>
                </c:pt>
                <c:pt idx="3">
                  <c:v>43772</c:v>
                </c:pt>
                <c:pt idx="4">
                  <c:v>43773</c:v>
                </c:pt>
                <c:pt idx="5">
                  <c:v>43774</c:v>
                </c:pt>
                <c:pt idx="6">
                  <c:v>43775</c:v>
                </c:pt>
                <c:pt idx="7">
                  <c:v>43776</c:v>
                </c:pt>
                <c:pt idx="8">
                  <c:v>43777</c:v>
                </c:pt>
                <c:pt idx="9">
                  <c:v>43778</c:v>
                </c:pt>
                <c:pt idx="10">
                  <c:v>43779</c:v>
                </c:pt>
                <c:pt idx="11">
                  <c:v>43780</c:v>
                </c:pt>
                <c:pt idx="12">
                  <c:v>43781</c:v>
                </c:pt>
                <c:pt idx="13">
                  <c:v>43782</c:v>
                </c:pt>
                <c:pt idx="14">
                  <c:v>43783</c:v>
                </c:pt>
                <c:pt idx="15">
                  <c:v>43784</c:v>
                </c:pt>
                <c:pt idx="16">
                  <c:v>43785</c:v>
                </c:pt>
                <c:pt idx="17">
                  <c:v>43786</c:v>
                </c:pt>
                <c:pt idx="18">
                  <c:v>43787</c:v>
                </c:pt>
                <c:pt idx="19">
                  <c:v>43788</c:v>
                </c:pt>
                <c:pt idx="20">
                  <c:v>43789</c:v>
                </c:pt>
                <c:pt idx="21">
                  <c:v>43790</c:v>
                </c:pt>
                <c:pt idx="22">
                  <c:v>43791</c:v>
                </c:pt>
                <c:pt idx="23">
                  <c:v>43792</c:v>
                </c:pt>
                <c:pt idx="24">
                  <c:v>43793</c:v>
                </c:pt>
                <c:pt idx="25">
                  <c:v>43794</c:v>
                </c:pt>
                <c:pt idx="26">
                  <c:v>43795</c:v>
                </c:pt>
                <c:pt idx="27">
                  <c:v>43796</c:v>
                </c:pt>
                <c:pt idx="28">
                  <c:v>43797</c:v>
                </c:pt>
                <c:pt idx="29">
                  <c:v>43798</c:v>
                </c:pt>
                <c:pt idx="30">
                  <c:v>43799</c:v>
                </c:pt>
                <c:pt idx="31">
                  <c:v>43800</c:v>
                </c:pt>
                <c:pt idx="32">
                  <c:v>43801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742</c:v>
                </c:pt>
                <c:pt idx="1">
                  <c:v>519.4</c:v>
                </c:pt>
                <c:pt idx="2">
                  <c:v>853.30000000000007</c:v>
                </c:pt>
                <c:pt idx="3">
                  <c:v>371</c:v>
                </c:pt>
                <c:pt idx="4">
                  <c:v>296.8</c:v>
                </c:pt>
                <c:pt idx="5">
                  <c:v>482.3</c:v>
                </c:pt>
                <c:pt idx="6">
                  <c:v>482.3</c:v>
                </c:pt>
                <c:pt idx="7">
                  <c:v>556.5</c:v>
                </c:pt>
                <c:pt idx="8">
                  <c:v>964.6</c:v>
                </c:pt>
                <c:pt idx="9">
                  <c:v>630.70000000000005</c:v>
                </c:pt>
                <c:pt idx="10">
                  <c:v>742</c:v>
                </c:pt>
                <c:pt idx="11">
                  <c:v>630.70000000000005</c:v>
                </c:pt>
                <c:pt idx="12">
                  <c:v>779.1</c:v>
                </c:pt>
                <c:pt idx="13">
                  <c:v>593.6</c:v>
                </c:pt>
                <c:pt idx="14">
                  <c:v>630.70000000000005</c:v>
                </c:pt>
                <c:pt idx="15">
                  <c:v>1150.1000000000001</c:v>
                </c:pt>
                <c:pt idx="16">
                  <c:v>408.1</c:v>
                </c:pt>
                <c:pt idx="17">
                  <c:v>816.2</c:v>
                </c:pt>
                <c:pt idx="18">
                  <c:v>927.5</c:v>
                </c:pt>
                <c:pt idx="19">
                  <c:v>779.1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804160"/>
        <c:axId val="83805696"/>
      </c:lineChart>
      <c:dateAx>
        <c:axId val="8380416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05696"/>
        <c:crosses val="autoZero"/>
        <c:auto val="1"/>
        <c:lblOffset val="100"/>
        <c:baseTimeUnit val="days"/>
      </c:dateAx>
      <c:valAx>
        <c:axId val="838056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0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20" sqref="A20:XFD20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8" customFormat="1" ht="60.75" thickBot="1" x14ac:dyDescent="0.3">
      <c r="A1" s="109" t="s">
        <v>63</v>
      </c>
      <c r="B1" s="109" t="s">
        <v>64</v>
      </c>
      <c r="C1" s="109" t="s">
        <v>65</v>
      </c>
      <c r="D1" s="109" t="s">
        <v>66</v>
      </c>
      <c r="E1" s="110" t="s">
        <v>67</v>
      </c>
      <c r="F1" s="110" t="s">
        <v>77</v>
      </c>
      <c r="G1" s="110" t="s">
        <v>68</v>
      </c>
      <c r="H1" s="110" t="s">
        <v>69</v>
      </c>
      <c r="I1" s="111" t="s">
        <v>73</v>
      </c>
      <c r="J1" s="111" t="s">
        <v>78</v>
      </c>
      <c r="K1" s="110" t="s">
        <v>70</v>
      </c>
      <c r="L1" s="110" t="s">
        <v>79</v>
      </c>
      <c r="M1" s="110" t="s">
        <v>71</v>
      </c>
      <c r="N1" s="110" t="s">
        <v>72</v>
      </c>
      <c r="O1" s="125" t="s">
        <v>76</v>
      </c>
    </row>
    <row r="2" spans="1:15" x14ac:dyDescent="0.2">
      <c r="A2" s="113" t="s">
        <v>74</v>
      </c>
      <c r="B2">
        <v>1</v>
      </c>
      <c r="C2">
        <v>11</v>
      </c>
      <c r="D2" s="126">
        <v>2019</v>
      </c>
      <c r="E2" s="112">
        <f>'Consommation du 01.11 au 30.11'!M10</f>
        <v>20734</v>
      </c>
      <c r="F2" s="112">
        <v>1.002</v>
      </c>
      <c r="G2" s="112">
        <f>'Consommation du 01.11 au 30.11'!U10</f>
        <v>519.4</v>
      </c>
      <c r="H2" s="112">
        <v>8.0277999999999992</v>
      </c>
      <c r="I2" s="112">
        <f>'Consommation du 01.11 au 30.11'!Y10*1000</f>
        <v>13920.000000000073</v>
      </c>
      <c r="J2" s="112">
        <v>0.84</v>
      </c>
      <c r="K2" s="112">
        <f>'Consommation du 01.11 au 30.11'!D10</f>
        <v>650</v>
      </c>
      <c r="L2" s="112">
        <v>12.67</v>
      </c>
      <c r="M2" s="126">
        <f>'Consommation du 01.11 au 30.11'!AC10</f>
        <v>137</v>
      </c>
      <c r="N2" s="126">
        <v>290</v>
      </c>
      <c r="O2" s="112">
        <f>E2*F2+G2*H2+I2*J2+K2*L2</f>
        <v>44873.407320000057</v>
      </c>
    </row>
    <row r="3" spans="1:15" x14ac:dyDescent="0.2">
      <c r="A3" s="113" t="s">
        <v>74</v>
      </c>
      <c r="B3">
        <f>B2+1</f>
        <v>2</v>
      </c>
      <c r="C3">
        <v>11</v>
      </c>
      <c r="D3" s="126">
        <v>2019</v>
      </c>
      <c r="E3" s="112">
        <f>'Consommation du 01.11 au 30.11'!M11</f>
        <v>21601</v>
      </c>
      <c r="F3" s="112">
        <v>1.002</v>
      </c>
      <c r="G3" s="112">
        <f>'Consommation du 01.11 au 30.11'!U11</f>
        <v>853.30000000000007</v>
      </c>
      <c r="H3" s="112">
        <v>8.0277999999999992</v>
      </c>
      <c r="I3" s="112">
        <f>'Consommation du 01.11 au 30.11'!Y11*1000</f>
        <v>13599.999999998545</v>
      </c>
      <c r="J3" s="112">
        <v>0.84</v>
      </c>
      <c r="K3" s="112">
        <f>'Consommation du 01.11 au 30.11'!D11</f>
        <v>490</v>
      </c>
      <c r="L3" s="112">
        <v>12.67</v>
      </c>
      <c r="M3" s="126">
        <f>'Consommation du 01.11 au 30.11'!AC11</f>
        <v>132</v>
      </c>
      <c r="N3" s="126">
        <v>272</v>
      </c>
      <c r="O3" s="112">
        <f t="shared" ref="O3:O29" si="0">E3*F3+G3*H3+I3*J3+K3*L3</f>
        <v>46126.62373999878</v>
      </c>
    </row>
    <row r="4" spans="1:15" x14ac:dyDescent="0.2">
      <c r="A4" s="113" t="s">
        <v>74</v>
      </c>
      <c r="B4">
        <f t="shared" ref="B4:B31" si="1">B3+1</f>
        <v>3</v>
      </c>
      <c r="C4">
        <v>11</v>
      </c>
      <c r="D4" s="126">
        <v>2019</v>
      </c>
      <c r="E4" s="112">
        <f>'Consommation du 01.11 au 30.11'!M12</f>
        <v>19293</v>
      </c>
      <c r="F4" s="112">
        <v>1.002</v>
      </c>
      <c r="G4" s="112">
        <f>'Consommation du 01.11 au 30.11'!U12</f>
        <v>371</v>
      </c>
      <c r="H4" s="112">
        <v>8.0277999999999992</v>
      </c>
      <c r="I4" s="112">
        <f>'Consommation du 01.11 au 30.11'!Y12*1000</f>
        <v>15940.000000000509</v>
      </c>
      <c r="J4" s="112">
        <v>0.84</v>
      </c>
      <c r="K4" s="112">
        <f>'Consommation du 01.11 au 30.11'!D12</f>
        <v>530</v>
      </c>
      <c r="L4" s="112">
        <v>12.67</v>
      </c>
      <c r="M4" s="126">
        <f>'Consommation du 01.11 au 30.11'!AC12</f>
        <v>109</v>
      </c>
      <c r="N4" s="126">
        <v>208</v>
      </c>
      <c r="O4" s="112">
        <f t="shared" si="0"/>
        <v>42414.599800000426</v>
      </c>
    </row>
    <row r="5" spans="1:15" x14ac:dyDescent="0.2">
      <c r="A5" s="113" t="s">
        <v>74</v>
      </c>
      <c r="B5">
        <f t="shared" si="1"/>
        <v>4</v>
      </c>
      <c r="C5">
        <v>11</v>
      </c>
      <c r="D5" s="126">
        <v>2019</v>
      </c>
      <c r="E5" s="112">
        <f>'Consommation du 01.11 au 30.11'!M13</f>
        <v>19635</v>
      </c>
      <c r="F5" s="112">
        <v>1.002</v>
      </c>
      <c r="G5" s="112">
        <f>'Consommation du 01.11 au 30.11'!U13</f>
        <v>296.8</v>
      </c>
      <c r="H5" s="112">
        <v>8.0277999999999992</v>
      </c>
      <c r="I5" s="112">
        <f>'Consommation du 01.11 au 30.11'!Y13*1000</f>
        <v>13989.999999999782</v>
      </c>
      <c r="J5" s="112">
        <v>0.84</v>
      </c>
      <c r="K5" s="112">
        <f>'Consommation du 01.11 au 30.11'!D13</f>
        <v>530</v>
      </c>
      <c r="L5" s="112">
        <v>12.67</v>
      </c>
      <c r="M5" s="126">
        <f>'Consommation du 01.11 au 30.11'!AC13</f>
        <v>128</v>
      </c>
      <c r="N5" s="126">
        <v>239</v>
      </c>
      <c r="O5" s="112">
        <f t="shared" si="0"/>
        <v>40523.621039999816</v>
      </c>
    </row>
    <row r="6" spans="1:15" x14ac:dyDescent="0.2">
      <c r="A6" s="113" t="s">
        <v>74</v>
      </c>
      <c r="B6">
        <f t="shared" si="1"/>
        <v>5</v>
      </c>
      <c r="C6">
        <v>11</v>
      </c>
      <c r="D6" s="126">
        <v>2019</v>
      </c>
      <c r="E6" s="112">
        <f>'Consommation du 01.11 au 30.11'!M14</f>
        <v>18421</v>
      </c>
      <c r="F6" s="112">
        <v>1.002</v>
      </c>
      <c r="G6" s="112">
        <f>'Consommation du 01.11 au 30.11'!U14</f>
        <v>482.3</v>
      </c>
      <c r="H6" s="112">
        <v>8.0277999999999992</v>
      </c>
      <c r="I6" s="112">
        <f>'Consommation du 01.11 au 30.11'!Y14*1000</f>
        <v>13860.000000000582</v>
      </c>
      <c r="J6" s="112">
        <v>0.84</v>
      </c>
      <c r="K6" s="112">
        <f>'Consommation du 01.11 au 30.11'!D14</f>
        <v>820</v>
      </c>
      <c r="L6" s="112">
        <v>12.67</v>
      </c>
      <c r="M6" s="126">
        <f>'Consommation du 01.11 au 30.11'!AC14</f>
        <v>138</v>
      </c>
      <c r="N6" s="126">
        <v>253</v>
      </c>
      <c r="O6" s="112">
        <f t="shared" si="0"/>
        <v>44361.449940000493</v>
      </c>
    </row>
    <row r="7" spans="1:15" x14ac:dyDescent="0.2">
      <c r="A7" s="113" t="s">
        <v>74</v>
      </c>
      <c r="B7">
        <f t="shared" si="1"/>
        <v>6</v>
      </c>
      <c r="C7">
        <v>11</v>
      </c>
      <c r="D7" s="126">
        <v>2019</v>
      </c>
      <c r="E7" s="112">
        <f>'Consommation du 01.11 au 30.11'!M15</f>
        <v>18315</v>
      </c>
      <c r="F7" s="112">
        <v>1.002</v>
      </c>
      <c r="G7" s="112">
        <f>'Consommation du 01.11 au 30.11'!U15</f>
        <v>482.3</v>
      </c>
      <c r="H7" s="112">
        <v>8.0277999999999992</v>
      </c>
      <c r="I7" s="112">
        <f>'Consommation du 01.11 au 30.11'!Y15*1000</f>
        <v>14739.999999999782</v>
      </c>
      <c r="J7" s="112">
        <v>0.84</v>
      </c>
      <c r="K7" s="112">
        <f>'Consommation du 01.11 au 30.11'!D15</f>
        <v>570</v>
      </c>
      <c r="L7" s="112">
        <v>12.67</v>
      </c>
      <c r="M7" s="126">
        <f>'Consommation du 01.11 au 30.11'!AC15</f>
        <v>132</v>
      </c>
      <c r="N7" s="126">
        <v>243</v>
      </c>
      <c r="O7" s="112">
        <f t="shared" si="0"/>
        <v>41826.937939999822</v>
      </c>
    </row>
    <row r="8" spans="1:15" x14ac:dyDescent="0.2">
      <c r="A8" s="113" t="s">
        <v>74</v>
      </c>
      <c r="B8">
        <f t="shared" si="1"/>
        <v>7</v>
      </c>
      <c r="C8">
        <v>11</v>
      </c>
      <c r="D8" s="126">
        <v>2019</v>
      </c>
      <c r="E8" s="112">
        <f>'Consommation du 01.11 au 30.11'!M16</f>
        <v>17804</v>
      </c>
      <c r="F8" s="112">
        <v>1.002</v>
      </c>
      <c r="G8" s="112">
        <f>'Consommation du 01.11 au 30.11'!U16</f>
        <v>556.5</v>
      </c>
      <c r="H8" s="112">
        <v>8.0277999999999992</v>
      </c>
      <c r="I8" s="112">
        <f>'Consommation du 01.11 au 30.11'!Y16*1000</f>
        <v>15790.000000000873</v>
      </c>
      <c r="J8" s="112">
        <v>0.84</v>
      </c>
      <c r="K8" s="112">
        <f>'Consommation du 01.11 au 30.11'!D16</f>
        <v>530</v>
      </c>
      <c r="L8" s="112">
        <v>12.67</v>
      </c>
      <c r="M8" s="126">
        <f>'Consommation du 01.11 au 30.11'!AC16</f>
        <v>116</v>
      </c>
      <c r="N8" s="126">
        <v>221</v>
      </c>
      <c r="O8" s="112">
        <f t="shared" si="0"/>
        <v>42285.77870000073</v>
      </c>
    </row>
    <row r="9" spans="1:15" x14ac:dyDescent="0.2">
      <c r="A9" s="113" t="s">
        <v>74</v>
      </c>
      <c r="B9">
        <f t="shared" si="1"/>
        <v>8</v>
      </c>
      <c r="C9">
        <v>11</v>
      </c>
      <c r="D9" s="126">
        <v>2019</v>
      </c>
      <c r="E9" s="112">
        <f>'Consommation du 01.11 au 30.11'!M17</f>
        <v>17945</v>
      </c>
      <c r="F9" s="112">
        <v>1.002</v>
      </c>
      <c r="G9" s="112">
        <f>'Consommation du 01.11 au 30.11'!U17</f>
        <v>964.6</v>
      </c>
      <c r="H9" s="112">
        <v>8.0277999999999992</v>
      </c>
      <c r="I9" s="112">
        <f>'Consommation du 01.11 au 30.11'!Y17*1000</f>
        <v>15529.999999998836</v>
      </c>
      <c r="J9" s="112">
        <v>0.84</v>
      </c>
      <c r="K9" s="112">
        <f>'Consommation du 01.11 au 30.11'!D17</f>
        <v>520</v>
      </c>
      <c r="L9" s="112">
        <v>12.67</v>
      </c>
      <c r="M9" s="126">
        <f>'Consommation du 01.11 au 30.11'!AC17</f>
        <v>138</v>
      </c>
      <c r="N9" s="126">
        <v>275</v>
      </c>
      <c r="O9" s="112">
        <f t="shared" si="0"/>
        <v>45358.105879999021</v>
      </c>
    </row>
    <row r="10" spans="1:15" x14ac:dyDescent="0.2">
      <c r="A10" s="113" t="s">
        <v>74</v>
      </c>
      <c r="B10">
        <f t="shared" si="1"/>
        <v>9</v>
      </c>
      <c r="C10">
        <v>11</v>
      </c>
      <c r="D10" s="126">
        <v>2019</v>
      </c>
      <c r="E10" s="112">
        <f>'Consommation du 01.11 au 30.11'!M18</f>
        <v>13611</v>
      </c>
      <c r="F10" s="112">
        <v>1.002</v>
      </c>
      <c r="G10" s="112">
        <f>'Consommation du 01.11 au 30.11'!U18</f>
        <v>630.70000000000005</v>
      </c>
      <c r="H10" s="112">
        <v>8.0277999999999992</v>
      </c>
      <c r="I10" s="112">
        <f>'Consommation du 01.11 au 30.11'!Y18*1000</f>
        <v>18380.000000001019</v>
      </c>
      <c r="J10" s="112">
        <v>0.84</v>
      </c>
      <c r="K10" s="112">
        <f>'Consommation du 01.11 au 30.11'!D18</f>
        <v>430</v>
      </c>
      <c r="L10" s="112">
        <v>12.67</v>
      </c>
      <c r="M10" s="126">
        <f>'Consommation du 01.11 au 30.11'!AC18</f>
        <v>137</v>
      </c>
      <c r="N10" s="126">
        <v>272</v>
      </c>
      <c r="O10" s="112">
        <f t="shared" si="0"/>
        <v>39588.655460000853</v>
      </c>
    </row>
    <row r="11" spans="1:15" x14ac:dyDescent="0.2">
      <c r="A11" s="113" t="s">
        <v>74</v>
      </c>
      <c r="B11">
        <f t="shared" si="1"/>
        <v>10</v>
      </c>
      <c r="C11">
        <v>11</v>
      </c>
      <c r="D11" s="126">
        <v>2019</v>
      </c>
      <c r="E11" s="112">
        <f>'Consommation du 01.11 au 30.11'!M19</f>
        <v>14552</v>
      </c>
      <c r="F11" s="112">
        <v>1.002</v>
      </c>
      <c r="G11" s="112">
        <f>'Consommation du 01.11 au 30.11'!U19</f>
        <v>742</v>
      </c>
      <c r="H11" s="112">
        <v>8.0277999999999992</v>
      </c>
      <c r="I11" s="112">
        <f>'Consommation du 01.11 au 30.11'!Y19*1000</f>
        <v>17979.999999999563</v>
      </c>
      <c r="J11" s="112">
        <v>0.84</v>
      </c>
      <c r="K11" s="112">
        <f>'Consommation du 01.11 au 30.11'!D19</f>
        <v>460</v>
      </c>
      <c r="L11" s="112">
        <v>12.67</v>
      </c>
      <c r="M11" s="126">
        <f>'Consommation du 01.11 au 30.11'!AC19</f>
        <v>117</v>
      </c>
      <c r="N11" s="126">
        <v>222</v>
      </c>
      <c r="O11" s="112">
        <f t="shared" si="0"/>
        <v>41469.13159999963</v>
      </c>
    </row>
    <row r="12" spans="1:15" x14ac:dyDescent="0.2">
      <c r="A12" s="113" t="s">
        <v>74</v>
      </c>
      <c r="B12">
        <f t="shared" si="1"/>
        <v>11</v>
      </c>
      <c r="C12">
        <v>11</v>
      </c>
      <c r="D12" s="126">
        <v>2019</v>
      </c>
      <c r="E12" s="112">
        <f>'Consommation du 01.11 au 30.11'!M20</f>
        <v>16092</v>
      </c>
      <c r="F12" s="112">
        <v>1.002</v>
      </c>
      <c r="G12" s="112">
        <f>'Consommation du 01.11 au 30.11'!U20</f>
        <v>630.70000000000005</v>
      </c>
      <c r="H12" s="112">
        <v>8.0277999999999992</v>
      </c>
      <c r="I12" s="112">
        <f>'Consommation du 01.11 au 30.11'!Y20*1000</f>
        <v>16989.999999999782</v>
      </c>
      <c r="J12" s="112">
        <v>0.84</v>
      </c>
      <c r="K12" s="112">
        <f>'Consommation du 01.11 au 30.11'!D20</f>
        <v>480</v>
      </c>
      <c r="L12" s="112">
        <v>12.67</v>
      </c>
      <c r="M12" s="126">
        <f>'Consommation du 01.11 au 30.11'!AC20</f>
        <v>94</v>
      </c>
      <c r="N12" s="126">
        <v>179</v>
      </c>
      <c r="O12" s="112">
        <f t="shared" si="0"/>
        <v>41540.517459999814</v>
      </c>
    </row>
    <row r="13" spans="1:15" x14ac:dyDescent="0.2">
      <c r="A13" s="113" t="s">
        <v>74</v>
      </c>
      <c r="B13">
        <f t="shared" si="1"/>
        <v>12</v>
      </c>
      <c r="C13">
        <v>11</v>
      </c>
      <c r="D13" s="126">
        <v>2019</v>
      </c>
      <c r="E13" s="112">
        <f>'Consommation du 01.11 au 30.11'!M21</f>
        <v>18546</v>
      </c>
      <c r="F13" s="112">
        <v>1.002</v>
      </c>
      <c r="G13" s="112">
        <f>'Consommation du 01.11 au 30.11'!U21</f>
        <v>779.1</v>
      </c>
      <c r="H13" s="112">
        <v>8.0277999999999992</v>
      </c>
      <c r="I13" s="112">
        <f>'Consommation du 01.11 au 30.11'!Y21*1000</f>
        <v>15049.999999999272</v>
      </c>
      <c r="J13" s="112">
        <v>0.84</v>
      </c>
      <c r="K13" s="112">
        <f>'Consommation du 01.11 au 30.11'!D21</f>
        <v>470</v>
      </c>
      <c r="L13" s="112">
        <v>12.67</v>
      </c>
      <c r="M13" s="126">
        <f>'Consommation du 01.11 au 30.11'!AC21</f>
        <v>114</v>
      </c>
      <c r="N13" s="126">
        <v>172</v>
      </c>
      <c r="O13" s="112">
        <f t="shared" si="0"/>
        <v>43434.45097999939</v>
      </c>
    </row>
    <row r="14" spans="1:15" x14ac:dyDescent="0.2">
      <c r="A14" s="113" t="s">
        <v>74</v>
      </c>
      <c r="B14">
        <f t="shared" si="1"/>
        <v>13</v>
      </c>
      <c r="C14">
        <v>11</v>
      </c>
      <c r="D14" s="126">
        <v>2019</v>
      </c>
      <c r="E14" s="112">
        <f>'Consommation du 01.11 au 30.11'!M22</f>
        <v>17364</v>
      </c>
      <c r="F14" s="112">
        <v>1.002</v>
      </c>
      <c r="G14" s="112">
        <f>'Consommation du 01.11 au 30.11'!U22</f>
        <v>593.6</v>
      </c>
      <c r="H14" s="112">
        <v>8.0277999999999992</v>
      </c>
      <c r="I14" s="112">
        <f>'Consommation du 01.11 au 30.11'!Y22*1000</f>
        <v>15720.000000001164</v>
      </c>
      <c r="J14" s="112">
        <v>0.84</v>
      </c>
      <c r="K14" s="112">
        <f>'Consommation du 01.11 au 30.11'!D22</f>
        <v>470</v>
      </c>
      <c r="L14" s="112">
        <v>12.67</v>
      </c>
      <c r="M14" s="126">
        <f>'Consommation du 01.11 au 30.11'!AC22</f>
        <v>118</v>
      </c>
      <c r="N14" s="126">
        <v>181</v>
      </c>
      <c r="O14" s="112">
        <f t="shared" si="0"/>
        <v>41323.730080000976</v>
      </c>
    </row>
    <row r="15" spans="1:15" x14ac:dyDescent="0.2">
      <c r="A15" s="113" t="s">
        <v>74</v>
      </c>
      <c r="B15">
        <f t="shared" si="1"/>
        <v>14</v>
      </c>
      <c r="C15">
        <v>11</v>
      </c>
      <c r="D15" s="126">
        <v>2019</v>
      </c>
      <c r="E15" s="112">
        <f>'Consommation du 01.11 au 30.11'!M23</f>
        <v>14180</v>
      </c>
      <c r="F15" s="112">
        <v>1.002</v>
      </c>
      <c r="G15" s="112">
        <f>'Consommation du 01.11 au 30.11'!U23</f>
        <v>630.70000000000005</v>
      </c>
      <c r="H15" s="112">
        <v>8.0277999999999992</v>
      </c>
      <c r="I15" s="112">
        <f>'Consommation du 01.11 au 30.11'!Y23*1000</f>
        <v>14269.999999998618</v>
      </c>
      <c r="J15" s="112">
        <v>0.84</v>
      </c>
      <c r="K15" s="112">
        <f>'Consommation du 01.11 au 30.11'!D23</f>
        <v>430</v>
      </c>
      <c r="L15" s="112">
        <v>12.67</v>
      </c>
      <c r="M15" s="126">
        <f>'Consommation du 01.11 au 30.11'!AC23</f>
        <v>89</v>
      </c>
      <c r="N15" s="126">
        <v>147</v>
      </c>
      <c r="O15" s="112">
        <f t="shared" si="0"/>
        <v>36706.393459998842</v>
      </c>
    </row>
    <row r="16" spans="1:15" ht="13.5" customHeight="1" x14ac:dyDescent="0.2">
      <c r="A16" s="113" t="s">
        <v>74</v>
      </c>
      <c r="B16">
        <f t="shared" si="1"/>
        <v>15</v>
      </c>
      <c r="C16">
        <v>11</v>
      </c>
      <c r="D16" s="126">
        <v>2019</v>
      </c>
      <c r="E16" s="112">
        <f>'Consommation du 01.11 au 30.11'!M24</f>
        <v>12932</v>
      </c>
      <c r="F16" s="112">
        <v>1.002</v>
      </c>
      <c r="G16" s="112">
        <f>'Consommation du 01.11 au 30.11'!U24</f>
        <v>1150.1000000000001</v>
      </c>
      <c r="H16" s="112">
        <v>8.0277999999999992</v>
      </c>
      <c r="I16" s="112">
        <f>'Consommation du 01.11 au 30.11'!Y24*1000</f>
        <v>15140.000000001237</v>
      </c>
      <c r="J16" s="112">
        <v>0.84</v>
      </c>
      <c r="K16" s="112">
        <f>'Consommation du 01.11 au 30.11'!D24</f>
        <v>430</v>
      </c>
      <c r="L16" s="112">
        <v>12.67</v>
      </c>
      <c r="M16" s="126">
        <f>'Consommation du 01.11 au 30.11'!AC24</f>
        <v>91</v>
      </c>
      <c r="N16" s="126">
        <v>189</v>
      </c>
      <c r="O16" s="112">
        <f t="shared" si="0"/>
        <v>40356.336780001038</v>
      </c>
    </row>
    <row r="17" spans="1:15" x14ac:dyDescent="0.2">
      <c r="A17" s="113" t="s">
        <v>74</v>
      </c>
      <c r="B17">
        <f t="shared" si="1"/>
        <v>16</v>
      </c>
      <c r="C17">
        <v>11</v>
      </c>
      <c r="D17" s="126">
        <v>2019</v>
      </c>
      <c r="E17" s="112">
        <f>'Consommation du 01.11 au 30.11'!M25</f>
        <v>13095</v>
      </c>
      <c r="F17" s="112">
        <v>1.002</v>
      </c>
      <c r="G17" s="112">
        <f>'Consommation du 01.11 au 30.11'!U25</f>
        <v>408.1</v>
      </c>
      <c r="H17" s="112">
        <v>8.0277999999999992</v>
      </c>
      <c r="I17" s="112">
        <f>'Consommation du 01.11 au 30.11'!Y25*1000</f>
        <v>17149.999999999636</v>
      </c>
      <c r="J17" s="112">
        <v>0.84</v>
      </c>
      <c r="K17" s="112">
        <f>'Consommation du 01.11 au 30.11'!D25</f>
        <v>490</v>
      </c>
      <c r="L17" s="112">
        <v>12.67</v>
      </c>
      <c r="M17" s="126">
        <f>'Consommation du 01.11 au 30.11'!AC25</f>
        <v>93</v>
      </c>
      <c r="N17" s="126">
        <v>188</v>
      </c>
      <c r="O17" s="112">
        <f t="shared" si="0"/>
        <v>37011.635179999699</v>
      </c>
    </row>
    <row r="18" spans="1:15" x14ac:dyDescent="0.2">
      <c r="A18" s="113" t="s">
        <v>74</v>
      </c>
      <c r="B18">
        <f t="shared" si="1"/>
        <v>17</v>
      </c>
      <c r="C18">
        <v>11</v>
      </c>
      <c r="D18" s="126">
        <v>2019</v>
      </c>
      <c r="E18" s="112">
        <f>'Consommation du 01.11 au 30.11'!M26</f>
        <v>12821</v>
      </c>
      <c r="F18" s="112">
        <v>1.002</v>
      </c>
      <c r="G18" s="112">
        <f>'Consommation du 01.11 au 30.11'!U26</f>
        <v>816.2</v>
      </c>
      <c r="H18" s="112">
        <v>8.0277999999999992</v>
      </c>
      <c r="I18" s="112">
        <f>'Consommation du 01.11 au 30.11'!Y26*1000</f>
        <v>16209.999999999127</v>
      </c>
      <c r="J18" s="112">
        <v>0.84</v>
      </c>
      <c r="K18" s="112">
        <f>'Consommation du 01.11 au 30.11'!D26</f>
        <v>410</v>
      </c>
      <c r="L18" s="112">
        <v>12.67</v>
      </c>
      <c r="M18" s="126">
        <f>'Consommation du 01.11 au 30.11'!AC26</f>
        <v>109</v>
      </c>
      <c r="N18" s="126">
        <v>210</v>
      </c>
      <c r="O18" s="112">
        <f t="shared" si="0"/>
        <v>38210.032359999263</v>
      </c>
    </row>
    <row r="19" spans="1:15" x14ac:dyDescent="0.2">
      <c r="A19" s="113" t="s">
        <v>74</v>
      </c>
      <c r="B19">
        <f t="shared" si="1"/>
        <v>18</v>
      </c>
      <c r="C19">
        <v>11</v>
      </c>
      <c r="D19" s="126">
        <v>2019</v>
      </c>
      <c r="E19" s="112">
        <f>'Consommation du 01.11 au 30.11'!M27</f>
        <v>13683</v>
      </c>
      <c r="F19" s="112">
        <v>1.002</v>
      </c>
      <c r="G19" s="112">
        <f>'Consommation du 01.11 au 30.11'!U27</f>
        <v>927.5</v>
      </c>
      <c r="H19" s="112">
        <v>8.0277999999999992</v>
      </c>
      <c r="I19" s="112">
        <f>'Consommation du 01.11 au 30.11'!Y27*1000</f>
        <v>14570.000000001528</v>
      </c>
      <c r="J19" s="112">
        <v>0.84</v>
      </c>
      <c r="K19" s="112">
        <f>'Consommation du 01.11 au 30.11'!D27</f>
        <v>550</v>
      </c>
      <c r="L19" s="112">
        <v>12.67</v>
      </c>
      <c r="M19" s="126">
        <f>'Consommation du 01.11 au 30.11'!AC27</f>
        <v>92</v>
      </c>
      <c r="N19" s="126">
        <v>177</v>
      </c>
      <c r="O19" s="112">
        <f t="shared" si="0"/>
        <v>40363.450500001287</v>
      </c>
    </row>
    <row r="20" spans="1:15" x14ac:dyDescent="0.2">
      <c r="A20" s="113" t="s">
        <v>74</v>
      </c>
      <c r="B20">
        <f t="shared" si="1"/>
        <v>19</v>
      </c>
      <c r="C20">
        <v>11</v>
      </c>
      <c r="D20" s="126">
        <v>2019</v>
      </c>
      <c r="E20" s="112">
        <f>'Consommation du 01.11 au 30.11'!M28</f>
        <v>14362</v>
      </c>
      <c r="F20" s="112">
        <v>1.002</v>
      </c>
      <c r="G20" s="112">
        <f>'Consommation du 01.11 au 30.11'!U28</f>
        <v>779.1</v>
      </c>
      <c r="H20" s="112">
        <v>8.0277999999999992</v>
      </c>
      <c r="I20" s="112">
        <f>'Consommation du 01.11 au 30.11'!Y28*1000</f>
        <v>15559.999999999491</v>
      </c>
      <c r="J20" s="112">
        <v>0.84</v>
      </c>
      <c r="K20" s="112">
        <f>'Consommation du 01.11 au 30.11'!D28</f>
        <v>460</v>
      </c>
      <c r="L20" s="112">
        <v>12.67</v>
      </c>
      <c r="M20" s="126">
        <f>'Consommation du 01.11 au 30.11'!AC28</f>
        <v>75</v>
      </c>
      <c r="N20" s="126">
        <v>144</v>
      </c>
      <c r="O20" s="112">
        <f t="shared" si="0"/>
        <v>39543.782979999567</v>
      </c>
    </row>
    <row r="21" spans="1:15" x14ac:dyDescent="0.2">
      <c r="A21" s="113" t="s">
        <v>74</v>
      </c>
      <c r="B21">
        <f t="shared" si="1"/>
        <v>20</v>
      </c>
      <c r="C21">
        <v>11</v>
      </c>
      <c r="D21" s="126">
        <v>2019</v>
      </c>
      <c r="E21" s="112">
        <f>'Consommation du 01.11 au 30.11'!M29</f>
        <v>0</v>
      </c>
      <c r="F21" s="112">
        <v>1.002</v>
      </c>
      <c r="G21" s="112">
        <f>'Consommation du 01.11 au 30.11'!U29</f>
        <v>0</v>
      </c>
      <c r="H21" s="112">
        <v>8.0277999999999992</v>
      </c>
      <c r="I21" s="112">
        <f>'Consommation du 01.11 au 30.11'!Y29*1000</f>
        <v>0</v>
      </c>
      <c r="J21" s="112">
        <v>0.84</v>
      </c>
      <c r="K21" s="112">
        <f>'Consommation du 01.11 au 30.11'!D29</f>
        <v>0</v>
      </c>
      <c r="L21" s="112">
        <v>12.67</v>
      </c>
      <c r="M21" s="126">
        <f>'Consommation du 01.11 au 30.11'!AC29</f>
        <v>0</v>
      </c>
      <c r="N21" s="126"/>
      <c r="O21" s="112">
        <f t="shared" si="0"/>
        <v>0</v>
      </c>
    </row>
    <row r="22" spans="1:15" x14ac:dyDescent="0.2">
      <c r="A22" s="113" t="s">
        <v>74</v>
      </c>
      <c r="B22">
        <f t="shared" si="1"/>
        <v>21</v>
      </c>
      <c r="C22">
        <v>11</v>
      </c>
      <c r="D22" s="126">
        <v>2019</v>
      </c>
      <c r="E22" s="112">
        <f>'Consommation du 01.11 au 30.11'!M30</f>
        <v>0</v>
      </c>
      <c r="F22" s="112">
        <v>1.002</v>
      </c>
      <c r="G22" s="112">
        <f>'Consommation du 01.11 au 30.11'!U30</f>
        <v>0</v>
      </c>
      <c r="H22" s="112">
        <v>8.0277999999999992</v>
      </c>
      <c r="I22" s="112">
        <f>'Consommation du 01.11 au 30.11'!Y30*1000</f>
        <v>0</v>
      </c>
      <c r="J22" s="112">
        <v>0.84</v>
      </c>
      <c r="K22" s="112">
        <f>'Consommation du 01.11 au 30.11'!D30</f>
        <v>0</v>
      </c>
      <c r="L22" s="112">
        <v>12.67</v>
      </c>
      <c r="M22" s="126">
        <f>'Consommation du 01.11 au 30.11'!AC30</f>
        <v>0</v>
      </c>
      <c r="N22" s="126"/>
      <c r="O22" s="112">
        <f t="shared" si="0"/>
        <v>0</v>
      </c>
    </row>
    <row r="23" spans="1:15" x14ac:dyDescent="0.2">
      <c r="A23" s="113" t="s">
        <v>74</v>
      </c>
      <c r="B23">
        <f t="shared" si="1"/>
        <v>22</v>
      </c>
      <c r="C23">
        <v>11</v>
      </c>
      <c r="D23" s="126">
        <v>2019</v>
      </c>
      <c r="E23" s="112">
        <f>'Consommation du 01.11 au 30.11'!M31</f>
        <v>0</v>
      </c>
      <c r="F23" s="112">
        <v>1.002</v>
      </c>
      <c r="G23" s="112">
        <f>'Consommation du 01.11 au 30.11'!U31</f>
        <v>0</v>
      </c>
      <c r="H23" s="112">
        <v>8.0277999999999992</v>
      </c>
      <c r="I23" s="112">
        <f>'Consommation du 01.11 au 30.11'!Y31*1000</f>
        <v>0</v>
      </c>
      <c r="J23" s="112">
        <v>0.84</v>
      </c>
      <c r="K23" s="112">
        <f>'Consommation du 01.11 au 30.11'!D31</f>
        <v>0</v>
      </c>
      <c r="L23" s="112">
        <v>12.67</v>
      </c>
      <c r="M23" s="126">
        <f>'Consommation du 01.11 au 30.11'!AC31</f>
        <v>0</v>
      </c>
      <c r="N23" s="126"/>
      <c r="O23" s="112">
        <f t="shared" si="0"/>
        <v>0</v>
      </c>
    </row>
    <row r="24" spans="1:15" x14ac:dyDescent="0.2">
      <c r="A24" s="113" t="s">
        <v>74</v>
      </c>
      <c r="B24">
        <f t="shared" si="1"/>
        <v>23</v>
      </c>
      <c r="C24">
        <v>11</v>
      </c>
      <c r="D24" s="126">
        <v>2019</v>
      </c>
      <c r="E24" s="112">
        <f>'Consommation du 01.11 au 30.11'!M32</f>
        <v>0</v>
      </c>
      <c r="F24" s="112">
        <v>1.002</v>
      </c>
      <c r="G24" s="112">
        <f>'Consommation du 01.11 au 30.11'!U32</f>
        <v>0</v>
      </c>
      <c r="H24" s="112">
        <v>8.0277999999999992</v>
      </c>
      <c r="I24" s="112">
        <f>'Consommation du 01.11 au 30.11'!Y32*1000</f>
        <v>0</v>
      </c>
      <c r="J24" s="112">
        <v>0.84</v>
      </c>
      <c r="K24" s="112">
        <f>'Consommation du 01.11 au 30.11'!D32</f>
        <v>0</v>
      </c>
      <c r="L24" s="112">
        <v>12.67</v>
      </c>
      <c r="M24" s="126">
        <f>'Consommation du 01.11 au 30.11'!AC32</f>
        <v>0</v>
      </c>
      <c r="O24" s="112">
        <f t="shared" si="0"/>
        <v>0</v>
      </c>
    </row>
    <row r="25" spans="1:15" x14ac:dyDescent="0.2">
      <c r="A25" s="113" t="s">
        <v>74</v>
      </c>
      <c r="B25">
        <f t="shared" si="1"/>
        <v>24</v>
      </c>
      <c r="C25">
        <v>11</v>
      </c>
      <c r="D25" s="126">
        <v>2019</v>
      </c>
      <c r="E25" s="112">
        <f>'Consommation du 01.11 au 30.11'!M33</f>
        <v>0</v>
      </c>
      <c r="F25" s="112">
        <v>1.002</v>
      </c>
      <c r="G25" s="112">
        <f>'Consommation du 01.11 au 30.11'!U33</f>
        <v>0</v>
      </c>
      <c r="H25" s="112">
        <v>8.0277999999999992</v>
      </c>
      <c r="I25" s="112">
        <f>'Consommation du 01.11 au 30.11'!Y33*1000</f>
        <v>0</v>
      </c>
      <c r="J25" s="112">
        <v>0.84</v>
      </c>
      <c r="K25" s="112">
        <f>'Consommation du 01.11 au 30.11'!D33</f>
        <v>0</v>
      </c>
      <c r="L25" s="112">
        <v>12.67</v>
      </c>
      <c r="M25" s="126">
        <f>'Consommation du 01.11 au 30.11'!AC33</f>
        <v>0</v>
      </c>
      <c r="N25" s="126"/>
      <c r="O25" s="112">
        <f t="shared" si="0"/>
        <v>0</v>
      </c>
    </row>
    <row r="26" spans="1:15" x14ac:dyDescent="0.2">
      <c r="A26" s="113" t="s">
        <v>74</v>
      </c>
      <c r="B26">
        <f>B25+1</f>
        <v>25</v>
      </c>
      <c r="C26">
        <v>11</v>
      </c>
      <c r="D26" s="126">
        <v>2019</v>
      </c>
      <c r="E26" s="112">
        <f>'Consommation du 01.11 au 30.11'!M34</f>
        <v>0</v>
      </c>
      <c r="F26" s="112">
        <v>1.002</v>
      </c>
      <c r="G26" s="112">
        <f>'Consommation du 01.11 au 30.11'!U34</f>
        <v>0</v>
      </c>
      <c r="H26" s="112">
        <v>8.0277999999999992</v>
      </c>
      <c r="I26" s="112">
        <f>'Consommation du 01.11 au 30.11'!Y34*1000</f>
        <v>0</v>
      </c>
      <c r="J26" s="112">
        <v>0.84</v>
      </c>
      <c r="K26" s="112">
        <f>'Consommation du 01.11 au 30.11'!D34</f>
        <v>0</v>
      </c>
      <c r="L26" s="112">
        <v>12.67</v>
      </c>
      <c r="M26" s="126">
        <f>'Consommation du 01.11 au 30.11'!AC34</f>
        <v>0</v>
      </c>
      <c r="N26" s="126"/>
      <c r="O26" s="112">
        <f t="shared" si="0"/>
        <v>0</v>
      </c>
    </row>
    <row r="27" spans="1:15" x14ac:dyDescent="0.2">
      <c r="A27" s="113" t="s">
        <v>74</v>
      </c>
      <c r="B27">
        <f t="shared" si="1"/>
        <v>26</v>
      </c>
      <c r="C27">
        <v>11</v>
      </c>
      <c r="D27" s="126">
        <v>2019</v>
      </c>
      <c r="E27" s="112">
        <f>'Consommation du 01.11 au 30.11'!M35</f>
        <v>0</v>
      </c>
      <c r="F27" s="112">
        <v>1.002</v>
      </c>
      <c r="G27" s="112">
        <f>'Consommation du 01.11 au 30.11'!U35</f>
        <v>0</v>
      </c>
      <c r="H27" s="112">
        <v>8.0277999999999992</v>
      </c>
      <c r="I27" s="112">
        <f>'Consommation du 01.11 au 30.11'!Y35*1000</f>
        <v>0</v>
      </c>
      <c r="J27" s="112">
        <v>0.84</v>
      </c>
      <c r="K27" s="112">
        <f>'Consommation du 01.11 au 30.11'!D35</f>
        <v>0</v>
      </c>
      <c r="L27" s="112">
        <v>12.67</v>
      </c>
      <c r="M27" s="126">
        <f>'Consommation du 01.11 au 30.11'!AC35</f>
        <v>0</v>
      </c>
      <c r="N27" s="126"/>
      <c r="O27" s="112">
        <f t="shared" si="0"/>
        <v>0</v>
      </c>
    </row>
    <row r="28" spans="1:15" x14ac:dyDescent="0.2">
      <c r="A28" s="113" t="s">
        <v>74</v>
      </c>
      <c r="B28">
        <f t="shared" si="1"/>
        <v>27</v>
      </c>
      <c r="C28">
        <v>11</v>
      </c>
      <c r="D28" s="126">
        <v>2019</v>
      </c>
      <c r="E28" s="112">
        <f>'Consommation du 01.11 au 30.11'!M36</f>
        <v>0</v>
      </c>
      <c r="F28" s="112">
        <v>1.002</v>
      </c>
      <c r="G28" s="112">
        <f>'Consommation du 01.11 au 30.11'!U36</f>
        <v>0</v>
      </c>
      <c r="H28" s="112">
        <v>8.0277999999999992</v>
      </c>
      <c r="I28" s="112">
        <f>'Consommation du 01.11 au 30.11'!Y36*1000</f>
        <v>0</v>
      </c>
      <c r="J28" s="112">
        <v>0.84</v>
      </c>
      <c r="K28" s="112">
        <f>'Consommation du 01.11 au 30.11'!D36</f>
        <v>0</v>
      </c>
      <c r="L28" s="112">
        <v>12.67</v>
      </c>
      <c r="M28" s="126">
        <f>'Consommation du 01.11 au 30.11'!AC36</f>
        <v>0</v>
      </c>
      <c r="N28" s="126"/>
      <c r="O28" s="112">
        <f t="shared" si="0"/>
        <v>0</v>
      </c>
    </row>
    <row r="29" spans="1:15" x14ac:dyDescent="0.2">
      <c r="A29" s="113" t="s">
        <v>74</v>
      </c>
      <c r="B29">
        <f t="shared" si="1"/>
        <v>28</v>
      </c>
      <c r="C29">
        <v>11</v>
      </c>
      <c r="D29" s="126">
        <v>2019</v>
      </c>
      <c r="E29" s="112">
        <f>'Consommation du 01.11 au 30.11'!M37</f>
        <v>0</v>
      </c>
      <c r="F29" s="112">
        <v>1.002</v>
      </c>
      <c r="G29" s="112">
        <f>'Consommation du 01.11 au 30.11'!U37</f>
        <v>0</v>
      </c>
      <c r="H29" s="112">
        <v>8.0277999999999992</v>
      </c>
      <c r="I29" s="112">
        <f>'Consommation du 01.11 au 30.11'!Y37*1000</f>
        <v>0</v>
      </c>
      <c r="J29" s="112">
        <v>0.84</v>
      </c>
      <c r="K29" s="112">
        <f>'Consommation du 01.11 au 30.11'!D37</f>
        <v>0</v>
      </c>
      <c r="L29" s="112">
        <v>12.67</v>
      </c>
      <c r="M29" s="126">
        <f>'Consommation du 01.11 au 30.11'!AC37</f>
        <v>0</v>
      </c>
      <c r="N29" s="126"/>
      <c r="O29" s="112">
        <f t="shared" si="0"/>
        <v>0</v>
      </c>
    </row>
    <row r="30" spans="1:15" x14ac:dyDescent="0.2">
      <c r="A30" s="113" t="s">
        <v>74</v>
      </c>
      <c r="B30">
        <f t="shared" si="1"/>
        <v>29</v>
      </c>
      <c r="C30">
        <v>11</v>
      </c>
      <c r="D30" s="126">
        <v>2019</v>
      </c>
      <c r="E30" s="112">
        <f>'Consommation du 01.11 au 30.11'!M38</f>
        <v>0</v>
      </c>
      <c r="F30" s="112">
        <v>1.002</v>
      </c>
      <c r="G30" s="112">
        <f>'Consommation du 01.11 au 30.11'!U38</f>
        <v>0</v>
      </c>
      <c r="H30" s="112">
        <v>8.0277999999999992</v>
      </c>
      <c r="I30" s="112">
        <f>'Consommation du 01.11 au 30.11'!Y38*1000</f>
        <v>0</v>
      </c>
      <c r="J30" s="112">
        <v>0.84</v>
      </c>
      <c r="K30" s="112">
        <f>'Consommation du 01.11 au 30.11'!D38</f>
        <v>0</v>
      </c>
      <c r="L30" s="112">
        <v>12.67</v>
      </c>
      <c r="M30" s="126">
        <f>'Consommation du 01.11 au 30.11'!AC38</f>
        <v>0</v>
      </c>
      <c r="N30" s="126"/>
      <c r="O30" s="112"/>
    </row>
    <row r="31" spans="1:15" x14ac:dyDescent="0.2">
      <c r="A31" s="113" t="s">
        <v>74</v>
      </c>
      <c r="B31">
        <f t="shared" si="1"/>
        <v>30</v>
      </c>
      <c r="C31">
        <v>11</v>
      </c>
      <c r="D31" s="126">
        <v>2019</v>
      </c>
      <c r="E31" s="112">
        <f>'Consommation du 01.11 au 30.11'!M39</f>
        <v>0</v>
      </c>
      <c r="F31" s="112">
        <v>1.002</v>
      </c>
      <c r="G31" s="112">
        <f>'Consommation du 01.11 au 30.11'!U39</f>
        <v>0</v>
      </c>
      <c r="H31" s="112">
        <v>8.0277999999999992</v>
      </c>
      <c r="I31" s="112">
        <f>'Consommation du 01.11 au 30.11'!Y39*1000</f>
        <v>0</v>
      </c>
      <c r="J31" s="112">
        <v>0.84</v>
      </c>
      <c r="K31" s="112">
        <f>'Consommation du 01.11 au 30.11'!D39</f>
        <v>0</v>
      </c>
      <c r="L31" s="112">
        <v>12.67</v>
      </c>
      <c r="M31" s="126">
        <f>'Consommation du 01.11 au 30.11'!AC39</f>
        <v>0</v>
      </c>
      <c r="O31" s="112"/>
    </row>
    <row r="32" spans="1:15" x14ac:dyDescent="0.2">
      <c r="A32" s="113"/>
      <c r="D32" s="126"/>
      <c r="E32" s="112"/>
      <c r="F32" s="112"/>
      <c r="G32" s="112"/>
      <c r="H32" s="112"/>
      <c r="I32" s="112"/>
      <c r="J32" s="112"/>
      <c r="K32" s="112"/>
      <c r="L32" s="112"/>
      <c r="M32" s="126"/>
      <c r="O32" s="112"/>
    </row>
    <row r="33" spans="4:14" x14ac:dyDescent="0.2"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</row>
    <row r="34" spans="4:14" x14ac:dyDescent="0.2"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</row>
    <row r="35" spans="4:14" x14ac:dyDescent="0.2"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</row>
    <row r="36" spans="4:14" x14ac:dyDescent="0.2"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</row>
    <row r="37" spans="4:14" x14ac:dyDescent="0.2"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</row>
    <row r="38" spans="4:14" x14ac:dyDescent="0.2"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4:14" x14ac:dyDescent="0.2"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4:14" x14ac:dyDescent="0.2"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F9" zoomScale="55" zoomScaleNormal="55" zoomScaleSheetLayoutView="50" workbookViewId="0">
      <selection activeCell="X29" sqref="X29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91"/>
      <c r="B2" s="192"/>
      <c r="C2" s="192"/>
      <c r="D2" s="192"/>
      <c r="E2" s="192"/>
      <c r="F2" s="193"/>
      <c r="G2" s="180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2"/>
      <c r="AD2" s="179"/>
      <c r="AE2" s="179"/>
      <c r="AF2" s="179"/>
      <c r="AJ2" s="66"/>
    </row>
    <row r="3" spans="1:37" ht="1.5" customHeight="1" x14ac:dyDescent="0.2"/>
    <row r="4" spans="1:37" ht="39" hidden="1" customHeight="1" x14ac:dyDescent="0.2">
      <c r="A4" s="194"/>
      <c r="B4" s="194"/>
      <c r="C4" s="194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94"/>
      <c r="B5" s="194"/>
      <c r="C5" s="194"/>
      <c r="D5" s="6"/>
      <c r="E5" s="6"/>
      <c r="F5" s="6"/>
      <c r="G5" s="6"/>
      <c r="H5" s="6"/>
      <c r="I5" s="6"/>
      <c r="J5" s="6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96"/>
      <c r="E7" s="196"/>
      <c r="F7" s="196"/>
      <c r="G7" s="196"/>
      <c r="H7" s="196"/>
      <c r="I7" s="196"/>
      <c r="J7" s="196"/>
      <c r="K7" s="196"/>
      <c r="L7" s="248"/>
      <c r="M7" s="248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4"/>
      <c r="AC7" s="14"/>
      <c r="AI7" s="6"/>
      <c r="AJ7" s="6"/>
      <c r="AK7" s="6"/>
    </row>
    <row r="8" spans="1:37" ht="2.25" customHeight="1" thickBot="1" x14ac:dyDescent="0.25">
      <c r="A8" s="196"/>
      <c r="B8" s="197" t="s">
        <v>1</v>
      </c>
      <c r="C8" s="4"/>
      <c r="D8" s="198" t="s">
        <v>4</v>
      </c>
      <c r="E8" s="5"/>
      <c r="F8" s="183" t="s">
        <v>12</v>
      </c>
      <c r="G8" s="184"/>
      <c r="H8" s="185"/>
      <c r="I8" s="5"/>
      <c r="J8" s="203" t="s">
        <v>3</v>
      </c>
      <c r="K8" s="203"/>
      <c r="L8" s="203"/>
      <c r="M8" s="203" t="s">
        <v>2</v>
      </c>
      <c r="N8" s="5"/>
      <c r="O8" s="189" t="s">
        <v>12</v>
      </c>
      <c r="P8" s="5"/>
      <c r="Q8" s="189" t="s">
        <v>5</v>
      </c>
      <c r="R8" s="5"/>
      <c r="S8" s="189" t="s">
        <v>6</v>
      </c>
      <c r="T8" s="5"/>
      <c r="U8" s="249" t="s">
        <v>39</v>
      </c>
      <c r="V8" s="5"/>
      <c r="W8" s="189" t="s">
        <v>12</v>
      </c>
      <c r="X8" s="74"/>
      <c r="Y8" s="74"/>
      <c r="Z8" s="74"/>
      <c r="AA8" s="202"/>
      <c r="AB8" s="200" t="s">
        <v>80</v>
      </c>
      <c r="AC8" s="189" t="s">
        <v>75</v>
      </c>
      <c r="AD8" s="177" t="s">
        <v>54</v>
      </c>
      <c r="AE8" s="175" t="s">
        <v>59</v>
      </c>
      <c r="AF8" s="175" t="s">
        <v>60</v>
      </c>
      <c r="AG8" s="173" t="s">
        <v>61</v>
      </c>
      <c r="AH8" s="173" t="s">
        <v>62</v>
      </c>
      <c r="AI8" s="78"/>
      <c r="AJ8" s="78"/>
      <c r="AK8" s="78"/>
    </row>
    <row r="9" spans="1:37" ht="116.25" customHeight="1" thickBot="1" x14ac:dyDescent="0.25">
      <c r="A9" s="196"/>
      <c r="B9" s="197"/>
      <c r="C9" s="4"/>
      <c r="D9" s="199"/>
      <c r="E9" s="5"/>
      <c r="F9" s="186"/>
      <c r="G9" s="187"/>
      <c r="H9" s="188"/>
      <c r="I9" s="5"/>
      <c r="J9" s="90" t="s">
        <v>7</v>
      </c>
      <c r="K9" s="90" t="s">
        <v>8</v>
      </c>
      <c r="L9" s="90" t="s">
        <v>9</v>
      </c>
      <c r="M9" s="203"/>
      <c r="N9" s="5"/>
      <c r="O9" s="190"/>
      <c r="P9" s="5"/>
      <c r="Q9" s="190"/>
      <c r="R9" s="5"/>
      <c r="S9" s="190"/>
      <c r="T9" s="5"/>
      <c r="U9" s="250"/>
      <c r="V9" s="5"/>
      <c r="W9" s="190"/>
      <c r="X9" s="140" t="s">
        <v>81</v>
      </c>
      <c r="Y9" s="105" t="s">
        <v>55</v>
      </c>
      <c r="Z9" s="106" t="s">
        <v>56</v>
      </c>
      <c r="AA9" s="202"/>
      <c r="AB9" s="201"/>
      <c r="AC9" s="195"/>
      <c r="AD9" s="178"/>
      <c r="AE9" s="176"/>
      <c r="AF9" s="176"/>
      <c r="AG9" s="174"/>
      <c r="AH9" s="174"/>
      <c r="AI9" s="107"/>
      <c r="AJ9" s="79"/>
      <c r="AK9" s="79"/>
    </row>
    <row r="10" spans="1:37" ht="32.25" customHeight="1" thickBot="1" x14ac:dyDescent="0.25">
      <c r="A10" s="14"/>
      <c r="B10" s="7">
        <v>43770</v>
      </c>
      <c r="C10" s="8"/>
      <c r="D10" s="114">
        <f>'Suivi EAU-ELEC'!C16</f>
        <v>650</v>
      </c>
      <c r="E10" s="115"/>
      <c r="F10" s="244">
        <f>D10*12.67</f>
        <v>8235.5</v>
      </c>
      <c r="G10" s="244"/>
      <c r="H10" s="245"/>
      <c r="I10" s="96"/>
      <c r="J10" s="121">
        <f>'Suivi EAU-ELEC'!E16</f>
        <v>6601</v>
      </c>
      <c r="K10" s="122">
        <f>'Suivi EAU-ELEC'!G16</f>
        <v>9635</v>
      </c>
      <c r="L10" s="122">
        <f>'Suivi EAU-ELEC'!I16</f>
        <v>4498</v>
      </c>
      <c r="M10" s="123">
        <f>L10+K10+J10</f>
        <v>20734</v>
      </c>
      <c r="N10" s="96"/>
      <c r="O10" s="99">
        <f>M10*1.002</f>
        <v>20775.468000000001</v>
      </c>
      <c r="P10" s="95"/>
      <c r="Q10" s="94"/>
      <c r="R10" s="93"/>
      <c r="S10" s="94"/>
      <c r="T10" s="101"/>
      <c r="U10" s="100">
        <f>'Suvi Gaz'!O11</f>
        <v>519.4</v>
      </c>
      <c r="V10" s="96"/>
      <c r="W10" s="99">
        <f>U10*8.0278</f>
        <v>4169.6393199999993</v>
      </c>
      <c r="X10" s="138">
        <v>15088.7</v>
      </c>
      <c r="Y10" s="103">
        <f>IF(X11&lt;X10,0,X11-X10)</f>
        <v>13.920000000000073</v>
      </c>
      <c r="Z10" s="104">
        <f>Y10*0.84*1000</f>
        <v>11692.800000000061</v>
      </c>
      <c r="AA10" s="96"/>
      <c r="AB10" s="149">
        <v>27</v>
      </c>
      <c r="AC10" s="155">
        <v>137</v>
      </c>
      <c r="AD10" s="154">
        <v>0.98560000000000003</v>
      </c>
      <c r="AE10" s="160">
        <v>29.8</v>
      </c>
      <c r="AF10" s="159">
        <v>30.5</v>
      </c>
      <c r="AG10" s="157">
        <v>28</v>
      </c>
      <c r="AH10" s="158">
        <v>29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43771</v>
      </c>
      <c r="C11" s="8"/>
      <c r="D11" s="114">
        <f>'Suivi EAU-ELEC'!C17</f>
        <v>490</v>
      </c>
      <c r="E11" s="93"/>
      <c r="F11" s="244">
        <f t="shared" ref="F11:F40" si="0">D11*12.67</f>
        <v>6208.3</v>
      </c>
      <c r="G11" s="244"/>
      <c r="H11" s="245"/>
      <c r="I11" s="96"/>
      <c r="J11" s="121">
        <f>'Suivi EAU-ELEC'!E17</f>
        <v>6829</v>
      </c>
      <c r="K11" s="122">
        <f>'Suivi EAU-ELEC'!G17</f>
        <v>9858</v>
      </c>
      <c r="L11" s="122">
        <f>'Suivi EAU-ELEC'!I17</f>
        <v>4914</v>
      </c>
      <c r="M11" s="123">
        <f t="shared" ref="M11:M40" si="1">L11+K11+J11</f>
        <v>21601</v>
      </c>
      <c r="N11" s="96"/>
      <c r="O11" s="99">
        <f t="shared" ref="O11:O40" si="2">M11*1.002</f>
        <v>21644.202000000001</v>
      </c>
      <c r="P11" s="95"/>
      <c r="Q11" s="94"/>
      <c r="R11" s="93"/>
      <c r="S11" s="94"/>
      <c r="T11" s="101"/>
      <c r="U11" s="100">
        <f>'Suvi Gaz'!O12</f>
        <v>853.30000000000007</v>
      </c>
      <c r="V11" s="96"/>
      <c r="W11" s="99">
        <f t="shared" ref="W11:W40" si="3">U11*8.0278</f>
        <v>6850.1217399999996</v>
      </c>
      <c r="X11" s="162">
        <v>15102.62</v>
      </c>
      <c r="Y11" s="103">
        <f t="shared" ref="Y11:Y40" si="4">IF(X12&lt;X11,0,X12-X11)</f>
        <v>13.599999999998545</v>
      </c>
      <c r="Z11" s="104">
        <f t="shared" ref="Z11:Z40" si="5">Y11*0.84*1000</f>
        <v>11423.999999998778</v>
      </c>
      <c r="AA11" s="96"/>
      <c r="AB11" s="149">
        <v>26</v>
      </c>
      <c r="AC11" s="150">
        <v>132</v>
      </c>
      <c r="AD11" s="151">
        <v>0.97060000000000002</v>
      </c>
      <c r="AE11" s="152">
        <v>29.8</v>
      </c>
      <c r="AF11" s="148">
        <v>31</v>
      </c>
      <c r="AG11" s="153">
        <v>27.6</v>
      </c>
      <c r="AH11" s="156">
        <v>29.5</v>
      </c>
      <c r="AI11" s="170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43772</v>
      </c>
      <c r="C12" s="8"/>
      <c r="D12" s="114">
        <f>'Suivi EAU-ELEC'!C18</f>
        <v>530</v>
      </c>
      <c r="E12" s="93"/>
      <c r="F12" s="244">
        <f t="shared" si="0"/>
        <v>6715.1</v>
      </c>
      <c r="G12" s="244"/>
      <c r="H12" s="245"/>
      <c r="I12" s="96"/>
      <c r="J12" s="121">
        <f>'Suivi EAU-ELEC'!E18</f>
        <v>6220</v>
      </c>
      <c r="K12" s="122">
        <f>'Suivi EAU-ELEC'!G18</f>
        <v>8922</v>
      </c>
      <c r="L12" s="122">
        <f>'Suivi EAU-ELEC'!I18</f>
        <v>4151</v>
      </c>
      <c r="M12" s="123">
        <f t="shared" si="1"/>
        <v>19293</v>
      </c>
      <c r="N12" s="96"/>
      <c r="O12" s="99">
        <f t="shared" si="2"/>
        <v>19331.585999999999</v>
      </c>
      <c r="P12" s="95"/>
      <c r="Q12" s="94"/>
      <c r="R12" s="93"/>
      <c r="S12" s="94"/>
      <c r="T12" s="101"/>
      <c r="U12" s="100">
        <f>'Suvi Gaz'!O13</f>
        <v>371</v>
      </c>
      <c r="V12" s="97"/>
      <c r="W12" s="99">
        <f t="shared" si="3"/>
        <v>2978.3137999999999</v>
      </c>
      <c r="X12" s="161">
        <v>15116.22</v>
      </c>
      <c r="Y12" s="103">
        <f t="shared" si="4"/>
        <v>15.940000000000509</v>
      </c>
      <c r="Z12" s="104">
        <f t="shared" si="5"/>
        <v>13389.600000000428</v>
      </c>
      <c r="AA12" s="96"/>
      <c r="AB12" s="119">
        <v>21</v>
      </c>
      <c r="AC12" s="133">
        <v>109</v>
      </c>
      <c r="AD12" s="129">
        <v>0.82579999999999998</v>
      </c>
      <c r="AE12" s="159">
        <v>30</v>
      </c>
      <c r="AF12" s="159">
        <v>30</v>
      </c>
      <c r="AG12" s="157">
        <v>26.4</v>
      </c>
      <c r="AH12" s="158">
        <v>29.5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43773</v>
      </c>
      <c r="C13" s="8"/>
      <c r="D13" s="114">
        <f>'Suivi EAU-ELEC'!C19</f>
        <v>530</v>
      </c>
      <c r="E13" s="93"/>
      <c r="F13" s="244">
        <f t="shared" si="0"/>
        <v>6715.1</v>
      </c>
      <c r="G13" s="244"/>
      <c r="H13" s="245"/>
      <c r="I13" s="96"/>
      <c r="J13" s="121">
        <f>'Suivi EAU-ELEC'!E19</f>
        <v>5895</v>
      </c>
      <c r="K13" s="122">
        <f>'Suivi EAU-ELEC'!G19</f>
        <v>9460</v>
      </c>
      <c r="L13" s="122">
        <f>'Suivi EAU-ELEC'!I19</f>
        <v>4280</v>
      </c>
      <c r="M13" s="123">
        <f t="shared" si="1"/>
        <v>19635</v>
      </c>
      <c r="N13" s="96"/>
      <c r="O13" s="99">
        <f t="shared" si="2"/>
        <v>19674.27</v>
      </c>
      <c r="P13" s="95"/>
      <c r="Q13" s="94"/>
      <c r="R13" s="93"/>
      <c r="S13" s="94"/>
      <c r="T13" s="101"/>
      <c r="U13" s="100">
        <f>'Suvi Gaz'!O14</f>
        <v>296.8</v>
      </c>
      <c r="V13" s="97"/>
      <c r="W13" s="99">
        <f t="shared" si="3"/>
        <v>2382.6510399999997</v>
      </c>
      <c r="X13" s="161">
        <v>15132.16</v>
      </c>
      <c r="Y13" s="103">
        <f>IF(X14&lt;X13,0,X14-X13)</f>
        <v>13.989999999999782</v>
      </c>
      <c r="Z13" s="104">
        <f>Y13*0.84*1000</f>
        <v>11751.599999999817</v>
      </c>
      <c r="AA13" s="96"/>
      <c r="AB13" s="119">
        <v>21</v>
      </c>
      <c r="AC13" s="133">
        <v>128</v>
      </c>
      <c r="AD13" s="129">
        <v>0.92749999999999999</v>
      </c>
      <c r="AE13" s="159">
        <v>30</v>
      </c>
      <c r="AF13" s="159">
        <v>30</v>
      </c>
      <c r="AG13" s="157">
        <v>25.6</v>
      </c>
      <c r="AH13" s="158">
        <v>25.8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43774</v>
      </c>
      <c r="C14" s="8"/>
      <c r="D14" s="114">
        <f>'Suivi EAU-ELEC'!C20</f>
        <v>820</v>
      </c>
      <c r="E14" s="116"/>
      <c r="F14" s="244">
        <f t="shared" si="0"/>
        <v>10389.4</v>
      </c>
      <c r="G14" s="244"/>
      <c r="H14" s="245"/>
      <c r="I14" s="97"/>
      <c r="J14" s="121">
        <f>'Suivi EAU-ELEC'!E20</f>
        <v>5595</v>
      </c>
      <c r="K14" s="122">
        <f>'Suivi EAU-ELEC'!G20</f>
        <v>9063</v>
      </c>
      <c r="L14" s="122">
        <f>'Suivi EAU-ELEC'!I20</f>
        <v>3763</v>
      </c>
      <c r="M14" s="123">
        <f t="shared" si="1"/>
        <v>18421</v>
      </c>
      <c r="N14" s="96"/>
      <c r="O14" s="99">
        <f t="shared" si="2"/>
        <v>18457.842000000001</v>
      </c>
      <c r="P14" s="95"/>
      <c r="Q14" s="94"/>
      <c r="R14" s="93"/>
      <c r="S14" s="94"/>
      <c r="T14" s="101"/>
      <c r="U14" s="100">
        <f>'Suvi Gaz'!O15</f>
        <v>482.3</v>
      </c>
      <c r="V14" s="97"/>
      <c r="W14" s="99">
        <f t="shared" si="3"/>
        <v>3871.8079399999997</v>
      </c>
      <c r="X14" s="161">
        <v>15146.15</v>
      </c>
      <c r="Y14" s="103">
        <f>IF(X15&lt;X14,0,X15-X14)</f>
        <v>13.860000000000582</v>
      </c>
      <c r="Z14" s="104">
        <f>Y14*0.84*1000</f>
        <v>11642.400000000489</v>
      </c>
      <c r="AA14" s="96"/>
      <c r="AB14" s="119">
        <v>18</v>
      </c>
      <c r="AC14" s="133">
        <v>138</v>
      </c>
      <c r="AD14" s="129">
        <v>0.99280000000000002</v>
      </c>
      <c r="AE14" s="159">
        <v>29.8</v>
      </c>
      <c r="AF14" s="159">
        <v>30</v>
      </c>
      <c r="AG14" s="157">
        <v>28.5</v>
      </c>
      <c r="AH14" s="158">
        <v>29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43775</v>
      </c>
      <c r="C15" s="8"/>
      <c r="D15" s="114">
        <f>'Suivi EAU-ELEC'!C21</f>
        <v>570</v>
      </c>
      <c r="E15" s="93"/>
      <c r="F15" s="244">
        <f t="shared" si="0"/>
        <v>7221.9</v>
      </c>
      <c r="G15" s="244"/>
      <c r="H15" s="245"/>
      <c r="I15" s="96"/>
      <c r="J15" s="121">
        <f>'Suivi EAU-ELEC'!E21</f>
        <v>5443</v>
      </c>
      <c r="K15" s="122">
        <f>'Suivi EAU-ELEC'!G21</f>
        <v>8722</v>
      </c>
      <c r="L15" s="122">
        <f>'Suivi EAU-ELEC'!I21</f>
        <v>4150</v>
      </c>
      <c r="M15" s="123">
        <f t="shared" si="1"/>
        <v>18315</v>
      </c>
      <c r="N15" s="96"/>
      <c r="O15" s="99">
        <f t="shared" si="2"/>
        <v>18351.63</v>
      </c>
      <c r="P15" s="95"/>
      <c r="Q15" s="94"/>
      <c r="R15" s="93"/>
      <c r="S15" s="94"/>
      <c r="T15" s="101"/>
      <c r="U15" s="100">
        <f>'Suvi Gaz'!O16</f>
        <v>482.3</v>
      </c>
      <c r="V15" s="97"/>
      <c r="W15" s="99">
        <f t="shared" si="3"/>
        <v>3871.8079399999997</v>
      </c>
      <c r="X15" s="161">
        <v>15160.01</v>
      </c>
      <c r="Y15" s="103">
        <f t="shared" si="4"/>
        <v>14.739999999999782</v>
      </c>
      <c r="Z15" s="104">
        <f t="shared" si="5"/>
        <v>12381.599999999817</v>
      </c>
      <c r="AA15" s="96"/>
      <c r="AB15" s="119">
        <v>20</v>
      </c>
      <c r="AC15" s="133">
        <v>132</v>
      </c>
      <c r="AD15" s="129">
        <v>0.9496</v>
      </c>
      <c r="AE15" s="159">
        <v>28.6</v>
      </c>
      <c r="AF15" s="159">
        <v>29</v>
      </c>
      <c r="AG15" s="157">
        <v>26</v>
      </c>
      <c r="AH15" s="158">
        <v>27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43776</v>
      </c>
      <c r="C16" s="8"/>
      <c r="D16" s="114">
        <f>'Suivi EAU-ELEC'!C22</f>
        <v>530</v>
      </c>
      <c r="E16" s="116"/>
      <c r="F16" s="244">
        <f t="shared" si="0"/>
        <v>6715.1</v>
      </c>
      <c r="G16" s="244"/>
      <c r="H16" s="245"/>
      <c r="I16" s="97"/>
      <c r="J16" s="121">
        <f>'Suivi EAU-ELEC'!E22</f>
        <v>5630</v>
      </c>
      <c r="K16" s="122">
        <f>'Suivi EAU-ELEC'!G22</f>
        <v>7812</v>
      </c>
      <c r="L16" s="122">
        <f>'Suivi EAU-ELEC'!I22</f>
        <v>4362</v>
      </c>
      <c r="M16" s="123">
        <f t="shared" si="1"/>
        <v>17804</v>
      </c>
      <c r="N16" s="96"/>
      <c r="O16" s="99">
        <f t="shared" si="2"/>
        <v>17839.608</v>
      </c>
      <c r="P16" s="95"/>
      <c r="Q16" s="94"/>
      <c r="R16" s="93"/>
      <c r="S16" s="94"/>
      <c r="T16" s="101"/>
      <c r="U16" s="100">
        <f>'Suvi Gaz'!O17</f>
        <v>556.5</v>
      </c>
      <c r="V16" s="97"/>
      <c r="W16" s="99">
        <f t="shared" si="3"/>
        <v>4467.4706999999999</v>
      </c>
      <c r="X16" s="161">
        <v>15174.75</v>
      </c>
      <c r="Y16" s="103">
        <f t="shared" si="4"/>
        <v>15.790000000000873</v>
      </c>
      <c r="Z16" s="104">
        <f t="shared" si="5"/>
        <v>13263.600000000732</v>
      </c>
      <c r="AA16" s="96"/>
      <c r="AB16" s="119">
        <v>20</v>
      </c>
      <c r="AC16" s="133">
        <v>116</v>
      </c>
      <c r="AD16" s="129">
        <v>0.84670000000000001</v>
      </c>
      <c r="AE16" s="159">
        <v>28.8</v>
      </c>
      <c r="AF16" s="159">
        <v>29</v>
      </c>
      <c r="AG16" s="157">
        <v>26.5</v>
      </c>
      <c r="AH16" s="158">
        <v>27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43777</v>
      </c>
      <c r="C17" s="8"/>
      <c r="D17" s="114">
        <f>'Suivi EAU-ELEC'!C23</f>
        <v>520</v>
      </c>
      <c r="E17" s="116"/>
      <c r="F17" s="244">
        <f t="shared" si="0"/>
        <v>6588.4</v>
      </c>
      <c r="G17" s="244"/>
      <c r="H17" s="245"/>
      <c r="I17" s="97"/>
      <c r="J17" s="121">
        <f>'Suivi EAU-ELEC'!E23</f>
        <v>5438</v>
      </c>
      <c r="K17" s="122">
        <f>'Suivi EAU-ELEC'!G23</f>
        <v>8595</v>
      </c>
      <c r="L17" s="122">
        <f>'Suivi EAU-ELEC'!I23</f>
        <v>3912</v>
      </c>
      <c r="M17" s="123">
        <f t="shared" si="1"/>
        <v>17945</v>
      </c>
      <c r="N17" s="96"/>
      <c r="O17" s="99">
        <f t="shared" si="2"/>
        <v>17980.89</v>
      </c>
      <c r="P17" s="95"/>
      <c r="Q17" s="94"/>
      <c r="R17" s="93"/>
      <c r="S17" s="94"/>
      <c r="T17" s="101"/>
      <c r="U17" s="100">
        <f>'Suvi Gaz'!O18</f>
        <v>964.6</v>
      </c>
      <c r="V17" s="97"/>
      <c r="W17" s="99">
        <f t="shared" si="3"/>
        <v>7743.6158799999994</v>
      </c>
      <c r="X17" s="161">
        <v>15190.54</v>
      </c>
      <c r="Y17" s="103">
        <f t="shared" si="4"/>
        <v>15.529999999998836</v>
      </c>
      <c r="Z17" s="104">
        <f t="shared" si="5"/>
        <v>13045.199999999022</v>
      </c>
      <c r="AA17" s="102"/>
      <c r="AB17" s="119">
        <v>19</v>
      </c>
      <c r="AC17" s="133">
        <v>138</v>
      </c>
      <c r="AD17" s="129">
        <v>1</v>
      </c>
      <c r="AE17" s="159">
        <v>26.5</v>
      </c>
      <c r="AF17" s="159">
        <v>29</v>
      </c>
      <c r="AG17" s="157">
        <v>28.5</v>
      </c>
      <c r="AH17" s="158">
        <v>27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43778</v>
      </c>
      <c r="C18" s="8"/>
      <c r="D18" s="114">
        <f>'Suivi EAU-ELEC'!C24</f>
        <v>430</v>
      </c>
      <c r="E18" s="116"/>
      <c r="F18" s="244">
        <f t="shared" si="0"/>
        <v>5448.1</v>
      </c>
      <c r="G18" s="244"/>
      <c r="H18" s="245"/>
      <c r="I18" s="97"/>
      <c r="J18" s="121">
        <f>'Suivi EAU-ELEC'!E24</f>
        <v>4337</v>
      </c>
      <c r="K18" s="122">
        <f>'Suivi EAU-ELEC'!G24</f>
        <v>6359</v>
      </c>
      <c r="L18" s="122">
        <f>'Suivi EAU-ELEC'!I24</f>
        <v>2915</v>
      </c>
      <c r="M18" s="123">
        <f t="shared" si="1"/>
        <v>13611</v>
      </c>
      <c r="N18" s="96"/>
      <c r="O18" s="99">
        <f t="shared" si="2"/>
        <v>13638.222</v>
      </c>
      <c r="P18" s="95"/>
      <c r="Q18" s="94"/>
      <c r="R18" s="93"/>
      <c r="S18" s="94"/>
      <c r="T18" s="101"/>
      <c r="U18" s="100">
        <f>'Suvi Gaz'!O19</f>
        <v>630.70000000000005</v>
      </c>
      <c r="V18" s="97"/>
      <c r="W18" s="99">
        <f t="shared" si="3"/>
        <v>5063.13346</v>
      </c>
      <c r="X18" s="161">
        <v>15206.07</v>
      </c>
      <c r="Y18" s="103">
        <f t="shared" si="4"/>
        <v>18.380000000001019</v>
      </c>
      <c r="Z18" s="104">
        <f t="shared" si="5"/>
        <v>15439.200000000856</v>
      </c>
      <c r="AA18" s="102"/>
      <c r="AB18" s="119">
        <v>18</v>
      </c>
      <c r="AC18" s="133">
        <v>137</v>
      </c>
      <c r="AD18" s="129">
        <v>0.98560000000000003</v>
      </c>
      <c r="AE18" s="159">
        <v>27</v>
      </c>
      <c r="AF18" s="159">
        <v>28.5</v>
      </c>
      <c r="AG18" s="157">
        <v>26.5</v>
      </c>
      <c r="AH18" s="158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43779</v>
      </c>
      <c r="C19" s="8"/>
      <c r="D19" s="114">
        <f>'Suivi EAU-ELEC'!C25</f>
        <v>460</v>
      </c>
      <c r="E19" s="116"/>
      <c r="F19" s="244">
        <f t="shared" si="0"/>
        <v>5828.2</v>
      </c>
      <c r="G19" s="244"/>
      <c r="H19" s="245"/>
      <c r="I19" s="97"/>
      <c r="J19" s="121">
        <f>'Suivi EAU-ELEC'!E25</f>
        <v>5086</v>
      </c>
      <c r="K19" s="122">
        <f>'Suivi EAU-ELEC'!G25</f>
        <v>6258</v>
      </c>
      <c r="L19" s="122">
        <f>'Suivi EAU-ELEC'!I25</f>
        <v>3208</v>
      </c>
      <c r="M19" s="123">
        <f t="shared" si="1"/>
        <v>14552</v>
      </c>
      <c r="N19" s="96"/>
      <c r="O19" s="99">
        <f t="shared" si="2"/>
        <v>14581.103999999999</v>
      </c>
      <c r="P19" s="95"/>
      <c r="Q19" s="94"/>
      <c r="R19" s="93"/>
      <c r="S19" s="94"/>
      <c r="T19" s="101"/>
      <c r="U19" s="100">
        <f>'Suvi Gaz'!O20</f>
        <v>742</v>
      </c>
      <c r="V19" s="97"/>
      <c r="W19" s="99">
        <f t="shared" si="3"/>
        <v>5956.6275999999998</v>
      </c>
      <c r="X19" s="161">
        <v>15224.45</v>
      </c>
      <c r="Y19" s="103">
        <f t="shared" si="4"/>
        <v>17.979999999999563</v>
      </c>
      <c r="Z19" s="104">
        <f t="shared" si="5"/>
        <v>15103.199999999633</v>
      </c>
      <c r="AA19" s="102"/>
      <c r="AB19" s="119">
        <v>18</v>
      </c>
      <c r="AC19" s="133">
        <v>117</v>
      </c>
      <c r="AD19" s="129">
        <v>0.85399999999999998</v>
      </c>
      <c r="AE19" s="159">
        <v>27</v>
      </c>
      <c r="AF19" s="137">
        <v>27</v>
      </c>
      <c r="AG19" s="157">
        <v>26.4</v>
      </c>
      <c r="AH19" s="158">
        <v>26.5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43780</v>
      </c>
      <c r="C20" s="8"/>
      <c r="D20" s="114">
        <f>'Suivi EAU-ELEC'!C26</f>
        <v>480</v>
      </c>
      <c r="E20" s="116"/>
      <c r="F20" s="244">
        <f t="shared" si="0"/>
        <v>6081.6</v>
      </c>
      <c r="G20" s="244"/>
      <c r="H20" s="245"/>
      <c r="I20" s="97"/>
      <c r="J20" s="121">
        <f>'Suivi EAU-ELEC'!E26</f>
        <v>5322</v>
      </c>
      <c r="K20" s="122">
        <f>'Suivi EAU-ELEC'!G26</f>
        <v>6525</v>
      </c>
      <c r="L20" s="122">
        <f>'Suivi EAU-ELEC'!I26</f>
        <v>4245</v>
      </c>
      <c r="M20" s="123">
        <f t="shared" si="1"/>
        <v>16092</v>
      </c>
      <c r="N20" s="96"/>
      <c r="O20" s="99">
        <f t="shared" si="2"/>
        <v>16124.183999999999</v>
      </c>
      <c r="P20" s="95"/>
      <c r="Q20" s="94"/>
      <c r="R20" s="93"/>
      <c r="S20" s="94"/>
      <c r="T20" s="101"/>
      <c r="U20" s="100">
        <f>'Suvi Gaz'!O21</f>
        <v>630.70000000000005</v>
      </c>
      <c r="V20" s="97"/>
      <c r="W20" s="99">
        <f t="shared" si="3"/>
        <v>5063.13346</v>
      </c>
      <c r="X20" s="161">
        <v>15242.43</v>
      </c>
      <c r="Y20" s="103">
        <f t="shared" si="4"/>
        <v>16.989999999999782</v>
      </c>
      <c r="Z20" s="104">
        <f t="shared" si="5"/>
        <v>14271.599999999817</v>
      </c>
      <c r="AA20" s="102">
        <v>14</v>
      </c>
      <c r="AB20" s="119">
        <v>20</v>
      </c>
      <c r="AC20" s="133">
        <v>94</v>
      </c>
      <c r="AD20" s="129">
        <v>0.70150000000000001</v>
      </c>
      <c r="AE20" s="159">
        <v>27</v>
      </c>
      <c r="AF20" s="137">
        <v>27.5</v>
      </c>
      <c r="AG20" s="157">
        <v>26.5</v>
      </c>
      <c r="AH20" s="158">
        <v>26.8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43781</v>
      </c>
      <c r="C21" s="8"/>
      <c r="D21" s="114">
        <f>'Suivi EAU-ELEC'!C27</f>
        <v>470</v>
      </c>
      <c r="E21" s="116"/>
      <c r="F21" s="244">
        <f t="shared" si="0"/>
        <v>5954.9</v>
      </c>
      <c r="G21" s="244"/>
      <c r="H21" s="245"/>
      <c r="I21" s="97"/>
      <c r="J21" s="121">
        <f>'Suivi EAU-ELEC'!E27</f>
        <v>5848</v>
      </c>
      <c r="K21" s="122">
        <f>'Suivi EAU-ELEC'!G27</f>
        <v>8265</v>
      </c>
      <c r="L21" s="122">
        <f>'Suivi EAU-ELEC'!I27</f>
        <v>4433</v>
      </c>
      <c r="M21" s="123">
        <f t="shared" si="1"/>
        <v>18546</v>
      </c>
      <c r="N21" s="96"/>
      <c r="O21" s="99">
        <f t="shared" si="2"/>
        <v>18583.092000000001</v>
      </c>
      <c r="P21" s="95"/>
      <c r="Q21" s="94"/>
      <c r="R21" s="93"/>
      <c r="S21" s="94"/>
      <c r="T21" s="101"/>
      <c r="U21" s="100">
        <f>'Suvi Gaz'!O22</f>
        <v>779.1</v>
      </c>
      <c r="V21" s="97"/>
      <c r="W21" s="99">
        <f t="shared" si="3"/>
        <v>6254.4589799999994</v>
      </c>
      <c r="X21" s="161">
        <v>15259.42</v>
      </c>
      <c r="Y21" s="103">
        <f t="shared" si="4"/>
        <v>15.049999999999272</v>
      </c>
      <c r="Z21" s="104">
        <f t="shared" si="5"/>
        <v>12641.999999999389</v>
      </c>
      <c r="AA21" s="102">
        <v>14</v>
      </c>
      <c r="AB21" s="119">
        <v>21</v>
      </c>
      <c r="AC21" s="133">
        <v>114</v>
      </c>
      <c r="AD21" s="129">
        <v>0.85070000000000001</v>
      </c>
      <c r="AE21" s="159">
        <v>27</v>
      </c>
      <c r="AF21" s="137">
        <v>27.5</v>
      </c>
      <c r="AG21" s="157">
        <v>27</v>
      </c>
      <c r="AH21" s="158">
        <v>27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43782</v>
      </c>
      <c r="C22" s="8"/>
      <c r="D22" s="114">
        <f>'Suivi EAU-ELEC'!C28</f>
        <v>470</v>
      </c>
      <c r="E22" s="116"/>
      <c r="F22" s="244">
        <f t="shared" si="0"/>
        <v>5954.9</v>
      </c>
      <c r="G22" s="244"/>
      <c r="H22" s="245"/>
      <c r="I22" s="97"/>
      <c r="J22" s="121">
        <f>'Suivi EAU-ELEC'!E28</f>
        <v>5368</v>
      </c>
      <c r="K22" s="122">
        <f>'Suivi EAU-ELEC'!G28</f>
        <v>8155</v>
      </c>
      <c r="L22" s="122">
        <f>'Suivi EAU-ELEC'!I28</f>
        <v>3841</v>
      </c>
      <c r="M22" s="123">
        <f t="shared" si="1"/>
        <v>17364</v>
      </c>
      <c r="N22" s="96"/>
      <c r="O22" s="99">
        <f t="shared" si="2"/>
        <v>17398.727999999999</v>
      </c>
      <c r="P22" s="95"/>
      <c r="Q22" s="94"/>
      <c r="R22" s="93"/>
      <c r="S22" s="94"/>
      <c r="T22" s="101"/>
      <c r="U22" s="100">
        <f>'Suvi Gaz'!O23</f>
        <v>593.6</v>
      </c>
      <c r="V22" s="97"/>
      <c r="W22" s="99">
        <f t="shared" si="3"/>
        <v>4765.3020799999995</v>
      </c>
      <c r="X22" s="161">
        <v>15274.47</v>
      </c>
      <c r="Y22" s="103">
        <f t="shared" si="4"/>
        <v>15.720000000001164</v>
      </c>
      <c r="Z22" s="104">
        <f t="shared" si="5"/>
        <v>13204.800000000978</v>
      </c>
      <c r="AA22" s="97"/>
      <c r="AB22" s="119">
        <v>20</v>
      </c>
      <c r="AC22" s="133">
        <v>118</v>
      </c>
      <c r="AD22" s="129">
        <v>0.89390000000000003</v>
      </c>
      <c r="AE22" s="159">
        <v>27.4</v>
      </c>
      <c r="AF22" s="137">
        <v>28</v>
      </c>
      <c r="AG22" s="157">
        <v>27</v>
      </c>
      <c r="AH22" s="158">
        <v>28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43783</v>
      </c>
      <c r="C23" s="8"/>
      <c r="D23" s="114">
        <f>'Suivi EAU-ELEC'!C29</f>
        <v>430</v>
      </c>
      <c r="E23" s="116"/>
      <c r="F23" s="244">
        <f t="shared" si="0"/>
        <v>5448.1</v>
      </c>
      <c r="G23" s="244"/>
      <c r="H23" s="245"/>
      <c r="I23" s="97"/>
      <c r="J23" s="121">
        <f>'Suivi EAU-ELEC'!E29</f>
        <v>4313</v>
      </c>
      <c r="K23" s="122">
        <f>'Suivi EAU-ELEC'!G29</f>
        <v>6837</v>
      </c>
      <c r="L23" s="122">
        <f>'Suivi EAU-ELEC'!I29</f>
        <v>3030</v>
      </c>
      <c r="M23" s="123">
        <f t="shared" si="1"/>
        <v>14180</v>
      </c>
      <c r="N23" s="96"/>
      <c r="O23" s="99">
        <f t="shared" si="2"/>
        <v>14208.36</v>
      </c>
      <c r="P23" s="95"/>
      <c r="Q23" s="94"/>
      <c r="R23" s="93"/>
      <c r="S23" s="94"/>
      <c r="T23" s="101"/>
      <c r="U23" s="100">
        <f>'Suvi Gaz'!O24</f>
        <v>630.70000000000005</v>
      </c>
      <c r="V23" s="97"/>
      <c r="W23" s="99">
        <f t="shared" si="3"/>
        <v>5063.13346</v>
      </c>
      <c r="X23" s="161">
        <v>15290.19</v>
      </c>
      <c r="Y23" s="103">
        <f t="shared" si="4"/>
        <v>14.269999999998618</v>
      </c>
      <c r="Z23" s="104">
        <f t="shared" si="5"/>
        <v>11986.799999998839</v>
      </c>
      <c r="AA23" s="97"/>
      <c r="AB23" s="119">
        <v>20</v>
      </c>
      <c r="AC23" s="133">
        <v>89</v>
      </c>
      <c r="AD23" s="129">
        <v>0.66420000000000001</v>
      </c>
      <c r="AE23" s="159">
        <v>27.5</v>
      </c>
      <c r="AF23" s="137">
        <v>28</v>
      </c>
      <c r="AG23" s="157">
        <v>27.5</v>
      </c>
      <c r="AH23" s="158">
        <v>27.8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43784</v>
      </c>
      <c r="C24" s="8"/>
      <c r="D24" s="114">
        <f>'Suivi EAU-ELEC'!C30</f>
        <v>430</v>
      </c>
      <c r="E24" s="116"/>
      <c r="F24" s="244">
        <f t="shared" si="0"/>
        <v>5448.1</v>
      </c>
      <c r="G24" s="244"/>
      <c r="H24" s="245"/>
      <c r="I24" s="97"/>
      <c r="J24" s="121">
        <f>'Suivi EAU-ELEC'!E30</f>
        <v>4161</v>
      </c>
      <c r="K24" s="122">
        <f>'Suivi EAU-ELEC'!G30</f>
        <v>5876</v>
      </c>
      <c r="L24" s="122">
        <f>'Suivi EAU-ELEC'!I30</f>
        <v>2895</v>
      </c>
      <c r="M24" s="123">
        <f t="shared" si="1"/>
        <v>12932</v>
      </c>
      <c r="N24" s="96"/>
      <c r="O24" s="99">
        <f t="shared" si="2"/>
        <v>12957.864</v>
      </c>
      <c r="P24" s="95"/>
      <c r="Q24" s="94"/>
      <c r="R24" s="93"/>
      <c r="S24" s="94"/>
      <c r="T24" s="101"/>
      <c r="U24" s="100">
        <f>'Suvi Gaz'!O25</f>
        <v>1150.1000000000001</v>
      </c>
      <c r="V24" s="97"/>
      <c r="W24" s="99">
        <f t="shared" si="3"/>
        <v>9232.7727799999993</v>
      </c>
      <c r="X24" s="161">
        <v>15304.46</v>
      </c>
      <c r="Y24" s="103">
        <f t="shared" si="4"/>
        <v>15.140000000001237</v>
      </c>
      <c r="Z24" s="104">
        <f t="shared" si="5"/>
        <v>12717.600000001039</v>
      </c>
      <c r="AA24" s="97"/>
      <c r="AB24" s="119">
        <v>15</v>
      </c>
      <c r="AC24" s="133">
        <v>91</v>
      </c>
      <c r="AD24" s="129">
        <v>0.71089999999999998</v>
      </c>
      <c r="AE24" s="159">
        <v>27.7</v>
      </c>
      <c r="AF24" s="137">
        <v>28</v>
      </c>
      <c r="AG24" s="157">
        <v>28.2</v>
      </c>
      <c r="AH24" s="158">
        <v>28.5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43785</v>
      </c>
      <c r="C25" s="8"/>
      <c r="D25" s="114">
        <f>'Suivi EAU-ELEC'!C31</f>
        <v>490</v>
      </c>
      <c r="E25" s="116"/>
      <c r="F25" s="244">
        <f t="shared" si="0"/>
        <v>6208.3</v>
      </c>
      <c r="G25" s="244"/>
      <c r="H25" s="245"/>
      <c r="I25" s="97"/>
      <c r="J25" s="121">
        <f>'Suivi EAU-ELEC'!E31</f>
        <v>4067</v>
      </c>
      <c r="K25" s="122">
        <f>'Suivi EAU-ELEC'!G31</f>
        <v>6236</v>
      </c>
      <c r="L25" s="122">
        <f>'Suivi EAU-ELEC'!I31</f>
        <v>2792</v>
      </c>
      <c r="M25" s="123">
        <f t="shared" si="1"/>
        <v>13095</v>
      </c>
      <c r="N25" s="96"/>
      <c r="O25" s="99">
        <f t="shared" si="2"/>
        <v>13121.19</v>
      </c>
      <c r="P25" s="95"/>
      <c r="Q25" s="94"/>
      <c r="R25" s="93"/>
      <c r="S25" s="94"/>
      <c r="T25" s="101"/>
      <c r="U25" s="100">
        <f>'Suvi Gaz'!O26</f>
        <v>408.1</v>
      </c>
      <c r="V25" s="97"/>
      <c r="W25" s="99">
        <f t="shared" si="3"/>
        <v>3276.14518</v>
      </c>
      <c r="X25" s="161">
        <v>15319.6</v>
      </c>
      <c r="Y25" s="103">
        <f t="shared" si="4"/>
        <v>17.149999999999636</v>
      </c>
      <c r="Z25" s="104">
        <f t="shared" si="5"/>
        <v>14405.999999999693</v>
      </c>
      <c r="AA25" s="97"/>
      <c r="AB25" s="119">
        <v>12</v>
      </c>
      <c r="AC25" s="133">
        <v>93</v>
      </c>
      <c r="AD25" s="129">
        <v>0.69920000000000004</v>
      </c>
      <c r="AE25" s="159">
        <v>27.4</v>
      </c>
      <c r="AF25" s="137">
        <v>28</v>
      </c>
      <c r="AG25" s="157">
        <v>27.5</v>
      </c>
      <c r="AH25" s="158">
        <v>28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43786</v>
      </c>
      <c r="C26" s="8"/>
      <c r="D26" s="114">
        <f>'Suivi EAU-ELEC'!C32</f>
        <v>410</v>
      </c>
      <c r="E26" s="117"/>
      <c r="F26" s="244">
        <f t="shared" si="0"/>
        <v>5194.7</v>
      </c>
      <c r="G26" s="244"/>
      <c r="H26" s="245"/>
      <c r="I26" s="97"/>
      <c r="J26" s="121">
        <f>'Suivi EAU-ELEC'!E32</f>
        <v>3975</v>
      </c>
      <c r="K26" s="122">
        <f>'Suivi EAU-ELEC'!G32</f>
        <v>6075</v>
      </c>
      <c r="L26" s="122">
        <f>'Suivi EAU-ELEC'!I32</f>
        <v>2771</v>
      </c>
      <c r="M26" s="123">
        <f t="shared" si="1"/>
        <v>12821</v>
      </c>
      <c r="N26" s="96"/>
      <c r="O26" s="99">
        <f t="shared" si="2"/>
        <v>12846.642</v>
      </c>
      <c r="P26" s="95"/>
      <c r="Q26" s="94"/>
      <c r="R26" s="93"/>
      <c r="S26" s="94"/>
      <c r="T26" s="101"/>
      <c r="U26" s="100">
        <f>'Suvi Gaz'!O27</f>
        <v>816.2</v>
      </c>
      <c r="V26" s="98"/>
      <c r="W26" s="99">
        <f t="shared" si="3"/>
        <v>6552.29036</v>
      </c>
      <c r="X26" s="161">
        <v>15336.75</v>
      </c>
      <c r="Y26" s="103">
        <f t="shared" si="4"/>
        <v>16.209999999999127</v>
      </c>
      <c r="Z26" s="104">
        <f t="shared" si="5"/>
        <v>13616.399999999267</v>
      </c>
      <c r="AA26" s="98"/>
      <c r="AB26" s="119">
        <v>15</v>
      </c>
      <c r="AC26" s="133">
        <v>109</v>
      </c>
      <c r="AD26" s="129">
        <v>0.84499999999999997</v>
      </c>
      <c r="AE26" s="159">
        <v>26.5</v>
      </c>
      <c r="AF26" s="137">
        <v>27</v>
      </c>
      <c r="AG26" s="157">
        <v>26.5</v>
      </c>
      <c r="AH26" s="158">
        <v>27</v>
      </c>
      <c r="AI26" s="75"/>
      <c r="AJ26" s="82"/>
      <c r="AK26" s="75"/>
    </row>
    <row r="27" spans="1:37" ht="32.25" customHeight="1" thickBot="1" x14ac:dyDescent="0.25">
      <c r="A27" s="5"/>
      <c r="B27" s="7">
        <f>B26+1</f>
        <v>43787</v>
      </c>
      <c r="C27" s="8"/>
      <c r="D27" s="114">
        <f>'Suivi EAU-ELEC'!C33</f>
        <v>550</v>
      </c>
      <c r="E27" s="117"/>
      <c r="F27" s="244">
        <f t="shared" si="0"/>
        <v>6968.5</v>
      </c>
      <c r="G27" s="244"/>
      <c r="H27" s="245"/>
      <c r="I27" s="97"/>
      <c r="J27" s="121">
        <f>'Suivi EAU-ELEC'!E33</f>
        <v>4348</v>
      </c>
      <c r="K27" s="122">
        <f>'Suivi EAU-ELEC'!G33</f>
        <v>6368</v>
      </c>
      <c r="L27" s="122">
        <f>'Suivi EAU-ELEC'!I33</f>
        <v>2967</v>
      </c>
      <c r="M27" s="123">
        <f t="shared" si="1"/>
        <v>13683</v>
      </c>
      <c r="N27" s="96"/>
      <c r="O27" s="99">
        <f>M27*1.002</f>
        <v>13710.366</v>
      </c>
      <c r="P27" s="95"/>
      <c r="Q27" s="94"/>
      <c r="R27" s="93"/>
      <c r="S27" s="94"/>
      <c r="T27" s="101"/>
      <c r="U27" s="100">
        <f>'Suvi Gaz'!O28</f>
        <v>927.5</v>
      </c>
      <c r="V27" s="98"/>
      <c r="W27" s="99">
        <f t="shared" si="3"/>
        <v>7445.7844999999988</v>
      </c>
      <c r="X27" s="161">
        <v>15352.96</v>
      </c>
      <c r="Y27" s="103">
        <f t="shared" si="4"/>
        <v>14.570000000001528</v>
      </c>
      <c r="Z27" s="104">
        <f t="shared" si="5"/>
        <v>12238.800000001283</v>
      </c>
      <c r="AA27" s="98"/>
      <c r="AB27" s="119">
        <v>17</v>
      </c>
      <c r="AC27" s="133">
        <v>92</v>
      </c>
      <c r="AD27" s="129">
        <v>0.69699999999999995</v>
      </c>
      <c r="AE27" s="159">
        <v>26.4</v>
      </c>
      <c r="AF27" s="137">
        <v>27</v>
      </c>
      <c r="AG27" s="157">
        <v>26.4</v>
      </c>
      <c r="AH27" s="158">
        <v>27</v>
      </c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43788</v>
      </c>
      <c r="C28" s="8"/>
      <c r="D28" s="114">
        <f>'Suivi EAU-ELEC'!C34</f>
        <v>460</v>
      </c>
      <c r="E28" s="117"/>
      <c r="F28" s="244">
        <f t="shared" si="0"/>
        <v>5828.2</v>
      </c>
      <c r="G28" s="244"/>
      <c r="H28" s="245"/>
      <c r="I28" s="98"/>
      <c r="J28" s="121">
        <f>'Suivi EAU-ELEC'!E34</f>
        <v>4553</v>
      </c>
      <c r="K28" s="122">
        <f>'Suivi EAU-ELEC'!G34</f>
        <v>6645</v>
      </c>
      <c r="L28" s="122">
        <f>'Suivi EAU-ELEC'!I34</f>
        <v>3164</v>
      </c>
      <c r="M28" s="123">
        <f t="shared" si="1"/>
        <v>14362</v>
      </c>
      <c r="N28" s="96"/>
      <c r="O28" s="99">
        <f t="shared" si="2"/>
        <v>14390.724</v>
      </c>
      <c r="P28" s="95"/>
      <c r="Q28" s="94"/>
      <c r="R28" s="93"/>
      <c r="S28" s="94"/>
      <c r="T28" s="101"/>
      <c r="U28" s="100">
        <f>'Suvi Gaz'!O29</f>
        <v>779.1</v>
      </c>
      <c r="V28" s="98"/>
      <c r="W28" s="99">
        <f t="shared" si="3"/>
        <v>6254.4589799999994</v>
      </c>
      <c r="X28" s="161">
        <v>15367.53</v>
      </c>
      <c r="Y28" s="103">
        <f t="shared" si="4"/>
        <v>15.559999999999491</v>
      </c>
      <c r="Z28" s="104">
        <f t="shared" si="5"/>
        <v>13070.39999999957</v>
      </c>
      <c r="AA28" s="98"/>
      <c r="AB28" s="119">
        <v>16</v>
      </c>
      <c r="AC28" s="133">
        <v>75</v>
      </c>
      <c r="AD28" s="129">
        <v>0.56820000000000004</v>
      </c>
      <c r="AE28" s="159">
        <v>26.5</v>
      </c>
      <c r="AF28" s="137">
        <v>27</v>
      </c>
      <c r="AG28" s="157">
        <v>26.8</v>
      </c>
      <c r="AH28" s="158">
        <v>27</v>
      </c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43789</v>
      </c>
      <c r="C29" s="8"/>
      <c r="D29" s="114">
        <f>'Suivi EAU-ELEC'!C35</f>
        <v>0</v>
      </c>
      <c r="E29" s="117"/>
      <c r="F29" s="244">
        <f t="shared" si="0"/>
        <v>0</v>
      </c>
      <c r="G29" s="244"/>
      <c r="H29" s="245"/>
      <c r="I29" s="98"/>
      <c r="J29" s="121">
        <f>'Suivi EAU-ELEC'!E35</f>
        <v>0</v>
      </c>
      <c r="K29" s="122">
        <f>'Suivi EAU-ELEC'!G35</f>
        <v>0</v>
      </c>
      <c r="L29" s="122">
        <f>'Suivi EAU-ELEC'!I35</f>
        <v>0</v>
      </c>
      <c r="M29" s="123">
        <f t="shared" si="1"/>
        <v>0</v>
      </c>
      <c r="N29" s="96"/>
      <c r="O29" s="99">
        <f t="shared" si="2"/>
        <v>0</v>
      </c>
      <c r="P29" s="95"/>
      <c r="Q29" s="94"/>
      <c r="R29" s="93"/>
      <c r="S29" s="94"/>
      <c r="T29" s="101"/>
      <c r="U29" s="100">
        <f>'Suvi Gaz'!O30</f>
        <v>0</v>
      </c>
      <c r="V29" s="98"/>
      <c r="W29" s="99">
        <f t="shared" si="3"/>
        <v>0</v>
      </c>
      <c r="X29" s="161">
        <v>15383.09</v>
      </c>
      <c r="Y29" s="103">
        <f t="shared" si="4"/>
        <v>0</v>
      </c>
      <c r="Z29" s="104">
        <f t="shared" si="5"/>
        <v>0</v>
      </c>
      <c r="AA29" s="98"/>
      <c r="AB29" s="119"/>
      <c r="AC29" s="133"/>
      <c r="AD29" s="129"/>
      <c r="AE29" s="136"/>
      <c r="AF29" s="137"/>
      <c r="AG29" s="134"/>
      <c r="AH29" s="135"/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43790</v>
      </c>
      <c r="C30" s="70"/>
      <c r="D30" s="114">
        <f>'Suivi EAU-ELEC'!C36</f>
        <v>0</v>
      </c>
      <c r="E30" s="117"/>
      <c r="F30" s="244">
        <f t="shared" si="0"/>
        <v>0</v>
      </c>
      <c r="G30" s="244"/>
      <c r="H30" s="245"/>
      <c r="I30" s="98"/>
      <c r="J30" s="121">
        <f>'Suivi EAU-ELEC'!E36</f>
        <v>0</v>
      </c>
      <c r="K30" s="122">
        <f>'Suivi EAU-ELEC'!G36</f>
        <v>0</v>
      </c>
      <c r="L30" s="122">
        <f>'Suivi EAU-ELEC'!I36</f>
        <v>0</v>
      </c>
      <c r="M30" s="123">
        <f t="shared" si="1"/>
        <v>0</v>
      </c>
      <c r="N30" s="96"/>
      <c r="O30" s="99">
        <f t="shared" si="2"/>
        <v>0</v>
      </c>
      <c r="P30" s="95"/>
      <c r="Q30" s="94"/>
      <c r="R30" s="93"/>
      <c r="S30" s="94"/>
      <c r="T30" s="101"/>
      <c r="U30" s="100">
        <f>'Suvi Gaz'!O31</f>
        <v>0</v>
      </c>
      <c r="V30" s="98"/>
      <c r="W30" s="99">
        <f t="shared" si="3"/>
        <v>0</v>
      </c>
      <c r="X30" s="138"/>
      <c r="Y30" s="103">
        <f t="shared" si="4"/>
        <v>0</v>
      </c>
      <c r="Z30" s="104">
        <f t="shared" si="5"/>
        <v>0</v>
      </c>
      <c r="AA30" s="98"/>
      <c r="AB30" s="119"/>
      <c r="AC30" s="133"/>
      <c r="AD30" s="129"/>
      <c r="AE30" s="136"/>
      <c r="AF30" s="137"/>
      <c r="AG30" s="134"/>
      <c r="AH30" s="135"/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43791</v>
      </c>
      <c r="C31" s="8"/>
      <c r="D31" s="114">
        <f>'Suivi EAU-ELEC'!C37</f>
        <v>0</v>
      </c>
      <c r="E31" s="93"/>
      <c r="F31" s="244">
        <f t="shared" si="0"/>
        <v>0</v>
      </c>
      <c r="G31" s="244"/>
      <c r="H31" s="245"/>
      <c r="I31" s="96"/>
      <c r="J31" s="121">
        <f>'Suivi EAU-ELEC'!E37</f>
        <v>0</v>
      </c>
      <c r="K31" s="122">
        <f>'Suivi EAU-ELEC'!G37</f>
        <v>0</v>
      </c>
      <c r="L31" s="122">
        <f>'Suivi EAU-ELEC'!I37</f>
        <v>0</v>
      </c>
      <c r="M31" s="123">
        <f t="shared" si="1"/>
        <v>0</v>
      </c>
      <c r="N31" s="96"/>
      <c r="O31" s="99">
        <f t="shared" si="2"/>
        <v>0</v>
      </c>
      <c r="P31" s="95"/>
      <c r="Q31" s="94"/>
      <c r="R31" s="93"/>
      <c r="S31" s="94"/>
      <c r="T31" s="101"/>
      <c r="U31" s="100">
        <f>'Suvi Gaz'!O32</f>
        <v>0</v>
      </c>
      <c r="V31" s="96"/>
      <c r="W31" s="99">
        <f t="shared" si="3"/>
        <v>0</v>
      </c>
      <c r="X31" s="138"/>
      <c r="Y31" s="103">
        <f t="shared" si="4"/>
        <v>0</v>
      </c>
      <c r="Z31" s="104">
        <f t="shared" si="5"/>
        <v>0</v>
      </c>
      <c r="AA31" s="96"/>
      <c r="AB31" s="119"/>
      <c r="AC31" s="133"/>
      <c r="AD31" s="129"/>
      <c r="AE31" s="136"/>
      <c r="AF31" s="137"/>
      <c r="AG31" s="134"/>
      <c r="AH31" s="135"/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43792</v>
      </c>
      <c r="C32" s="8"/>
      <c r="D32" s="114">
        <f>'Suivi EAU-ELEC'!C38</f>
        <v>0</v>
      </c>
      <c r="E32" s="93"/>
      <c r="F32" s="244">
        <f t="shared" si="0"/>
        <v>0</v>
      </c>
      <c r="G32" s="244"/>
      <c r="H32" s="245"/>
      <c r="I32" s="96"/>
      <c r="J32" s="121">
        <f>'Suivi EAU-ELEC'!E38</f>
        <v>0</v>
      </c>
      <c r="K32" s="122">
        <f>'Suivi EAU-ELEC'!G38</f>
        <v>0</v>
      </c>
      <c r="L32" s="122">
        <f>'Suivi EAU-ELEC'!I38</f>
        <v>0</v>
      </c>
      <c r="M32" s="123">
        <f t="shared" si="1"/>
        <v>0</v>
      </c>
      <c r="N32" s="96"/>
      <c r="O32" s="99">
        <f t="shared" si="2"/>
        <v>0</v>
      </c>
      <c r="P32" s="95"/>
      <c r="Q32" s="94"/>
      <c r="R32" s="93"/>
      <c r="S32" s="94"/>
      <c r="T32" s="101"/>
      <c r="U32" s="100">
        <f>'Suvi Gaz'!O33</f>
        <v>0</v>
      </c>
      <c r="V32" s="96"/>
      <c r="W32" s="99">
        <f t="shared" si="3"/>
        <v>0</v>
      </c>
      <c r="X32" s="138"/>
      <c r="Y32" s="103">
        <f t="shared" si="4"/>
        <v>0</v>
      </c>
      <c r="Z32" s="104">
        <f t="shared" si="5"/>
        <v>0</v>
      </c>
      <c r="AA32" s="96"/>
      <c r="AB32" s="119"/>
      <c r="AC32" s="133"/>
      <c r="AD32" s="129"/>
      <c r="AE32" s="136"/>
      <c r="AF32" s="137"/>
      <c r="AG32" s="134"/>
      <c r="AH32" s="135"/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43793</v>
      </c>
      <c r="C33" s="8"/>
      <c r="D33" s="114">
        <f>'Suivi EAU-ELEC'!C39</f>
        <v>0</v>
      </c>
      <c r="E33" s="93"/>
      <c r="F33" s="244">
        <f t="shared" si="0"/>
        <v>0</v>
      </c>
      <c r="G33" s="244"/>
      <c r="H33" s="245"/>
      <c r="I33" s="96"/>
      <c r="J33" s="121">
        <f>'Suivi EAU-ELEC'!E39</f>
        <v>0</v>
      </c>
      <c r="K33" s="122">
        <f>'Suivi EAU-ELEC'!G39</f>
        <v>0</v>
      </c>
      <c r="L33" s="122">
        <f>'Suivi EAU-ELEC'!I39</f>
        <v>0</v>
      </c>
      <c r="M33" s="123">
        <f t="shared" si="1"/>
        <v>0</v>
      </c>
      <c r="N33" s="96"/>
      <c r="O33" s="99">
        <f t="shared" si="2"/>
        <v>0</v>
      </c>
      <c r="P33" s="95"/>
      <c r="Q33" s="94"/>
      <c r="R33" s="93"/>
      <c r="S33" s="94"/>
      <c r="T33" s="101"/>
      <c r="U33" s="100">
        <f>'Suvi Gaz'!O34</f>
        <v>0</v>
      </c>
      <c r="V33" s="96"/>
      <c r="W33" s="99">
        <f t="shared" si="3"/>
        <v>0</v>
      </c>
      <c r="X33" s="138"/>
      <c r="Y33" s="103">
        <f t="shared" si="4"/>
        <v>0</v>
      </c>
      <c r="Z33" s="104">
        <f t="shared" si="5"/>
        <v>0</v>
      </c>
      <c r="AA33" s="96"/>
      <c r="AB33" s="119"/>
      <c r="AC33" s="133"/>
      <c r="AD33" s="129"/>
      <c r="AE33" s="136"/>
      <c r="AF33" s="137"/>
      <c r="AG33" s="134"/>
      <c r="AH33" s="135"/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43794</v>
      </c>
      <c r="C34" s="8"/>
      <c r="D34" s="114">
        <f>'Suivi EAU-ELEC'!C40</f>
        <v>0</v>
      </c>
      <c r="E34" s="93"/>
      <c r="F34" s="244">
        <f t="shared" si="0"/>
        <v>0</v>
      </c>
      <c r="G34" s="244"/>
      <c r="H34" s="245"/>
      <c r="I34" s="96"/>
      <c r="J34" s="121">
        <f>'Suivi EAU-ELEC'!E40</f>
        <v>0</v>
      </c>
      <c r="K34" s="122">
        <f>'Suivi EAU-ELEC'!G40</f>
        <v>0</v>
      </c>
      <c r="L34" s="122">
        <f>'Suivi EAU-ELEC'!I40</f>
        <v>0</v>
      </c>
      <c r="M34" s="123">
        <f t="shared" si="1"/>
        <v>0</v>
      </c>
      <c r="N34" s="96"/>
      <c r="O34" s="99">
        <f t="shared" si="2"/>
        <v>0</v>
      </c>
      <c r="P34" s="95"/>
      <c r="Q34" s="94"/>
      <c r="R34" s="93"/>
      <c r="S34" s="94"/>
      <c r="T34" s="101"/>
      <c r="U34" s="100">
        <f>'Suvi Gaz'!O35</f>
        <v>0</v>
      </c>
      <c r="V34" s="96"/>
      <c r="W34" s="99">
        <f t="shared" si="3"/>
        <v>0</v>
      </c>
      <c r="X34" s="138"/>
      <c r="Y34" s="103">
        <f t="shared" si="4"/>
        <v>0</v>
      </c>
      <c r="Z34" s="104">
        <f t="shared" si="5"/>
        <v>0</v>
      </c>
      <c r="AA34" s="96"/>
      <c r="AB34" s="119"/>
      <c r="AC34" s="133"/>
      <c r="AD34" s="129"/>
      <c r="AE34" s="136"/>
      <c r="AF34" s="137"/>
      <c r="AG34" s="134"/>
      <c r="AH34" s="135"/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43795</v>
      </c>
      <c r="C35" s="8"/>
      <c r="D35" s="114">
        <f>'Suivi EAU-ELEC'!C41</f>
        <v>0</v>
      </c>
      <c r="E35" s="93"/>
      <c r="F35" s="244">
        <f t="shared" si="0"/>
        <v>0</v>
      </c>
      <c r="G35" s="244"/>
      <c r="H35" s="245"/>
      <c r="I35" s="96"/>
      <c r="J35" s="121">
        <f>'Suivi EAU-ELEC'!E41</f>
        <v>0</v>
      </c>
      <c r="K35" s="122">
        <f>'Suivi EAU-ELEC'!G41</f>
        <v>0</v>
      </c>
      <c r="L35" s="122">
        <f>'Suivi EAU-ELEC'!I41</f>
        <v>0</v>
      </c>
      <c r="M35" s="123">
        <f t="shared" si="1"/>
        <v>0</v>
      </c>
      <c r="N35" s="96"/>
      <c r="O35" s="99">
        <f t="shared" si="2"/>
        <v>0</v>
      </c>
      <c r="P35" s="95"/>
      <c r="Q35" s="94"/>
      <c r="R35" s="93"/>
      <c r="S35" s="94"/>
      <c r="T35" s="101"/>
      <c r="U35" s="100">
        <f>'Suvi Gaz'!O36</f>
        <v>0</v>
      </c>
      <c r="V35" s="96"/>
      <c r="W35" s="99">
        <f t="shared" si="3"/>
        <v>0</v>
      </c>
      <c r="X35" s="138"/>
      <c r="Y35" s="103">
        <f t="shared" si="4"/>
        <v>0</v>
      </c>
      <c r="Z35" s="104">
        <f t="shared" si="5"/>
        <v>0</v>
      </c>
      <c r="AA35" s="96"/>
      <c r="AB35" s="119"/>
      <c r="AC35" s="133"/>
      <c r="AD35" s="129"/>
      <c r="AE35" s="136"/>
      <c r="AF35" s="137"/>
      <c r="AG35" s="134"/>
      <c r="AH35" s="135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43796</v>
      </c>
      <c r="C36" s="8"/>
      <c r="D36" s="114">
        <f>'Suivi EAU-ELEC'!C42</f>
        <v>0</v>
      </c>
      <c r="E36" s="93"/>
      <c r="F36" s="244">
        <f t="shared" si="0"/>
        <v>0</v>
      </c>
      <c r="G36" s="244"/>
      <c r="H36" s="245"/>
      <c r="I36" s="96"/>
      <c r="J36" s="121">
        <f>'Suivi EAU-ELEC'!E42</f>
        <v>0</v>
      </c>
      <c r="K36" s="122">
        <f>'Suivi EAU-ELEC'!G42</f>
        <v>0</v>
      </c>
      <c r="L36" s="122">
        <f>'Suivi EAU-ELEC'!I42</f>
        <v>0</v>
      </c>
      <c r="M36" s="123">
        <f t="shared" si="1"/>
        <v>0</v>
      </c>
      <c r="N36" s="96"/>
      <c r="O36" s="99">
        <f t="shared" si="2"/>
        <v>0</v>
      </c>
      <c r="P36" s="95"/>
      <c r="Q36" s="94"/>
      <c r="R36" s="93"/>
      <c r="S36" s="94"/>
      <c r="T36" s="101"/>
      <c r="U36" s="100">
        <f>'Suvi Gaz'!O37</f>
        <v>0</v>
      </c>
      <c r="V36" s="96"/>
      <c r="W36" s="99">
        <f t="shared" si="3"/>
        <v>0</v>
      </c>
      <c r="X36" s="138"/>
      <c r="Y36" s="103">
        <f t="shared" si="4"/>
        <v>0</v>
      </c>
      <c r="Z36" s="104">
        <f t="shared" si="5"/>
        <v>0</v>
      </c>
      <c r="AA36" s="96"/>
      <c r="AB36" s="119"/>
      <c r="AC36" s="133"/>
      <c r="AD36" s="129"/>
      <c r="AE36" s="136"/>
      <c r="AF36" s="137"/>
      <c r="AG36" s="134"/>
      <c r="AH36" s="135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43797</v>
      </c>
      <c r="C37" s="8"/>
      <c r="D37" s="114">
        <f>'Suivi EAU-ELEC'!C43</f>
        <v>0</v>
      </c>
      <c r="E37" s="93"/>
      <c r="F37" s="244">
        <f t="shared" si="0"/>
        <v>0</v>
      </c>
      <c r="G37" s="244"/>
      <c r="H37" s="245"/>
      <c r="I37" s="96"/>
      <c r="J37" s="121">
        <f>'Suivi EAU-ELEC'!E43</f>
        <v>0</v>
      </c>
      <c r="K37" s="122">
        <f>'Suivi EAU-ELEC'!G43</f>
        <v>0</v>
      </c>
      <c r="L37" s="122">
        <f>'Suivi EAU-ELEC'!I43</f>
        <v>0</v>
      </c>
      <c r="M37" s="123">
        <f t="shared" si="1"/>
        <v>0</v>
      </c>
      <c r="N37" s="96"/>
      <c r="O37" s="99">
        <f t="shared" si="2"/>
        <v>0</v>
      </c>
      <c r="P37" s="95"/>
      <c r="Q37" s="94"/>
      <c r="R37" s="93"/>
      <c r="S37" s="94"/>
      <c r="T37" s="101"/>
      <c r="U37" s="100">
        <f>'Suvi Gaz'!O38</f>
        <v>0</v>
      </c>
      <c r="V37" s="96"/>
      <c r="W37" s="99">
        <f t="shared" si="3"/>
        <v>0</v>
      </c>
      <c r="X37" s="138"/>
      <c r="Y37" s="103">
        <f t="shared" si="4"/>
        <v>0</v>
      </c>
      <c r="Z37" s="104">
        <f t="shared" si="5"/>
        <v>0</v>
      </c>
      <c r="AA37" s="96"/>
      <c r="AB37" s="119"/>
      <c r="AC37" s="133"/>
      <c r="AD37" s="129"/>
      <c r="AE37" s="136"/>
      <c r="AF37" s="137"/>
      <c r="AG37" s="134"/>
      <c r="AH37" s="135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43798</v>
      </c>
      <c r="C38" s="8"/>
      <c r="D38" s="114">
        <f>'Suivi EAU-ELEC'!C44</f>
        <v>0</v>
      </c>
      <c r="E38" s="93"/>
      <c r="F38" s="244">
        <f t="shared" si="0"/>
        <v>0</v>
      </c>
      <c r="G38" s="244"/>
      <c r="H38" s="245"/>
      <c r="I38" s="96"/>
      <c r="J38" s="121">
        <f>'Suivi EAU-ELEC'!E44</f>
        <v>0</v>
      </c>
      <c r="K38" s="122">
        <f>'Suivi EAU-ELEC'!G44</f>
        <v>0</v>
      </c>
      <c r="L38" s="122">
        <f>'Suivi EAU-ELEC'!I44</f>
        <v>0</v>
      </c>
      <c r="M38" s="123">
        <f t="shared" si="1"/>
        <v>0</v>
      </c>
      <c r="N38" s="96"/>
      <c r="O38" s="99">
        <f t="shared" si="2"/>
        <v>0</v>
      </c>
      <c r="P38" s="95"/>
      <c r="Q38" s="94"/>
      <c r="R38" s="93"/>
      <c r="S38" s="94"/>
      <c r="T38" s="101"/>
      <c r="U38" s="100">
        <f>'Suvi Gaz'!O39</f>
        <v>0</v>
      </c>
      <c r="V38" s="96"/>
      <c r="W38" s="99">
        <f t="shared" si="3"/>
        <v>0</v>
      </c>
      <c r="X38" s="138"/>
      <c r="Y38" s="103">
        <f t="shared" si="4"/>
        <v>0</v>
      </c>
      <c r="Z38" s="104">
        <f t="shared" si="5"/>
        <v>0</v>
      </c>
      <c r="AA38" s="96"/>
      <c r="AB38" s="119"/>
      <c r="AC38" s="133"/>
      <c r="AD38" s="129"/>
      <c r="AE38" s="136"/>
      <c r="AF38" s="131"/>
      <c r="AG38" s="134"/>
      <c r="AH38" s="135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43799</v>
      </c>
      <c r="C39" s="8"/>
      <c r="D39" s="114">
        <f>'Suivi EAU-ELEC'!C45</f>
        <v>0</v>
      </c>
      <c r="E39" s="93"/>
      <c r="F39" s="244">
        <f t="shared" si="0"/>
        <v>0</v>
      </c>
      <c r="G39" s="244"/>
      <c r="H39" s="245"/>
      <c r="I39" s="96"/>
      <c r="J39" s="121">
        <f>'Suivi EAU-ELEC'!E45</f>
        <v>0</v>
      </c>
      <c r="K39" s="122">
        <f>'Suivi EAU-ELEC'!G45</f>
        <v>0</v>
      </c>
      <c r="L39" s="122">
        <f>'Suivi EAU-ELEC'!I45</f>
        <v>0</v>
      </c>
      <c r="M39" s="123">
        <f t="shared" si="1"/>
        <v>0</v>
      </c>
      <c r="N39" s="96"/>
      <c r="O39" s="99">
        <f t="shared" si="2"/>
        <v>0</v>
      </c>
      <c r="P39" s="95"/>
      <c r="Q39" s="94"/>
      <c r="R39" s="93"/>
      <c r="S39" s="94"/>
      <c r="T39" s="101"/>
      <c r="U39" s="100">
        <f>'Suvi Gaz'!O40</f>
        <v>0</v>
      </c>
      <c r="V39" s="96"/>
      <c r="W39" s="99">
        <f t="shared" si="3"/>
        <v>0</v>
      </c>
      <c r="X39" s="138"/>
      <c r="Y39" s="103">
        <f t="shared" si="4"/>
        <v>0</v>
      </c>
      <c r="Z39" s="104">
        <f t="shared" si="5"/>
        <v>0</v>
      </c>
      <c r="AA39" s="96"/>
      <c r="AB39" s="119"/>
      <c r="AC39" s="133"/>
      <c r="AD39" s="129"/>
      <c r="AE39" s="136"/>
      <c r="AF39" s="137"/>
      <c r="AG39" s="134"/>
      <c r="AH39" s="135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43800</v>
      </c>
      <c r="C40" s="8"/>
      <c r="D40" s="114">
        <f>'Suivi EAU-ELEC'!C46</f>
        <v>0</v>
      </c>
      <c r="E40" s="118"/>
      <c r="F40" s="244">
        <f t="shared" si="0"/>
        <v>0</v>
      </c>
      <c r="G40" s="244"/>
      <c r="H40" s="245"/>
      <c r="I40" s="96"/>
      <c r="J40" s="121">
        <f>'Suivi EAU-ELEC'!E46</f>
        <v>0</v>
      </c>
      <c r="K40" s="122">
        <f>'Suivi EAU-ELEC'!G46</f>
        <v>0</v>
      </c>
      <c r="L40" s="122">
        <f>'Suivi EAU-ELEC'!I46</f>
        <v>0</v>
      </c>
      <c r="M40" s="123">
        <f t="shared" si="1"/>
        <v>0</v>
      </c>
      <c r="N40" s="96"/>
      <c r="O40" s="99">
        <f t="shared" si="2"/>
        <v>0</v>
      </c>
      <c r="P40" s="95"/>
      <c r="Q40" s="94"/>
      <c r="R40" s="93"/>
      <c r="S40" s="94"/>
      <c r="T40" s="101"/>
      <c r="U40" s="100">
        <f>'Suvi Gaz'!O41</f>
        <v>0</v>
      </c>
      <c r="V40" s="96"/>
      <c r="W40" s="99">
        <f t="shared" si="3"/>
        <v>0</v>
      </c>
      <c r="X40" s="141"/>
      <c r="Y40" s="124">
        <f t="shared" si="4"/>
        <v>0</v>
      </c>
      <c r="Z40" s="104">
        <f t="shared" si="5"/>
        <v>0</v>
      </c>
      <c r="AA40" s="96"/>
      <c r="AB40" s="127"/>
      <c r="AC40" s="128"/>
      <c r="AD40" s="139"/>
      <c r="AE40" s="145"/>
      <c r="AF40" s="168"/>
      <c r="AG40" s="130"/>
      <c r="AH40" s="146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SUM(D10:D39)</f>
        <v>9720</v>
      </c>
      <c r="E41" s="1"/>
      <c r="F41" s="207">
        <f>SUM(F10:H39)</f>
        <v>123152.40000000001</v>
      </c>
      <c r="G41" s="208"/>
      <c r="H41" s="209"/>
      <c r="I41" s="1"/>
      <c r="J41" s="91">
        <f>SUM(J10:J39)</f>
        <v>99029</v>
      </c>
      <c r="K41" s="91">
        <f>SUM(K10:K39)</f>
        <v>145666</v>
      </c>
      <c r="L41" s="91">
        <f>SUM(L10:L39)</f>
        <v>70291</v>
      </c>
      <c r="M41" s="91">
        <f>SUM(M10:M39)</f>
        <v>314986</v>
      </c>
      <c r="N41" s="28"/>
      <c r="O41" s="207">
        <f>SUM(O10:Q39)</f>
        <v>315615.97199999995</v>
      </c>
      <c r="P41" s="208"/>
      <c r="Q41" s="209"/>
      <c r="R41" s="28"/>
      <c r="S41" s="92">
        <f>SUM(S10:S40)</f>
        <v>0</v>
      </c>
      <c r="T41" s="28"/>
      <c r="U41" s="91">
        <f>SUM(U10:U39)</f>
        <v>12614.000000000004</v>
      </c>
      <c r="V41" s="28"/>
      <c r="W41" s="91">
        <f>SUM(W10:W39)</f>
        <v>101262.66919999999</v>
      </c>
      <c r="X41" s="132"/>
      <c r="Y41" s="91">
        <f>SUM(Y10:Y39)</f>
        <v>294.38999999999942</v>
      </c>
      <c r="Z41" s="91">
        <f>SUM(Z10:Z39)</f>
        <v>247287.59999999951</v>
      </c>
      <c r="AA41" s="1"/>
      <c r="AB41" s="142"/>
      <c r="AC41" s="143"/>
      <c r="AD41" s="144"/>
      <c r="AE41" s="136"/>
      <c r="AF41" s="169"/>
      <c r="AG41" s="147"/>
      <c r="AH41" s="171"/>
      <c r="AI41" s="172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246"/>
      <c r="G42" s="246"/>
      <c r="H42" s="246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0"/>
      <c r="AI42" s="77"/>
      <c r="AJ42" s="77"/>
      <c r="AK42" s="77"/>
    </row>
    <row r="43" spans="1:37" s="22" customFormat="1" ht="36.75" customHeight="1" thickBot="1" x14ac:dyDescent="0.25">
      <c r="A43" s="210" t="s">
        <v>10</v>
      </c>
      <c r="B43" s="211"/>
      <c r="C43" s="212"/>
      <c r="D43" s="19" t="s">
        <v>7</v>
      </c>
      <c r="E43" s="53"/>
      <c r="F43" s="20">
        <v>1.002</v>
      </c>
      <c r="G43" s="216">
        <f>J41</f>
        <v>99029</v>
      </c>
      <c r="H43" s="217"/>
      <c r="I43" s="218"/>
      <c r="J43" s="233">
        <f>G43*F43</f>
        <v>99227.058000000005</v>
      </c>
      <c r="K43" s="234"/>
      <c r="L43" s="235">
        <f>J43+J44+J45</f>
        <v>315615.97200000001</v>
      </c>
      <c r="M43" s="236"/>
      <c r="N43" s="236"/>
      <c r="O43" s="236"/>
      <c r="P43" s="236"/>
      <c r="Q43" s="236"/>
      <c r="R43" s="236"/>
      <c r="S43" s="236"/>
      <c r="T43" s="236"/>
      <c r="U43" s="237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0"/>
      <c r="AJ43" s="80"/>
      <c r="AK43" s="80"/>
    </row>
    <row r="44" spans="1:37" s="22" customFormat="1" ht="36.75" customHeight="1" thickBot="1" x14ac:dyDescent="0.25">
      <c r="A44" s="213"/>
      <c r="B44" s="214"/>
      <c r="C44" s="215"/>
      <c r="D44" s="17" t="s">
        <v>8</v>
      </c>
      <c r="E44" s="53"/>
      <c r="F44" s="20">
        <v>1.002</v>
      </c>
      <c r="G44" s="216">
        <f>K41</f>
        <v>145666</v>
      </c>
      <c r="H44" s="217"/>
      <c r="I44" s="218"/>
      <c r="J44" s="233">
        <f>G44*F44</f>
        <v>145957.33199999999</v>
      </c>
      <c r="K44" s="234"/>
      <c r="L44" s="238"/>
      <c r="M44" s="239"/>
      <c r="N44" s="239"/>
      <c r="O44" s="239"/>
      <c r="P44" s="239"/>
      <c r="Q44" s="239"/>
      <c r="R44" s="239"/>
      <c r="S44" s="239"/>
      <c r="T44" s="239"/>
      <c r="U44" s="240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213"/>
      <c r="B45" s="214"/>
      <c r="C45" s="215"/>
      <c r="D45" s="23" t="s">
        <v>9</v>
      </c>
      <c r="E45" s="54"/>
      <c r="F45" s="20">
        <v>1.002</v>
      </c>
      <c r="G45" s="216">
        <f>L41</f>
        <v>70291</v>
      </c>
      <c r="H45" s="217"/>
      <c r="I45" s="218"/>
      <c r="J45" s="233">
        <f>G45*F45</f>
        <v>70431.581999999995</v>
      </c>
      <c r="K45" s="234"/>
      <c r="L45" s="241"/>
      <c r="M45" s="242"/>
      <c r="N45" s="242"/>
      <c r="O45" s="242"/>
      <c r="P45" s="242"/>
      <c r="Q45" s="242"/>
      <c r="R45" s="242"/>
      <c r="S45" s="242"/>
      <c r="T45" s="242"/>
      <c r="U45" s="243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204" t="s">
        <v>11</v>
      </c>
      <c r="B46" s="205"/>
      <c r="C46" s="205"/>
      <c r="D46" s="206"/>
      <c r="E46" s="53"/>
      <c r="F46" s="24">
        <v>12.67</v>
      </c>
      <c r="G46" s="204">
        <f>D41</f>
        <v>9720</v>
      </c>
      <c r="H46" s="205"/>
      <c r="I46" s="206"/>
      <c r="J46" s="219">
        <f>G46*F46</f>
        <v>123152.4</v>
      </c>
      <c r="K46" s="220"/>
      <c r="L46" s="227">
        <f>J46</f>
        <v>123152.4</v>
      </c>
      <c r="M46" s="228"/>
      <c r="N46" s="228"/>
      <c r="O46" s="228"/>
      <c r="P46" s="228"/>
      <c r="Q46" s="228"/>
      <c r="R46" s="228"/>
      <c r="S46" s="228"/>
      <c r="T46" s="228"/>
      <c r="U46" s="229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224" t="s">
        <v>13</v>
      </c>
      <c r="B47" s="225"/>
      <c r="C47" s="225"/>
      <c r="D47" s="226"/>
      <c r="E47" s="53"/>
      <c r="F47" s="26">
        <v>8.0277999999999992</v>
      </c>
      <c r="G47" s="221">
        <f>U41</f>
        <v>12614.000000000004</v>
      </c>
      <c r="H47" s="222"/>
      <c r="I47" s="223"/>
      <c r="J47" s="221">
        <f>G47*F47</f>
        <v>101262.66920000002</v>
      </c>
      <c r="K47" s="223"/>
      <c r="L47" s="230">
        <f>J47</f>
        <v>101262.66920000002</v>
      </c>
      <c r="M47" s="231"/>
      <c r="N47" s="231"/>
      <c r="O47" s="231"/>
      <c r="P47" s="231"/>
      <c r="Q47" s="231"/>
      <c r="R47" s="231"/>
      <c r="S47" s="231"/>
      <c r="T47" s="231"/>
      <c r="U47" s="232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B31" sqref="B31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65" t="s">
        <v>0</v>
      </c>
      <c r="B1" s="265"/>
      <c r="C1" s="266"/>
      <c r="D1" s="267" t="s">
        <v>57</v>
      </c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9"/>
      <c r="AA1" s="270"/>
      <c r="AB1" s="271"/>
      <c r="AC1" s="271"/>
    </row>
    <row r="2" spans="1:31" ht="41.25" customHeight="1" thickBot="1" x14ac:dyDescent="0.4">
      <c r="A2" s="83"/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5"/>
      <c r="Q2" s="272">
        <v>803</v>
      </c>
      <c r="R2" s="273"/>
      <c r="S2" s="273"/>
      <c r="T2" s="273">
        <v>519</v>
      </c>
      <c r="U2" s="273"/>
      <c r="V2" s="273"/>
      <c r="W2" s="273">
        <v>800</v>
      </c>
      <c r="X2" s="273"/>
      <c r="Y2" s="273"/>
      <c r="Z2" s="273">
        <v>802</v>
      </c>
      <c r="AA2" s="273"/>
      <c r="AB2" s="276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43763</v>
      </c>
      <c r="B4" s="37">
        <v>71</v>
      </c>
      <c r="C4" s="35">
        <f t="shared" ref="C4:C30" si="0">IF(AC4&gt;0,((B4-R4)+(S4-B5)),IF(B5=0, ,(B4-B5)))</f>
        <v>5</v>
      </c>
      <c r="D4" s="37">
        <v>72</v>
      </c>
      <c r="E4" s="35">
        <f t="shared" ref="E4:E30" si="1">IF(AC4&gt;0,((D4-U4)+(V4-D5)),IF(D5=0, ,(D4-D5)))</f>
        <v>4</v>
      </c>
      <c r="F4" s="37">
        <v>70</v>
      </c>
      <c r="G4" s="35">
        <f t="shared" ref="G4:G30" si="2">IF(AC4&gt;0,((F4-X4)+(Y4-F5)),IF(F5=0, ,(F4-F5)))</f>
        <v>7</v>
      </c>
      <c r="H4" s="37">
        <v>70</v>
      </c>
      <c r="I4" s="35">
        <f t="shared" ref="I4:I14" si="3">IF(AC4&gt;0,((H4-AA4)+(AB4-H5)),IF(H5=0, ,(H4-H5)))</f>
        <v>6</v>
      </c>
      <c r="J4" s="35">
        <f t="shared" ref="J4:J14" si="4">B4+D4+F4+H4</f>
        <v>283</v>
      </c>
      <c r="K4" s="35">
        <f t="shared" ref="K4:K11" si="5">J4/4</f>
        <v>70.75</v>
      </c>
      <c r="L4" s="35">
        <f t="shared" ref="L4:L14" si="6">IF(AC4&gt;0,((K4-AD4)+(AE4-K5)),IF(K5=0, ,(K4-K5)))</f>
        <v>5.5</v>
      </c>
      <c r="M4" s="35">
        <f t="shared" ref="M4:M11" si="7">7000*4</f>
        <v>28000</v>
      </c>
      <c r="N4" s="35">
        <f t="shared" ref="N4:N14" si="8">L4*M4/100</f>
        <v>1540</v>
      </c>
      <c r="O4" s="35">
        <f t="shared" ref="O4:O14" si="9">N4*0.53</f>
        <v>816.2</v>
      </c>
      <c r="P4" s="38">
        <f>O4*7.61305</f>
        <v>6213.7714100000003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v>43764</v>
      </c>
      <c r="B5" s="37">
        <v>66</v>
      </c>
      <c r="C5" s="35">
        <f t="shared" si="0"/>
        <v>3</v>
      </c>
      <c r="D5" s="37">
        <v>68</v>
      </c>
      <c r="E5" s="35">
        <f t="shared" si="1"/>
        <v>3</v>
      </c>
      <c r="F5" s="37">
        <v>63</v>
      </c>
      <c r="G5" s="35">
        <f t="shared" si="2"/>
        <v>2</v>
      </c>
      <c r="H5" s="37">
        <v>64</v>
      </c>
      <c r="I5" s="35">
        <f t="shared" si="3"/>
        <v>2</v>
      </c>
      <c r="J5" s="35">
        <f t="shared" si="4"/>
        <v>261</v>
      </c>
      <c r="K5" s="35">
        <f t="shared" si="5"/>
        <v>65.25</v>
      </c>
      <c r="L5" s="35">
        <f t="shared" si="6"/>
        <v>2.5</v>
      </c>
      <c r="M5" s="35">
        <f t="shared" si="7"/>
        <v>28000</v>
      </c>
      <c r="N5" s="35">
        <f t="shared" si="8"/>
        <v>700</v>
      </c>
      <c r="O5" s="35">
        <f t="shared" si="9"/>
        <v>371</v>
      </c>
      <c r="P5" s="38">
        <f t="shared" ref="P5:P17" si="11">O5*7.61305</f>
        <v>2824.44155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>
        <f>Q5+T5+W5+Z5</f>
        <v>0</v>
      </c>
      <c r="AD5" s="84">
        <f t="shared" si="10"/>
        <v>0</v>
      </c>
      <c r="AE5" s="84">
        <f t="shared" si="10"/>
        <v>0</v>
      </c>
    </row>
    <row r="6" spans="1:31" ht="32.25" customHeight="1" x14ac:dyDescent="0.3">
      <c r="A6" s="36">
        <v>43765</v>
      </c>
      <c r="B6" s="37">
        <v>63</v>
      </c>
      <c r="C6" s="35">
        <f t="shared" si="0"/>
        <v>3</v>
      </c>
      <c r="D6" s="37">
        <v>65</v>
      </c>
      <c r="E6" s="35">
        <f t="shared" si="1"/>
        <v>3</v>
      </c>
      <c r="F6" s="37">
        <v>61</v>
      </c>
      <c r="G6" s="35">
        <f t="shared" si="2"/>
        <v>1</v>
      </c>
      <c r="H6" s="37">
        <v>62</v>
      </c>
      <c r="I6" s="35">
        <f t="shared" si="3"/>
        <v>2</v>
      </c>
      <c r="J6" s="35">
        <f t="shared" si="4"/>
        <v>251</v>
      </c>
      <c r="K6" s="35">
        <f t="shared" si="5"/>
        <v>62.75</v>
      </c>
      <c r="L6" s="35">
        <f t="shared" si="6"/>
        <v>2.25</v>
      </c>
      <c r="M6" s="35">
        <f t="shared" si="7"/>
        <v>28000</v>
      </c>
      <c r="N6" s="35">
        <f t="shared" si="8"/>
        <v>630</v>
      </c>
      <c r="O6" s="35">
        <f t="shared" si="9"/>
        <v>333.90000000000003</v>
      </c>
      <c r="P6" s="38">
        <f t="shared" si="11"/>
        <v>2541.9973950000003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v>43766</v>
      </c>
      <c r="B7" s="37">
        <v>60</v>
      </c>
      <c r="C7" s="35">
        <f t="shared" si="0"/>
        <v>2</v>
      </c>
      <c r="D7" s="37">
        <v>62</v>
      </c>
      <c r="E7" s="35">
        <f t="shared" si="1"/>
        <v>2</v>
      </c>
      <c r="F7" s="37">
        <v>60</v>
      </c>
      <c r="G7" s="35">
        <f t="shared" si="2"/>
        <v>5</v>
      </c>
      <c r="H7" s="37">
        <v>60</v>
      </c>
      <c r="I7" s="35">
        <f t="shared" si="3"/>
        <v>3</v>
      </c>
      <c r="J7" s="35">
        <f t="shared" si="4"/>
        <v>242</v>
      </c>
      <c r="K7" s="35">
        <f t="shared" si="5"/>
        <v>60.5</v>
      </c>
      <c r="L7" s="35">
        <f t="shared" si="6"/>
        <v>3</v>
      </c>
      <c r="M7" s="35">
        <f t="shared" si="7"/>
        <v>28000</v>
      </c>
      <c r="N7" s="35">
        <f t="shared" si="8"/>
        <v>840</v>
      </c>
      <c r="O7" s="35">
        <f t="shared" si="9"/>
        <v>445.20000000000005</v>
      </c>
      <c r="P7" s="38">
        <f t="shared" si="11"/>
        <v>3389.3298600000003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v>43767</v>
      </c>
      <c r="B8" s="37">
        <v>58</v>
      </c>
      <c r="C8" s="35">
        <f t="shared" si="0"/>
        <v>8</v>
      </c>
      <c r="D8" s="37">
        <v>60</v>
      </c>
      <c r="E8" s="35">
        <f t="shared" si="1"/>
        <v>6</v>
      </c>
      <c r="F8" s="37">
        <v>55</v>
      </c>
      <c r="G8" s="35">
        <f t="shared" si="2"/>
        <v>5</v>
      </c>
      <c r="H8" s="37">
        <v>57</v>
      </c>
      <c r="I8" s="35">
        <f t="shared" si="3"/>
        <v>5</v>
      </c>
      <c r="J8" s="35">
        <f t="shared" si="4"/>
        <v>230</v>
      </c>
      <c r="K8" s="35">
        <f t="shared" si="5"/>
        <v>57.5</v>
      </c>
      <c r="L8" s="35">
        <f t="shared" si="6"/>
        <v>6</v>
      </c>
      <c r="M8" s="35">
        <f t="shared" si="7"/>
        <v>28000</v>
      </c>
      <c r="N8" s="35">
        <f t="shared" si="8"/>
        <v>1680</v>
      </c>
      <c r="O8" s="35">
        <f t="shared" si="9"/>
        <v>890.40000000000009</v>
      </c>
      <c r="P8" s="38">
        <f t="shared" si="11"/>
        <v>6778.6597200000006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2">Q8+T8+W8+Z8</f>
        <v>0</v>
      </c>
      <c r="AD8" s="84">
        <f t="shared" ref="AD8:AD42" si="13">(R8+U8+X8+AA8)/4</f>
        <v>0</v>
      </c>
      <c r="AE8" s="84">
        <f t="shared" ref="AE8:AE42" si="14">(S8+V8+Y8+AB8)/4</f>
        <v>0</v>
      </c>
    </row>
    <row r="9" spans="1:31" ht="32.25" customHeight="1" x14ac:dyDescent="0.3">
      <c r="A9" s="36">
        <v>43768</v>
      </c>
      <c r="B9" s="37">
        <v>50</v>
      </c>
      <c r="C9" s="35">
        <f t="shared" si="0"/>
        <v>5</v>
      </c>
      <c r="D9" s="37">
        <v>54</v>
      </c>
      <c r="E9" s="35">
        <f t="shared" si="1"/>
        <v>5</v>
      </c>
      <c r="F9" s="37">
        <v>50</v>
      </c>
      <c r="G9" s="35">
        <f t="shared" si="2"/>
        <v>9</v>
      </c>
      <c r="H9" s="37">
        <v>52</v>
      </c>
      <c r="I9" s="35">
        <f t="shared" si="3"/>
        <v>8</v>
      </c>
      <c r="J9" s="35">
        <f t="shared" si="4"/>
        <v>206</v>
      </c>
      <c r="K9" s="35">
        <f t="shared" si="5"/>
        <v>51.5</v>
      </c>
      <c r="L9" s="35">
        <f t="shared" si="6"/>
        <v>6.75</v>
      </c>
      <c r="M9" s="35">
        <f t="shared" si="7"/>
        <v>28000</v>
      </c>
      <c r="N9" s="35">
        <f t="shared" si="8"/>
        <v>1890</v>
      </c>
      <c r="O9" s="35">
        <f t="shared" si="9"/>
        <v>1001.7</v>
      </c>
      <c r="P9" s="38">
        <f t="shared" si="11"/>
        <v>7625.992185000001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2"/>
        <v>0</v>
      </c>
      <c r="AD9" s="84">
        <f t="shared" si="13"/>
        <v>0</v>
      </c>
      <c r="AE9" s="84">
        <f t="shared" si="14"/>
        <v>0</v>
      </c>
    </row>
    <row r="10" spans="1:31" ht="32.25" customHeight="1" x14ac:dyDescent="0.3">
      <c r="A10" s="36">
        <v>43769</v>
      </c>
      <c r="B10" s="37">
        <v>45</v>
      </c>
      <c r="C10" s="35">
        <f t="shared" si="0"/>
        <v>4</v>
      </c>
      <c r="D10" s="37">
        <v>49</v>
      </c>
      <c r="E10" s="35">
        <f t="shared" si="1"/>
        <v>5</v>
      </c>
      <c r="F10" s="37">
        <v>41</v>
      </c>
      <c r="G10" s="35">
        <f t="shared" si="2"/>
        <v>6</v>
      </c>
      <c r="H10" s="37">
        <v>44</v>
      </c>
      <c r="I10" s="35">
        <f t="shared" si="3"/>
        <v>5</v>
      </c>
      <c r="J10" s="35">
        <f t="shared" si="4"/>
        <v>179</v>
      </c>
      <c r="K10" s="35">
        <f t="shared" si="5"/>
        <v>44.75</v>
      </c>
      <c r="L10" s="35">
        <f t="shared" si="6"/>
        <v>5</v>
      </c>
      <c r="M10" s="35">
        <f t="shared" si="7"/>
        <v>28000</v>
      </c>
      <c r="N10" s="35">
        <f t="shared" si="8"/>
        <v>1400</v>
      </c>
      <c r="O10" s="35">
        <f t="shared" si="9"/>
        <v>742</v>
      </c>
      <c r="P10" s="38">
        <f t="shared" si="11"/>
        <v>5648.8831</v>
      </c>
      <c r="Q10" s="35">
        <v>2998</v>
      </c>
      <c r="R10" s="35">
        <v>45</v>
      </c>
      <c r="S10" s="35">
        <v>85</v>
      </c>
      <c r="T10" s="35">
        <v>3006</v>
      </c>
      <c r="U10" s="35">
        <v>45</v>
      </c>
      <c r="V10" s="35">
        <v>85</v>
      </c>
      <c r="W10" s="35">
        <v>3303</v>
      </c>
      <c r="X10" s="35">
        <v>40</v>
      </c>
      <c r="Y10" s="35">
        <v>85</v>
      </c>
      <c r="Z10" s="35">
        <v>3202</v>
      </c>
      <c r="AA10" s="35">
        <v>44</v>
      </c>
      <c r="AB10" s="35">
        <v>85</v>
      </c>
      <c r="AC10" s="35">
        <f t="shared" si="12"/>
        <v>12509</v>
      </c>
      <c r="AD10" s="84">
        <f t="shared" si="13"/>
        <v>43.5</v>
      </c>
      <c r="AE10" s="84">
        <f t="shared" si="14"/>
        <v>85</v>
      </c>
    </row>
    <row r="11" spans="1:31" ht="32.25" customHeight="1" x14ac:dyDescent="0.3">
      <c r="A11" s="36">
        <v>43770</v>
      </c>
      <c r="B11" s="37">
        <v>81</v>
      </c>
      <c r="C11" s="164">
        <f t="shared" si="0"/>
        <v>2</v>
      </c>
      <c r="D11" s="37">
        <v>84</v>
      </c>
      <c r="E11" s="35">
        <f t="shared" si="1"/>
        <v>4</v>
      </c>
      <c r="F11" s="37">
        <v>80</v>
      </c>
      <c r="G11" s="35">
        <f t="shared" si="2"/>
        <v>5</v>
      </c>
      <c r="H11" s="37">
        <v>80</v>
      </c>
      <c r="I11" s="35">
        <f t="shared" si="3"/>
        <v>3</v>
      </c>
      <c r="J11" s="35">
        <f t="shared" si="4"/>
        <v>325</v>
      </c>
      <c r="K11" s="35">
        <f t="shared" si="5"/>
        <v>81.25</v>
      </c>
      <c r="L11" s="35">
        <f t="shared" si="6"/>
        <v>3.5</v>
      </c>
      <c r="M11" s="35">
        <f t="shared" si="7"/>
        <v>28000</v>
      </c>
      <c r="N11" s="35">
        <f t="shared" si="8"/>
        <v>980</v>
      </c>
      <c r="O11" s="35">
        <f t="shared" si="9"/>
        <v>519.4</v>
      </c>
      <c r="P11" s="38">
        <f t="shared" si="11"/>
        <v>3954.2181700000001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2"/>
        <v>0</v>
      </c>
      <c r="AD11" s="84">
        <f t="shared" si="13"/>
        <v>0</v>
      </c>
      <c r="AE11" s="84">
        <f t="shared" si="14"/>
        <v>0</v>
      </c>
    </row>
    <row r="12" spans="1:31" ht="32.25" customHeight="1" x14ac:dyDescent="0.3">
      <c r="A12" s="36">
        <v>43771</v>
      </c>
      <c r="B12" s="163">
        <v>79</v>
      </c>
      <c r="C12" s="164">
        <f t="shared" si="0"/>
        <v>7</v>
      </c>
      <c r="D12" s="163">
        <v>80</v>
      </c>
      <c r="E12" s="164">
        <f t="shared" si="1"/>
        <v>5</v>
      </c>
      <c r="F12" s="163">
        <v>75</v>
      </c>
      <c r="G12" s="164">
        <f t="shared" si="2"/>
        <v>5</v>
      </c>
      <c r="H12" s="163">
        <v>77</v>
      </c>
      <c r="I12" s="35">
        <f t="shared" si="3"/>
        <v>6</v>
      </c>
      <c r="J12" s="35">
        <f t="shared" si="4"/>
        <v>311</v>
      </c>
      <c r="K12" s="35">
        <f>J12/4</f>
        <v>77.75</v>
      </c>
      <c r="L12" s="35">
        <f t="shared" si="6"/>
        <v>5.75</v>
      </c>
      <c r="M12" s="35">
        <f>7000*4</f>
        <v>28000</v>
      </c>
      <c r="N12" s="35">
        <f t="shared" si="8"/>
        <v>1610</v>
      </c>
      <c r="O12" s="35">
        <f t="shared" si="9"/>
        <v>853.30000000000007</v>
      </c>
      <c r="P12" s="38">
        <f t="shared" si="11"/>
        <v>6496.2155650000004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>
        <f t="shared" si="12"/>
        <v>0</v>
      </c>
      <c r="AD12" s="84">
        <f t="shared" si="13"/>
        <v>0</v>
      </c>
      <c r="AE12" s="84">
        <f t="shared" si="14"/>
        <v>0</v>
      </c>
    </row>
    <row r="13" spans="1:31" ht="32.25" customHeight="1" x14ac:dyDescent="0.3">
      <c r="A13" s="36">
        <v>43772</v>
      </c>
      <c r="B13" s="163">
        <v>72</v>
      </c>
      <c r="C13" s="164">
        <f t="shared" si="0"/>
        <v>2</v>
      </c>
      <c r="D13" s="163">
        <v>75</v>
      </c>
      <c r="E13" s="164">
        <f t="shared" si="1"/>
        <v>5</v>
      </c>
      <c r="F13" s="163">
        <v>70</v>
      </c>
      <c r="G13" s="164">
        <f t="shared" si="2"/>
        <v>2</v>
      </c>
      <c r="H13" s="163">
        <v>71</v>
      </c>
      <c r="I13" s="35">
        <f t="shared" si="3"/>
        <v>1</v>
      </c>
      <c r="J13" s="35">
        <f>B13+D13+F13+H13</f>
        <v>288</v>
      </c>
      <c r="K13" s="35">
        <f>J13/4</f>
        <v>72</v>
      </c>
      <c r="L13" s="35">
        <f>IF(AC13&gt;0,((K13-AD13)+(AE13-K14)),IF(K14=0, ,(K13-K14)))</f>
        <v>2.5</v>
      </c>
      <c r="M13" s="35">
        <f t="shared" ref="M13:M14" si="15">7000*4</f>
        <v>28000</v>
      </c>
      <c r="N13" s="35">
        <f>L13*M13/100</f>
        <v>700</v>
      </c>
      <c r="O13" s="35">
        <f t="shared" si="9"/>
        <v>371</v>
      </c>
      <c r="P13" s="38">
        <f t="shared" si="11"/>
        <v>2824.44155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2"/>
        <v>0</v>
      </c>
      <c r="AD13" s="84">
        <f t="shared" si="13"/>
        <v>0</v>
      </c>
      <c r="AE13" s="84">
        <f t="shared" si="14"/>
        <v>0</v>
      </c>
    </row>
    <row r="14" spans="1:31" ht="32.25" customHeight="1" x14ac:dyDescent="0.3">
      <c r="A14" s="36">
        <v>43773</v>
      </c>
      <c r="B14" s="163">
        <v>70</v>
      </c>
      <c r="C14" s="164">
        <f t="shared" si="0"/>
        <v>2</v>
      </c>
      <c r="D14" s="163">
        <v>70</v>
      </c>
      <c r="E14" s="164">
        <f t="shared" si="1"/>
        <v>0</v>
      </c>
      <c r="F14" s="163">
        <v>68</v>
      </c>
      <c r="G14" s="164">
        <f t="shared" si="2"/>
        <v>2</v>
      </c>
      <c r="H14" s="163">
        <v>70</v>
      </c>
      <c r="I14" s="35">
        <f t="shared" si="3"/>
        <v>4</v>
      </c>
      <c r="J14" s="35">
        <f t="shared" si="4"/>
        <v>278</v>
      </c>
      <c r="K14" s="35">
        <f t="shared" ref="K14" si="16">J14/4</f>
        <v>69.5</v>
      </c>
      <c r="L14" s="35">
        <f t="shared" si="6"/>
        <v>2</v>
      </c>
      <c r="M14" s="35">
        <f t="shared" si="15"/>
        <v>28000</v>
      </c>
      <c r="N14" s="35">
        <f t="shared" si="8"/>
        <v>560</v>
      </c>
      <c r="O14" s="35">
        <f t="shared" si="9"/>
        <v>296.8</v>
      </c>
      <c r="P14" s="38">
        <f t="shared" si="11"/>
        <v>2259.5532400000002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2"/>
        <v>0</v>
      </c>
      <c r="AD14" s="84">
        <f t="shared" si="13"/>
        <v>0</v>
      </c>
      <c r="AE14" s="84">
        <f t="shared" si="14"/>
        <v>0</v>
      </c>
    </row>
    <row r="15" spans="1:31" ht="32.25" customHeight="1" x14ac:dyDescent="0.3">
      <c r="A15" s="36">
        <v>43774</v>
      </c>
      <c r="B15" s="163">
        <v>68</v>
      </c>
      <c r="C15" s="164">
        <f t="shared" si="0"/>
        <v>3</v>
      </c>
      <c r="D15" s="163">
        <v>70</v>
      </c>
      <c r="E15" s="164">
        <f t="shared" si="1"/>
        <v>2</v>
      </c>
      <c r="F15" s="163">
        <v>66</v>
      </c>
      <c r="G15" s="164">
        <f t="shared" si="2"/>
        <v>4</v>
      </c>
      <c r="H15" s="163">
        <v>66</v>
      </c>
      <c r="I15" s="35">
        <f t="shared" ref="I15:I42" si="17">IF(AC15&gt;0,((H15-AA15)+(AB15-H16)),IF(H16=0, ,(H15-H16)))</f>
        <v>4</v>
      </c>
      <c r="J15" s="35">
        <f t="shared" ref="J15:J42" si="18">B15+D15+F15+H15</f>
        <v>270</v>
      </c>
      <c r="K15" s="35">
        <f t="shared" ref="K15:K42" si="19">J15/4</f>
        <v>67.5</v>
      </c>
      <c r="L15" s="35">
        <f t="shared" ref="L15:L42" si="20">IF(AC15&gt;0,((K15-AD15)+(AE15-K16)),IF(K16=0, ,(K15-K16)))</f>
        <v>3.25</v>
      </c>
      <c r="M15" s="35">
        <f t="shared" ref="M15:M42" si="21">7000*4</f>
        <v>28000</v>
      </c>
      <c r="N15" s="35">
        <f t="shared" ref="N15:N42" si="22">L15*M15/100</f>
        <v>910</v>
      </c>
      <c r="O15" s="35">
        <f t="shared" ref="O15:O42" si="23">N15*0.53</f>
        <v>482.3</v>
      </c>
      <c r="P15" s="38">
        <f t="shared" si="11"/>
        <v>3671.7740150000004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2"/>
        <v>0</v>
      </c>
      <c r="AD15" s="84">
        <f t="shared" si="13"/>
        <v>0</v>
      </c>
      <c r="AE15" s="84">
        <f t="shared" si="14"/>
        <v>0</v>
      </c>
    </row>
    <row r="16" spans="1:31" ht="32.25" customHeight="1" x14ac:dyDescent="0.3">
      <c r="A16" s="36">
        <v>43775</v>
      </c>
      <c r="B16" s="163">
        <v>65</v>
      </c>
      <c r="C16" s="164">
        <f t="shared" si="0"/>
        <v>4</v>
      </c>
      <c r="D16" s="163">
        <v>68</v>
      </c>
      <c r="E16" s="164">
        <f t="shared" si="1"/>
        <v>4</v>
      </c>
      <c r="F16" s="163">
        <v>62</v>
      </c>
      <c r="G16" s="164">
        <f t="shared" si="2"/>
        <v>2</v>
      </c>
      <c r="H16" s="163">
        <v>62</v>
      </c>
      <c r="I16" s="35">
        <f t="shared" si="17"/>
        <v>3</v>
      </c>
      <c r="J16" s="35">
        <f t="shared" si="18"/>
        <v>257</v>
      </c>
      <c r="K16" s="35">
        <f t="shared" si="19"/>
        <v>64.25</v>
      </c>
      <c r="L16" s="35">
        <f t="shared" si="20"/>
        <v>3.25</v>
      </c>
      <c r="M16" s="35">
        <f t="shared" si="21"/>
        <v>28000</v>
      </c>
      <c r="N16" s="35">
        <f t="shared" si="22"/>
        <v>910</v>
      </c>
      <c r="O16" s="35">
        <f t="shared" si="23"/>
        <v>482.3</v>
      </c>
      <c r="P16" s="38">
        <f t="shared" si="11"/>
        <v>3671.7740150000004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2"/>
        <v>0</v>
      </c>
      <c r="AD16" s="84">
        <f t="shared" si="13"/>
        <v>0</v>
      </c>
      <c r="AE16" s="84">
        <f t="shared" si="14"/>
        <v>0</v>
      </c>
    </row>
    <row r="17" spans="1:31" ht="32.25" customHeight="1" x14ac:dyDescent="0.3">
      <c r="A17" s="36">
        <v>43776</v>
      </c>
      <c r="B17" s="163">
        <v>61</v>
      </c>
      <c r="C17" s="164">
        <f t="shared" si="0"/>
        <v>2</v>
      </c>
      <c r="D17" s="163">
        <v>64</v>
      </c>
      <c r="E17" s="164">
        <f t="shared" si="1"/>
        <v>4</v>
      </c>
      <c r="F17" s="163">
        <v>60</v>
      </c>
      <c r="G17" s="164">
        <f t="shared" si="2"/>
        <v>4</v>
      </c>
      <c r="H17" s="163">
        <v>59</v>
      </c>
      <c r="I17" s="35">
        <f t="shared" si="17"/>
        <v>5</v>
      </c>
      <c r="J17" s="35">
        <f t="shared" si="18"/>
        <v>244</v>
      </c>
      <c r="K17" s="35">
        <f t="shared" si="19"/>
        <v>61</v>
      </c>
      <c r="L17" s="35">
        <f t="shared" si="20"/>
        <v>3.75</v>
      </c>
      <c r="M17" s="35">
        <f t="shared" si="21"/>
        <v>28000</v>
      </c>
      <c r="N17" s="35">
        <f t="shared" si="22"/>
        <v>1050</v>
      </c>
      <c r="O17" s="35">
        <f t="shared" si="23"/>
        <v>556.5</v>
      </c>
      <c r="P17" s="38">
        <f t="shared" si="11"/>
        <v>4236.6623250000002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2"/>
        <v>0</v>
      </c>
      <c r="AD17" s="84">
        <f t="shared" si="13"/>
        <v>0</v>
      </c>
      <c r="AE17" s="84">
        <f t="shared" si="14"/>
        <v>0</v>
      </c>
    </row>
    <row r="18" spans="1:31" ht="32.25" customHeight="1" x14ac:dyDescent="0.3">
      <c r="A18" s="36">
        <v>43777</v>
      </c>
      <c r="B18" s="163">
        <v>59</v>
      </c>
      <c r="C18" s="164">
        <f t="shared" si="0"/>
        <v>4</v>
      </c>
      <c r="D18" s="163">
        <v>60</v>
      </c>
      <c r="E18" s="164">
        <f t="shared" si="1"/>
        <v>2</v>
      </c>
      <c r="F18" s="163">
        <v>56</v>
      </c>
      <c r="G18" s="164">
        <f t="shared" si="2"/>
        <v>12</v>
      </c>
      <c r="H18" s="163">
        <v>54</v>
      </c>
      <c r="I18" s="164">
        <f t="shared" si="17"/>
        <v>8</v>
      </c>
      <c r="J18" s="164">
        <f t="shared" si="18"/>
        <v>229</v>
      </c>
      <c r="K18" s="164">
        <f t="shared" si="19"/>
        <v>57.25</v>
      </c>
      <c r="L18" s="164">
        <f t="shared" si="20"/>
        <v>6.5</v>
      </c>
      <c r="M18" s="164">
        <f t="shared" si="21"/>
        <v>28000</v>
      </c>
      <c r="N18" s="164">
        <f t="shared" si="22"/>
        <v>1820</v>
      </c>
      <c r="O18" s="164">
        <f t="shared" si="23"/>
        <v>964.6</v>
      </c>
      <c r="P18" s="38">
        <f t="shared" ref="P18:P21" si="24">O18*8.0278</f>
        <v>7743.6158799999994</v>
      </c>
      <c r="Q18" s="164">
        <v>2570</v>
      </c>
      <c r="R18" s="164">
        <v>55</v>
      </c>
      <c r="S18" s="164">
        <v>85</v>
      </c>
      <c r="T18" s="164">
        <v>2000</v>
      </c>
      <c r="U18" s="164">
        <v>58</v>
      </c>
      <c r="V18" s="164">
        <v>85</v>
      </c>
      <c r="W18" s="164">
        <v>3129</v>
      </c>
      <c r="X18" s="164">
        <v>45</v>
      </c>
      <c r="Y18" s="164">
        <v>85</v>
      </c>
      <c r="Z18" s="164">
        <v>2940</v>
      </c>
      <c r="AA18" s="164">
        <v>48</v>
      </c>
      <c r="AB18" s="164">
        <v>85</v>
      </c>
      <c r="AC18" s="35">
        <f t="shared" si="12"/>
        <v>10639</v>
      </c>
      <c r="AD18" s="84">
        <f t="shared" si="13"/>
        <v>51.5</v>
      </c>
      <c r="AE18" s="84">
        <f t="shared" si="14"/>
        <v>85</v>
      </c>
    </row>
    <row r="19" spans="1:31" ht="32.25" customHeight="1" x14ac:dyDescent="0.3">
      <c r="A19" s="36">
        <v>43778</v>
      </c>
      <c r="B19" s="163">
        <v>85</v>
      </c>
      <c r="C19" s="164">
        <f t="shared" si="0"/>
        <v>5</v>
      </c>
      <c r="D19" s="163">
        <v>85</v>
      </c>
      <c r="E19" s="164">
        <f t="shared" si="1"/>
        <v>3</v>
      </c>
      <c r="F19" s="163">
        <v>84</v>
      </c>
      <c r="G19" s="164">
        <f t="shared" si="2"/>
        <v>4</v>
      </c>
      <c r="H19" s="163">
        <v>83</v>
      </c>
      <c r="I19" s="164">
        <f t="shared" si="17"/>
        <v>5</v>
      </c>
      <c r="J19" s="164">
        <f t="shared" si="18"/>
        <v>337</v>
      </c>
      <c r="K19" s="164">
        <f t="shared" si="19"/>
        <v>84.25</v>
      </c>
      <c r="L19" s="164">
        <f t="shared" si="20"/>
        <v>4.25</v>
      </c>
      <c r="M19" s="164">
        <f t="shared" si="21"/>
        <v>28000</v>
      </c>
      <c r="N19" s="164">
        <f t="shared" si="22"/>
        <v>1190</v>
      </c>
      <c r="O19" s="164">
        <f t="shared" si="23"/>
        <v>630.70000000000005</v>
      </c>
      <c r="P19" s="38">
        <f t="shared" si="24"/>
        <v>5063.13346</v>
      </c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35">
        <f t="shared" si="12"/>
        <v>0</v>
      </c>
      <c r="AD19" s="84">
        <f t="shared" si="13"/>
        <v>0</v>
      </c>
      <c r="AE19" s="84">
        <f t="shared" si="14"/>
        <v>0</v>
      </c>
    </row>
    <row r="20" spans="1:31" ht="32.25" customHeight="1" x14ac:dyDescent="0.3">
      <c r="A20" s="36">
        <v>43779</v>
      </c>
      <c r="B20" s="163">
        <v>80</v>
      </c>
      <c r="C20" s="164">
        <f t="shared" si="0"/>
        <v>4</v>
      </c>
      <c r="D20" s="163">
        <v>82</v>
      </c>
      <c r="E20" s="164">
        <f t="shared" si="1"/>
        <v>3</v>
      </c>
      <c r="F20" s="163">
        <v>80</v>
      </c>
      <c r="G20" s="164">
        <f t="shared" si="2"/>
        <v>7</v>
      </c>
      <c r="H20" s="163">
        <v>78</v>
      </c>
      <c r="I20" s="164">
        <f t="shared" si="17"/>
        <v>6</v>
      </c>
      <c r="J20" s="164">
        <f t="shared" si="18"/>
        <v>320</v>
      </c>
      <c r="K20" s="164">
        <f t="shared" si="19"/>
        <v>80</v>
      </c>
      <c r="L20" s="164">
        <f t="shared" si="20"/>
        <v>5</v>
      </c>
      <c r="M20" s="164">
        <f t="shared" si="21"/>
        <v>28000</v>
      </c>
      <c r="N20" s="164">
        <f t="shared" si="22"/>
        <v>1400</v>
      </c>
      <c r="O20" s="164">
        <f t="shared" si="23"/>
        <v>742</v>
      </c>
      <c r="P20" s="38">
        <f t="shared" si="24"/>
        <v>5956.6275999999998</v>
      </c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35">
        <f t="shared" si="12"/>
        <v>0</v>
      </c>
      <c r="AD20" s="84">
        <f t="shared" si="13"/>
        <v>0</v>
      </c>
      <c r="AE20" s="84">
        <f t="shared" si="14"/>
        <v>0</v>
      </c>
    </row>
    <row r="21" spans="1:31" ht="32.25" customHeight="1" x14ac:dyDescent="0.3">
      <c r="A21" s="36">
        <v>43780</v>
      </c>
      <c r="B21" s="163">
        <v>76</v>
      </c>
      <c r="C21" s="164">
        <f t="shared" si="0"/>
        <v>4</v>
      </c>
      <c r="D21" s="163">
        <v>79</v>
      </c>
      <c r="E21" s="164">
        <f t="shared" si="1"/>
        <v>6</v>
      </c>
      <c r="F21" s="163">
        <v>73</v>
      </c>
      <c r="G21" s="164">
        <f t="shared" si="2"/>
        <v>4</v>
      </c>
      <c r="H21" s="163">
        <v>72</v>
      </c>
      <c r="I21" s="164">
        <f t="shared" si="17"/>
        <v>3</v>
      </c>
      <c r="J21" s="164">
        <f t="shared" si="18"/>
        <v>300</v>
      </c>
      <c r="K21" s="164">
        <f t="shared" si="19"/>
        <v>75</v>
      </c>
      <c r="L21" s="164">
        <f t="shared" si="20"/>
        <v>4.25</v>
      </c>
      <c r="M21" s="164">
        <f t="shared" si="21"/>
        <v>28000</v>
      </c>
      <c r="N21" s="164">
        <f t="shared" si="22"/>
        <v>1190</v>
      </c>
      <c r="O21" s="164">
        <f t="shared" si="23"/>
        <v>630.70000000000005</v>
      </c>
      <c r="P21" s="38">
        <f t="shared" si="24"/>
        <v>5063.13346</v>
      </c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35">
        <f t="shared" si="12"/>
        <v>0</v>
      </c>
      <c r="AD21" s="84">
        <f t="shared" si="13"/>
        <v>0</v>
      </c>
      <c r="AE21" s="84">
        <f t="shared" si="14"/>
        <v>0</v>
      </c>
    </row>
    <row r="22" spans="1:31" ht="32.25" customHeight="1" x14ac:dyDescent="0.3">
      <c r="A22" s="36">
        <v>43781</v>
      </c>
      <c r="B22" s="163">
        <v>72</v>
      </c>
      <c r="C22" s="164">
        <f t="shared" si="0"/>
        <v>5</v>
      </c>
      <c r="D22" s="163">
        <v>73</v>
      </c>
      <c r="E22" s="164">
        <f t="shared" si="1"/>
        <v>5</v>
      </c>
      <c r="F22" s="163">
        <v>69</v>
      </c>
      <c r="G22" s="164">
        <f t="shared" si="2"/>
        <v>6</v>
      </c>
      <c r="H22" s="163">
        <v>69</v>
      </c>
      <c r="I22" s="35">
        <f t="shared" si="17"/>
        <v>5</v>
      </c>
      <c r="J22" s="35">
        <f t="shared" si="18"/>
        <v>283</v>
      </c>
      <c r="K22" s="35">
        <f t="shared" si="19"/>
        <v>70.75</v>
      </c>
      <c r="L22" s="35">
        <f t="shared" si="20"/>
        <v>5.25</v>
      </c>
      <c r="M22" s="35">
        <f t="shared" si="21"/>
        <v>28000</v>
      </c>
      <c r="N22" s="35">
        <f t="shared" si="22"/>
        <v>1470</v>
      </c>
      <c r="O22" s="35">
        <f t="shared" si="23"/>
        <v>779.1</v>
      </c>
      <c r="P22" s="38">
        <f t="shared" ref="P22:P43" si="25">O22*8.0278</f>
        <v>6254.4589799999994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2"/>
        <v>0</v>
      </c>
      <c r="AD22" s="84">
        <f t="shared" si="13"/>
        <v>0</v>
      </c>
      <c r="AE22" s="84">
        <f t="shared" si="14"/>
        <v>0</v>
      </c>
    </row>
    <row r="23" spans="1:31" ht="32.25" customHeight="1" x14ac:dyDescent="0.3">
      <c r="A23" s="36">
        <v>43782</v>
      </c>
      <c r="B23" s="163">
        <v>67</v>
      </c>
      <c r="C23" s="164">
        <f t="shared" si="0"/>
        <v>5</v>
      </c>
      <c r="D23" s="163">
        <v>68</v>
      </c>
      <c r="E23" s="164">
        <f t="shared" si="1"/>
        <v>5</v>
      </c>
      <c r="F23" s="163">
        <v>63</v>
      </c>
      <c r="G23" s="164">
        <f t="shared" si="2"/>
        <v>3</v>
      </c>
      <c r="H23" s="163">
        <v>64</v>
      </c>
      <c r="I23" s="35">
        <f t="shared" si="17"/>
        <v>3</v>
      </c>
      <c r="J23" s="35">
        <f t="shared" si="18"/>
        <v>262</v>
      </c>
      <c r="K23" s="35">
        <f t="shared" si="19"/>
        <v>65.5</v>
      </c>
      <c r="L23" s="35">
        <f t="shared" si="20"/>
        <v>4</v>
      </c>
      <c r="M23" s="35">
        <f t="shared" si="21"/>
        <v>28000</v>
      </c>
      <c r="N23" s="35">
        <f t="shared" si="22"/>
        <v>1120</v>
      </c>
      <c r="O23" s="35">
        <f t="shared" si="23"/>
        <v>593.6</v>
      </c>
      <c r="P23" s="38">
        <f t="shared" si="25"/>
        <v>4765.3020799999995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2"/>
        <v>0</v>
      </c>
      <c r="AD23" s="84">
        <f t="shared" si="13"/>
        <v>0</v>
      </c>
      <c r="AE23" s="84">
        <f t="shared" si="14"/>
        <v>0</v>
      </c>
    </row>
    <row r="24" spans="1:31" ht="32.25" customHeight="1" x14ac:dyDescent="0.3">
      <c r="A24" s="36">
        <v>43783</v>
      </c>
      <c r="B24" s="163">
        <v>62</v>
      </c>
      <c r="C24" s="164">
        <f t="shared" si="0"/>
        <v>2</v>
      </c>
      <c r="D24" s="163">
        <v>63</v>
      </c>
      <c r="E24" s="164">
        <f t="shared" si="1"/>
        <v>3</v>
      </c>
      <c r="F24" s="163">
        <v>60</v>
      </c>
      <c r="G24" s="164">
        <f t="shared" si="2"/>
        <v>7</v>
      </c>
      <c r="H24" s="163">
        <v>61</v>
      </c>
      <c r="I24" s="164">
        <f t="shared" si="17"/>
        <v>5</v>
      </c>
      <c r="J24" s="164">
        <f t="shared" si="18"/>
        <v>246</v>
      </c>
      <c r="K24" s="164">
        <f t="shared" si="19"/>
        <v>61.5</v>
      </c>
      <c r="L24" s="164">
        <f t="shared" si="20"/>
        <v>4.25</v>
      </c>
      <c r="M24" s="164">
        <f t="shared" si="21"/>
        <v>28000</v>
      </c>
      <c r="N24" s="164">
        <f>L24*M24/100</f>
        <v>1190</v>
      </c>
      <c r="O24" s="164">
        <f>N24*0.53</f>
        <v>630.70000000000005</v>
      </c>
      <c r="P24" s="38">
        <f t="shared" si="25"/>
        <v>5063.13346</v>
      </c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35">
        <f t="shared" si="12"/>
        <v>0</v>
      </c>
      <c r="AD24" s="84">
        <f t="shared" si="13"/>
        <v>0</v>
      </c>
      <c r="AE24" s="84">
        <f t="shared" si="14"/>
        <v>0</v>
      </c>
    </row>
    <row r="25" spans="1:31" ht="32.25" customHeight="1" x14ac:dyDescent="0.3">
      <c r="A25" s="36">
        <v>43784</v>
      </c>
      <c r="B25" s="163">
        <v>60</v>
      </c>
      <c r="C25" s="164">
        <f t="shared" si="0"/>
        <v>14</v>
      </c>
      <c r="D25" s="163">
        <v>60</v>
      </c>
      <c r="E25" s="164">
        <f t="shared" si="1"/>
        <v>10</v>
      </c>
      <c r="F25" s="163">
        <v>53</v>
      </c>
      <c r="G25" s="164">
        <f t="shared" si="2"/>
        <v>3</v>
      </c>
      <c r="H25" s="163">
        <v>56</v>
      </c>
      <c r="I25" s="164">
        <f t="shared" si="17"/>
        <v>4</v>
      </c>
      <c r="J25" s="164">
        <f t="shared" si="18"/>
        <v>229</v>
      </c>
      <c r="K25" s="164">
        <f t="shared" si="19"/>
        <v>57.25</v>
      </c>
      <c r="L25" s="164">
        <f t="shared" si="20"/>
        <v>7.75</v>
      </c>
      <c r="M25" s="164">
        <f t="shared" si="21"/>
        <v>28000</v>
      </c>
      <c r="N25" s="164">
        <f>L25*M25/100</f>
        <v>2170</v>
      </c>
      <c r="O25" s="164">
        <f>N25*0.53</f>
        <v>1150.1000000000001</v>
      </c>
      <c r="P25" s="38">
        <f t="shared" si="25"/>
        <v>9232.7727799999993</v>
      </c>
      <c r="Q25" s="164">
        <v>2002</v>
      </c>
      <c r="R25" s="164">
        <v>56</v>
      </c>
      <c r="S25" s="164">
        <v>81</v>
      </c>
      <c r="T25" s="164">
        <v>1999</v>
      </c>
      <c r="U25" s="164">
        <v>58</v>
      </c>
      <c r="V25" s="164">
        <v>83</v>
      </c>
      <c r="W25" s="164">
        <v>1402</v>
      </c>
      <c r="X25" s="164">
        <v>50</v>
      </c>
      <c r="Y25" s="164">
        <v>68</v>
      </c>
      <c r="Z25" s="164">
        <v>1010</v>
      </c>
      <c r="AA25" s="164">
        <v>50</v>
      </c>
      <c r="AB25" s="164">
        <v>63</v>
      </c>
      <c r="AC25" s="35">
        <f t="shared" si="12"/>
        <v>6413</v>
      </c>
      <c r="AD25" s="84">
        <f t="shared" si="13"/>
        <v>53.5</v>
      </c>
      <c r="AE25" s="84">
        <f t="shared" si="14"/>
        <v>73.75</v>
      </c>
    </row>
    <row r="26" spans="1:31" ht="32.25" customHeight="1" x14ac:dyDescent="0.3">
      <c r="A26" s="36">
        <v>43785</v>
      </c>
      <c r="B26" s="163">
        <v>71</v>
      </c>
      <c r="C26" s="164">
        <f t="shared" si="0"/>
        <v>2</v>
      </c>
      <c r="D26" s="163">
        <v>75</v>
      </c>
      <c r="E26" s="164">
        <f t="shared" si="1"/>
        <v>6</v>
      </c>
      <c r="F26" s="163">
        <v>68</v>
      </c>
      <c r="G26" s="164">
        <f t="shared" si="2"/>
        <v>3</v>
      </c>
      <c r="H26" s="163">
        <v>65</v>
      </c>
      <c r="I26" s="164">
        <f t="shared" si="17"/>
        <v>0</v>
      </c>
      <c r="J26" s="164">
        <f t="shared" si="18"/>
        <v>279</v>
      </c>
      <c r="K26" s="164">
        <f t="shared" si="19"/>
        <v>69.75</v>
      </c>
      <c r="L26" s="164">
        <f t="shared" si="20"/>
        <v>2.75</v>
      </c>
      <c r="M26" s="164">
        <f t="shared" si="21"/>
        <v>28000</v>
      </c>
      <c r="N26" s="164">
        <f>L26*M26/100</f>
        <v>770</v>
      </c>
      <c r="O26" s="164">
        <f>N26*0.53</f>
        <v>408.1</v>
      </c>
      <c r="P26" s="38">
        <f t="shared" si="25"/>
        <v>3276.14518</v>
      </c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35">
        <f t="shared" si="12"/>
        <v>0</v>
      </c>
      <c r="AD26" s="84">
        <f t="shared" si="13"/>
        <v>0</v>
      </c>
      <c r="AE26" s="84">
        <f t="shared" si="14"/>
        <v>0</v>
      </c>
    </row>
    <row r="27" spans="1:31" ht="32.25" customHeight="1" x14ac:dyDescent="0.3">
      <c r="A27" s="36">
        <v>43786</v>
      </c>
      <c r="B27" s="163">
        <v>69</v>
      </c>
      <c r="C27" s="164">
        <f t="shared" si="0"/>
        <v>6</v>
      </c>
      <c r="D27" s="163">
        <v>69</v>
      </c>
      <c r="E27" s="164">
        <f t="shared" si="1"/>
        <v>6</v>
      </c>
      <c r="F27" s="163">
        <v>65</v>
      </c>
      <c r="G27" s="164">
        <f t="shared" si="2"/>
        <v>6</v>
      </c>
      <c r="H27" s="163">
        <v>65</v>
      </c>
      <c r="I27" s="35">
        <f t="shared" si="17"/>
        <v>4</v>
      </c>
      <c r="J27" s="35">
        <f t="shared" si="18"/>
        <v>268</v>
      </c>
      <c r="K27" s="35">
        <f t="shared" si="19"/>
        <v>67</v>
      </c>
      <c r="L27" s="35">
        <f t="shared" si="20"/>
        <v>5.5</v>
      </c>
      <c r="M27" s="35">
        <v>28000</v>
      </c>
      <c r="N27" s="35">
        <f t="shared" si="22"/>
        <v>1540</v>
      </c>
      <c r="O27" s="35">
        <f t="shared" si="23"/>
        <v>816.2</v>
      </c>
      <c r="P27" s="38">
        <f t="shared" si="25"/>
        <v>6552.29036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4">
        <f t="shared" si="13"/>
        <v>0</v>
      </c>
      <c r="AE27" s="84">
        <f t="shared" si="14"/>
        <v>0</v>
      </c>
    </row>
    <row r="28" spans="1:31" ht="32.25" customHeight="1" x14ac:dyDescent="0.3">
      <c r="A28" s="36">
        <v>43787</v>
      </c>
      <c r="B28" s="163">
        <v>63</v>
      </c>
      <c r="C28" s="164">
        <f t="shared" si="0"/>
        <v>5</v>
      </c>
      <c r="D28" s="163">
        <v>63</v>
      </c>
      <c r="E28" s="164">
        <f t="shared" si="1"/>
        <v>5</v>
      </c>
      <c r="F28" s="163">
        <v>59</v>
      </c>
      <c r="G28" s="164">
        <f t="shared" si="2"/>
        <v>9</v>
      </c>
      <c r="H28" s="163">
        <v>61</v>
      </c>
      <c r="I28" s="35">
        <f t="shared" si="17"/>
        <v>6</v>
      </c>
      <c r="J28" s="35">
        <f t="shared" si="18"/>
        <v>246</v>
      </c>
      <c r="K28" s="35">
        <f t="shared" si="19"/>
        <v>61.5</v>
      </c>
      <c r="L28" s="35">
        <f t="shared" si="20"/>
        <v>6.25</v>
      </c>
      <c r="M28" s="35">
        <f t="shared" si="21"/>
        <v>28000</v>
      </c>
      <c r="N28" s="35">
        <f t="shared" si="22"/>
        <v>1750</v>
      </c>
      <c r="O28" s="35">
        <f t="shared" si="23"/>
        <v>927.5</v>
      </c>
      <c r="P28" s="38">
        <f t="shared" si="25"/>
        <v>7445.7844999999988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4">
        <f t="shared" si="13"/>
        <v>0</v>
      </c>
      <c r="AE28" s="84">
        <f t="shared" si="14"/>
        <v>0</v>
      </c>
    </row>
    <row r="29" spans="1:31" ht="32.25" customHeight="1" x14ac:dyDescent="0.3">
      <c r="A29" s="36">
        <v>43788</v>
      </c>
      <c r="B29" s="163">
        <v>58</v>
      </c>
      <c r="C29" s="164">
        <f t="shared" si="0"/>
        <v>4</v>
      </c>
      <c r="D29" s="163">
        <v>58</v>
      </c>
      <c r="E29" s="164">
        <f t="shared" si="1"/>
        <v>6</v>
      </c>
      <c r="F29" s="163">
        <v>50</v>
      </c>
      <c r="G29" s="164">
        <f t="shared" si="2"/>
        <v>5</v>
      </c>
      <c r="H29" s="163">
        <v>55</v>
      </c>
      <c r="I29" s="164">
        <f t="shared" si="17"/>
        <v>6</v>
      </c>
      <c r="J29" s="164">
        <f t="shared" si="18"/>
        <v>221</v>
      </c>
      <c r="K29" s="164">
        <f t="shared" si="19"/>
        <v>55.25</v>
      </c>
      <c r="L29" s="164">
        <f t="shared" si="20"/>
        <v>5.25</v>
      </c>
      <c r="M29" s="164">
        <f t="shared" si="21"/>
        <v>28000</v>
      </c>
      <c r="N29" s="164">
        <f t="shared" si="22"/>
        <v>1470</v>
      </c>
      <c r="O29" s="164">
        <f t="shared" si="23"/>
        <v>779.1</v>
      </c>
      <c r="P29" s="38">
        <f t="shared" si="25"/>
        <v>6254.4589799999994</v>
      </c>
      <c r="Q29" s="164">
        <v>2706</v>
      </c>
      <c r="R29" s="164">
        <v>55</v>
      </c>
      <c r="S29" s="164">
        <v>87</v>
      </c>
      <c r="T29" s="164">
        <v>2854</v>
      </c>
      <c r="U29" s="164">
        <v>52</v>
      </c>
      <c r="V29" s="164">
        <v>86</v>
      </c>
      <c r="W29" s="164">
        <v>3110</v>
      </c>
      <c r="X29" s="164">
        <v>46</v>
      </c>
      <c r="Y29" s="164">
        <v>85</v>
      </c>
      <c r="Z29" s="164">
        <v>3006</v>
      </c>
      <c r="AA29" s="164">
        <v>51</v>
      </c>
      <c r="AB29" s="164">
        <v>87</v>
      </c>
      <c r="AC29" s="35">
        <f t="shared" si="12"/>
        <v>11676</v>
      </c>
      <c r="AD29" s="84">
        <f t="shared" si="13"/>
        <v>51</v>
      </c>
      <c r="AE29" s="84">
        <f t="shared" si="14"/>
        <v>86.25</v>
      </c>
    </row>
    <row r="30" spans="1:31" ht="32.25" customHeight="1" x14ac:dyDescent="0.3">
      <c r="A30" s="36">
        <v>43789</v>
      </c>
      <c r="B30" s="163">
        <v>86</v>
      </c>
      <c r="C30" s="164">
        <f t="shared" si="0"/>
        <v>0</v>
      </c>
      <c r="D30" s="163">
        <v>86</v>
      </c>
      <c r="E30" s="164">
        <f t="shared" si="1"/>
        <v>0</v>
      </c>
      <c r="F30" s="163">
        <v>84</v>
      </c>
      <c r="G30" s="164">
        <f t="shared" si="2"/>
        <v>0</v>
      </c>
      <c r="H30" s="163">
        <v>85</v>
      </c>
      <c r="I30" s="164">
        <f t="shared" si="17"/>
        <v>0</v>
      </c>
      <c r="J30" s="164">
        <f t="shared" si="18"/>
        <v>341</v>
      </c>
      <c r="K30" s="164">
        <f t="shared" si="19"/>
        <v>85.25</v>
      </c>
      <c r="L30" s="164">
        <f t="shared" si="20"/>
        <v>0</v>
      </c>
      <c r="M30" s="164">
        <f t="shared" si="21"/>
        <v>28000</v>
      </c>
      <c r="N30" s="164">
        <f t="shared" si="22"/>
        <v>0</v>
      </c>
      <c r="O30" s="164">
        <f t="shared" si="23"/>
        <v>0</v>
      </c>
      <c r="P30" s="38">
        <f t="shared" si="25"/>
        <v>0</v>
      </c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35">
        <f t="shared" si="12"/>
        <v>0</v>
      </c>
      <c r="AD30" s="84">
        <f t="shared" si="13"/>
        <v>0</v>
      </c>
      <c r="AE30" s="84">
        <f t="shared" si="14"/>
        <v>0</v>
      </c>
    </row>
    <row r="31" spans="1:31" ht="32.25" customHeight="1" x14ac:dyDescent="0.3">
      <c r="A31" s="36">
        <v>43790</v>
      </c>
      <c r="B31" s="37"/>
      <c r="C31" s="35">
        <f t="shared" ref="C30:C41" si="26">IF(AC31&gt;0,((B31-R31)+(S31-B32)),IF(B32=0, ,(B31-B32)))</f>
        <v>0</v>
      </c>
      <c r="D31" s="37"/>
      <c r="E31" s="35">
        <f t="shared" ref="E30:E41" si="27">IF(AC31&gt;0,((D31-U31)+(V31-D32)),IF(D32=0, ,(D31-D32)))</f>
        <v>0</v>
      </c>
      <c r="F31" s="37"/>
      <c r="G31" s="35">
        <f t="shared" ref="G30:G41" si="28">IF(AC31&gt;0,((F31-X31)+(Y31-F32)),IF(F32=0, ,(F31-F32)))</f>
        <v>0</v>
      </c>
      <c r="H31" s="37"/>
      <c r="I31" s="35">
        <f t="shared" si="17"/>
        <v>0</v>
      </c>
      <c r="J31" s="35">
        <f t="shared" si="18"/>
        <v>0</v>
      </c>
      <c r="K31" s="35">
        <f t="shared" si="19"/>
        <v>0</v>
      </c>
      <c r="L31" s="35">
        <f t="shared" si="20"/>
        <v>0</v>
      </c>
      <c r="M31" s="35">
        <f t="shared" si="21"/>
        <v>28000</v>
      </c>
      <c r="N31" s="35">
        <f t="shared" si="22"/>
        <v>0</v>
      </c>
      <c r="O31" s="35">
        <f t="shared" si="23"/>
        <v>0</v>
      </c>
      <c r="P31" s="38">
        <f t="shared" si="25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2"/>
        <v>0</v>
      </c>
      <c r="AD31" s="84">
        <f t="shared" si="13"/>
        <v>0</v>
      </c>
      <c r="AE31" s="84">
        <f t="shared" si="14"/>
        <v>0</v>
      </c>
    </row>
    <row r="32" spans="1:31" ht="32.25" customHeight="1" x14ac:dyDescent="0.3">
      <c r="A32" s="36">
        <v>43791</v>
      </c>
      <c r="B32" s="37"/>
      <c r="C32" s="35">
        <f t="shared" si="26"/>
        <v>0</v>
      </c>
      <c r="D32" s="37"/>
      <c r="E32" s="35">
        <f t="shared" si="27"/>
        <v>0</v>
      </c>
      <c r="F32" s="37"/>
      <c r="G32" s="35">
        <f t="shared" si="28"/>
        <v>0</v>
      </c>
      <c r="H32" s="37"/>
      <c r="I32" s="35">
        <f t="shared" si="17"/>
        <v>0</v>
      </c>
      <c r="J32" s="35">
        <f t="shared" si="18"/>
        <v>0</v>
      </c>
      <c r="K32" s="35">
        <f t="shared" si="19"/>
        <v>0</v>
      </c>
      <c r="L32" s="35">
        <f t="shared" si="20"/>
        <v>0</v>
      </c>
      <c r="M32" s="35">
        <f t="shared" si="21"/>
        <v>28000</v>
      </c>
      <c r="N32" s="35">
        <f t="shared" si="22"/>
        <v>0</v>
      </c>
      <c r="O32" s="35">
        <f t="shared" si="23"/>
        <v>0</v>
      </c>
      <c r="P32" s="38">
        <f t="shared" si="25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2"/>
        <v>0</v>
      </c>
      <c r="AD32" s="84">
        <f t="shared" si="13"/>
        <v>0</v>
      </c>
      <c r="AE32" s="84">
        <f t="shared" si="14"/>
        <v>0</v>
      </c>
    </row>
    <row r="33" spans="1:31" ht="32.25" customHeight="1" x14ac:dyDescent="0.3">
      <c r="A33" s="36">
        <v>43792</v>
      </c>
      <c r="B33" s="37"/>
      <c r="C33" s="35">
        <f t="shared" si="26"/>
        <v>0</v>
      </c>
      <c r="D33" s="37"/>
      <c r="E33" s="35">
        <f t="shared" si="27"/>
        <v>0</v>
      </c>
      <c r="F33" s="37"/>
      <c r="G33" s="35">
        <f t="shared" si="28"/>
        <v>0</v>
      </c>
      <c r="H33" s="37"/>
      <c r="I33" s="35">
        <f t="shared" si="17"/>
        <v>0</v>
      </c>
      <c r="J33" s="35">
        <f t="shared" si="18"/>
        <v>0</v>
      </c>
      <c r="K33" s="35">
        <f t="shared" si="19"/>
        <v>0</v>
      </c>
      <c r="L33" s="35">
        <f t="shared" si="20"/>
        <v>0</v>
      </c>
      <c r="M33" s="35">
        <f t="shared" si="21"/>
        <v>28000</v>
      </c>
      <c r="N33" s="35">
        <f t="shared" si="22"/>
        <v>0</v>
      </c>
      <c r="O33" s="35">
        <f t="shared" si="23"/>
        <v>0</v>
      </c>
      <c r="P33" s="38">
        <f t="shared" si="25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2"/>
        <v>0</v>
      </c>
      <c r="AD33" s="84">
        <f t="shared" si="13"/>
        <v>0</v>
      </c>
      <c r="AE33" s="84">
        <f t="shared" si="14"/>
        <v>0</v>
      </c>
    </row>
    <row r="34" spans="1:31" ht="32.25" customHeight="1" x14ac:dyDescent="0.3">
      <c r="A34" s="36">
        <v>43793</v>
      </c>
      <c r="B34" s="37"/>
      <c r="C34" s="35">
        <f t="shared" si="26"/>
        <v>0</v>
      </c>
      <c r="D34" s="37"/>
      <c r="E34" s="35">
        <f t="shared" si="27"/>
        <v>0</v>
      </c>
      <c r="F34" s="37"/>
      <c r="G34" s="35">
        <f t="shared" si="28"/>
        <v>0</v>
      </c>
      <c r="H34" s="37"/>
      <c r="I34" s="35">
        <f t="shared" si="17"/>
        <v>0</v>
      </c>
      <c r="J34" s="35">
        <f t="shared" si="18"/>
        <v>0</v>
      </c>
      <c r="K34" s="35">
        <f t="shared" si="19"/>
        <v>0</v>
      </c>
      <c r="L34" s="35">
        <f t="shared" si="20"/>
        <v>0</v>
      </c>
      <c r="M34" s="35">
        <f t="shared" si="21"/>
        <v>28000</v>
      </c>
      <c r="N34" s="35">
        <f t="shared" si="22"/>
        <v>0</v>
      </c>
      <c r="O34" s="35">
        <f t="shared" si="23"/>
        <v>0</v>
      </c>
      <c r="P34" s="38">
        <f t="shared" si="25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2"/>
        <v>0</v>
      </c>
      <c r="AD34" s="84">
        <f t="shared" si="13"/>
        <v>0</v>
      </c>
      <c r="AE34" s="84">
        <f t="shared" si="14"/>
        <v>0</v>
      </c>
    </row>
    <row r="35" spans="1:31" ht="32.25" customHeight="1" x14ac:dyDescent="0.3">
      <c r="A35" s="36">
        <v>43794</v>
      </c>
      <c r="B35" s="37"/>
      <c r="C35" s="35">
        <f t="shared" si="26"/>
        <v>0</v>
      </c>
      <c r="D35" s="37"/>
      <c r="E35" s="35">
        <f t="shared" si="27"/>
        <v>0</v>
      </c>
      <c r="F35" s="37"/>
      <c r="G35" s="35">
        <f t="shared" si="28"/>
        <v>0</v>
      </c>
      <c r="H35" s="37"/>
      <c r="I35" s="35">
        <f t="shared" si="17"/>
        <v>0</v>
      </c>
      <c r="J35" s="35">
        <f t="shared" si="18"/>
        <v>0</v>
      </c>
      <c r="K35" s="35">
        <f t="shared" si="19"/>
        <v>0</v>
      </c>
      <c r="L35" s="35">
        <f t="shared" si="20"/>
        <v>0</v>
      </c>
      <c r="M35" s="35">
        <f t="shared" si="21"/>
        <v>28000</v>
      </c>
      <c r="N35" s="35">
        <f t="shared" si="22"/>
        <v>0</v>
      </c>
      <c r="O35" s="35">
        <f t="shared" si="23"/>
        <v>0</v>
      </c>
      <c r="P35" s="38">
        <f t="shared" si="25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2"/>
        <v>0</v>
      </c>
      <c r="AD35" s="84">
        <f t="shared" si="13"/>
        <v>0</v>
      </c>
      <c r="AE35" s="84">
        <f t="shared" si="14"/>
        <v>0</v>
      </c>
    </row>
    <row r="36" spans="1:31" ht="32.25" customHeight="1" x14ac:dyDescent="0.3">
      <c r="A36" s="36">
        <v>43795</v>
      </c>
      <c r="B36" s="37"/>
      <c r="C36" s="35">
        <f t="shared" si="26"/>
        <v>0</v>
      </c>
      <c r="D36" s="37"/>
      <c r="E36" s="35">
        <f t="shared" si="27"/>
        <v>0</v>
      </c>
      <c r="F36" s="37"/>
      <c r="G36" s="35">
        <f t="shared" si="28"/>
        <v>0</v>
      </c>
      <c r="H36" s="37"/>
      <c r="I36" s="35">
        <f t="shared" si="17"/>
        <v>0</v>
      </c>
      <c r="J36" s="35">
        <f t="shared" si="18"/>
        <v>0</v>
      </c>
      <c r="K36" s="35">
        <f t="shared" si="19"/>
        <v>0</v>
      </c>
      <c r="L36" s="35">
        <f t="shared" si="20"/>
        <v>0</v>
      </c>
      <c r="M36" s="35">
        <f t="shared" si="21"/>
        <v>28000</v>
      </c>
      <c r="N36" s="35">
        <f t="shared" si="22"/>
        <v>0</v>
      </c>
      <c r="O36" s="35">
        <f t="shared" si="23"/>
        <v>0</v>
      </c>
      <c r="P36" s="38">
        <f t="shared" si="25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2"/>
        <v>0</v>
      </c>
      <c r="AD36" s="84">
        <f t="shared" si="13"/>
        <v>0</v>
      </c>
      <c r="AE36" s="84">
        <f t="shared" si="14"/>
        <v>0</v>
      </c>
    </row>
    <row r="37" spans="1:31" ht="32.25" customHeight="1" x14ac:dyDescent="0.3">
      <c r="A37" s="36">
        <v>43796</v>
      </c>
      <c r="B37" s="37"/>
      <c r="C37" s="35">
        <f t="shared" si="26"/>
        <v>0</v>
      </c>
      <c r="D37" s="37"/>
      <c r="E37" s="35">
        <f t="shared" si="27"/>
        <v>0</v>
      </c>
      <c r="F37" s="37"/>
      <c r="G37" s="35">
        <f t="shared" si="28"/>
        <v>0</v>
      </c>
      <c r="H37" s="37"/>
      <c r="I37" s="35">
        <f t="shared" si="17"/>
        <v>0</v>
      </c>
      <c r="J37" s="35">
        <f t="shared" si="18"/>
        <v>0</v>
      </c>
      <c r="K37" s="35">
        <f t="shared" si="19"/>
        <v>0</v>
      </c>
      <c r="L37" s="35">
        <f t="shared" si="20"/>
        <v>0</v>
      </c>
      <c r="M37" s="35">
        <f t="shared" si="21"/>
        <v>28000</v>
      </c>
      <c r="N37" s="35">
        <f t="shared" si="22"/>
        <v>0</v>
      </c>
      <c r="O37" s="35">
        <f t="shared" si="23"/>
        <v>0</v>
      </c>
      <c r="P37" s="38">
        <f t="shared" si="25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4">
        <f t="shared" si="13"/>
        <v>0</v>
      </c>
      <c r="AE37" s="84">
        <f t="shared" si="14"/>
        <v>0</v>
      </c>
    </row>
    <row r="38" spans="1:31" ht="32.25" customHeight="1" x14ac:dyDescent="0.3">
      <c r="A38" s="36">
        <v>43797</v>
      </c>
      <c r="B38" s="37"/>
      <c r="C38" s="35">
        <f t="shared" si="26"/>
        <v>0</v>
      </c>
      <c r="D38" s="37"/>
      <c r="E38" s="35">
        <f t="shared" si="27"/>
        <v>0</v>
      </c>
      <c r="F38" s="37"/>
      <c r="G38" s="35">
        <f t="shared" si="28"/>
        <v>0</v>
      </c>
      <c r="H38" s="37"/>
      <c r="I38" s="35">
        <f t="shared" si="17"/>
        <v>0</v>
      </c>
      <c r="J38" s="35">
        <f t="shared" si="18"/>
        <v>0</v>
      </c>
      <c r="K38" s="35">
        <f t="shared" si="19"/>
        <v>0</v>
      </c>
      <c r="L38" s="35">
        <f t="shared" si="20"/>
        <v>0</v>
      </c>
      <c r="M38" s="35">
        <f t="shared" si="21"/>
        <v>28000</v>
      </c>
      <c r="N38" s="35">
        <f t="shared" si="22"/>
        <v>0</v>
      </c>
      <c r="O38" s="35">
        <f t="shared" si="23"/>
        <v>0</v>
      </c>
      <c r="P38" s="38">
        <f t="shared" si="25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4">
        <f t="shared" si="13"/>
        <v>0</v>
      </c>
      <c r="AE38" s="84">
        <f t="shared" si="14"/>
        <v>0</v>
      </c>
    </row>
    <row r="39" spans="1:31" ht="32.25" customHeight="1" x14ac:dyDescent="0.3">
      <c r="A39" s="36">
        <v>43798</v>
      </c>
      <c r="B39" s="37"/>
      <c r="C39" s="35">
        <f t="shared" si="26"/>
        <v>0</v>
      </c>
      <c r="D39" s="37"/>
      <c r="E39" s="35">
        <f t="shared" si="27"/>
        <v>0</v>
      </c>
      <c r="F39" s="37"/>
      <c r="G39" s="35">
        <f t="shared" si="28"/>
        <v>0</v>
      </c>
      <c r="H39" s="37"/>
      <c r="I39" s="35">
        <f t="shared" si="17"/>
        <v>0</v>
      </c>
      <c r="J39" s="35">
        <f t="shared" si="18"/>
        <v>0</v>
      </c>
      <c r="K39" s="35">
        <f t="shared" si="19"/>
        <v>0</v>
      </c>
      <c r="L39" s="35">
        <f t="shared" si="20"/>
        <v>0</v>
      </c>
      <c r="M39" s="35">
        <f t="shared" si="21"/>
        <v>28000</v>
      </c>
      <c r="N39" s="35">
        <f t="shared" si="22"/>
        <v>0</v>
      </c>
      <c r="O39" s="35">
        <f t="shared" si="23"/>
        <v>0</v>
      </c>
      <c r="P39" s="38">
        <f t="shared" si="25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4">
        <f t="shared" si="13"/>
        <v>0</v>
      </c>
      <c r="AE39" s="84">
        <f t="shared" si="14"/>
        <v>0</v>
      </c>
    </row>
    <row r="40" spans="1:31" ht="32.25" customHeight="1" x14ac:dyDescent="0.3">
      <c r="A40" s="36">
        <v>43799</v>
      </c>
      <c r="B40" s="37"/>
      <c r="C40" s="35">
        <f t="shared" si="26"/>
        <v>0</v>
      </c>
      <c r="D40" s="37"/>
      <c r="E40" s="35">
        <f t="shared" si="27"/>
        <v>0</v>
      </c>
      <c r="F40" s="37"/>
      <c r="G40" s="35">
        <f t="shared" si="28"/>
        <v>0</v>
      </c>
      <c r="H40" s="37"/>
      <c r="I40" s="35">
        <f t="shared" si="17"/>
        <v>0</v>
      </c>
      <c r="J40" s="35">
        <f t="shared" si="18"/>
        <v>0</v>
      </c>
      <c r="K40" s="35">
        <f t="shared" si="19"/>
        <v>0</v>
      </c>
      <c r="L40" s="35">
        <f t="shared" si="20"/>
        <v>0</v>
      </c>
      <c r="M40" s="35">
        <f t="shared" si="21"/>
        <v>28000</v>
      </c>
      <c r="N40" s="35">
        <f t="shared" si="22"/>
        <v>0</v>
      </c>
      <c r="O40" s="35">
        <f t="shared" si="23"/>
        <v>0</v>
      </c>
      <c r="P40" s="38">
        <f t="shared" si="25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4">
        <f t="shared" si="13"/>
        <v>0</v>
      </c>
      <c r="AE40" s="84">
        <f t="shared" si="14"/>
        <v>0</v>
      </c>
    </row>
    <row r="41" spans="1:31" ht="32.25" customHeight="1" x14ac:dyDescent="0.3">
      <c r="A41" s="36">
        <v>43800</v>
      </c>
      <c r="B41" s="37"/>
      <c r="C41" s="35">
        <f t="shared" si="26"/>
        <v>0</v>
      </c>
      <c r="D41" s="37"/>
      <c r="E41" s="35">
        <f t="shared" si="27"/>
        <v>0</v>
      </c>
      <c r="F41" s="37"/>
      <c r="G41" s="35">
        <f t="shared" si="28"/>
        <v>0</v>
      </c>
      <c r="H41" s="37"/>
      <c r="I41" s="35">
        <f t="shared" si="17"/>
        <v>0</v>
      </c>
      <c r="J41" s="35">
        <f t="shared" si="18"/>
        <v>0</v>
      </c>
      <c r="K41" s="35">
        <f t="shared" si="19"/>
        <v>0</v>
      </c>
      <c r="L41" s="35">
        <f t="shared" si="20"/>
        <v>0</v>
      </c>
      <c r="M41" s="35">
        <f t="shared" si="21"/>
        <v>28000</v>
      </c>
      <c r="N41" s="35">
        <f t="shared" si="22"/>
        <v>0</v>
      </c>
      <c r="O41" s="35">
        <f t="shared" si="23"/>
        <v>0</v>
      </c>
      <c r="P41" s="38">
        <f t="shared" si="25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4">
        <f t="shared" si="13"/>
        <v>0</v>
      </c>
      <c r="AE41" s="84">
        <f t="shared" si="14"/>
        <v>0</v>
      </c>
    </row>
    <row r="42" spans="1:31" ht="32.25" customHeight="1" x14ac:dyDescent="0.3">
      <c r="A42" s="36">
        <v>43801</v>
      </c>
      <c r="B42" s="37"/>
      <c r="C42" s="35">
        <f t="shared" ref="C42" si="29">IF(AC42&gt;0,((B42-R42)+(S42-B43)),IF(B43=0, ,(B42-B43)))</f>
        <v>0</v>
      </c>
      <c r="D42" s="37"/>
      <c r="E42" s="35">
        <f t="shared" ref="E42" si="30">IF(AC42&gt;0,((D42-U42)+(V42-D43)),IF(D43=0, ,(D42-D43)))</f>
        <v>0</v>
      </c>
      <c r="F42" s="37"/>
      <c r="G42" s="35">
        <f t="shared" ref="G42" si="31">IF(AC42&gt;0,((F42-X42)+(Y42-F43)),IF(F43=0, ,(F42-F43)))</f>
        <v>0</v>
      </c>
      <c r="H42" s="37"/>
      <c r="I42" s="35">
        <f t="shared" si="17"/>
        <v>0</v>
      </c>
      <c r="J42" s="35">
        <f t="shared" si="18"/>
        <v>0</v>
      </c>
      <c r="K42" s="35">
        <f t="shared" si="19"/>
        <v>0</v>
      </c>
      <c r="L42" s="35">
        <f t="shared" si="20"/>
        <v>0</v>
      </c>
      <c r="M42" s="35">
        <f t="shared" si="21"/>
        <v>28000</v>
      </c>
      <c r="N42" s="35">
        <f t="shared" si="22"/>
        <v>0</v>
      </c>
      <c r="O42" s="35">
        <f t="shared" si="23"/>
        <v>0</v>
      </c>
      <c r="P42" s="38">
        <f t="shared" si="25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4">
        <f t="shared" si="13"/>
        <v>0</v>
      </c>
      <c r="AE42" s="84">
        <f t="shared" si="14"/>
        <v>0</v>
      </c>
    </row>
    <row r="43" spans="1:31" ht="32.25" customHeight="1" thickBot="1" x14ac:dyDescent="0.35">
      <c r="B43" s="37"/>
      <c r="C43" s="35">
        <f>SUM(C11:C40)</f>
        <v>82</v>
      </c>
      <c r="D43" s="37"/>
      <c r="E43" s="35">
        <f>SUM(E11:E40)</f>
        <v>84</v>
      </c>
      <c r="F43" s="37"/>
      <c r="G43" s="35">
        <f>SUM(G11:G40)</f>
        <v>93</v>
      </c>
      <c r="H43" s="37"/>
      <c r="I43" s="35">
        <f>SUM(I11:I40)</f>
        <v>81</v>
      </c>
      <c r="J43" s="33"/>
      <c r="K43" s="33"/>
      <c r="L43" s="33"/>
      <c r="M43" s="33"/>
      <c r="N43" s="35">
        <f>SUM(N11:N40)</f>
        <v>23800</v>
      </c>
      <c r="O43" s="35">
        <f>N43*0.53</f>
        <v>12614</v>
      </c>
      <c r="P43" s="38">
        <f t="shared" si="25"/>
        <v>101262.66919999999</v>
      </c>
      <c r="Q43" s="254">
        <v>0</v>
      </c>
      <c r="R43" s="254"/>
      <c r="S43" s="255"/>
      <c r="T43" s="254">
        <v>0</v>
      </c>
      <c r="U43" s="254"/>
      <c r="V43" s="255"/>
      <c r="W43" s="254">
        <v>0</v>
      </c>
      <c r="X43" s="254"/>
      <c r="Y43" s="255"/>
      <c r="Z43" s="254">
        <v>0</v>
      </c>
      <c r="AA43" s="254"/>
      <c r="AB43" s="255"/>
      <c r="AC43" s="35">
        <f>SUM(AC11:AC40)</f>
        <v>28728</v>
      </c>
      <c r="AD43" s="33"/>
      <c r="AE43" s="33"/>
    </row>
    <row r="44" spans="1:31" ht="35.25" customHeight="1" thickBot="1" x14ac:dyDescent="0.35">
      <c r="B44" s="256"/>
      <c r="C44" s="257"/>
      <c r="D44" s="257"/>
      <c r="E44" s="257"/>
      <c r="F44" s="257"/>
      <c r="G44" s="257"/>
      <c r="H44" s="257"/>
      <c r="I44" s="258"/>
      <c r="J44" s="33"/>
      <c r="K44" s="33"/>
      <c r="L44" s="33"/>
      <c r="M44" s="33"/>
      <c r="N44" s="33"/>
      <c r="O44" s="33"/>
      <c r="P44" s="33"/>
      <c r="Q44" s="259">
        <f>Q43+T43+W43+Z43</f>
        <v>0</v>
      </c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1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2" t="s">
        <v>37</v>
      </c>
      <c r="I47" s="263"/>
      <c r="J47" s="264"/>
      <c r="K47" s="45">
        <f>N43</f>
        <v>23800</v>
      </c>
      <c r="L47" s="46">
        <f>O43</f>
        <v>12614</v>
      </c>
      <c r="M47" s="46">
        <f>P43</f>
        <v>101262.66919999999</v>
      </c>
    </row>
    <row r="48" spans="1:31" ht="54.75" customHeight="1" thickBot="1" x14ac:dyDescent="0.35">
      <c r="H48" s="251" t="s">
        <v>38</v>
      </c>
      <c r="I48" s="252"/>
      <c r="J48" s="253"/>
      <c r="K48" s="43">
        <f>AC43</f>
        <v>28728</v>
      </c>
      <c r="L48" s="44">
        <f>K48*0.53</f>
        <v>15225.84</v>
      </c>
      <c r="M48" s="44">
        <f>L48*8.0278</f>
        <v>122229.998352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0" activePane="bottomRight" state="frozen"/>
      <selection pane="topRight" activeCell="B1" sqref="B1"/>
      <selection pane="bottomLeft" activeCell="A9" sqref="A9"/>
      <selection pane="bottomRight" activeCell="B36" sqref="B36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95"/>
      <c r="B1" s="296"/>
      <c r="C1" s="278" t="s">
        <v>58</v>
      </c>
      <c r="D1" s="279"/>
      <c r="E1" s="279"/>
      <c r="F1" s="279"/>
      <c r="G1" s="280"/>
      <c r="H1" s="287"/>
      <c r="I1" s="288"/>
      <c r="J1" s="50"/>
      <c r="K1" s="48"/>
      <c r="L1" s="48"/>
    </row>
    <row r="2" spans="1:20" ht="16.5" customHeight="1" x14ac:dyDescent="0.2">
      <c r="A2" s="297"/>
      <c r="B2" s="298"/>
      <c r="C2" s="281"/>
      <c r="D2" s="282"/>
      <c r="E2" s="282"/>
      <c r="F2" s="282"/>
      <c r="G2" s="283"/>
      <c r="H2" s="289"/>
      <c r="I2" s="290"/>
      <c r="J2" s="50"/>
      <c r="K2" s="48"/>
      <c r="L2" s="48"/>
    </row>
    <row r="3" spans="1:20" ht="48" customHeight="1" thickBot="1" x14ac:dyDescent="0.25">
      <c r="A3" s="299"/>
      <c r="B3" s="300"/>
      <c r="C3" s="284"/>
      <c r="D3" s="285"/>
      <c r="E3" s="285"/>
      <c r="F3" s="285"/>
      <c r="G3" s="286"/>
      <c r="H3" s="291"/>
      <c r="I3" s="292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7" t="s">
        <v>1</v>
      </c>
      <c r="B7" s="293" t="s">
        <v>42</v>
      </c>
      <c r="C7" s="293"/>
      <c r="D7" s="294" t="s">
        <v>43</v>
      </c>
      <c r="E7" s="294"/>
      <c r="F7" s="294"/>
      <c r="G7" s="294"/>
      <c r="H7" s="294"/>
      <c r="I7" s="294"/>
    </row>
    <row r="8" spans="1:20" s="27" customFormat="1" ht="28.5" customHeight="1" thickTop="1" thickBot="1" x14ac:dyDescent="0.25">
      <c r="A8" s="277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43763</v>
      </c>
      <c r="B9" s="60">
        <v>114875</v>
      </c>
      <c r="C9" s="61">
        <f t="shared" ref="C9:C35" si="0">IF(B10&lt;B9,0,B10-B9)*10</f>
        <v>690</v>
      </c>
      <c r="D9" s="62">
        <v>17679100</v>
      </c>
      <c r="E9" s="61">
        <f t="shared" ref="E9:E35" si="1">IF(D10&lt;D9,0,D10-D9)</f>
        <v>5571</v>
      </c>
      <c r="F9" s="62">
        <v>32002464</v>
      </c>
      <c r="G9" s="61">
        <f t="shared" ref="G9:G35" si="2">IF(F10&lt;F9,0,F10-F9)</f>
        <v>7589</v>
      </c>
      <c r="H9" s="62">
        <v>14131015</v>
      </c>
      <c r="I9" s="61">
        <f t="shared" ref="I9:I47" si="3">IF(H10&lt;H9,0,H10-H9)</f>
        <v>4519</v>
      </c>
    </row>
    <row r="10" spans="1:20" ht="21" thickTop="1" thickBot="1" x14ac:dyDescent="0.35">
      <c r="A10" s="59">
        <f>A9+1</f>
        <v>43764</v>
      </c>
      <c r="B10" s="60">
        <v>114944</v>
      </c>
      <c r="C10" s="61">
        <f t="shared" si="0"/>
        <v>650</v>
      </c>
      <c r="D10" s="62">
        <v>17684671</v>
      </c>
      <c r="E10" s="61">
        <f t="shared" si="1"/>
        <v>5493</v>
      </c>
      <c r="F10" s="62">
        <v>32010053</v>
      </c>
      <c r="G10" s="61">
        <f t="shared" si="2"/>
        <v>10538</v>
      </c>
      <c r="H10" s="62">
        <v>14135534</v>
      </c>
      <c r="I10" s="61">
        <f t="shared" si="3"/>
        <v>4235</v>
      </c>
    </row>
    <row r="11" spans="1:20" ht="21" thickTop="1" thickBot="1" x14ac:dyDescent="0.35">
      <c r="A11" s="59">
        <f t="shared" ref="A11:A47" si="4">A10+1</f>
        <v>43765</v>
      </c>
      <c r="B11" s="60">
        <v>115009</v>
      </c>
      <c r="C11" s="61">
        <f t="shared" si="0"/>
        <v>640</v>
      </c>
      <c r="D11" s="62">
        <v>17690164</v>
      </c>
      <c r="E11" s="61">
        <f t="shared" si="1"/>
        <v>5688</v>
      </c>
      <c r="F11" s="62">
        <v>32020591</v>
      </c>
      <c r="G11" s="61">
        <f t="shared" si="2"/>
        <v>8983</v>
      </c>
      <c r="H11" s="62">
        <v>14139769</v>
      </c>
      <c r="I11" s="61">
        <f t="shared" si="3"/>
        <v>4422</v>
      </c>
    </row>
    <row r="12" spans="1:20" ht="21" thickTop="1" thickBot="1" x14ac:dyDescent="0.35">
      <c r="A12" s="59">
        <f t="shared" si="4"/>
        <v>43766</v>
      </c>
      <c r="B12" s="60">
        <v>115073</v>
      </c>
      <c r="C12" s="61">
        <f t="shared" si="0"/>
        <v>610</v>
      </c>
      <c r="D12" s="62">
        <v>17695852</v>
      </c>
      <c r="E12" s="61">
        <f t="shared" si="1"/>
        <v>5785</v>
      </c>
      <c r="F12" s="62">
        <v>32029574</v>
      </c>
      <c r="G12" s="61">
        <f t="shared" si="2"/>
        <v>9670</v>
      </c>
      <c r="H12" s="62">
        <v>14144191</v>
      </c>
      <c r="I12" s="61">
        <f t="shared" si="3"/>
        <v>4425</v>
      </c>
    </row>
    <row r="13" spans="1:20" ht="21" thickTop="1" thickBot="1" x14ac:dyDescent="0.35">
      <c r="A13" s="59">
        <f t="shared" si="4"/>
        <v>43767</v>
      </c>
      <c r="B13" s="60">
        <v>115134</v>
      </c>
      <c r="C13" s="61">
        <f t="shared" si="0"/>
        <v>660</v>
      </c>
      <c r="D13" s="62">
        <v>17701637</v>
      </c>
      <c r="E13" s="61">
        <f t="shared" si="1"/>
        <v>5422</v>
      </c>
      <c r="F13" s="62">
        <v>32039244</v>
      </c>
      <c r="G13" s="61">
        <f t="shared" si="2"/>
        <v>10019</v>
      </c>
      <c r="H13" s="62">
        <v>14148616</v>
      </c>
      <c r="I13" s="61">
        <f t="shared" si="3"/>
        <v>4597</v>
      </c>
    </row>
    <row r="14" spans="1:20" ht="21" thickTop="1" thickBot="1" x14ac:dyDescent="0.35">
      <c r="A14" s="59">
        <f t="shared" si="4"/>
        <v>43768</v>
      </c>
      <c r="B14" s="60">
        <v>115200</v>
      </c>
      <c r="C14" s="61">
        <f t="shared" si="0"/>
        <v>580</v>
      </c>
      <c r="D14" s="62">
        <v>17707059</v>
      </c>
      <c r="E14" s="61">
        <f t="shared" si="1"/>
        <v>6093</v>
      </c>
      <c r="F14" s="62">
        <v>32049263</v>
      </c>
      <c r="G14" s="61">
        <f t="shared" si="2"/>
        <v>9585</v>
      </c>
      <c r="H14" s="62">
        <v>14153213</v>
      </c>
      <c r="I14" s="61">
        <f t="shared" si="3"/>
        <v>4305</v>
      </c>
    </row>
    <row r="15" spans="1:20" ht="21" thickTop="1" thickBot="1" x14ac:dyDescent="0.35">
      <c r="A15" s="59">
        <f t="shared" si="4"/>
        <v>43769</v>
      </c>
      <c r="B15" s="60">
        <v>115258</v>
      </c>
      <c r="C15" s="61">
        <f t="shared" si="0"/>
        <v>590</v>
      </c>
      <c r="D15" s="62">
        <v>17713152</v>
      </c>
      <c r="E15" s="61">
        <f t="shared" si="1"/>
        <v>6238</v>
      </c>
      <c r="F15" s="62">
        <v>32058848</v>
      </c>
      <c r="G15" s="61">
        <f t="shared" si="2"/>
        <v>9588</v>
      </c>
      <c r="H15" s="62">
        <v>14157518</v>
      </c>
      <c r="I15" s="61">
        <f t="shared" si="3"/>
        <v>4610</v>
      </c>
    </row>
    <row r="16" spans="1:20" ht="21" thickTop="1" thickBot="1" x14ac:dyDescent="0.35">
      <c r="A16" s="59">
        <f t="shared" si="4"/>
        <v>43770</v>
      </c>
      <c r="B16" s="60">
        <v>115317</v>
      </c>
      <c r="C16" s="166">
        <f t="shared" si="0"/>
        <v>650</v>
      </c>
      <c r="D16" s="62">
        <v>17719390</v>
      </c>
      <c r="E16" s="166">
        <f t="shared" si="1"/>
        <v>6601</v>
      </c>
      <c r="F16" s="62">
        <v>32068436</v>
      </c>
      <c r="G16" s="166">
        <f t="shared" si="2"/>
        <v>9635</v>
      </c>
      <c r="H16" s="62">
        <v>14162128</v>
      </c>
      <c r="I16" s="61">
        <f t="shared" si="3"/>
        <v>4498</v>
      </c>
    </row>
    <row r="17" spans="1:9" ht="21" thickTop="1" thickBot="1" x14ac:dyDescent="0.35">
      <c r="A17" s="59">
        <f t="shared" si="4"/>
        <v>43771</v>
      </c>
      <c r="B17" s="165">
        <v>115382</v>
      </c>
      <c r="C17" s="166">
        <f t="shared" si="0"/>
        <v>490</v>
      </c>
      <c r="D17" s="167">
        <v>17725991</v>
      </c>
      <c r="E17" s="166">
        <f t="shared" si="1"/>
        <v>6829</v>
      </c>
      <c r="F17" s="167">
        <v>32078071</v>
      </c>
      <c r="G17" s="166">
        <f t="shared" si="2"/>
        <v>9858</v>
      </c>
      <c r="H17" s="167">
        <v>14166626</v>
      </c>
      <c r="I17" s="61">
        <f t="shared" si="3"/>
        <v>4914</v>
      </c>
    </row>
    <row r="18" spans="1:9" ht="21" thickTop="1" thickBot="1" x14ac:dyDescent="0.35">
      <c r="A18" s="59">
        <f t="shared" si="4"/>
        <v>43772</v>
      </c>
      <c r="B18" s="165">
        <v>115431</v>
      </c>
      <c r="C18" s="166">
        <f t="shared" si="0"/>
        <v>530</v>
      </c>
      <c r="D18" s="167">
        <v>17732820</v>
      </c>
      <c r="E18" s="166">
        <f t="shared" si="1"/>
        <v>6220</v>
      </c>
      <c r="F18" s="167">
        <v>32087929</v>
      </c>
      <c r="G18" s="166">
        <f t="shared" si="2"/>
        <v>8922</v>
      </c>
      <c r="H18" s="167">
        <v>14171540</v>
      </c>
      <c r="I18" s="61">
        <f t="shared" si="3"/>
        <v>4151</v>
      </c>
    </row>
    <row r="19" spans="1:9" ht="21" thickTop="1" thickBot="1" x14ac:dyDescent="0.35">
      <c r="A19" s="59">
        <f t="shared" si="4"/>
        <v>43773</v>
      </c>
      <c r="B19" s="165">
        <v>115484</v>
      </c>
      <c r="C19" s="166">
        <f t="shared" si="0"/>
        <v>530</v>
      </c>
      <c r="D19" s="167">
        <v>17739040</v>
      </c>
      <c r="E19" s="166">
        <f t="shared" si="1"/>
        <v>5895</v>
      </c>
      <c r="F19" s="167">
        <v>32096851</v>
      </c>
      <c r="G19" s="166">
        <f t="shared" si="2"/>
        <v>9460</v>
      </c>
      <c r="H19" s="167">
        <v>14175691</v>
      </c>
      <c r="I19" s="61">
        <f t="shared" si="3"/>
        <v>4280</v>
      </c>
    </row>
    <row r="20" spans="1:9" ht="21" thickTop="1" thickBot="1" x14ac:dyDescent="0.35">
      <c r="A20" s="59">
        <f t="shared" si="4"/>
        <v>43774</v>
      </c>
      <c r="B20" s="165">
        <v>115537</v>
      </c>
      <c r="C20" s="166">
        <f t="shared" si="0"/>
        <v>820</v>
      </c>
      <c r="D20" s="167">
        <v>17744935</v>
      </c>
      <c r="E20" s="166">
        <f t="shared" si="1"/>
        <v>5595</v>
      </c>
      <c r="F20" s="167">
        <v>32106311</v>
      </c>
      <c r="G20" s="166">
        <f t="shared" si="2"/>
        <v>9063</v>
      </c>
      <c r="H20" s="167">
        <v>14179971</v>
      </c>
      <c r="I20" s="61">
        <f t="shared" si="3"/>
        <v>3763</v>
      </c>
    </row>
    <row r="21" spans="1:9" ht="21" thickTop="1" thickBot="1" x14ac:dyDescent="0.35">
      <c r="A21" s="59">
        <f t="shared" si="4"/>
        <v>43775</v>
      </c>
      <c r="B21" s="165">
        <v>115619</v>
      </c>
      <c r="C21" s="166">
        <f t="shared" si="0"/>
        <v>570</v>
      </c>
      <c r="D21" s="167">
        <v>17750530</v>
      </c>
      <c r="E21" s="166">
        <f t="shared" si="1"/>
        <v>5443</v>
      </c>
      <c r="F21" s="167">
        <v>32115374</v>
      </c>
      <c r="G21" s="166">
        <f t="shared" si="2"/>
        <v>8722</v>
      </c>
      <c r="H21" s="167">
        <v>14183734</v>
      </c>
      <c r="I21" s="61">
        <f t="shared" si="3"/>
        <v>4150</v>
      </c>
    </row>
    <row r="22" spans="1:9" ht="21" thickTop="1" thickBot="1" x14ac:dyDescent="0.35">
      <c r="A22" s="59">
        <f t="shared" si="4"/>
        <v>43776</v>
      </c>
      <c r="B22" s="165">
        <v>115676</v>
      </c>
      <c r="C22" s="166">
        <f t="shared" si="0"/>
        <v>530</v>
      </c>
      <c r="D22" s="167">
        <v>17755973</v>
      </c>
      <c r="E22" s="166">
        <f t="shared" si="1"/>
        <v>5630</v>
      </c>
      <c r="F22" s="167">
        <v>32124096</v>
      </c>
      <c r="G22" s="166">
        <f t="shared" si="2"/>
        <v>7812</v>
      </c>
      <c r="H22" s="167">
        <v>14187884</v>
      </c>
      <c r="I22" s="61">
        <f t="shared" si="3"/>
        <v>4362</v>
      </c>
    </row>
    <row r="23" spans="1:9" ht="21" thickTop="1" thickBot="1" x14ac:dyDescent="0.35">
      <c r="A23" s="59">
        <f t="shared" si="4"/>
        <v>43777</v>
      </c>
      <c r="B23" s="165">
        <v>115729</v>
      </c>
      <c r="C23" s="166">
        <f t="shared" si="0"/>
        <v>520</v>
      </c>
      <c r="D23" s="167">
        <v>17761603</v>
      </c>
      <c r="E23" s="166">
        <f t="shared" si="1"/>
        <v>5438</v>
      </c>
      <c r="F23" s="167">
        <v>32131908</v>
      </c>
      <c r="G23" s="166">
        <f t="shared" si="2"/>
        <v>8595</v>
      </c>
      <c r="H23" s="167">
        <v>14192246</v>
      </c>
      <c r="I23" s="61">
        <f t="shared" si="3"/>
        <v>3912</v>
      </c>
    </row>
    <row r="24" spans="1:9" ht="21" thickTop="1" thickBot="1" x14ac:dyDescent="0.35">
      <c r="A24" s="59">
        <f t="shared" si="4"/>
        <v>43778</v>
      </c>
      <c r="B24" s="165">
        <v>115781</v>
      </c>
      <c r="C24" s="166">
        <f t="shared" si="0"/>
        <v>430</v>
      </c>
      <c r="D24" s="167">
        <v>17767041</v>
      </c>
      <c r="E24" s="166">
        <f t="shared" si="1"/>
        <v>4337</v>
      </c>
      <c r="F24" s="167">
        <v>32140503</v>
      </c>
      <c r="G24" s="166">
        <f t="shared" si="2"/>
        <v>6359</v>
      </c>
      <c r="H24" s="167">
        <v>14196158</v>
      </c>
      <c r="I24" s="61">
        <f t="shared" si="3"/>
        <v>2915</v>
      </c>
    </row>
    <row r="25" spans="1:9" ht="21" thickTop="1" thickBot="1" x14ac:dyDescent="0.35">
      <c r="A25" s="59">
        <f t="shared" si="4"/>
        <v>43779</v>
      </c>
      <c r="B25" s="165">
        <v>115824</v>
      </c>
      <c r="C25" s="166">
        <f t="shared" si="0"/>
        <v>460</v>
      </c>
      <c r="D25" s="167">
        <v>17771378</v>
      </c>
      <c r="E25" s="166">
        <f t="shared" si="1"/>
        <v>5086</v>
      </c>
      <c r="F25" s="167">
        <v>32146862</v>
      </c>
      <c r="G25" s="166">
        <f t="shared" si="2"/>
        <v>6258</v>
      </c>
      <c r="H25" s="167">
        <v>14199073</v>
      </c>
      <c r="I25" s="61">
        <f t="shared" si="3"/>
        <v>3208</v>
      </c>
    </row>
    <row r="26" spans="1:9" ht="21" thickTop="1" thickBot="1" x14ac:dyDescent="0.35">
      <c r="A26" s="59">
        <f t="shared" si="4"/>
        <v>43780</v>
      </c>
      <c r="B26" s="165">
        <v>115870</v>
      </c>
      <c r="C26" s="166">
        <f t="shared" si="0"/>
        <v>480</v>
      </c>
      <c r="D26" s="167">
        <v>17776464</v>
      </c>
      <c r="E26" s="166">
        <f t="shared" si="1"/>
        <v>5322</v>
      </c>
      <c r="F26" s="167">
        <v>32153120</v>
      </c>
      <c r="G26" s="166">
        <f t="shared" si="2"/>
        <v>6525</v>
      </c>
      <c r="H26" s="167">
        <v>14202281</v>
      </c>
      <c r="I26" s="61">
        <f t="shared" si="3"/>
        <v>4245</v>
      </c>
    </row>
    <row r="27" spans="1:9" ht="21" thickTop="1" thickBot="1" x14ac:dyDescent="0.35">
      <c r="A27" s="59">
        <f t="shared" si="4"/>
        <v>43781</v>
      </c>
      <c r="B27" s="165">
        <v>115918</v>
      </c>
      <c r="C27" s="166">
        <f t="shared" si="0"/>
        <v>470</v>
      </c>
      <c r="D27" s="167">
        <v>17781786</v>
      </c>
      <c r="E27" s="166">
        <f t="shared" si="1"/>
        <v>5848</v>
      </c>
      <c r="F27" s="167">
        <v>32159645</v>
      </c>
      <c r="G27" s="166">
        <f t="shared" si="2"/>
        <v>8265</v>
      </c>
      <c r="H27" s="167">
        <v>14206526</v>
      </c>
      <c r="I27" s="61">
        <f t="shared" si="3"/>
        <v>4433</v>
      </c>
    </row>
    <row r="28" spans="1:9" ht="21" thickTop="1" thickBot="1" x14ac:dyDescent="0.35">
      <c r="A28" s="59">
        <f t="shared" si="4"/>
        <v>43782</v>
      </c>
      <c r="B28" s="165">
        <v>115965</v>
      </c>
      <c r="C28" s="166">
        <f t="shared" si="0"/>
        <v>470</v>
      </c>
      <c r="D28" s="167">
        <v>17787634</v>
      </c>
      <c r="E28" s="166">
        <f t="shared" si="1"/>
        <v>5368</v>
      </c>
      <c r="F28" s="167">
        <v>32167910</v>
      </c>
      <c r="G28" s="166">
        <f t="shared" si="2"/>
        <v>8155</v>
      </c>
      <c r="H28" s="167">
        <v>14210959</v>
      </c>
      <c r="I28" s="61">
        <f t="shared" si="3"/>
        <v>3841</v>
      </c>
    </row>
    <row r="29" spans="1:9" ht="21" thickTop="1" thickBot="1" x14ac:dyDescent="0.35">
      <c r="A29" s="59">
        <f t="shared" si="4"/>
        <v>43783</v>
      </c>
      <c r="B29" s="165">
        <v>116012</v>
      </c>
      <c r="C29" s="166">
        <f t="shared" si="0"/>
        <v>430</v>
      </c>
      <c r="D29" s="167">
        <v>17793002</v>
      </c>
      <c r="E29" s="166">
        <f t="shared" si="1"/>
        <v>4313</v>
      </c>
      <c r="F29" s="167">
        <v>32176065</v>
      </c>
      <c r="G29" s="166">
        <f t="shared" si="2"/>
        <v>6837</v>
      </c>
      <c r="H29" s="167">
        <v>14214800</v>
      </c>
      <c r="I29" s="61">
        <f t="shared" si="3"/>
        <v>3030</v>
      </c>
    </row>
    <row r="30" spans="1:9" ht="21" thickTop="1" thickBot="1" x14ac:dyDescent="0.35">
      <c r="A30" s="59">
        <f t="shared" si="4"/>
        <v>43784</v>
      </c>
      <c r="B30" s="165">
        <v>116055</v>
      </c>
      <c r="C30" s="166">
        <f t="shared" si="0"/>
        <v>430</v>
      </c>
      <c r="D30" s="167">
        <v>17797315</v>
      </c>
      <c r="E30" s="166">
        <f t="shared" si="1"/>
        <v>4161</v>
      </c>
      <c r="F30" s="167">
        <v>32182902</v>
      </c>
      <c r="G30" s="166">
        <f t="shared" si="2"/>
        <v>5876</v>
      </c>
      <c r="H30" s="167">
        <v>14217830</v>
      </c>
      <c r="I30" s="61">
        <f t="shared" si="3"/>
        <v>2895</v>
      </c>
    </row>
    <row r="31" spans="1:9" ht="21" thickTop="1" thickBot="1" x14ac:dyDescent="0.35">
      <c r="A31" s="59">
        <f>A30+1</f>
        <v>43785</v>
      </c>
      <c r="B31" s="165">
        <v>116098</v>
      </c>
      <c r="C31" s="166">
        <f t="shared" si="0"/>
        <v>490</v>
      </c>
      <c r="D31" s="167">
        <v>17801476</v>
      </c>
      <c r="E31" s="166">
        <f t="shared" si="1"/>
        <v>4067</v>
      </c>
      <c r="F31" s="167">
        <v>32188778</v>
      </c>
      <c r="G31" s="166">
        <f t="shared" si="2"/>
        <v>6236</v>
      </c>
      <c r="H31" s="167">
        <v>14220725</v>
      </c>
      <c r="I31" s="61">
        <f t="shared" si="3"/>
        <v>2792</v>
      </c>
    </row>
    <row r="32" spans="1:9" ht="21" thickTop="1" thickBot="1" x14ac:dyDescent="0.35">
      <c r="A32" s="59">
        <f t="shared" si="4"/>
        <v>43786</v>
      </c>
      <c r="B32" s="165">
        <v>116147</v>
      </c>
      <c r="C32" s="166">
        <f t="shared" si="0"/>
        <v>410</v>
      </c>
      <c r="D32" s="167">
        <v>17805543</v>
      </c>
      <c r="E32" s="166">
        <f t="shared" si="1"/>
        <v>3975</v>
      </c>
      <c r="F32" s="167">
        <v>32195014</v>
      </c>
      <c r="G32" s="166">
        <f t="shared" si="2"/>
        <v>6075</v>
      </c>
      <c r="H32" s="167">
        <v>14223517</v>
      </c>
      <c r="I32" s="61">
        <f t="shared" si="3"/>
        <v>2771</v>
      </c>
    </row>
    <row r="33" spans="1:9" ht="21" thickTop="1" thickBot="1" x14ac:dyDescent="0.35">
      <c r="A33" s="59">
        <f t="shared" si="4"/>
        <v>43787</v>
      </c>
      <c r="B33" s="165">
        <v>116188</v>
      </c>
      <c r="C33" s="166">
        <f t="shared" si="0"/>
        <v>550</v>
      </c>
      <c r="D33" s="167">
        <v>17809518</v>
      </c>
      <c r="E33" s="166">
        <f t="shared" si="1"/>
        <v>4348</v>
      </c>
      <c r="F33" s="167">
        <v>32201089</v>
      </c>
      <c r="G33" s="166">
        <f t="shared" si="2"/>
        <v>6368</v>
      </c>
      <c r="H33" s="167">
        <v>14226288</v>
      </c>
      <c r="I33" s="61">
        <f t="shared" si="3"/>
        <v>2967</v>
      </c>
    </row>
    <row r="34" spans="1:9" ht="21" thickTop="1" thickBot="1" x14ac:dyDescent="0.35">
      <c r="A34" s="59">
        <f t="shared" si="4"/>
        <v>43788</v>
      </c>
      <c r="B34" s="165">
        <v>116243</v>
      </c>
      <c r="C34" s="166">
        <f t="shared" si="0"/>
        <v>460</v>
      </c>
      <c r="D34" s="167">
        <v>17813866</v>
      </c>
      <c r="E34" s="166">
        <f t="shared" si="1"/>
        <v>4553</v>
      </c>
      <c r="F34" s="167">
        <v>32207457</v>
      </c>
      <c r="G34" s="166">
        <f t="shared" si="2"/>
        <v>6645</v>
      </c>
      <c r="H34" s="167">
        <v>14229255</v>
      </c>
      <c r="I34" s="61">
        <f t="shared" si="3"/>
        <v>3164</v>
      </c>
    </row>
    <row r="35" spans="1:9" ht="21" thickTop="1" thickBot="1" x14ac:dyDescent="0.35">
      <c r="A35" s="59">
        <f t="shared" si="4"/>
        <v>43789</v>
      </c>
      <c r="B35" s="165">
        <v>116289</v>
      </c>
      <c r="C35" s="166">
        <f t="shared" si="0"/>
        <v>0</v>
      </c>
      <c r="D35" s="167">
        <v>17818419</v>
      </c>
      <c r="E35" s="166">
        <f t="shared" si="1"/>
        <v>0</v>
      </c>
      <c r="F35" s="167">
        <v>32214102</v>
      </c>
      <c r="G35" s="166">
        <f t="shared" si="2"/>
        <v>0</v>
      </c>
      <c r="H35" s="167">
        <v>14232419</v>
      </c>
      <c r="I35" s="61">
        <f t="shared" si="3"/>
        <v>0</v>
      </c>
    </row>
    <row r="36" spans="1:9" ht="21" thickTop="1" thickBot="1" x14ac:dyDescent="0.35">
      <c r="A36" s="59">
        <f t="shared" si="4"/>
        <v>43790</v>
      </c>
      <c r="B36" s="60"/>
      <c r="C36" s="61">
        <f t="shared" ref="C35:C46" si="5">IF(B37&lt;B36,0,B37-B36)*10</f>
        <v>0</v>
      </c>
      <c r="D36" s="62"/>
      <c r="E36" s="61">
        <f t="shared" ref="E35:E46" si="6">IF(D37&lt;D36,0,D37-D36)</f>
        <v>0</v>
      </c>
      <c r="F36" s="62"/>
      <c r="G36" s="61">
        <f t="shared" ref="G35:G46" si="7">IF(F37&lt;F36,0,F37-F36)</f>
        <v>0</v>
      </c>
      <c r="H36" s="62"/>
      <c r="I36" s="61">
        <f t="shared" si="3"/>
        <v>0</v>
      </c>
    </row>
    <row r="37" spans="1:9" ht="21" thickTop="1" thickBot="1" x14ac:dyDescent="0.35">
      <c r="A37" s="59">
        <f t="shared" si="4"/>
        <v>43791</v>
      </c>
      <c r="B37" s="60"/>
      <c r="C37" s="61">
        <f t="shared" si="5"/>
        <v>0</v>
      </c>
      <c r="D37" s="62"/>
      <c r="E37" s="61">
        <f t="shared" si="6"/>
        <v>0</v>
      </c>
      <c r="F37" s="62"/>
      <c r="G37" s="61">
        <f t="shared" si="7"/>
        <v>0</v>
      </c>
      <c r="H37" s="62"/>
      <c r="I37" s="61">
        <f t="shared" si="3"/>
        <v>0</v>
      </c>
    </row>
    <row r="38" spans="1:9" ht="21" thickTop="1" thickBot="1" x14ac:dyDescent="0.35">
      <c r="A38" s="59">
        <f t="shared" si="4"/>
        <v>43792</v>
      </c>
      <c r="B38" s="60"/>
      <c r="C38" s="61">
        <f t="shared" si="5"/>
        <v>0</v>
      </c>
      <c r="D38" s="62"/>
      <c r="E38" s="61">
        <f t="shared" si="6"/>
        <v>0</v>
      </c>
      <c r="F38" s="62"/>
      <c r="G38" s="61">
        <f t="shared" si="7"/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43793</v>
      </c>
      <c r="B39" s="60"/>
      <c r="C39" s="61">
        <f t="shared" si="5"/>
        <v>0</v>
      </c>
      <c r="D39" s="62"/>
      <c r="E39" s="61">
        <f t="shared" si="6"/>
        <v>0</v>
      </c>
      <c r="F39" s="62"/>
      <c r="G39" s="61">
        <f t="shared" si="7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43794</v>
      </c>
      <c r="B40" s="60"/>
      <c r="C40" s="61">
        <f t="shared" si="5"/>
        <v>0</v>
      </c>
      <c r="D40" s="62"/>
      <c r="E40" s="61">
        <f t="shared" si="6"/>
        <v>0</v>
      </c>
      <c r="F40" s="62"/>
      <c r="G40" s="61">
        <f t="shared" si="7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43795</v>
      </c>
      <c r="B41" s="60"/>
      <c r="C41" s="61">
        <f t="shared" si="5"/>
        <v>0</v>
      </c>
      <c r="D41" s="62"/>
      <c r="E41" s="61">
        <f t="shared" si="6"/>
        <v>0</v>
      </c>
      <c r="F41" s="62"/>
      <c r="G41" s="61">
        <f t="shared" si="7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43796</v>
      </c>
      <c r="B42" s="60"/>
      <c r="C42" s="61">
        <f t="shared" si="5"/>
        <v>0</v>
      </c>
      <c r="D42" s="62"/>
      <c r="E42" s="61">
        <f t="shared" si="6"/>
        <v>0</v>
      </c>
      <c r="F42" s="62"/>
      <c r="G42" s="61">
        <f t="shared" si="7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43797</v>
      </c>
      <c r="B43" s="60"/>
      <c r="C43" s="61">
        <f t="shared" si="5"/>
        <v>0</v>
      </c>
      <c r="D43" s="62"/>
      <c r="E43" s="61">
        <f t="shared" si="6"/>
        <v>0</v>
      </c>
      <c r="F43" s="62"/>
      <c r="G43" s="61">
        <f t="shared" si="7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43798</v>
      </c>
      <c r="B44" s="60"/>
      <c r="C44" s="61">
        <f t="shared" si="5"/>
        <v>0</v>
      </c>
      <c r="D44" s="62"/>
      <c r="E44" s="61">
        <f t="shared" si="6"/>
        <v>0</v>
      </c>
      <c r="F44" s="62"/>
      <c r="G44" s="61">
        <f t="shared" si="7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43799</v>
      </c>
      <c r="B45" s="60"/>
      <c r="C45" s="61">
        <f t="shared" si="5"/>
        <v>0</v>
      </c>
      <c r="D45" s="62"/>
      <c r="E45" s="61">
        <f t="shared" si="6"/>
        <v>0</v>
      </c>
      <c r="F45" s="62"/>
      <c r="G45" s="61">
        <f t="shared" si="7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43800</v>
      </c>
      <c r="B46" s="60"/>
      <c r="C46" s="61">
        <f t="shared" si="5"/>
        <v>0</v>
      </c>
      <c r="D46" s="62"/>
      <c r="E46" s="61">
        <f t="shared" si="6"/>
        <v>0</v>
      </c>
      <c r="F46" s="62"/>
      <c r="G46" s="61">
        <f t="shared" si="7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43801</v>
      </c>
      <c r="B47" s="60"/>
      <c r="C47" s="61">
        <f t="shared" ref="C47" si="8">IF(B48&lt;B47,0,B48-B47)*10</f>
        <v>0</v>
      </c>
      <c r="D47" s="62"/>
      <c r="E47" s="61">
        <f t="shared" ref="E47" si="9">IF(D48&lt;D47,0,D48-D47)</f>
        <v>0</v>
      </c>
      <c r="F47" s="62"/>
      <c r="G47" s="61">
        <f t="shared" ref="G47" si="10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SUM(C16:C45)</f>
        <v>9720</v>
      </c>
      <c r="E48" s="72">
        <f>SUM(E16:E45)</f>
        <v>99029</v>
      </c>
      <c r="F48" s="88"/>
      <c r="G48" s="72">
        <f>SUM(G16:G45)</f>
        <v>145666</v>
      </c>
      <c r="H48" s="88"/>
      <c r="I48" s="72">
        <f>SUM(I16:I45)</f>
        <v>70291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75" priority="2750" stopIfTrue="1" operator="lessThanOrEqual">
      <formula>0</formula>
    </cfRule>
  </conditionalFormatting>
  <conditionalFormatting sqref="C48 E48 G48 I48">
    <cfRule type="cellIs" dxfId="74" priority="2745" stopIfTrue="1" operator="lessThanOrEqual">
      <formula>0</formula>
    </cfRule>
  </conditionalFormatting>
  <conditionalFormatting sqref="C48 E48 G48 I48">
    <cfRule type="cellIs" dxfId="73" priority="2740" stopIfTrue="1" operator="lessThanOrEqual">
      <formula>0</formula>
    </cfRule>
  </conditionalFormatting>
  <conditionalFormatting sqref="C48 E48 G48 I48">
    <cfRule type="cellIs" dxfId="72" priority="2737" stopIfTrue="1" operator="lessThanOrEqual">
      <formula>0</formula>
    </cfRule>
  </conditionalFormatting>
  <conditionalFormatting sqref="C47">
    <cfRule type="cellIs" dxfId="71" priority="308" stopIfTrue="1" operator="lessThanOrEqual">
      <formula>0</formula>
    </cfRule>
  </conditionalFormatting>
  <conditionalFormatting sqref="C47">
    <cfRule type="cellIs" dxfId="70" priority="307" stopIfTrue="1" operator="lessThanOrEqual">
      <formula>0</formula>
    </cfRule>
  </conditionalFormatting>
  <conditionalFormatting sqref="C47">
    <cfRule type="cellIs" dxfId="69" priority="306" stopIfTrue="1" operator="lessThanOrEqual">
      <formula>0</formula>
    </cfRule>
  </conditionalFormatting>
  <conditionalFormatting sqref="C47">
    <cfRule type="cellIs" dxfId="68" priority="305" stopIfTrue="1" operator="lessThanOrEqual">
      <formula>0</formula>
    </cfRule>
  </conditionalFormatting>
  <conditionalFormatting sqref="C36:C46">
    <cfRule type="cellIs" dxfId="67" priority="64" stopIfTrue="1" operator="lessThanOrEqual">
      <formula>0</formula>
    </cfRule>
  </conditionalFormatting>
  <conditionalFormatting sqref="C36:C46">
    <cfRule type="cellIs" dxfId="66" priority="63" stopIfTrue="1" operator="lessThanOrEqual">
      <formula>0</formula>
    </cfRule>
  </conditionalFormatting>
  <conditionalFormatting sqref="C36:C46">
    <cfRule type="cellIs" dxfId="65" priority="62" stopIfTrue="1" operator="lessThanOrEqual">
      <formula>0</formula>
    </cfRule>
  </conditionalFormatting>
  <conditionalFormatting sqref="C36:C46">
    <cfRule type="cellIs" dxfId="64" priority="61" stopIfTrue="1" operator="lessThanOrEqual">
      <formula>0</formula>
    </cfRule>
  </conditionalFormatting>
  <conditionalFormatting sqref="C9">
    <cfRule type="cellIs" dxfId="63" priority="60" stopIfTrue="1" operator="lessThanOrEqual">
      <formula>0</formula>
    </cfRule>
  </conditionalFormatting>
  <conditionalFormatting sqref="C9">
    <cfRule type="cellIs" dxfId="62" priority="59" stopIfTrue="1" operator="lessThanOrEqual">
      <formula>0</formula>
    </cfRule>
  </conditionalFormatting>
  <conditionalFormatting sqref="C9">
    <cfRule type="cellIs" dxfId="61" priority="58" stopIfTrue="1" operator="lessThanOrEqual">
      <formula>0</formula>
    </cfRule>
  </conditionalFormatting>
  <conditionalFormatting sqref="C9">
    <cfRule type="cellIs" dxfId="60" priority="57" stopIfTrue="1" operator="lessThanOrEqual">
      <formula>0</formula>
    </cfRule>
  </conditionalFormatting>
  <conditionalFormatting sqref="C10:C12">
    <cfRule type="cellIs" dxfId="59" priority="56" stopIfTrue="1" operator="lessThanOrEqual">
      <formula>0</formula>
    </cfRule>
  </conditionalFormatting>
  <conditionalFormatting sqref="C10:C12">
    <cfRule type="cellIs" dxfId="58" priority="55" stopIfTrue="1" operator="lessThanOrEqual">
      <formula>0</formula>
    </cfRule>
  </conditionalFormatting>
  <conditionalFormatting sqref="C10:C12">
    <cfRule type="cellIs" dxfId="57" priority="54" stopIfTrue="1" operator="lessThanOrEqual">
      <formula>0</formula>
    </cfRule>
  </conditionalFormatting>
  <conditionalFormatting sqref="C10:C12">
    <cfRule type="cellIs" dxfId="56" priority="53" stopIfTrue="1" operator="lessThanOrEqual">
      <formula>0</formula>
    </cfRule>
  </conditionalFormatting>
  <conditionalFormatting sqref="C13:C14">
    <cfRule type="cellIs" dxfId="55" priority="52" stopIfTrue="1" operator="lessThanOrEqual">
      <formula>0</formula>
    </cfRule>
  </conditionalFormatting>
  <conditionalFormatting sqref="C13:C14">
    <cfRule type="cellIs" dxfId="54" priority="51" stopIfTrue="1" operator="lessThanOrEqual">
      <formula>0</formula>
    </cfRule>
  </conditionalFormatting>
  <conditionalFormatting sqref="C13:C14">
    <cfRule type="cellIs" dxfId="53" priority="50" stopIfTrue="1" operator="lessThanOrEqual">
      <formula>0</formula>
    </cfRule>
  </conditionalFormatting>
  <conditionalFormatting sqref="C13:C14">
    <cfRule type="cellIs" dxfId="52" priority="49" stopIfTrue="1" operator="lessThanOrEqual">
      <formula>0</formula>
    </cfRule>
  </conditionalFormatting>
  <conditionalFormatting sqref="C15:C18">
    <cfRule type="cellIs" dxfId="51" priority="48" stopIfTrue="1" operator="lessThanOrEqual">
      <formula>0</formula>
    </cfRule>
  </conditionalFormatting>
  <conditionalFormatting sqref="C15:C18">
    <cfRule type="cellIs" dxfId="50" priority="47" stopIfTrue="1" operator="lessThanOrEqual">
      <formula>0</formula>
    </cfRule>
  </conditionalFormatting>
  <conditionalFormatting sqref="C15:C18">
    <cfRule type="cellIs" dxfId="49" priority="46" stopIfTrue="1" operator="lessThanOrEqual">
      <formula>0</formula>
    </cfRule>
  </conditionalFormatting>
  <conditionalFormatting sqref="C15:C18">
    <cfRule type="cellIs" dxfId="48" priority="45" stopIfTrue="1" operator="lessThanOrEqual">
      <formula>0</formula>
    </cfRule>
  </conditionalFormatting>
  <conditionalFormatting sqref="C19">
    <cfRule type="cellIs" dxfId="47" priority="44" stopIfTrue="1" operator="lessThanOrEqual">
      <formula>0</formula>
    </cfRule>
  </conditionalFormatting>
  <conditionalFormatting sqref="C19">
    <cfRule type="cellIs" dxfId="46" priority="43" stopIfTrue="1" operator="lessThanOrEqual">
      <formula>0</formula>
    </cfRule>
  </conditionalFormatting>
  <conditionalFormatting sqref="C19">
    <cfRule type="cellIs" dxfId="45" priority="42" stopIfTrue="1" operator="lessThanOrEqual">
      <formula>0</formula>
    </cfRule>
  </conditionalFormatting>
  <conditionalFormatting sqref="C19">
    <cfRule type="cellIs" dxfId="44" priority="41" stopIfTrue="1" operator="lessThanOrEqual">
      <formula>0</formula>
    </cfRule>
  </conditionalFormatting>
  <conditionalFormatting sqref="C20:C22">
    <cfRule type="cellIs" dxfId="43" priority="40" stopIfTrue="1" operator="lessThanOrEqual">
      <formula>0</formula>
    </cfRule>
  </conditionalFormatting>
  <conditionalFormatting sqref="C20:C22">
    <cfRule type="cellIs" dxfId="42" priority="39" stopIfTrue="1" operator="lessThanOrEqual">
      <formula>0</formula>
    </cfRule>
  </conditionalFormatting>
  <conditionalFormatting sqref="C20:C22">
    <cfRule type="cellIs" dxfId="41" priority="38" stopIfTrue="1" operator="lessThanOrEqual">
      <formula>0</formula>
    </cfRule>
  </conditionalFormatting>
  <conditionalFormatting sqref="C20:C22">
    <cfRule type="cellIs" dxfId="40" priority="37" stopIfTrue="1" operator="lessThanOrEqual">
      <formula>0</formula>
    </cfRule>
  </conditionalFormatting>
  <conditionalFormatting sqref="C23">
    <cfRule type="cellIs" dxfId="39" priority="36" stopIfTrue="1" operator="lessThanOrEqual">
      <formula>0</formula>
    </cfRule>
  </conditionalFormatting>
  <conditionalFormatting sqref="C23">
    <cfRule type="cellIs" dxfId="38" priority="35" stopIfTrue="1" operator="lessThanOrEqual">
      <formula>0</formula>
    </cfRule>
  </conditionalFormatting>
  <conditionalFormatting sqref="C23">
    <cfRule type="cellIs" dxfId="37" priority="34" stopIfTrue="1" operator="lessThanOrEqual">
      <formula>0</formula>
    </cfRule>
  </conditionalFormatting>
  <conditionalFormatting sqref="C23">
    <cfRule type="cellIs" dxfId="36" priority="33" stopIfTrue="1" operator="lessThanOrEqual">
      <formula>0</formula>
    </cfRule>
  </conditionalFormatting>
  <conditionalFormatting sqref="C25:C26">
    <cfRule type="cellIs" dxfId="35" priority="32" stopIfTrue="1" operator="lessThanOrEqual">
      <formula>0</formula>
    </cfRule>
  </conditionalFormatting>
  <conditionalFormatting sqref="C25:C26">
    <cfRule type="cellIs" dxfId="34" priority="31" stopIfTrue="1" operator="lessThanOrEqual">
      <formula>0</formula>
    </cfRule>
  </conditionalFormatting>
  <conditionalFormatting sqref="C25:C26">
    <cfRule type="cellIs" dxfId="33" priority="30" stopIfTrue="1" operator="lessThanOrEqual">
      <formula>0</formula>
    </cfRule>
  </conditionalFormatting>
  <conditionalFormatting sqref="C25:C26">
    <cfRule type="cellIs" dxfId="32" priority="29" stopIfTrue="1" operator="lessThanOrEqual">
      <formula>0</formula>
    </cfRule>
  </conditionalFormatting>
  <conditionalFormatting sqref="C24">
    <cfRule type="cellIs" dxfId="31" priority="28" stopIfTrue="1" operator="lessThanOrEqual">
      <formula>0</formula>
    </cfRule>
  </conditionalFormatting>
  <conditionalFormatting sqref="C24">
    <cfRule type="cellIs" dxfId="30" priority="27" stopIfTrue="1" operator="lessThanOrEqual">
      <formula>0</formula>
    </cfRule>
  </conditionalFormatting>
  <conditionalFormatting sqref="C24">
    <cfRule type="cellIs" dxfId="29" priority="26" stopIfTrue="1" operator="lessThanOrEqual">
      <formula>0</formula>
    </cfRule>
  </conditionalFormatting>
  <conditionalFormatting sqref="C24">
    <cfRule type="cellIs" dxfId="28" priority="25" stopIfTrue="1" operator="lessThanOrEqual">
      <formula>0</formula>
    </cfRule>
  </conditionalFormatting>
  <conditionalFormatting sqref="C27">
    <cfRule type="cellIs" dxfId="27" priority="24" stopIfTrue="1" operator="lessThanOrEqual">
      <formula>0</formula>
    </cfRule>
  </conditionalFormatting>
  <conditionalFormatting sqref="C27">
    <cfRule type="cellIs" dxfId="26" priority="23" stopIfTrue="1" operator="lessThanOrEqual">
      <formula>0</formula>
    </cfRule>
  </conditionalFormatting>
  <conditionalFormatting sqref="C27">
    <cfRule type="cellIs" dxfId="25" priority="22" stopIfTrue="1" operator="lessThanOrEqual">
      <formula>0</formula>
    </cfRule>
  </conditionalFormatting>
  <conditionalFormatting sqref="C27">
    <cfRule type="cellIs" dxfId="24" priority="21" stopIfTrue="1" operator="lessThanOrEqual">
      <formula>0</formula>
    </cfRule>
  </conditionalFormatting>
  <conditionalFormatting sqref="C28">
    <cfRule type="cellIs" dxfId="23" priority="20" stopIfTrue="1" operator="lessThanOrEqual">
      <formula>0</formula>
    </cfRule>
  </conditionalFormatting>
  <conditionalFormatting sqref="C28">
    <cfRule type="cellIs" dxfId="22" priority="19" stopIfTrue="1" operator="lessThanOrEqual">
      <formula>0</formula>
    </cfRule>
  </conditionalFormatting>
  <conditionalFormatting sqref="C28">
    <cfRule type="cellIs" dxfId="21" priority="18" stopIfTrue="1" operator="lessThanOrEqual">
      <formula>0</formula>
    </cfRule>
  </conditionalFormatting>
  <conditionalFormatting sqref="C28">
    <cfRule type="cellIs" dxfId="20" priority="17" stopIfTrue="1" operator="lessThanOrEqual">
      <formula>0</formula>
    </cfRule>
  </conditionalFormatting>
  <conditionalFormatting sqref="C29:C31">
    <cfRule type="cellIs" dxfId="19" priority="16" stopIfTrue="1" operator="lessThanOrEqual">
      <formula>0</formula>
    </cfRule>
  </conditionalFormatting>
  <conditionalFormatting sqref="C29:C31">
    <cfRule type="cellIs" dxfId="18" priority="15" stopIfTrue="1" operator="lessThanOrEqual">
      <formula>0</formula>
    </cfRule>
  </conditionalFormatting>
  <conditionalFormatting sqref="C29:C31">
    <cfRule type="cellIs" dxfId="17" priority="14" stopIfTrue="1" operator="lessThanOrEqual">
      <formula>0</formula>
    </cfRule>
  </conditionalFormatting>
  <conditionalFormatting sqref="C29:C31">
    <cfRule type="cellIs" dxfId="16" priority="13" stopIfTrue="1" operator="lessThanOrEqual">
      <formula>0</formula>
    </cfRule>
  </conditionalFormatting>
  <conditionalFormatting sqref="C32">
    <cfRule type="cellIs" dxfId="15" priority="12" stopIfTrue="1" operator="lessThanOrEqual">
      <formula>0</formula>
    </cfRule>
  </conditionalFormatting>
  <conditionalFormatting sqref="C32">
    <cfRule type="cellIs" dxfId="14" priority="11" stopIfTrue="1" operator="lessThanOrEqual">
      <formula>0</formula>
    </cfRule>
  </conditionalFormatting>
  <conditionalFormatting sqref="C32">
    <cfRule type="cellIs" dxfId="13" priority="10" stopIfTrue="1" operator="lessThanOrEqual">
      <formula>0</formula>
    </cfRule>
  </conditionalFormatting>
  <conditionalFormatting sqref="C32">
    <cfRule type="cellIs" dxfId="12" priority="9" stopIfTrue="1" operator="lessThanOrEqual">
      <formula>0</formula>
    </cfRule>
  </conditionalFormatting>
  <conditionalFormatting sqref="C33:C34">
    <cfRule type="cellIs" dxfId="11" priority="8" stopIfTrue="1" operator="lessThanOrEqual">
      <formula>0</formula>
    </cfRule>
  </conditionalFormatting>
  <conditionalFormatting sqref="C33:C34">
    <cfRule type="cellIs" dxfId="10" priority="7" stopIfTrue="1" operator="lessThanOrEqual">
      <formula>0</formula>
    </cfRule>
  </conditionalFormatting>
  <conditionalFormatting sqref="C33:C34">
    <cfRule type="cellIs" dxfId="9" priority="6" stopIfTrue="1" operator="lessThanOrEqual">
      <formula>0</formula>
    </cfRule>
  </conditionalFormatting>
  <conditionalFormatting sqref="C33:C34">
    <cfRule type="cellIs" dxfId="8" priority="5" stopIfTrue="1" operator="lessThanOrEqual">
      <formula>0</formula>
    </cfRule>
  </conditionalFormatting>
  <conditionalFormatting sqref="C35">
    <cfRule type="cellIs" dxfId="7" priority="4" stopIfTrue="1" operator="lessThanOrEqual">
      <formula>0</formula>
    </cfRule>
  </conditionalFormatting>
  <conditionalFormatting sqref="C35">
    <cfRule type="cellIs" dxfId="5" priority="3" stopIfTrue="1" operator="lessThanOrEqual">
      <formula>0</formula>
    </cfRule>
  </conditionalFormatting>
  <conditionalFormatting sqref="C35">
    <cfRule type="cellIs" dxfId="3" priority="2" stopIfTrue="1" operator="lessThanOrEqual">
      <formula>0</formula>
    </cfRule>
  </conditionalFormatting>
  <conditionalFormatting sqref="C35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2019-11-20T07:21:51Z</dcterms:modified>
</cp:coreProperties>
</file>