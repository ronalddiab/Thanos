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firstSheet="2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heet3" sheetId="86" r:id="rId17"/>
    <sheet name="Swimming Pool quality check " sheetId="79" r:id="rId18"/>
    <sheet name="Sheet2" sheetId="83" state="hidden" r:id="rId19"/>
    <sheet name="Sheet6" sheetId="84" r:id="rId20"/>
    <sheet name="Sheet7" sheetId="8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7" i="77"/>
  <c r="AN13" i="5" l="1"/>
  <c r="AA22" i="1"/>
  <c r="Z19" i="3" l="1"/>
  <c r="Z18"/>
  <c r="Z17"/>
  <c r="Z16"/>
  <c r="Z15"/>
  <c r="P16"/>
  <c r="D18" i="77"/>
  <c r="H17" i="79" l="1"/>
  <c r="H19" s="1"/>
  <c r="H22" s="1"/>
  <c r="H25" s="1"/>
  <c r="H26" s="1"/>
  <c r="H27" s="1"/>
  <c r="H28" s="1"/>
  <c r="H29" s="1"/>
  <c r="H30" s="1"/>
  <c r="H31" s="1"/>
  <c r="H32" s="1"/>
  <c r="H33" s="1"/>
  <c r="H34" s="1"/>
  <c r="H35" s="1"/>
  <c r="H36" s="1"/>
  <c r="M15"/>
  <c r="M14"/>
  <c r="M13"/>
  <c r="M12"/>
  <c r="M10"/>
  <c r="AO13" i="1"/>
  <c r="K13" i="5"/>
  <c r="U9" i="3"/>
  <c r="U6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V28" i="76"/>
  <c r="V27"/>
  <c r="W12"/>
  <c r="W17"/>
  <c r="V12"/>
  <c r="V26"/>
  <c r="C3"/>
  <c r="D3"/>
  <c r="E3"/>
  <c r="F3"/>
  <c r="F23" s="1"/>
  <c r="F24" s="1"/>
  <c r="F25" s="1"/>
  <c r="F26" s="1"/>
  <c r="F27" s="1"/>
  <c r="F28" s="1"/>
  <c r="F29" s="1"/>
  <c r="F30" s="1"/>
  <c r="F31" s="1"/>
  <c r="F32" s="1"/>
  <c r="W28" s="1"/>
  <c r="G3"/>
  <c r="H3"/>
  <c r="H23" s="1"/>
  <c r="H24" s="1"/>
  <c r="H25" s="1"/>
  <c r="H26" s="1"/>
  <c r="H27" s="1"/>
  <c r="H28" s="1"/>
  <c r="H29" s="1"/>
  <c r="H30" s="1"/>
  <c r="H31" s="1"/>
  <c r="H32" s="1"/>
  <c r="W27" s="1"/>
  <c r="I3"/>
  <c r="J3"/>
  <c r="J23" s="1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23" s="1"/>
  <c r="B24" s="1"/>
  <c r="B25" s="1"/>
  <c r="B26" s="1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4" s="1"/>
  <c r="D16" s="1"/>
  <c r="D17" s="1"/>
  <c r="D18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4" s="1"/>
  <c r="J16" s="1"/>
  <c r="J17" s="1"/>
  <c r="J18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4" s="1"/>
  <c r="L16" s="1"/>
  <c r="L17" s="1"/>
  <c r="L18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4" s="1"/>
  <c r="B16" s="1"/>
  <c r="B17" s="1"/>
  <c r="B18" s="1"/>
  <c r="B22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3" s="1"/>
  <c r="G14" s="1"/>
  <c r="G17" s="1"/>
  <c r="G19" s="1"/>
  <c r="G20" s="1"/>
  <c r="G21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11" s="1"/>
  <c r="V14" s="1"/>
  <c r="V17" s="1"/>
  <c r="V20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13" s="1"/>
  <c r="X17" s="1"/>
  <c r="X20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13" s="1"/>
  <c r="Z17" s="1"/>
  <c r="Z20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21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7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7" s="1"/>
  <c r="B19" s="1"/>
  <c r="B20" s="1"/>
  <c r="B21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12" s="1"/>
  <c r="F18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12" s="1"/>
  <c r="H18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10" s="1"/>
  <c r="K13" s="1"/>
  <c r="K16" s="1"/>
  <c r="K18" s="1"/>
  <c r="K19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10" s="1"/>
  <c r="M13" s="1"/>
  <c r="M16" s="1"/>
  <c r="M18" s="1"/>
  <c r="M19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11" s="1"/>
  <c r="P20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11" s="1"/>
  <c r="Q20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10" s="1"/>
  <c r="X12" s="1"/>
  <c r="X13" s="1"/>
  <c r="X16" s="1"/>
  <c r="X19" s="1"/>
  <c r="X20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10" s="1"/>
  <c r="Z13" s="1"/>
  <c r="Z16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8" s="1"/>
  <c r="AC10" s="1"/>
  <c r="AC11" s="1"/>
  <c r="AC13" s="1"/>
  <c r="AC16" s="1"/>
  <c r="AC18" s="1"/>
  <c r="AC19" s="1"/>
  <c r="AC20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8" s="1"/>
  <c r="AE10" s="1"/>
  <c r="AE11" s="1"/>
  <c r="AE13" s="1"/>
  <c r="AE16" s="1"/>
  <c r="AE20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4" s="1"/>
  <c r="B25" s="1"/>
  <c r="B26" s="1"/>
  <c r="B27" s="1"/>
  <c r="B28" s="1"/>
  <c r="B29" s="1"/>
  <c r="B30" s="1"/>
  <c r="B31" s="1"/>
  <c r="B32" s="1"/>
  <c r="B33" s="1"/>
  <c r="B34" s="1"/>
  <c r="B35" s="1"/>
  <c r="E2" i="2"/>
  <c r="G2"/>
  <c r="H22"/>
  <c r="H23" s="1"/>
  <c r="H24" s="1"/>
  <c r="H25" s="1"/>
  <c r="H26" s="1"/>
  <c r="H27" s="1"/>
  <c r="H28" s="1"/>
  <c r="H29" s="1"/>
  <c r="H30" s="1"/>
  <c r="H31" s="1"/>
  <c r="H32" s="1"/>
  <c r="H33" s="1"/>
  <c r="I2"/>
  <c r="J2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6" s="1"/>
  <c r="S8" s="1"/>
  <c r="S17" s="1"/>
  <c r="S18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8" s="1"/>
  <c r="U11" s="1"/>
  <c r="U17" s="1"/>
  <c r="U18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9" s="1"/>
  <c r="W11" s="1"/>
  <c r="W14" s="1"/>
  <c r="W16" s="1"/>
  <c r="W17" s="1"/>
  <c r="W18" s="1"/>
  <c r="W22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4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9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Y6" l="1"/>
  <c r="Y9" s="1"/>
  <c r="Y11" s="1"/>
  <c r="Y14" s="1"/>
  <c r="Y16" s="1"/>
  <c r="Y17" s="1"/>
  <c r="Y18" s="1"/>
  <c r="Y22" s="1"/>
  <c r="Y23" s="1"/>
  <c r="Y24" s="1"/>
  <c r="Y25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U7" i="3" l="1"/>
  <c r="G6" i="2"/>
  <c r="G7"/>
  <c r="E6"/>
  <c r="U8" i="3" l="1"/>
  <c r="G8" i="2"/>
  <c r="E7"/>
  <c r="G9" l="1"/>
  <c r="E8"/>
  <c r="U10" i="3" l="1"/>
  <c r="G10" i="2"/>
  <c r="E9"/>
  <c r="U11" i="3" l="1"/>
  <c r="G11" i="2"/>
  <c r="E10"/>
  <c r="U12" i="3" l="1"/>
  <c r="G12" i="2"/>
  <c r="E11"/>
  <c r="U13" i="3" l="1"/>
  <c r="G13" i="2"/>
  <c r="E12"/>
  <c r="U14" i="3" l="1"/>
  <c r="G14" i="2"/>
  <c r="E13"/>
  <c r="U15" i="3" l="1"/>
  <c r="G15" i="2"/>
  <c r="E14"/>
  <c r="U16" i="3" l="1"/>
  <c r="G16" i="2"/>
  <c r="E15"/>
  <c r="U17" i="3" l="1"/>
  <c r="G17" i="2"/>
  <c r="E16"/>
  <c r="U18" i="3" l="1"/>
  <c r="G18" i="2"/>
  <c r="E17"/>
  <c r="U19" i="3" l="1"/>
  <c r="G19" i="2"/>
  <c r="E18"/>
  <c r="U20" i="3" l="1"/>
  <c r="G20" i="2"/>
  <c r="E19"/>
  <c r="T22" i="3" l="1"/>
  <c r="U21"/>
  <c r="G21" i="2"/>
  <c r="F22"/>
  <c r="E20"/>
  <c r="T23" i="3" l="1"/>
  <c r="U22"/>
  <c r="F23" i="2"/>
  <c r="G22"/>
  <c r="E21"/>
  <c r="D22"/>
  <c r="T24" i="3" l="1"/>
  <c r="U23"/>
  <c r="G23" i="2"/>
  <c r="F24"/>
  <c r="D23"/>
  <c r="E22"/>
  <c r="T25" i="3" l="1"/>
  <c r="U24"/>
  <c r="G24" i="2"/>
  <c r="F25"/>
  <c r="E23"/>
  <c r="D24"/>
  <c r="T26" i="3" l="1"/>
  <c r="U25"/>
  <c r="F26" i="2"/>
  <c r="G25"/>
  <c r="E24"/>
  <c r="D25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12" i="79"/>
  <c r="O13"/>
  <c r="K14" i="5"/>
  <c r="O15" i="79"/>
  <c r="K15" i="5" s="1"/>
  <c r="I11" i="77"/>
  <c r="J5" i="79"/>
  <c r="I13" l="1"/>
  <c r="I14"/>
  <c r="I15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A3" i="76" l="1"/>
  <c r="BH5" i="7"/>
  <c r="BG5"/>
  <c r="BF5"/>
  <c r="BE5"/>
  <c r="BD5"/>
  <c r="BC5"/>
  <c r="AP5"/>
  <c r="A5"/>
  <c r="G10" i="74"/>
  <c r="F10"/>
  <c r="H10" l="1"/>
  <c r="F43" s="1"/>
  <c r="C40"/>
  <c r="B40"/>
  <c r="C39"/>
  <c r="B39"/>
  <c r="D39" s="1"/>
  <c r="C38"/>
  <c r="B38"/>
  <c r="C37"/>
  <c r="B37"/>
  <c r="D37" s="1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K12" i="5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 l="1"/>
  <c r="D38"/>
  <c r="D10"/>
  <c r="D30"/>
  <c r="D13"/>
  <c r="D17"/>
  <c r="D21"/>
  <c r="D33"/>
  <c r="D18"/>
  <c r="D26"/>
  <c r="D12"/>
  <c r="D16"/>
  <c r="D14"/>
  <c r="D11"/>
  <c r="D15"/>
  <c r="D19"/>
  <c r="D27"/>
  <c r="D36"/>
  <c r="D35"/>
  <c r="D34"/>
  <c r="D32"/>
  <c r="D31"/>
  <c r="D29"/>
  <c r="D28"/>
  <c r="D25"/>
  <c r="D24"/>
  <c r="D23"/>
  <c r="D22"/>
  <c r="D20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AK38" i="5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1" i="1" l="1"/>
  <c r="AF3" i="2"/>
  <c r="H5" i="65" s="1"/>
  <c r="K8" i="5"/>
  <c r="H9" i="79"/>
  <c r="I10" s="1"/>
  <c r="K7" i="5"/>
  <c r="K10"/>
  <c r="B26" i="2"/>
  <c r="L25" i="82" s="1"/>
  <c r="AZ29" i="7"/>
  <c r="B18" i="2"/>
  <c r="O17" i="81" s="1"/>
  <c r="AZ21" i="7"/>
  <c r="B27" i="2"/>
  <c r="L26" i="82" s="1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O11" i="81" l="1"/>
  <c r="E17" i="7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L13" i="5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0" i="63" l="1"/>
  <c r="AK13" i="5"/>
  <c r="L10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9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AF12" i="7"/>
  <c r="AH12" s="1"/>
  <c r="F14" i="65"/>
  <c r="AD36" i="5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AK1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H12" i="63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AE16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Q10" i="3" l="1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Y22" i="1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AE18"/>
  <c r="AF18" s="1"/>
  <c r="AG18" s="1"/>
  <c r="F17" i="63"/>
  <c r="AK17" i="3"/>
  <c r="AC17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AE19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AX6" i="7"/>
  <c r="Q4" i="76" s="1"/>
  <c r="AY7" i="7"/>
  <c r="Q5" i="76"/>
  <c r="AN21" i="7" l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Y6" i="7"/>
  <c r="Q19" i="3" l="1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Q20" i="3" l="1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AS21" i="7" l="1"/>
  <c r="AX2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Q24" i="3" l="1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Q21" i="76" s="1"/>
  <c r="AQ23" i="7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Q25" i="3" l="1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O29" i="7"/>
  <c r="AN29" s="1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P29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AB31" i="3" l="1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O32" i="2" l="1"/>
  <c r="E31" i="81"/>
  <c r="Q27" i="3"/>
  <c r="P28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Q28" i="3" l="1"/>
  <c r="P29"/>
  <c r="AX30" i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P30" i="3" l="1"/>
  <c r="Q29"/>
  <c r="F18" i="77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AX32" i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P32" i="3" l="1"/>
  <c r="Q31"/>
  <c r="J29" i="8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P33" i="3" l="1"/>
  <c r="Q33" s="1"/>
  <c r="Q32"/>
  <c r="AS31" i="7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F7" i="65" l="1"/>
  <c r="H4" i="63"/>
  <c r="AK7" i="5"/>
  <c r="AV12" i="7" l="1"/>
  <c r="AV13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K16" i="5" l="1"/>
  <c r="L16" s="1"/>
  <c r="M16" i="79"/>
  <c r="I16" s="1"/>
  <c r="O16" l="1"/>
  <c r="H13" i="63"/>
  <c r="AK16" i="5"/>
  <c r="F16" i="65"/>
  <c r="I27" i="79"/>
  <c r="I34"/>
  <c r="I28"/>
  <c r="I21"/>
  <c r="I31"/>
  <c r="I30"/>
  <c r="K18" i="5"/>
  <c r="I18" i="79"/>
  <c r="I22"/>
  <c r="I19"/>
  <c r="I32"/>
  <c r="K19" i="5"/>
  <c r="I17" i="79"/>
  <c r="K31" i="5"/>
  <c r="I35" i="79"/>
  <c r="I24"/>
  <c r="I20"/>
  <c r="K17" i="5"/>
  <c r="L17" s="1"/>
  <c r="F17" i="65" s="1"/>
  <c r="I23" i="79"/>
  <c r="K26" i="5"/>
  <c r="I26" i="79"/>
  <c r="I25"/>
  <c r="I33"/>
  <c r="K33" i="5"/>
  <c r="I29" i="79"/>
  <c r="K29" i="5"/>
  <c r="K20"/>
  <c r="L20" s="1"/>
  <c r="M20" i="79"/>
  <c r="O20" s="1"/>
  <c r="M18"/>
  <c r="O18" s="1"/>
  <c r="K32" i="5"/>
  <c r="K23"/>
  <c r="M23" i="79"/>
  <c r="O23" s="1"/>
  <c r="I36"/>
  <c r="M26"/>
  <c r="O26" s="1"/>
  <c r="M25"/>
  <c r="O25" s="1"/>
  <c r="K25" i="5"/>
  <c r="M34" i="79"/>
  <c r="O34" s="1"/>
  <c r="K34" i="5"/>
  <c r="M29" i="79"/>
  <c r="O29" s="1"/>
  <c r="K28" i="5"/>
  <c r="M31" i="79"/>
  <c r="O31" s="1"/>
  <c r="M28"/>
  <c r="O28" s="1"/>
  <c r="M22"/>
  <c r="O22" s="1"/>
  <c r="K22" i="5"/>
  <c r="O17" i="79"/>
  <c r="M33"/>
  <c r="O33" s="1"/>
  <c r="M19"/>
  <c r="O19" s="1"/>
  <c r="M24"/>
  <c r="O24" s="1"/>
  <c r="K24" i="5"/>
  <c r="K36"/>
  <c r="M21" i="79"/>
  <c r="O21" s="1"/>
  <c r="K21" i="5"/>
  <c r="M27" i="79"/>
  <c r="O27" s="1"/>
  <c r="K27" i="5"/>
  <c r="M35" i="79"/>
  <c r="O35" s="1"/>
  <c r="K35" i="5"/>
  <c r="M32" i="79"/>
  <c r="O32" s="1"/>
  <c r="M30"/>
  <c r="O30" s="1"/>
  <c r="K30" i="5"/>
  <c r="L30" l="1"/>
  <c r="H27" i="63" s="1"/>
  <c r="L33" i="5"/>
  <c r="F33" i="65" s="1"/>
  <c r="L27" i="5"/>
  <c r="F27" i="65" s="1"/>
  <c r="L23" i="5"/>
  <c r="AK23" s="1"/>
  <c r="L36"/>
  <c r="AK36" s="1"/>
  <c r="L18"/>
  <c r="H15" i="63" s="1"/>
  <c r="L29" i="5"/>
  <c r="H26" i="63" s="1"/>
  <c r="L19" i="5"/>
  <c r="H16" i="63" s="1"/>
  <c r="F18" i="65"/>
  <c r="L24" i="5"/>
  <c r="H21" i="63" s="1"/>
  <c r="L31" i="5"/>
  <c r="AK31" s="1"/>
  <c r="L35"/>
  <c r="AK35" s="1"/>
  <c r="L34"/>
  <c r="AK34" s="1"/>
  <c r="M36" i="79"/>
  <c r="O36" s="1"/>
  <c r="L22" i="5"/>
  <c r="F22" i="65" s="1"/>
  <c r="L28" i="5"/>
  <c r="H25" i="63" s="1"/>
  <c r="L21" i="5"/>
  <c r="H18" i="63" s="1"/>
  <c r="L25" i="5"/>
  <c r="H22" i="63" s="1"/>
  <c r="L32" i="5"/>
  <c r="H29" i="63" s="1"/>
  <c r="H17"/>
  <c r="AK20" i="5"/>
  <c r="F20" i="65"/>
  <c r="F34"/>
  <c r="H14" i="63"/>
  <c r="L26" i="5"/>
  <c r="AK17"/>
  <c r="F19" i="65" l="1"/>
  <c r="AK19" i="5"/>
  <c r="AK30"/>
  <c r="F30" i="65"/>
  <c r="AK27" i="5"/>
  <c r="H31" i="63"/>
  <c r="F23" i="65"/>
  <c r="H30" i="63"/>
  <c r="AK33" i="5"/>
  <c r="AK29"/>
  <c r="AK32"/>
  <c r="F31" i="65"/>
  <c r="F29"/>
  <c r="F32"/>
  <c r="H28" i="63"/>
  <c r="H20"/>
  <c r="F21" i="65"/>
  <c r="AK25" i="5"/>
  <c r="F25" i="65"/>
  <c r="AK18" i="5"/>
  <c r="H24" i="63"/>
  <c r="AK22" i="5"/>
  <c r="H19" i="63"/>
  <c r="AK21" i="5"/>
  <c r="AK28"/>
  <c r="AK24"/>
  <c r="F28" i="65"/>
  <c r="F24"/>
  <c r="AK26" i="5"/>
  <c r="F26" i="65"/>
  <c r="H23" i="63"/>
  <c r="I11" i="79"/>
  <c r="I12"/>
  <c r="M11"/>
  <c r="O11" s="1"/>
  <c r="K11" i="5"/>
  <c r="L12" s="1"/>
  <c r="AK12" l="1"/>
  <c r="F12" i="65"/>
  <c r="H9" i="63"/>
  <c r="L11" i="5"/>
  <c r="H8" i="63"/>
  <c r="F11" i="65" l="1"/>
  <c r="L37" i="5"/>
  <c r="AK37" s="1"/>
  <c r="AK11"/>
  <c r="F17" i="77"/>
  <c r="AV5" i="7" l="1"/>
  <c r="AV6" s="1"/>
  <c r="AV7" l="1"/>
  <c r="H2" i="81"/>
  <c r="AV8" i="7" l="1"/>
  <c r="H3" i="81"/>
  <c r="AV9" i="7" l="1"/>
  <c r="H4" i="81"/>
  <c r="AV10" i="7" l="1"/>
  <c r="H5" i="81"/>
  <c r="AV11" i="7" l="1"/>
  <c r="H7" i="81" s="1"/>
  <c r="H6"/>
  <c r="Y12" i="76"/>
  <c r="M5" i="5" l="1"/>
  <c r="M6" s="1"/>
  <c r="O5"/>
  <c r="O6" s="1"/>
  <c r="AC12" i="76"/>
  <c r="AB12"/>
  <c r="V10"/>
  <c r="V11"/>
  <c r="V9"/>
  <c r="M7" i="5" l="1"/>
  <c r="N6"/>
  <c r="O7"/>
  <c r="P6"/>
  <c r="M8" l="1"/>
  <c r="N7"/>
  <c r="O8"/>
  <c r="P7"/>
  <c r="Q7" s="1"/>
  <c r="M3" i="81" s="1"/>
  <c r="Q6" i="5"/>
  <c r="M2" i="81" s="1"/>
  <c r="M9" i="5" l="1"/>
  <c r="N8"/>
  <c r="O9"/>
  <c r="P8"/>
  <c r="Q8" s="1"/>
  <c r="M4" i="81" s="1"/>
  <c r="AC11" i="76"/>
  <c r="AC28" s="1"/>
  <c r="AC10"/>
  <c r="AC27" s="1"/>
  <c r="AC9"/>
  <c r="AC26" s="1"/>
  <c r="AC30" s="1"/>
  <c r="M10" i="5" l="1"/>
  <c r="N9"/>
  <c r="O10"/>
  <c r="P9"/>
  <c r="W37" i="76"/>
  <c r="W39" s="1"/>
  <c r="W41" s="1"/>
  <c r="AC31"/>
  <c r="M11" i="5" l="1"/>
  <c r="N10"/>
  <c r="P10"/>
  <c r="O11"/>
  <c r="Q9"/>
  <c r="M5" i="81" s="1"/>
  <c r="O14" i="76"/>
  <c r="P14" s="1"/>
  <c r="R14" s="1"/>
  <c r="T14" s="1"/>
  <c r="F12" i="81" s="1"/>
  <c r="O9" i="76"/>
  <c r="P9" s="1"/>
  <c r="R9" s="1"/>
  <c r="T9" s="1"/>
  <c r="F7" i="81" s="1"/>
  <c r="O31" i="76"/>
  <c r="P31" s="1"/>
  <c r="R31" s="1"/>
  <c r="T31" s="1"/>
  <c r="F29" i="81" s="1"/>
  <c r="O13" i="76"/>
  <c r="P13" s="1"/>
  <c r="R13" s="1"/>
  <c r="T13" s="1"/>
  <c r="F11" i="81" s="1"/>
  <c r="O18" i="76"/>
  <c r="P18" s="1"/>
  <c r="R18" s="1"/>
  <c r="T18" s="1"/>
  <c r="F16" i="81" s="1"/>
  <c r="O25" i="76"/>
  <c r="P25" s="1"/>
  <c r="R25" s="1"/>
  <c r="T25" s="1"/>
  <c r="F23" i="81" s="1"/>
  <c r="O28" i="76"/>
  <c r="P28" s="1"/>
  <c r="R28" s="1"/>
  <c r="T28" s="1"/>
  <c r="F26" i="81" s="1"/>
  <c r="O29" i="76"/>
  <c r="P29" s="1"/>
  <c r="R29" s="1"/>
  <c r="T29" s="1"/>
  <c r="F27" i="81" s="1"/>
  <c r="O26" i="76"/>
  <c r="P26" s="1"/>
  <c r="R26" s="1"/>
  <c r="T26" s="1"/>
  <c r="F24" i="81" s="1"/>
  <c r="O16" i="76"/>
  <c r="P16" s="1"/>
  <c r="R16" s="1"/>
  <c r="T16" s="1"/>
  <c r="F14" i="81" s="1"/>
  <c r="O22" i="76"/>
  <c r="P22" s="1"/>
  <c r="R22" s="1"/>
  <c r="T22" s="1"/>
  <c r="F20" i="81" s="1"/>
  <c r="O8" i="76"/>
  <c r="P8" s="1"/>
  <c r="R8" s="1"/>
  <c r="T8" s="1"/>
  <c r="F6" i="81" s="1"/>
  <c r="O32" i="76"/>
  <c r="P32" s="1"/>
  <c r="R32" s="1"/>
  <c r="T32" s="1"/>
  <c r="F30" i="81" s="1"/>
  <c r="O10" i="76"/>
  <c r="P10" s="1"/>
  <c r="R10" s="1"/>
  <c r="T10" s="1"/>
  <c r="F8" i="81" s="1"/>
  <c r="O7" i="76"/>
  <c r="P7" s="1"/>
  <c r="R7" s="1"/>
  <c r="T7" s="1"/>
  <c r="F5" i="81" s="1"/>
  <c r="O17" i="76"/>
  <c r="P17" s="1"/>
  <c r="R17" s="1"/>
  <c r="T17" s="1"/>
  <c r="F15" i="81" s="1"/>
  <c r="O19" i="76"/>
  <c r="P19" s="1"/>
  <c r="R19" s="1"/>
  <c r="T19" s="1"/>
  <c r="F17" i="81" s="1"/>
  <c r="O11" i="76"/>
  <c r="P11" s="1"/>
  <c r="R11" s="1"/>
  <c r="T11" s="1"/>
  <c r="F9" i="81" s="1"/>
  <c r="O21" i="76"/>
  <c r="P21" s="1"/>
  <c r="R21" s="1"/>
  <c r="T21" s="1"/>
  <c r="F19" i="81" s="1"/>
  <c r="O15" i="76"/>
  <c r="P15" s="1"/>
  <c r="R15" s="1"/>
  <c r="T15" s="1"/>
  <c r="F13" i="81" s="1"/>
  <c r="O4" i="76"/>
  <c r="O6"/>
  <c r="P6" s="1"/>
  <c r="R6" s="1"/>
  <c r="T6" s="1"/>
  <c r="F4" i="81" s="1"/>
  <c r="O20" i="76"/>
  <c r="P20" s="1"/>
  <c r="R20" s="1"/>
  <c r="T20" s="1"/>
  <c r="F18" i="81" s="1"/>
  <c r="O27" i="76"/>
  <c r="P27" s="1"/>
  <c r="R27" s="1"/>
  <c r="T27" s="1"/>
  <c r="F25" i="81" s="1"/>
  <c r="O12" i="76"/>
  <c r="P12" s="1"/>
  <c r="R12" s="1"/>
  <c r="T12" s="1"/>
  <c r="F10" i="81" s="1"/>
  <c r="O24" i="76"/>
  <c r="P24" s="1"/>
  <c r="R24" s="1"/>
  <c r="T24" s="1"/>
  <c r="F22" i="81" s="1"/>
  <c r="O5" i="76"/>
  <c r="P5" s="1"/>
  <c r="R5" s="1"/>
  <c r="T5" s="1"/>
  <c r="F3" i="81" s="1"/>
  <c r="O23" i="76"/>
  <c r="P23" s="1"/>
  <c r="R23" s="1"/>
  <c r="T23" s="1"/>
  <c r="F21" i="81" s="1"/>
  <c r="AB31" i="76"/>
  <c r="O30"/>
  <c r="P30" s="1"/>
  <c r="R30" s="1"/>
  <c r="T30" s="1"/>
  <c r="F28" i="81" s="1"/>
  <c r="M12" i="5" l="1"/>
  <c r="N11"/>
  <c r="AB33" i="76"/>
  <c r="AB34" s="1"/>
  <c r="AB35"/>
  <c r="AB37" s="1"/>
  <c r="Z38" s="1"/>
  <c r="Z40" s="1"/>
  <c r="Z42" s="1"/>
  <c r="AA39"/>
  <c r="D10" i="77"/>
  <c r="E10" s="1"/>
  <c r="P4" i="76"/>
  <c r="O33"/>
  <c r="O34" s="1"/>
  <c r="Q10" i="5"/>
  <c r="M6" i="81" s="1"/>
  <c r="O12" i="5"/>
  <c r="P11"/>
  <c r="N12" l="1"/>
  <c r="M13"/>
  <c r="O13"/>
  <c r="P12"/>
  <c r="Q12" s="1"/>
  <c r="M8" i="81" s="1"/>
  <c r="Q11" i="5"/>
  <c r="M7" i="81" s="1"/>
  <c r="AA40" i="76"/>
  <c r="AB39"/>
  <c r="AB40" s="1"/>
  <c r="E12" i="77"/>
  <c r="G10"/>
  <c r="G12" s="1"/>
  <c r="F10"/>
  <c r="F12" s="1"/>
  <c r="R4" i="76"/>
  <c r="P33"/>
  <c r="I14" i="77" l="1"/>
  <c r="H14"/>
  <c r="M14" i="5"/>
  <c r="N13"/>
  <c r="R33" i="76"/>
  <c r="T4"/>
  <c r="F2" i="81" s="1"/>
  <c r="P13" i="5"/>
  <c r="O14"/>
  <c r="M15" l="1"/>
  <c r="N14"/>
  <c r="Q13"/>
  <c r="M9" i="81" s="1"/>
  <c r="O15" i="5"/>
  <c r="P14"/>
  <c r="M16" l="1"/>
  <c r="N15"/>
  <c r="O16"/>
  <c r="P15"/>
  <c r="Q15" s="1"/>
  <c r="M11" i="81" s="1"/>
  <c r="Q14" i="5"/>
  <c r="M10" i="81" s="1"/>
  <c r="M17" i="5" l="1"/>
  <c r="N16"/>
  <c r="O17"/>
  <c r="P16"/>
  <c r="Q16" s="1"/>
  <c r="M12" i="81" s="1"/>
  <c r="M18" i="5" l="1"/>
  <c r="N17"/>
  <c r="O18"/>
  <c r="P17"/>
  <c r="M19" l="1"/>
  <c r="N18"/>
  <c r="O19"/>
  <c r="P18"/>
  <c r="Q18" s="1"/>
  <c r="M14" i="81" s="1"/>
  <c r="Q17" i="5"/>
  <c r="M13" i="81" s="1"/>
  <c r="M20" i="5" l="1"/>
  <c r="N19"/>
  <c r="O20"/>
  <c r="P19"/>
  <c r="M21" l="1"/>
  <c r="N20"/>
  <c r="O21"/>
  <c r="P20"/>
  <c r="Q20" s="1"/>
  <c r="M16" i="81" s="1"/>
  <c r="Q19" i="5"/>
  <c r="M15" i="81" s="1"/>
  <c r="M22" i="5" l="1"/>
  <c r="N21"/>
  <c r="O22"/>
  <c r="P21"/>
  <c r="M23" l="1"/>
  <c r="N22"/>
  <c r="O23"/>
  <c r="P22"/>
  <c r="Q22" s="1"/>
  <c r="M18" i="81" s="1"/>
  <c r="Q21" i="5"/>
  <c r="M17" i="81" s="1"/>
  <c r="M24" i="5" l="1"/>
  <c r="N23"/>
  <c r="O24"/>
  <c r="P23"/>
  <c r="M25" l="1"/>
  <c r="N24"/>
  <c r="O25"/>
  <c r="P24"/>
  <c r="Q23"/>
  <c r="M19" i="81" s="1"/>
  <c r="M26" i="5" l="1"/>
  <c r="N25"/>
  <c r="P25"/>
  <c r="Q25" s="1"/>
  <c r="M21" i="81" s="1"/>
  <c r="O26" i="5"/>
  <c r="Q24"/>
  <c r="M20" i="81" s="1"/>
  <c r="M27" i="5" l="1"/>
  <c r="N26"/>
  <c r="O27"/>
  <c r="P26"/>
  <c r="M28" l="1"/>
  <c r="N27"/>
  <c r="O28"/>
  <c r="P27"/>
  <c r="Q27" s="1"/>
  <c r="M23" i="81" s="1"/>
  <c r="Q26" i="5"/>
  <c r="M22" i="81" s="1"/>
  <c r="M29" i="5" l="1"/>
  <c r="N28"/>
  <c r="O29"/>
  <c r="P28"/>
  <c r="M30" l="1"/>
  <c r="N29"/>
  <c r="O30"/>
  <c r="P29"/>
  <c r="Q29" s="1"/>
  <c r="M25" i="81" s="1"/>
  <c r="Q28" i="5"/>
  <c r="M24" i="81" s="1"/>
  <c r="AA9" i="76"/>
  <c r="M31" i="5" l="1"/>
  <c r="N30"/>
  <c r="O31"/>
  <c r="P30"/>
  <c r="Q30" s="1"/>
  <c r="M26" i="81" s="1"/>
  <c r="AB9" i="76"/>
  <c r="AA10"/>
  <c r="AA11"/>
  <c r="M32" i="5" l="1"/>
  <c r="N31"/>
  <c r="O32"/>
  <c r="P31"/>
  <c r="Q31" s="1"/>
  <c r="M27" i="81" s="1"/>
  <c r="AB10" i="76"/>
  <c r="AB11"/>
  <c r="AA12"/>
  <c r="M33" i="5" l="1"/>
  <c r="N32"/>
  <c r="O33"/>
  <c r="P32"/>
  <c r="Q32" s="1"/>
  <c r="M28" i="81" s="1"/>
  <c r="AC13" i="76"/>
  <c r="AB13"/>
  <c r="W14"/>
  <c r="M34" i="5" l="1"/>
  <c r="N33"/>
  <c r="O34"/>
  <c r="P33"/>
  <c r="Q33" s="1"/>
  <c r="M29" i="81" s="1"/>
  <c r="X14" i="76"/>
  <c r="AC14"/>
  <c r="AD11"/>
  <c r="AD9"/>
  <c r="AD10"/>
  <c r="M35" i="5" l="1"/>
  <c r="N34"/>
  <c r="P34"/>
  <c r="O35"/>
  <c r="Y14" i="76"/>
  <c r="O3"/>
  <c r="AB14"/>
  <c r="M36" i="5" l="1"/>
  <c r="N36" s="1"/>
  <c r="N35"/>
  <c r="Q34"/>
  <c r="M30" i="81" s="1"/>
  <c r="O36" i="5"/>
  <c r="P36" s="1"/>
  <c r="P35"/>
  <c r="P3" i="76"/>
  <c r="AB18"/>
  <c r="Q36" i="5" l="1"/>
  <c r="Q35"/>
  <c r="AB19" i="76"/>
  <c r="X2" i="3" l="1"/>
  <c r="X3" s="1"/>
  <c r="X4" l="1"/>
  <c r="Y3"/>
  <c r="Y2"/>
  <c r="AX4" i="1"/>
  <c r="AS5" i="5"/>
  <c r="AS6" s="1"/>
  <c r="N5"/>
  <c r="P5"/>
  <c r="AS7" l="1"/>
  <c r="AY6"/>
  <c r="BB6" s="1"/>
  <c r="BE6" s="1"/>
  <c r="X5" i="3"/>
  <c r="Y4"/>
  <c r="AY5" i="5"/>
  <c r="Q5"/>
  <c r="Q37" s="1"/>
  <c r="O38" s="1"/>
  <c r="I2" i="63" l="1"/>
  <c r="BF6" i="5"/>
  <c r="BG6" s="1"/>
  <c r="G6" i="65" s="1"/>
  <c r="Y5" i="3"/>
  <c r="X6"/>
  <c r="AS8" i="5"/>
  <c r="AY7"/>
  <c r="BB7" s="1"/>
  <c r="BE7" s="1"/>
  <c r="BB5"/>
  <c r="Y6" i="3" l="1"/>
  <c r="X7"/>
  <c r="AS9" i="5"/>
  <c r="AY8"/>
  <c r="BB8" s="1"/>
  <c r="BE8" s="1"/>
  <c r="I3" i="63"/>
  <c r="BF7" i="5"/>
  <c r="BG7" s="1"/>
  <c r="G7" i="65" s="1"/>
  <c r="BE5" i="5"/>
  <c r="BF8" l="1"/>
  <c r="BG8" s="1"/>
  <c r="G8" i="65" s="1"/>
  <c r="I4" i="63"/>
  <c r="Y7" i="3"/>
  <c r="X8"/>
  <c r="AS10" i="5"/>
  <c r="AY9"/>
  <c r="BB9" s="1"/>
  <c r="BE9" s="1"/>
  <c r="BF5"/>
  <c r="AS11" l="1"/>
  <c r="AY10"/>
  <c r="BB10" s="1"/>
  <c r="BE10" s="1"/>
  <c r="Y8" i="3"/>
  <c r="X9"/>
  <c r="I5" i="63"/>
  <c r="BF9" i="5"/>
  <c r="BG9" s="1"/>
  <c r="G9" i="65" s="1"/>
  <c r="BG5" i="5"/>
  <c r="G5" i="65" s="1"/>
  <c r="AY11" i="5" l="1"/>
  <c r="BB11" s="1"/>
  <c r="BE11" s="1"/>
  <c r="AS12"/>
  <c r="BF10"/>
  <c r="BG10" s="1"/>
  <c r="G10" i="65" s="1"/>
  <c r="I6" i="63"/>
  <c r="X10" i="3"/>
  <c r="Y9"/>
  <c r="R3" i="76"/>
  <c r="I7" i="63" l="1"/>
  <c r="BF11" i="5"/>
  <c r="BG11" s="1"/>
  <c r="G11" i="65" s="1"/>
  <c r="AY12" i="5"/>
  <c r="BB12" s="1"/>
  <c r="BE12" s="1"/>
  <c r="AS13"/>
  <c r="X11" i="3"/>
  <c r="Y10"/>
  <c r="T3" i="76"/>
  <c r="AS14" i="5" l="1"/>
  <c r="AY13"/>
  <c r="BB13" s="1"/>
  <c r="BE13" s="1"/>
  <c r="BF12"/>
  <c r="BG12" s="1"/>
  <c r="G12" i="65" s="1"/>
  <c r="I8" i="63"/>
  <c r="X12" i="3"/>
  <c r="Y11"/>
  <c r="AS15" i="5" l="1"/>
  <c r="AY14"/>
  <c r="BB14" s="1"/>
  <c r="BE14" s="1"/>
  <c r="I9" i="63"/>
  <c r="BF13" i="5"/>
  <c r="BG13" s="1"/>
  <c r="G13" i="65" s="1"/>
  <c r="X13" i="3"/>
  <c r="Y12"/>
  <c r="I10" i="63" l="1"/>
  <c r="BF14" i="5"/>
  <c r="BG14" s="1"/>
  <c r="G14" i="65" s="1"/>
  <c r="X14" i="3"/>
  <c r="Y13"/>
  <c r="AS16" i="5"/>
  <c r="AY15"/>
  <c r="BB15" s="1"/>
  <c r="BE15" s="1"/>
  <c r="Y14" i="3" l="1"/>
  <c r="X15"/>
  <c r="AS17" i="5"/>
  <c r="AY16"/>
  <c r="BB16" s="1"/>
  <c r="BE16" s="1"/>
  <c r="BF15"/>
  <c r="BG15" s="1"/>
  <c r="G15" i="65" s="1"/>
  <c r="I11" i="63"/>
  <c r="AY17" i="5" l="1"/>
  <c r="BB17" s="1"/>
  <c r="BE17" s="1"/>
  <c r="AS18"/>
  <c r="Y15" i="3"/>
  <c r="X16"/>
  <c r="BF16" i="5"/>
  <c r="BG16" s="1"/>
  <c r="G16" i="65" s="1"/>
  <c r="I12" i="63"/>
  <c r="BF17" i="5" l="1"/>
  <c r="BG17" s="1"/>
  <c r="G17" i="65" s="1"/>
  <c r="I13" i="63"/>
  <c r="AY18" i="5"/>
  <c r="BB18" s="1"/>
  <c r="BE18" s="1"/>
  <c r="AS19"/>
  <c r="Y16" i="3"/>
  <c r="X17"/>
  <c r="I14" i="63" l="1"/>
  <c r="BF18" i="5"/>
  <c r="BG18" s="1"/>
  <c r="G18" i="65" s="1"/>
  <c r="AY19" i="5"/>
  <c r="BB19" s="1"/>
  <c r="BE19" s="1"/>
  <c r="AS20"/>
  <c r="X18" i="3"/>
  <c r="Y17"/>
  <c r="I15" i="63" l="1"/>
  <c r="BF19" i="5"/>
  <c r="BG19" s="1"/>
  <c r="G19" i="65" s="1"/>
  <c r="AY20" i="5"/>
  <c r="BB20" s="1"/>
  <c r="BE20" s="1"/>
  <c r="AS21"/>
  <c r="Y18" i="3"/>
  <c r="X19"/>
  <c r="AY21" i="5" l="1"/>
  <c r="BB21" s="1"/>
  <c r="BE21" s="1"/>
  <c r="AS22"/>
  <c r="BF20"/>
  <c r="BG20" s="1"/>
  <c r="G20" i="65" s="1"/>
  <c r="I16" i="63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Y22" i="3"/>
  <c r="X23"/>
  <c r="BF22" i="5"/>
  <c r="BG22" s="1"/>
  <c r="G22" i="65" s="1"/>
  <c r="I18" i="63"/>
  <c r="BF23" i="5" l="1"/>
  <c r="BG23" s="1"/>
  <c r="G23" i="65" s="1"/>
  <c r="I19" i="63"/>
  <c r="AS25" i="5"/>
  <c r="AY24"/>
  <c r="BB24" s="1"/>
  <c r="BE24" s="1"/>
  <c r="Y23" i="3"/>
  <c r="X24"/>
  <c r="BF24" i="5" l="1"/>
  <c r="BG24" s="1"/>
  <c r="G24" i="65" s="1"/>
  <c r="I20" i="63"/>
  <c r="AS26" i="5"/>
  <c r="AY25"/>
  <c r="BB25" s="1"/>
  <c r="BE25" s="1"/>
  <c r="Y24" i="3"/>
  <c r="X25"/>
  <c r="AY26" i="5" l="1"/>
  <c r="BB26" s="1"/>
  <c r="BE26" s="1"/>
  <c r="AS27"/>
  <c r="BF25"/>
  <c r="BG25" s="1"/>
  <c r="G25" i="65" s="1"/>
  <c r="I21" i="63"/>
  <c r="Y25" i="3"/>
  <c r="X26"/>
  <c r="BF26" i="5" l="1"/>
  <c r="BG26" s="1"/>
  <c r="G26" i="65" s="1"/>
  <c r="I22" i="63"/>
  <c r="AY27" i="5"/>
  <c r="BB27" s="1"/>
  <c r="BE27" s="1"/>
  <c r="AS28"/>
  <c r="Y26" i="3"/>
  <c r="X27"/>
  <c r="BF27" i="5" l="1"/>
  <c r="BG27" s="1"/>
  <c r="G27" i="65" s="1"/>
  <c r="I23" i="63"/>
  <c r="AY28" i="5"/>
  <c r="BB28" s="1"/>
  <c r="BE28" s="1"/>
  <c r="AS29"/>
  <c r="X28" i="3"/>
  <c r="Y27"/>
  <c r="AS30" i="5" l="1"/>
  <c r="AY29"/>
  <c r="BB29" s="1"/>
  <c r="BE29" s="1"/>
  <c r="BF28"/>
  <c r="BG28" s="1"/>
  <c r="G28" i="65" s="1"/>
  <c r="I24" i="63"/>
  <c r="Y28" i="3"/>
  <c r="X29"/>
  <c r="I25" i="63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BF30"/>
  <c r="BG30" s="1"/>
  <c r="G30" i="65" s="1"/>
  <c r="I26" i="63"/>
  <c r="X31" i="3"/>
  <c r="Y30"/>
  <c r="AY32" i="5" l="1"/>
  <c r="BB32" s="1"/>
  <c r="BE32" s="1"/>
  <c r="AS33"/>
  <c r="I27" i="63"/>
  <c r="BF31" i="5"/>
  <c r="BG31" s="1"/>
  <c r="G31" i="65" s="1"/>
  <c r="X32" i="3"/>
  <c r="Y31"/>
  <c r="X33" l="1"/>
  <c r="Y33" s="1"/>
  <c r="Y32"/>
  <c r="BF32" i="5"/>
  <c r="BG32" s="1"/>
  <c r="G32" i="65" s="1"/>
  <c r="I28" i="63"/>
  <c r="AS34" i="5"/>
  <c r="AY33"/>
  <c r="BB33" s="1"/>
  <c r="BE33" s="1"/>
  <c r="AY34" l="1"/>
  <c r="BB34" s="1"/>
  <c r="BE34" s="1"/>
  <c r="AS35"/>
  <c r="I29" i="63"/>
  <c r="BF33" i="5"/>
  <c r="BG33" s="1"/>
  <c r="G33" i="65" s="1"/>
  <c r="AS36" i="5" l="1"/>
  <c r="AY36" s="1"/>
  <c r="BB36" s="1"/>
  <c r="BE36" s="1"/>
  <c r="BF36" s="1"/>
  <c r="BG36" s="1"/>
  <c r="AY35"/>
  <c r="BB35" s="1"/>
  <c r="BE35" s="1"/>
  <c r="I30" i="63"/>
  <c r="BF34" i="5"/>
  <c r="BG34" s="1"/>
  <c r="G34" i="65" s="1"/>
  <c r="BF35" i="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B21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B22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<sst xmlns="http://schemas.openxmlformats.org/spreadsheetml/2006/main" count="652" uniqueCount="415">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</sst>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4723456"/>
        <c:axId val="154724992"/>
      </c:lineChart>
      <c:catAx>
        <c:axId val="15472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24992"/>
        <c:crosses val="autoZero"/>
        <c:auto val="1"/>
        <c:lblAlgn val="ctr"/>
        <c:lblOffset val="100"/>
      </c:catAx>
      <c:valAx>
        <c:axId val="154724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2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779"/>
          <c:w val="0.11899800868449698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648960"/>
        <c:axId val="154650496"/>
      </c:lineChart>
      <c:catAx>
        <c:axId val="15464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0496"/>
        <c:crosses val="autoZero"/>
        <c:auto val="1"/>
        <c:lblAlgn val="ctr"/>
        <c:lblOffset val="100"/>
      </c:catAx>
      <c:valAx>
        <c:axId val="15465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4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98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4658304"/>
        <c:axId val="154659840"/>
      </c:lineChart>
      <c:catAx>
        <c:axId val="15465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9840"/>
        <c:crosses val="autoZero"/>
        <c:auto val="1"/>
        <c:lblAlgn val="ctr"/>
        <c:lblOffset val="100"/>
      </c:catAx>
      <c:valAx>
        <c:axId val="154659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64"/>
          <c:y val="0.62975887529632779"/>
          <c:w val="7.9124755870162669E-2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4700416"/>
        <c:axId val="154702208"/>
      </c:lineChart>
      <c:catAx>
        <c:axId val="1547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02208"/>
        <c:crosses val="autoZero"/>
        <c:auto val="1"/>
        <c:lblAlgn val="ctr"/>
        <c:lblOffset val="100"/>
      </c:catAx>
      <c:valAx>
        <c:axId val="154702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0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76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6786688"/>
        <c:axId val="156788224"/>
      </c:lineChart>
      <c:catAx>
        <c:axId val="15678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8224"/>
        <c:crosses val="autoZero"/>
        <c:auto val="1"/>
        <c:lblAlgn val="ctr"/>
        <c:lblOffset val="100"/>
      </c:catAx>
      <c:valAx>
        <c:axId val="156788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28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9495680"/>
        <c:axId val="159497216"/>
      </c:lineChart>
      <c:catAx>
        <c:axId val="1594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7216"/>
        <c:crosses val="autoZero"/>
        <c:auto val="1"/>
        <c:lblAlgn val="ctr"/>
        <c:lblOffset val="100"/>
      </c:catAx>
      <c:valAx>
        <c:axId val="15949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9509120"/>
        <c:axId val="159584640"/>
      </c:lineChart>
      <c:catAx>
        <c:axId val="1595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4640"/>
        <c:crosses val="autoZero"/>
        <c:auto val="1"/>
        <c:lblAlgn val="ctr"/>
        <c:lblOffset val="100"/>
      </c:catAx>
      <c:valAx>
        <c:axId val="15958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9600640"/>
        <c:axId val="159602176"/>
      </c:lineChart>
      <c:catAx>
        <c:axId val="1596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02176"/>
        <c:crosses val="autoZero"/>
        <c:auto val="1"/>
        <c:lblAlgn val="ctr"/>
        <c:lblOffset val="100"/>
      </c:catAx>
      <c:valAx>
        <c:axId val="15960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9630464"/>
        <c:axId val="159632000"/>
      </c:lineChart>
      <c:catAx>
        <c:axId val="1596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2000"/>
        <c:crosses val="autoZero"/>
        <c:auto val="1"/>
        <c:lblAlgn val="ctr"/>
        <c:lblOffset val="100"/>
      </c:catAx>
      <c:valAx>
        <c:axId val="159632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279"/>
          <c:w val="0.127240331517712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1548544"/>
        <c:axId val="161558528"/>
      </c:lineChart>
      <c:catAx>
        <c:axId val="16154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8528"/>
        <c:crosses val="autoZero"/>
        <c:auto val="1"/>
        <c:lblAlgn val="ctr"/>
        <c:lblOffset val="100"/>
      </c:catAx>
      <c:valAx>
        <c:axId val="16155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483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906.90000000000873</c:v>
                </c:pt>
                <c:pt idx="8">
                  <c:v>669.79999999998836</c:v>
                </c:pt>
                <c:pt idx="9">
                  <c:v>828</c:v>
                </c:pt>
                <c:pt idx="10">
                  <c:v>1098.5999999999767</c:v>
                </c:pt>
                <c:pt idx="11">
                  <c:v>1468.1000000000349</c:v>
                </c:pt>
                <c:pt idx="12">
                  <c:v>880</c:v>
                </c:pt>
                <c:pt idx="13">
                  <c:v>735</c:v>
                </c:pt>
                <c:pt idx="14">
                  <c:v>1187.1000000000058</c:v>
                </c:pt>
                <c:pt idx="15">
                  <c:v>746</c:v>
                </c:pt>
                <c:pt idx="16">
                  <c:v>644</c:v>
                </c:pt>
                <c:pt idx="17">
                  <c:v>630</c:v>
                </c:pt>
                <c:pt idx="18">
                  <c:v>1122</c:v>
                </c:pt>
                <c:pt idx="19">
                  <c:v>499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1684864"/>
        <c:axId val="161707136"/>
      </c:lineChart>
      <c:catAx>
        <c:axId val="16168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7136"/>
        <c:crosses val="autoZero"/>
        <c:auto val="1"/>
        <c:lblAlgn val="ctr"/>
        <c:lblOffset val="100"/>
      </c:catAx>
      <c:valAx>
        <c:axId val="1617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8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279"/>
          <c:w val="0.13541688538933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90.1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120</c:v>
                </c:pt>
                <c:pt idx="7">
                  <c:v>90</c:v>
                </c:pt>
                <c:pt idx="8">
                  <c:v>270</c:v>
                </c:pt>
                <c:pt idx="9">
                  <c:v>270</c:v>
                </c:pt>
                <c:pt idx="10">
                  <c:v>90</c:v>
                </c:pt>
                <c:pt idx="11">
                  <c:v>120</c:v>
                </c:pt>
                <c:pt idx="12">
                  <c:v>380</c:v>
                </c:pt>
                <c:pt idx="13">
                  <c:v>120</c:v>
                </c:pt>
                <c:pt idx="14">
                  <c:v>120</c:v>
                </c:pt>
                <c:pt idx="15">
                  <c:v>180</c:v>
                </c:pt>
                <c:pt idx="16">
                  <c:v>270</c:v>
                </c:pt>
                <c:pt idx="17">
                  <c:v>150</c:v>
                </c:pt>
                <c:pt idx="18">
                  <c:v>180</c:v>
                </c:pt>
                <c:pt idx="19">
                  <c:v>1400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1735424"/>
        <c:axId val="161736960"/>
      </c:lineChart>
      <c:catAx>
        <c:axId val="16173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36960"/>
        <c:crosses val="autoZero"/>
        <c:auto val="1"/>
        <c:lblAlgn val="ctr"/>
        <c:lblOffset val="100"/>
      </c:catAx>
      <c:valAx>
        <c:axId val="161736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3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27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281728"/>
        <c:axId val="162283520"/>
      </c:lineChart>
      <c:catAx>
        <c:axId val="16228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83520"/>
        <c:crosses val="autoZero"/>
        <c:auto val="1"/>
        <c:lblAlgn val="ctr"/>
        <c:lblOffset val="100"/>
      </c:catAx>
      <c:valAx>
        <c:axId val="162283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8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779"/>
          <c:w val="0.12291688538932598"/>
          <c:h val="4.49826989619416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2291072"/>
        <c:axId val="162309248"/>
      </c:lineChart>
      <c:catAx>
        <c:axId val="16229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9248"/>
        <c:crosses val="autoZero"/>
        <c:auto val="1"/>
        <c:lblAlgn val="ctr"/>
        <c:lblOffset val="100"/>
      </c:catAx>
      <c:valAx>
        <c:axId val="16230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9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279"/>
          <c:w val="0.13541688538933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069312"/>
        <c:axId val="329070848"/>
      </c:lineChart>
      <c:catAx>
        <c:axId val="32906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070848"/>
        <c:crosses val="autoZero"/>
        <c:auto val="1"/>
        <c:lblAlgn val="ctr"/>
        <c:lblOffset val="100"/>
      </c:catAx>
      <c:valAx>
        <c:axId val="329070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06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077"/>
          <c:y val="0.54325368498487869"/>
          <c:w val="0.11458355205599259"/>
          <c:h val="4.49826989619411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-1463.3870967741823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-132.55161290324031</c:v>
                </c:pt>
                <c:pt idx="7">
                  <c:v>-1338.7096774193342</c:v>
                </c:pt>
                <c:pt idx="8">
                  <c:v>-1798.0645161290304</c:v>
                </c:pt>
                <c:pt idx="9">
                  <c:v>-1858.396774193563</c:v>
                </c:pt>
                <c:pt idx="10">
                  <c:v>-1863.7322580644977</c:v>
                </c:pt>
                <c:pt idx="11">
                  <c:v>-2069.7419354838785</c:v>
                </c:pt>
                <c:pt idx="12">
                  <c:v>-1261.7096774193633</c:v>
                </c:pt>
                <c:pt idx="13">
                  <c:v>-1792.7290322580666</c:v>
                </c:pt>
                <c:pt idx="14">
                  <c:v>-2170.4096774193313</c:v>
                </c:pt>
                <c:pt idx="15">
                  <c:v>-1172.3741935483922</c:v>
                </c:pt>
                <c:pt idx="16">
                  <c:v>-1353.7129032258017</c:v>
                </c:pt>
                <c:pt idx="17">
                  <c:v>425.23870967738912</c:v>
                </c:pt>
                <c:pt idx="18">
                  <c:v>-1957.3999999999796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103232"/>
        <c:axId val="329104768"/>
      </c:lineChart>
      <c:catAx>
        <c:axId val="32910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04768"/>
        <c:crosses val="autoZero"/>
        <c:auto val="1"/>
        <c:lblAlgn val="ctr"/>
        <c:lblOffset val="100"/>
      </c:catAx>
      <c:valAx>
        <c:axId val="329104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99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125248"/>
        <c:axId val="329135232"/>
      </c:lineChart>
      <c:catAx>
        <c:axId val="32912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35232"/>
        <c:crosses val="autoZero"/>
        <c:auto val="1"/>
        <c:lblAlgn val="ctr"/>
        <c:lblOffset val="100"/>
      </c:catAx>
      <c:valAx>
        <c:axId val="32913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2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59"/>
          <c:y val="0.62975887529632779"/>
          <c:w val="0.13541688538933808"/>
          <c:h val="4.49826989619416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167616"/>
        <c:axId val="329169152"/>
      </c:lineChart>
      <c:catAx>
        <c:axId val="32916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69152"/>
        <c:crosses val="autoZero"/>
        <c:auto val="1"/>
        <c:lblAlgn val="ctr"/>
        <c:lblOffset val="100"/>
      </c:catAx>
      <c:valAx>
        <c:axId val="329169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6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779"/>
          <c:w val="9.730870597697025E-2"/>
          <c:h val="4.49826989619416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74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193344"/>
        <c:axId val="329194880"/>
      </c:lineChart>
      <c:catAx>
        <c:axId val="3291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94880"/>
        <c:crosses val="autoZero"/>
        <c:auto val="1"/>
        <c:lblAlgn val="ctr"/>
        <c:lblOffset val="100"/>
      </c:catAx>
      <c:valAx>
        <c:axId val="329194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1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67"/>
          <c:h val="4.49826989619416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223168"/>
        <c:axId val="329224960"/>
      </c:lineChart>
      <c:catAx>
        <c:axId val="32922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224960"/>
        <c:crosses val="autoZero"/>
        <c:auto val="1"/>
        <c:lblAlgn val="ctr"/>
        <c:lblOffset val="100"/>
      </c:catAx>
      <c:valAx>
        <c:axId val="32922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22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436"/>
          <c:y val="0.62975887529632779"/>
          <c:w val="0.13250539334757044"/>
          <c:h val="4.49826989619416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326976"/>
        <c:axId val="329328512"/>
      </c:lineChart>
      <c:catAx>
        <c:axId val="32932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328512"/>
        <c:crosses val="autoZero"/>
        <c:auto val="1"/>
        <c:lblAlgn val="ctr"/>
        <c:lblOffset val="100"/>
      </c:catAx>
      <c:valAx>
        <c:axId val="32932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32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27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29348608"/>
        <c:axId val="329350144"/>
      </c:lineChart>
      <c:catAx>
        <c:axId val="32934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350144"/>
        <c:crosses val="autoZero"/>
        <c:auto val="1"/>
        <c:lblAlgn val="ctr"/>
        <c:lblOffset val="100"/>
      </c:catAx>
      <c:valAx>
        <c:axId val="32935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3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762"/>
          <c:w val="0.1234311819809203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329375104"/>
        <c:axId val="329979008"/>
      </c:lineChart>
      <c:catAx>
        <c:axId val="3293751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979008"/>
        <c:crosses val="autoZero"/>
        <c:auto val="1"/>
        <c:lblAlgn val="ctr"/>
        <c:lblOffset val="100"/>
      </c:catAx>
      <c:valAx>
        <c:axId val="3299790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937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832"/>
          <c:y val="0.45486256926219792"/>
          <c:w val="0.1569039853282040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30019200"/>
        <c:axId val="330020736"/>
      </c:lineChart>
      <c:catAx>
        <c:axId val="3300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0020736"/>
        <c:crosses val="autoZero"/>
        <c:auto val="1"/>
        <c:lblAlgn val="ctr"/>
        <c:lblOffset val="100"/>
      </c:catAx>
      <c:valAx>
        <c:axId val="330020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00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779"/>
          <c:w val="0.14853578449138463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30078080"/>
        <c:axId val="330079616"/>
      </c:lineChart>
      <c:catAx>
        <c:axId val="3300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0079616"/>
        <c:crosses val="autoZero"/>
        <c:auto val="1"/>
        <c:lblAlgn val="ctr"/>
        <c:lblOffset val="100"/>
      </c:catAx>
      <c:valAx>
        <c:axId val="33007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00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415"/>
          <c:y val="0.62975887529632779"/>
          <c:w val="0.12164948453608219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7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30653696"/>
        <c:axId val="330655232"/>
      </c:lineChart>
      <c:catAx>
        <c:axId val="33065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0655232"/>
        <c:crosses val="autoZero"/>
        <c:auto val="1"/>
        <c:lblAlgn val="ctr"/>
        <c:lblOffset val="100"/>
      </c:catAx>
      <c:valAx>
        <c:axId val="330655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065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87634304"/>
        <c:axId val="387635840"/>
      </c:lineChart>
      <c:catAx>
        <c:axId val="38763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7635840"/>
        <c:crosses val="autoZero"/>
        <c:auto val="1"/>
        <c:lblAlgn val="ctr"/>
        <c:lblOffset val="100"/>
      </c:catAx>
      <c:valAx>
        <c:axId val="38763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763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4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388722048"/>
        <c:axId val="388723840"/>
      </c:lineChart>
      <c:catAx>
        <c:axId val="3887220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8723840"/>
        <c:crosses val="autoZero"/>
        <c:auto val="1"/>
        <c:lblAlgn val="ctr"/>
        <c:lblOffset val="100"/>
      </c:catAx>
      <c:valAx>
        <c:axId val="3887238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87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79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2">
          <cell r="C62">
            <v>0.35189999999999999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9">
          <cell r="B49">
            <v>0.10847741935483857</v>
          </cell>
        </row>
        <row r="60">
          <cell r="C60">
            <v>149.33333333333334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9.8677475275184751E-2</v>
      </c>
      <c r="G2" s="207">
        <f>-tanks!AW6</f>
        <v>530</v>
      </c>
      <c r="H2" s="346">
        <f>SUM(tanks!AV6)</f>
        <v>0.58350000000000002</v>
      </c>
      <c r="I2" s="10">
        <f>('B5'!AU5)*0.51</f>
        <v>45.951000000000001</v>
      </c>
      <c r="J2" s="326">
        <f>'B5'!AX5/0.51</f>
        <v>0.19607843137254902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7.8816815639300403E-2</v>
      </c>
      <c r="G3" s="207">
        <f>-tanks!AW7</f>
        <v>606</v>
      </c>
      <c r="H3" s="346">
        <f>SUM(tanks!AV7)</f>
        <v>0.58350000000000002</v>
      </c>
      <c r="I3" s="10">
        <f>('B5'!AU6)*0.51</f>
        <v>107.10000000000001</v>
      </c>
      <c r="J3" s="326">
        <f>'B5'!AX6/0.51</f>
        <v>0.19607843137254902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9.711662640238071E-2</v>
      </c>
      <c r="G4" s="207">
        <f>-tanks!AW8</f>
        <v>655</v>
      </c>
      <c r="H4" s="346">
        <f>SUM(tanks!AV8)</f>
        <v>0.58350000000000002</v>
      </c>
      <c r="I4" s="10">
        <f>('B5'!AU7)*0.51</f>
        <v>45.9</v>
      </c>
      <c r="J4" s="326">
        <f>'B5'!AX7/0.51</f>
        <v>0.19607843137254902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7.8196030107617914E-2</v>
      </c>
      <c r="G5" s="207">
        <f>-tanks!AW9</f>
        <v>1137.6999999999971</v>
      </c>
      <c r="H5" s="346">
        <f>SUM(tanks!AV9)</f>
        <v>0.58350000000000002</v>
      </c>
      <c r="I5" s="10">
        <f>('B5'!AU8)*0.51</f>
        <v>91.8</v>
      </c>
      <c r="J5" s="326">
        <f>'B5'!AX8/0.51</f>
        <v>0.19607843137254902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8.8082537942502134E-2</v>
      </c>
      <c r="G6" s="207">
        <f>-tanks!AW10</f>
        <v>617</v>
      </c>
      <c r="H6" s="346">
        <f>SUM(tanks!AV10)</f>
        <v>0.58350000000000002</v>
      </c>
      <c r="I6" s="10">
        <f>('B5'!AU9)*0.51</f>
        <v>91.8</v>
      </c>
      <c r="J6" s="326">
        <f>'B5'!AX9/0.51</f>
        <v>0.19607843137254902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8.9188491332216235E-2</v>
      </c>
      <c r="G7" s="207">
        <f>-tanks!AW11</f>
        <v>453</v>
      </c>
      <c r="H7" s="346">
        <f>SUM(tanks!AV11)</f>
        <v>0.58350000000000002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12629</v>
      </c>
      <c r="F8" s="346">
        <f>SUM('EDl log'!T10)</f>
        <v>1.0578982904141698E-2</v>
      </c>
      <c r="G8" s="207">
        <f>-tanks!AW12</f>
        <v>906.90000000000873</v>
      </c>
      <c r="H8" s="346">
        <f>SUM(tanks!AV12)</f>
        <v>0.54</v>
      </c>
      <c r="I8" s="10">
        <f>('B5'!AU11)*0.51</f>
        <v>61.2</v>
      </c>
      <c r="J8" s="326">
        <f>'B5'!AX11/0.51</f>
        <v>1.3725490196078429</v>
      </c>
      <c r="K8" s="207">
        <f>WATER!I12</f>
        <v>334</v>
      </c>
      <c r="L8" s="347">
        <f>SUM(WATER!J12)</f>
        <v>0.77431344208135466</v>
      </c>
      <c r="M8" s="347">
        <f>WATER!Q12</f>
        <v>0</v>
      </c>
      <c r="N8" s="539">
        <v>0.6</v>
      </c>
      <c r="O8" s="10">
        <f>ELEC!B9</f>
        <v>45.011000000000003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12830</v>
      </c>
      <c r="F9" s="346">
        <f>SUM('EDl log'!T11)</f>
        <v>8.0245826951144114E-2</v>
      </c>
      <c r="G9" s="207">
        <f>-tanks!AW13</f>
        <v>669.79999999998836</v>
      </c>
      <c r="H9" s="346">
        <f>SUM(tanks!AV13)</f>
        <v>0.54</v>
      </c>
      <c r="I9" s="10">
        <f>('B5'!AU12)*0.51</f>
        <v>45.9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31.970000000000002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10890</v>
      </c>
      <c r="F10" s="346">
        <f>SUM('EDl log'!T12)</f>
        <v>9.2042103381003854E-2</v>
      </c>
      <c r="G10" s="207">
        <f>-tanks!AW14</f>
        <v>828</v>
      </c>
      <c r="H10" s="346">
        <f>SUM(tanks!AV14)</f>
        <v>0.54</v>
      </c>
      <c r="I10" s="10">
        <f>('B5'!AU13)*0.51</f>
        <v>137.69999999999999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35.006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10518</v>
      </c>
      <c r="F11" s="346">
        <f>SUM('EDl log'!T13)</f>
        <v>9.1187173784128953E-2</v>
      </c>
      <c r="G11" s="207">
        <f>-tanks!AW15</f>
        <v>1098.5999999999767</v>
      </c>
      <c r="H11" s="346">
        <f>SUM(tanks!AV15)</f>
        <v>0.54</v>
      </c>
      <c r="I11" s="10">
        <f>('B5'!AU14)*0.51</f>
        <v>137.69999999999999</v>
      </c>
      <c r="J11" s="326">
        <f>'B5'!AX14/0.51</f>
        <v>1.3725490196078429</v>
      </c>
      <c r="K11" s="207">
        <f>WATER!I15</f>
        <v>324</v>
      </c>
      <c r="L11" s="347">
        <f>SUM(WATER!J15)</f>
        <v>0.79821200510855694</v>
      </c>
      <c r="M11" s="347">
        <f>WATER!Q15</f>
        <v>0</v>
      </c>
      <c r="N11" s="539">
        <v>0.6</v>
      </c>
      <c r="O11" s="10">
        <f>ELEC!B12</f>
        <v>37.006999999999998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10923</v>
      </c>
      <c r="F12" s="346">
        <f>SUM('EDl log'!T14)</f>
        <v>7.0614470643882113E-2</v>
      </c>
      <c r="G12" s="207">
        <f>-tanks!AW16</f>
        <v>1468.1000000000349</v>
      </c>
      <c r="H12" s="346">
        <f>SUM(tanks!AV16)</f>
        <v>0.54</v>
      </c>
      <c r="I12" s="10">
        <f>('B5'!AU15)*0.51</f>
        <v>45.9</v>
      </c>
      <c r="J12" s="326">
        <f>'B5'!AX15/0.51</f>
        <v>1.3725490196078429</v>
      </c>
      <c r="K12" s="207">
        <f>WATER!I16</f>
        <v>141</v>
      </c>
      <c r="L12" s="347">
        <f>SUM(WATER!J16)</f>
        <v>1.8341892883345563</v>
      </c>
      <c r="M12" s="347">
        <f>WATER!Q16</f>
        <v>0</v>
      </c>
      <c r="N12" s="539">
        <v>0.6</v>
      </c>
      <c r="O12" s="10">
        <f>ELEC!B13</f>
        <v>33.994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11363.399999999907</v>
      </c>
      <c r="F13" s="346">
        <f>SUM('EDl log'!T15)</f>
        <v>0.10344943691580524</v>
      </c>
      <c r="G13" s="207">
        <f>-tanks!AW17</f>
        <v>880</v>
      </c>
      <c r="H13" s="346">
        <f>SUM(tanks!AV17)</f>
        <v>0.54</v>
      </c>
      <c r="I13" s="10">
        <f>('B5'!AU16)*0.51</f>
        <v>61.2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46.989000000000004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11590.600000000093</v>
      </c>
      <c r="F14" s="346">
        <f>SUM('EDl log'!T16)</f>
        <v>6.9258473033697629E-2</v>
      </c>
      <c r="G14" s="207">
        <f>-tanks!AW18</f>
        <v>735</v>
      </c>
      <c r="H14" s="346">
        <f>SUM(tanks!AV18)</f>
        <v>0.54</v>
      </c>
      <c r="I14" s="10">
        <f>('B5'!AU17)*0.51</f>
        <v>193.8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79.994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13973</v>
      </c>
      <c r="F15" s="346">
        <f>SUM('EDl log'!T17)</f>
        <v>7.2413517856810578E-2</v>
      </c>
      <c r="G15" s="207">
        <f>-tanks!AW19</f>
        <v>1187.1000000000058</v>
      </c>
      <c r="H15" s="346">
        <f>SUM(tanks!AV19)</f>
        <v>0.54</v>
      </c>
      <c r="I15" s="10">
        <f>('B5'!AU18)*0.51</f>
        <v>61.2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87.998000000000005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13170.799999999814</v>
      </c>
      <c r="F16" s="346">
        <f>SUM('EDl log'!T18)</f>
        <v>0.10256474702421821</v>
      </c>
      <c r="G16" s="207">
        <f>-tanks!AW20</f>
        <v>746</v>
      </c>
      <c r="H16" s="346">
        <f>SUM(tanks!AV20)</f>
        <v>0.54</v>
      </c>
      <c r="I16" s="10">
        <f>('B5'!AU19)*0.51</f>
        <v>61.2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56.81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13465.200000000186</v>
      </c>
      <c r="F17" s="346">
        <f>SUM('EDl log'!T19)</f>
        <v>7.4027421356057901E-2</v>
      </c>
      <c r="G17" s="207">
        <f>-tanks!AW21</f>
        <v>644</v>
      </c>
      <c r="H17" s="346">
        <f>SUM(tanks!AV21)</f>
        <v>0.54</v>
      </c>
      <c r="I17" s="10">
        <f>('B5'!AU20)*0.51</f>
        <v>91.8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39.008000000000003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13492</v>
      </c>
      <c r="F18" s="346">
        <f>SUM('EDl log'!T20)</f>
        <v>7.20303229357597E-2</v>
      </c>
      <c r="G18" s="207">
        <f>-tanks!AW22</f>
        <v>630</v>
      </c>
      <c r="H18" s="346">
        <f>SUM(tanks!AV22)</f>
        <v>0.54</v>
      </c>
      <c r="I18" s="10">
        <f>('B5'!AU21)*0.51</f>
        <v>137.69999999999999</v>
      </c>
      <c r="J18" s="326">
        <f>'B5'!AX21/0.51</f>
        <v>1.3725490196078429</v>
      </c>
      <c r="K18" s="207">
        <f>WATER!I22</f>
        <v>239</v>
      </c>
      <c r="L18" s="347">
        <f>SUM(WATER!J22)</f>
        <v>1.3043543500216421</v>
      </c>
      <c r="M18" s="347">
        <f>WATER!Q22</f>
        <v>0</v>
      </c>
      <c r="N18" s="539">
        <v>0.6</v>
      </c>
      <c r="O18" s="10">
        <f>ELEC!B19</f>
        <v>52.991999999999997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11885</v>
      </c>
      <c r="F19" s="346">
        <f>SUM('EDl log'!T21)</f>
        <v>-1.8121038992040893E-2</v>
      </c>
      <c r="G19" s="207">
        <f>-tanks!AW23</f>
        <v>1122</v>
      </c>
      <c r="H19" s="346">
        <f>SUM(tanks!AV23)</f>
        <v>0.51649999999999996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54.004000000000005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12076</v>
      </c>
      <c r="F20" s="346">
        <f>SUM('EDl log'!T22)</f>
        <v>0.10766619869075435</v>
      </c>
      <c r="G20" s="207">
        <f>-tanks!AW24</f>
        <v>499</v>
      </c>
      <c r="H20" s="346">
        <f>SUM(tanks!AV24)</f>
        <v>0.51649999999999996</v>
      </c>
      <c r="I20" s="10">
        <f>('B5'!AU23)*0.51</f>
        <v>91.8</v>
      </c>
      <c r="J20" s="326">
        <f>'B5'!AX23/0.51</f>
        <v>1.3725490196078429</v>
      </c>
      <c r="K20" s="207">
        <f>WATER!I24</f>
        <v>113</v>
      </c>
      <c r="L20" s="347">
        <f>SUM(WATER!J24)</f>
        <v>2.2886786695148005</v>
      </c>
      <c r="M20" s="347">
        <f>WATER!Q24</f>
        <v>0</v>
      </c>
      <c r="N20" s="539">
        <v>0.6</v>
      </c>
      <c r="O20" s="10">
        <f>ELEC!B21</f>
        <v>52.991999999999997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0.51649999999999996</v>
      </c>
      <c r="I21" s="10">
        <f>('B5'!AU24)*0.51</f>
        <v>714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0.51649999999999996</v>
      </c>
      <c r="I22" s="10">
        <f>('B5'!AU25)*0.51</f>
        <v>0</v>
      </c>
      <c r="J22" s="326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9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0.51649999999999996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9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0.51649999999999996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0.51649999999999996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0.51649999999999996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0.51649999999999996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0.51649999999999996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0.51649999999999996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0.51649999999999996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16" sqref="A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4492</v>
      </c>
      <c r="F8" s="207">
        <f>ELEC!K9</f>
        <v>1532</v>
      </c>
      <c r="G8" s="207">
        <f>ELEC!I9</f>
        <v>1972</v>
      </c>
      <c r="H8" s="207">
        <f>ELEC!E9</f>
        <v>2488</v>
      </c>
      <c r="I8" s="207">
        <f>ELEC!G9</f>
        <v>2145</v>
      </c>
      <c r="J8" s="207">
        <f>WATER!Y12</f>
        <v>46</v>
      </c>
      <c r="K8" s="207">
        <f>WATER!AJ12</f>
        <v>67</v>
      </c>
      <c r="L8" s="10">
        <f>ELEC!B9</f>
        <v>45.011000000000003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4476</v>
      </c>
      <c r="F9" s="207">
        <f>ELEC!K10</f>
        <v>1540</v>
      </c>
      <c r="G9" s="207">
        <f>ELEC!I10</f>
        <v>1836</v>
      </c>
      <c r="H9" s="207">
        <f>ELEC!E10</f>
        <v>2884</v>
      </c>
      <c r="I9" s="207">
        <f>ELEC!G10</f>
        <v>2094</v>
      </c>
      <c r="J9" s="207">
        <f>WATER!Y13</f>
        <v>0</v>
      </c>
      <c r="K9" s="207">
        <f>WATER!AJ13</f>
        <v>0</v>
      </c>
      <c r="L9" s="10">
        <f>ELEC!B10</f>
        <v>31.970000000000002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3672</v>
      </c>
      <c r="F10" s="207">
        <f>ELEC!K11</f>
        <v>1226</v>
      </c>
      <c r="G10" s="207">
        <f>ELEC!I11</f>
        <v>1668</v>
      </c>
      <c r="H10" s="207">
        <f>ELEC!E11</f>
        <v>1838</v>
      </c>
      <c r="I10" s="207">
        <f>ELEC!G11</f>
        <v>2486</v>
      </c>
      <c r="J10" s="207">
        <f>WATER!Y14</f>
        <v>121</v>
      </c>
      <c r="K10" s="207">
        <f>WATER!AJ14</f>
        <v>99</v>
      </c>
      <c r="L10" s="10">
        <f>ELEC!B11</f>
        <v>35.006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4204</v>
      </c>
      <c r="F11" s="207">
        <f>ELEC!K12</f>
        <v>1442</v>
      </c>
      <c r="G11" s="207">
        <f>ELEC!I12</f>
        <v>1990</v>
      </c>
      <c r="H11" s="207">
        <f>ELEC!E12</f>
        <v>1626</v>
      </c>
      <c r="I11" s="207">
        <f>ELEC!G12</f>
        <v>1256</v>
      </c>
      <c r="J11" s="207">
        <f>WATER!Y15</f>
        <v>0</v>
      </c>
      <c r="K11" s="207">
        <f>WATER!AJ15</f>
        <v>0</v>
      </c>
      <c r="L11" s="10">
        <f>ELEC!B12</f>
        <v>37.006999999999998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3388</v>
      </c>
      <c r="F12" s="207">
        <f>ELEC!K13</f>
        <v>1748</v>
      </c>
      <c r="G12" s="207">
        <f>ELEC!I13</f>
        <v>2082</v>
      </c>
      <c r="H12" s="207">
        <f>ELEC!E13</f>
        <v>1812</v>
      </c>
      <c r="I12" s="207">
        <f>ELEC!G13</f>
        <v>1893</v>
      </c>
      <c r="J12" s="207">
        <f>WATER!Y16</f>
        <v>3</v>
      </c>
      <c r="K12" s="207">
        <f>WATER!AJ16</f>
        <v>1</v>
      </c>
      <c r="L12" s="10">
        <f>ELEC!B13</f>
        <v>33.994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3704</v>
      </c>
      <c r="F13" s="207">
        <f>ELEC!K14</f>
        <v>1416</v>
      </c>
      <c r="G13" s="207">
        <f>ELEC!I14</f>
        <v>2220</v>
      </c>
      <c r="H13" s="207">
        <f>ELEC!E14</f>
        <v>2052</v>
      </c>
      <c r="I13" s="207">
        <f>ELEC!G14</f>
        <v>1971.3999999999069</v>
      </c>
      <c r="J13" s="207">
        <f>WATER!Y17</f>
        <v>0</v>
      </c>
      <c r="K13" s="207">
        <f>WATER!AJ17</f>
        <v>0</v>
      </c>
      <c r="L13" s="10">
        <f>ELEC!B14</f>
        <v>46.989000000000004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3592</v>
      </c>
      <c r="F14" s="207">
        <f>ELEC!K15</f>
        <v>1374</v>
      </c>
      <c r="G14" s="207">
        <f>ELEC!I15</f>
        <v>2192</v>
      </c>
      <c r="H14" s="207">
        <f>ELEC!E15</f>
        <v>2308</v>
      </c>
      <c r="I14" s="207">
        <f>ELEC!G15</f>
        <v>2124.6000000000931</v>
      </c>
      <c r="J14" s="207">
        <f>WATER!Y18</f>
        <v>0</v>
      </c>
      <c r="K14" s="207">
        <f>WATER!AJ18</f>
        <v>0</v>
      </c>
      <c r="L14" s="10">
        <f>ELEC!B15</f>
        <v>79.994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4056</v>
      </c>
      <c r="F15" s="207">
        <f>ELEC!K16</f>
        <v>1578</v>
      </c>
      <c r="G15" s="207">
        <f>ELEC!I16</f>
        <v>2234</v>
      </c>
      <c r="H15" s="207">
        <f>ELEC!E16</f>
        <v>3860</v>
      </c>
      <c r="I15" s="207">
        <f>ELEC!G16</f>
        <v>2245</v>
      </c>
      <c r="J15" s="207">
        <f>WATER!Y19</f>
        <v>0</v>
      </c>
      <c r="K15" s="207">
        <f>WATER!AJ19</f>
        <v>1</v>
      </c>
      <c r="L15" s="10">
        <f>ELEC!B16</f>
        <v>87.998000000000005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3616</v>
      </c>
      <c r="F16" s="207">
        <f>ELEC!K17</f>
        <v>1516</v>
      </c>
      <c r="G16" s="207">
        <f>ELEC!I17</f>
        <v>2274</v>
      </c>
      <c r="H16" s="207">
        <f>ELEC!E17</f>
        <v>3528</v>
      </c>
      <c r="I16" s="207">
        <f>ELEC!G17</f>
        <v>2236.7999999998137</v>
      </c>
      <c r="J16" s="207">
        <f>WATER!Y20</f>
        <v>0</v>
      </c>
      <c r="K16" s="207">
        <f>WATER!AJ20</f>
        <v>0</v>
      </c>
      <c r="L16" s="10">
        <f>ELEC!B17</f>
        <v>56.81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3744</v>
      </c>
      <c r="F17" s="207">
        <f>ELEC!K18</f>
        <v>1526</v>
      </c>
      <c r="G17" s="207">
        <f>ELEC!I18</f>
        <v>2320</v>
      </c>
      <c r="H17" s="207">
        <f>ELEC!E18</f>
        <v>3588</v>
      </c>
      <c r="I17" s="207">
        <f>ELEC!G18</f>
        <v>2287.2000000001863</v>
      </c>
      <c r="J17" s="207">
        <f>WATER!Y21</f>
        <v>0</v>
      </c>
      <c r="K17" s="207">
        <f>WATER!AJ21</f>
        <v>65</v>
      </c>
      <c r="L17" s="10">
        <f>ELEC!B18</f>
        <v>39.008000000000003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3420</v>
      </c>
      <c r="F18" s="207">
        <f>ELEC!K19</f>
        <v>1524</v>
      </c>
      <c r="G18" s="207">
        <f>ELEC!I19</f>
        <v>2180</v>
      </c>
      <c r="H18" s="207">
        <f>ELEC!E19</f>
        <v>4264</v>
      </c>
      <c r="I18" s="207">
        <f>ELEC!G19</f>
        <v>2104</v>
      </c>
      <c r="J18" s="207">
        <f>WATER!Y22</f>
        <v>0</v>
      </c>
      <c r="K18" s="207">
        <f>WATER!AJ22</f>
        <v>35</v>
      </c>
      <c r="L18" s="10">
        <f>ELEC!B19</f>
        <v>52.991999999999997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3136</v>
      </c>
      <c r="F19" s="207">
        <f>ELEC!K20</f>
        <v>1412</v>
      </c>
      <c r="G19" s="207">
        <f>ELEC!I20</f>
        <v>1968</v>
      </c>
      <c r="H19" s="207">
        <f>ELEC!E20</f>
        <v>3422</v>
      </c>
      <c r="I19" s="207">
        <f>ELEC!G20</f>
        <v>1947</v>
      </c>
      <c r="J19" s="207">
        <f>WATER!Y23</f>
        <v>0</v>
      </c>
      <c r="K19" s="207">
        <f>WATER!AJ23</f>
        <v>34</v>
      </c>
      <c r="L19" s="10">
        <f>ELEC!B20</f>
        <v>54.004000000000005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3368</v>
      </c>
      <c r="F20" s="207">
        <f>ELEC!K21</f>
        <v>1442</v>
      </c>
      <c r="G20" s="207">
        <f>ELEC!I21</f>
        <v>2150</v>
      </c>
      <c r="H20" s="207">
        <f>ELEC!E21</f>
        <v>3102</v>
      </c>
      <c r="I20" s="207">
        <f>ELEC!G21</f>
        <v>2014</v>
      </c>
      <c r="J20" s="207">
        <f>WATER!Y24</f>
        <v>0</v>
      </c>
      <c r="K20" s="207">
        <f>WATER!AJ24</f>
        <v>75</v>
      </c>
      <c r="L20" s="10">
        <f>ELEC!B21</f>
        <v>52.991999999999997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R1" zoomScaleNormal="100" zoomScaleSheetLayoutView="100" workbookViewId="0">
      <pane ySplit="1" topLeftCell="A2" activePane="bottomLeft" state="frozen"/>
      <selection activeCell="C1" sqref="C1"/>
      <selection pane="bottomLeft" activeCell="AG21" sqref="AG21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13334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-49424685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0.19570000000000001</v>
      </c>
      <c r="B9" s="482">
        <f t="shared" si="5"/>
        <v>45.011000000000003</v>
      </c>
      <c r="C9" s="489">
        <v>43868</v>
      </c>
      <c r="D9" s="476">
        <v>31406950</v>
      </c>
      <c r="E9" s="477">
        <f t="shared" si="6"/>
        <v>2488</v>
      </c>
      <c r="F9" s="476">
        <v>3510252</v>
      </c>
      <c r="G9" s="478">
        <f t="shared" si="0"/>
        <v>2145</v>
      </c>
      <c r="H9" s="476">
        <v>17298766</v>
      </c>
      <c r="I9" s="328">
        <f t="shared" si="10"/>
        <v>1972</v>
      </c>
      <c r="J9" s="476">
        <v>28291726</v>
      </c>
      <c r="K9" s="328">
        <f t="shared" si="11"/>
        <v>1532</v>
      </c>
      <c r="L9" s="476">
        <v>22672582</v>
      </c>
      <c r="M9" s="328">
        <f t="shared" si="12"/>
        <v>4492</v>
      </c>
      <c r="N9" s="327">
        <f t="shared" si="13"/>
        <v>12629</v>
      </c>
      <c r="O9" s="498">
        <f t="shared" si="1"/>
        <v>280.57585923440934</v>
      </c>
      <c r="P9" s="476">
        <v>15321.643</v>
      </c>
      <c r="Q9" s="480">
        <f t="shared" si="7"/>
        <v>2748.9999999997963</v>
      </c>
      <c r="R9" s="480">
        <f t="shared" si="17"/>
        <v>9880.0000000002037</v>
      </c>
      <c r="S9" s="476">
        <v>8380</v>
      </c>
      <c r="T9" s="500">
        <f t="shared" si="2"/>
        <v>1</v>
      </c>
      <c r="U9" s="476">
        <v>1023424</v>
      </c>
      <c r="V9" s="480">
        <f t="shared" si="14"/>
        <v>332</v>
      </c>
      <c r="W9" s="476">
        <f t="shared" si="20"/>
        <v>31845</v>
      </c>
      <c r="X9" s="480">
        <f t="shared" ref="X9:X32" si="23">W9-W8</f>
        <v>0</v>
      </c>
      <c r="Y9" s="476">
        <f t="shared" si="21"/>
        <v>624369</v>
      </c>
      <c r="Z9" s="480">
        <f t="shared" si="22"/>
        <v>0</v>
      </c>
      <c r="AA9" s="476">
        <f t="shared" ref="AA9:AA33" si="24">AA8</f>
        <v>34883</v>
      </c>
      <c r="AB9" s="480">
        <f t="shared" si="15"/>
        <v>0</v>
      </c>
      <c r="AC9" s="476">
        <f t="shared" ref="AC9:AC33" si="25">AC8</f>
        <v>741440</v>
      </c>
      <c r="AD9" s="480">
        <f t="shared" si="16"/>
        <v>0</v>
      </c>
      <c r="AE9" s="503">
        <f t="shared" si="8"/>
        <v>1</v>
      </c>
      <c r="AF9" s="504">
        <f t="shared" si="9"/>
        <v>332</v>
      </c>
      <c r="AG9" s="496">
        <f t="shared" si="4"/>
        <v>332</v>
      </c>
      <c r="AI9" s="497">
        <f>R9-'EDl log'!B7</f>
        <v>-49436888</v>
      </c>
    </row>
    <row r="10" spans="1:115">
      <c r="A10" s="488">
        <f>'General information '!F13</f>
        <v>0.13900000000000001</v>
      </c>
      <c r="B10" s="482">
        <f t="shared" si="5"/>
        <v>31.970000000000002</v>
      </c>
      <c r="C10" s="489">
        <v>43869</v>
      </c>
      <c r="D10" s="476">
        <v>31409834</v>
      </c>
      <c r="E10" s="477">
        <f t="shared" si="6"/>
        <v>2884</v>
      </c>
      <c r="F10" s="476">
        <v>3512346</v>
      </c>
      <c r="G10" s="478">
        <f t="shared" si="0"/>
        <v>2094</v>
      </c>
      <c r="H10" s="476">
        <v>17300602</v>
      </c>
      <c r="I10" s="328">
        <f t="shared" si="10"/>
        <v>1836</v>
      </c>
      <c r="J10" s="476">
        <v>28293266</v>
      </c>
      <c r="K10" s="328">
        <f t="shared" si="11"/>
        <v>1540</v>
      </c>
      <c r="L10" s="476">
        <v>22677058</v>
      </c>
      <c r="M10" s="328">
        <f t="shared" si="12"/>
        <v>4476</v>
      </c>
      <c r="N10" s="327">
        <f t="shared" si="13"/>
        <v>12830</v>
      </c>
      <c r="O10" s="498">
        <f t="shared" ref="O10:O32" si="26">IF(B10&gt;0,N10/B10,0)</f>
        <v>401.3137316233969</v>
      </c>
      <c r="P10" s="476">
        <v>15323.08</v>
      </c>
      <c r="Q10" s="480">
        <f t="shared" si="7"/>
        <v>1436.9999999998981</v>
      </c>
      <c r="R10" s="480">
        <f t="shared" si="17"/>
        <v>11393.000000000102</v>
      </c>
      <c r="S10" s="476">
        <v>8382</v>
      </c>
      <c r="T10" s="500">
        <f t="shared" si="2"/>
        <v>2</v>
      </c>
      <c r="U10" s="476">
        <v>1023764</v>
      </c>
      <c r="V10" s="480">
        <f t="shared" si="14"/>
        <v>340</v>
      </c>
      <c r="W10" s="476">
        <v>31845</v>
      </c>
      <c r="X10" s="480">
        <f t="shared" si="23"/>
        <v>0</v>
      </c>
      <c r="Y10" s="476">
        <v>624440</v>
      </c>
      <c r="Z10" s="480">
        <f t="shared" si="22"/>
        <v>71</v>
      </c>
      <c r="AA10" s="476">
        <v>34883</v>
      </c>
      <c r="AB10" s="480">
        <f t="shared" si="15"/>
        <v>0</v>
      </c>
      <c r="AC10" s="476">
        <v>741441</v>
      </c>
      <c r="AD10" s="480">
        <f t="shared" si="16"/>
        <v>1</v>
      </c>
      <c r="AE10" s="503">
        <f t="shared" si="8"/>
        <v>2</v>
      </c>
      <c r="AF10" s="504">
        <f t="shared" si="9"/>
        <v>412</v>
      </c>
      <c r="AG10" s="496">
        <f t="shared" ref="AG10:AG33" si="27">IF(AE10&gt;0,AF10/AE10,0)</f>
        <v>206</v>
      </c>
      <c r="AI10" s="497">
        <f>R10-'EDl log'!B8</f>
        <v>-49440422</v>
      </c>
    </row>
    <row r="11" spans="1:115">
      <c r="A11" s="488">
        <f>'General information '!F14</f>
        <v>0.1522</v>
      </c>
      <c r="B11" s="482">
        <f>SUM(230*A11)</f>
        <v>35.006</v>
      </c>
      <c r="C11" s="489">
        <v>43870</v>
      </c>
      <c r="D11" s="476">
        <v>31411672</v>
      </c>
      <c r="E11" s="477">
        <f t="shared" si="6"/>
        <v>1838</v>
      </c>
      <c r="F11" s="476">
        <v>3514832</v>
      </c>
      <c r="G11" s="478">
        <f t="shared" si="0"/>
        <v>2486</v>
      </c>
      <c r="H11" s="476">
        <v>17302270</v>
      </c>
      <c r="I11" s="328">
        <f t="shared" si="10"/>
        <v>1668</v>
      </c>
      <c r="J11" s="476">
        <v>28294492</v>
      </c>
      <c r="K11" s="328">
        <f t="shared" si="11"/>
        <v>1226</v>
      </c>
      <c r="L11" s="476">
        <v>22680730</v>
      </c>
      <c r="M11" s="328">
        <f t="shared" si="12"/>
        <v>3672</v>
      </c>
      <c r="N11" s="327">
        <f>M11+K11+I11+G11+E11</f>
        <v>10890</v>
      </c>
      <c r="O11" s="498">
        <f t="shared" si="26"/>
        <v>311.08952750956979</v>
      </c>
      <c r="P11" s="476">
        <v>15325.17</v>
      </c>
      <c r="Q11" s="480">
        <f t="shared" si="7"/>
        <v>2090.0000000001455</v>
      </c>
      <c r="R11" s="480">
        <f t="shared" si="17"/>
        <v>8799.9999999998545</v>
      </c>
      <c r="S11" s="476">
        <v>8382</v>
      </c>
      <c r="T11" s="500">
        <f t="shared" si="2"/>
        <v>0</v>
      </c>
      <c r="U11" s="476">
        <f t="shared" si="19"/>
        <v>1023764</v>
      </c>
      <c r="V11" s="480">
        <f t="shared" si="14"/>
        <v>0</v>
      </c>
      <c r="W11" s="476">
        <f t="shared" si="20"/>
        <v>31845</v>
      </c>
      <c r="X11" s="480">
        <f t="shared" si="23"/>
        <v>0</v>
      </c>
      <c r="Y11" s="476">
        <f t="shared" si="21"/>
        <v>624440</v>
      </c>
      <c r="Z11" s="480">
        <f t="shared" si="22"/>
        <v>0</v>
      </c>
      <c r="AA11" s="476">
        <v>34887</v>
      </c>
      <c r="AB11" s="480">
        <f t="shared" si="15"/>
        <v>4</v>
      </c>
      <c r="AC11" s="476">
        <v>742049</v>
      </c>
      <c r="AD11" s="480">
        <f t="shared" si="16"/>
        <v>608</v>
      </c>
      <c r="AE11" s="503">
        <f t="shared" si="8"/>
        <v>4</v>
      </c>
      <c r="AF11" s="504">
        <f t="shared" si="9"/>
        <v>608</v>
      </c>
      <c r="AG11" s="496">
        <f t="shared" si="27"/>
        <v>152</v>
      </c>
      <c r="AI11" s="497">
        <f>R11-'EDl log'!B9</f>
        <v>-49448459</v>
      </c>
    </row>
    <row r="12" spans="1:115">
      <c r="A12" s="488">
        <f>'General information '!F15</f>
        <v>0.16089999999999999</v>
      </c>
      <c r="B12" s="482">
        <f t="shared" si="5"/>
        <v>37.006999999999998</v>
      </c>
      <c r="C12" s="489">
        <v>43871</v>
      </c>
      <c r="D12" s="476">
        <v>31413298</v>
      </c>
      <c r="E12" s="477">
        <f t="shared" si="6"/>
        <v>1626</v>
      </c>
      <c r="F12" s="476">
        <v>3516088</v>
      </c>
      <c r="G12" s="478">
        <f t="shared" si="0"/>
        <v>1256</v>
      </c>
      <c r="H12" s="476">
        <v>17304260</v>
      </c>
      <c r="I12" s="328">
        <f t="shared" si="10"/>
        <v>1990</v>
      </c>
      <c r="J12" s="476">
        <v>28295934</v>
      </c>
      <c r="K12" s="328">
        <f t="shared" si="11"/>
        <v>1442</v>
      </c>
      <c r="L12" s="476">
        <v>22684934</v>
      </c>
      <c r="M12" s="328">
        <f t="shared" si="12"/>
        <v>4204</v>
      </c>
      <c r="N12" s="327">
        <f>M12+K12+I12+G12+E12</f>
        <v>10518</v>
      </c>
      <c r="O12" s="498">
        <f t="shared" si="26"/>
        <v>284.21649958116035</v>
      </c>
      <c r="P12" s="476">
        <v>15326.76</v>
      </c>
      <c r="Q12" s="480">
        <f t="shared" si="7"/>
        <v>1590.0000000001455</v>
      </c>
      <c r="R12" s="480">
        <f t="shared" si="17"/>
        <v>8927.9999999998545</v>
      </c>
      <c r="S12" s="476">
        <v>8382</v>
      </c>
      <c r="T12" s="500">
        <f t="shared" si="2"/>
        <v>0</v>
      </c>
      <c r="U12" s="476">
        <v>1023764</v>
      </c>
      <c r="V12" s="480">
        <f t="shared" si="14"/>
        <v>0</v>
      </c>
      <c r="W12" s="476">
        <v>31845</v>
      </c>
      <c r="X12" s="480">
        <f t="shared" si="23"/>
        <v>0</v>
      </c>
      <c r="Y12" s="476">
        <v>624440</v>
      </c>
      <c r="Z12" s="480">
        <f t="shared" si="22"/>
        <v>0</v>
      </c>
      <c r="AA12" s="476">
        <v>34888</v>
      </c>
      <c r="AB12" s="480">
        <f t="shared" si="15"/>
        <v>1</v>
      </c>
      <c r="AC12" s="476">
        <v>742070</v>
      </c>
      <c r="AD12" s="480">
        <f t="shared" si="16"/>
        <v>21</v>
      </c>
      <c r="AE12" s="503">
        <f t="shared" si="8"/>
        <v>1</v>
      </c>
      <c r="AF12" s="504">
        <f t="shared" si="9"/>
        <v>21</v>
      </c>
      <c r="AG12" s="496">
        <f t="shared" si="27"/>
        <v>21</v>
      </c>
      <c r="AI12" s="497">
        <f>R12-'EDl log'!B10</f>
        <v>-49453440</v>
      </c>
    </row>
    <row r="13" spans="1:115">
      <c r="A13" s="488">
        <f>'General information '!F16</f>
        <v>0.14779999999999999</v>
      </c>
      <c r="B13" s="482">
        <f t="shared" si="5"/>
        <v>33.994</v>
      </c>
      <c r="C13" s="489">
        <v>43872</v>
      </c>
      <c r="D13" s="476">
        <v>31415110</v>
      </c>
      <c r="E13" s="477">
        <f t="shared" si="6"/>
        <v>1812</v>
      </c>
      <c r="F13" s="476">
        <v>3517981</v>
      </c>
      <c r="G13" s="478">
        <f t="shared" si="0"/>
        <v>1893</v>
      </c>
      <c r="H13" s="476">
        <v>17306342</v>
      </c>
      <c r="I13" s="328">
        <f t="shared" si="10"/>
        <v>2082</v>
      </c>
      <c r="J13" s="476">
        <v>28297682</v>
      </c>
      <c r="K13" s="328">
        <f t="shared" si="11"/>
        <v>1748</v>
      </c>
      <c r="L13" s="476">
        <v>22688322</v>
      </c>
      <c r="M13" s="328">
        <f t="shared" si="12"/>
        <v>3388</v>
      </c>
      <c r="N13" s="327">
        <f t="shared" si="13"/>
        <v>10923</v>
      </c>
      <c r="O13" s="498">
        <f t="shared" si="26"/>
        <v>321.32140966052833</v>
      </c>
      <c r="P13" s="476">
        <v>15328.411</v>
      </c>
      <c r="Q13" s="480">
        <f t="shared" ref="Q13:Q31" si="28">(P13-P12)*1000</f>
        <v>1650.9999999998399</v>
      </c>
      <c r="R13" s="480">
        <f t="shared" si="17"/>
        <v>9272.0000000001601</v>
      </c>
      <c r="S13" s="476">
        <v>8382</v>
      </c>
      <c r="T13" s="500">
        <f t="shared" si="2"/>
        <v>0</v>
      </c>
      <c r="U13" s="476">
        <v>1023769</v>
      </c>
      <c r="V13" s="480">
        <f t="shared" si="14"/>
        <v>5</v>
      </c>
      <c r="W13" s="476">
        <v>31845</v>
      </c>
      <c r="X13" s="480">
        <f t="shared" si="23"/>
        <v>0</v>
      </c>
      <c r="Y13" s="476">
        <v>624440</v>
      </c>
      <c r="Z13" s="480">
        <f t="shared" si="22"/>
        <v>0</v>
      </c>
      <c r="AA13" s="476">
        <v>34888</v>
      </c>
      <c r="AB13" s="480">
        <f t="shared" si="15"/>
        <v>0</v>
      </c>
      <c r="AC13" s="476">
        <v>742070</v>
      </c>
      <c r="AD13" s="480">
        <f t="shared" si="16"/>
        <v>0</v>
      </c>
      <c r="AE13" s="503">
        <f t="shared" si="8"/>
        <v>0</v>
      </c>
      <c r="AF13" s="504">
        <f t="shared" si="9"/>
        <v>5</v>
      </c>
      <c r="AG13" s="496">
        <f t="shared" si="27"/>
        <v>0</v>
      </c>
      <c r="AI13" s="497">
        <f>R13-'EDl log'!B11</f>
        <v>-49459020</v>
      </c>
    </row>
    <row r="14" spans="1:115">
      <c r="A14" s="488">
        <f>'General information '!F17</f>
        <v>0.20430000000000001</v>
      </c>
      <c r="B14" s="482">
        <f t="shared" si="5"/>
        <v>46.989000000000004</v>
      </c>
      <c r="C14" s="489">
        <v>43873</v>
      </c>
      <c r="D14" s="476">
        <v>31417162</v>
      </c>
      <c r="E14" s="477">
        <f t="shared" si="6"/>
        <v>2052</v>
      </c>
      <c r="F14" s="476">
        <v>3519952.4</v>
      </c>
      <c r="G14" s="478">
        <f t="shared" si="0"/>
        <v>1971.3999999999069</v>
      </c>
      <c r="H14" s="476">
        <v>17308562</v>
      </c>
      <c r="I14" s="328">
        <f t="shared" si="10"/>
        <v>2220</v>
      </c>
      <c r="J14" s="476">
        <v>28299098</v>
      </c>
      <c r="K14" s="328">
        <f t="shared" si="11"/>
        <v>1416</v>
      </c>
      <c r="L14" s="476">
        <v>22692026</v>
      </c>
      <c r="M14" s="328">
        <f t="shared" si="12"/>
        <v>3704</v>
      </c>
      <c r="N14" s="327">
        <f t="shared" si="13"/>
        <v>11363.399999999907</v>
      </c>
      <c r="O14" s="498">
        <f t="shared" si="26"/>
        <v>241.83106684542992</v>
      </c>
      <c r="P14" s="476">
        <v>15330.120999999999</v>
      </c>
      <c r="Q14" s="480">
        <f t="shared" si="28"/>
        <v>1709.9999999991269</v>
      </c>
      <c r="R14" s="480">
        <f t="shared" si="17"/>
        <v>9653.40000000078</v>
      </c>
      <c r="S14" s="476">
        <v>8383</v>
      </c>
      <c r="T14" s="500">
        <f t="shared" si="2"/>
        <v>1</v>
      </c>
      <c r="U14" s="476">
        <v>1023979</v>
      </c>
      <c r="V14" s="480">
        <f t="shared" si="14"/>
        <v>210</v>
      </c>
      <c r="W14" s="476">
        <f t="shared" si="20"/>
        <v>31845</v>
      </c>
      <c r="X14" s="480">
        <f t="shared" si="23"/>
        <v>0</v>
      </c>
      <c r="Y14" s="476">
        <f t="shared" si="21"/>
        <v>624440</v>
      </c>
      <c r="Z14" s="480">
        <f t="shared" si="22"/>
        <v>0</v>
      </c>
      <c r="AA14" s="476">
        <f t="shared" si="24"/>
        <v>34888</v>
      </c>
      <c r="AB14" s="480">
        <f t="shared" si="15"/>
        <v>0</v>
      </c>
      <c r="AC14" s="476">
        <v>742158</v>
      </c>
      <c r="AD14" s="480">
        <f t="shared" si="16"/>
        <v>88</v>
      </c>
      <c r="AE14" s="503">
        <f t="shared" si="8"/>
        <v>1</v>
      </c>
      <c r="AF14" s="504">
        <f t="shared" si="9"/>
        <v>298</v>
      </c>
      <c r="AG14" s="496">
        <f t="shared" si="27"/>
        <v>298</v>
      </c>
      <c r="AI14" s="497">
        <f>R14-'EDl log'!B12</f>
        <v>-49462866.600000001</v>
      </c>
    </row>
    <row r="15" spans="1:115">
      <c r="A15" s="488">
        <f>'General information '!F18</f>
        <v>0.3478</v>
      </c>
      <c r="B15" s="482">
        <f t="shared" si="5"/>
        <v>79.994</v>
      </c>
      <c r="C15" s="489">
        <v>43874</v>
      </c>
      <c r="D15" s="476">
        <v>31419470</v>
      </c>
      <c r="E15" s="477">
        <f t="shared" si="6"/>
        <v>2308</v>
      </c>
      <c r="F15" s="476">
        <v>3522077</v>
      </c>
      <c r="G15" s="478">
        <f t="shared" si="0"/>
        <v>2124.6000000000931</v>
      </c>
      <c r="H15" s="476">
        <v>17310754</v>
      </c>
      <c r="I15" s="328">
        <f t="shared" si="10"/>
        <v>2192</v>
      </c>
      <c r="J15" s="476">
        <v>28300472</v>
      </c>
      <c r="K15" s="328">
        <f t="shared" si="11"/>
        <v>1374</v>
      </c>
      <c r="L15" s="476">
        <v>22695618</v>
      </c>
      <c r="M15" s="328">
        <f t="shared" si="12"/>
        <v>3592</v>
      </c>
      <c r="N15" s="327">
        <f t="shared" si="13"/>
        <v>11590.600000000093</v>
      </c>
      <c r="O15" s="498">
        <f t="shared" si="26"/>
        <v>144.89336700252636</v>
      </c>
      <c r="P15" s="476">
        <v>15332.234</v>
      </c>
      <c r="Q15" s="480">
        <f>(P15-P14)*1000</f>
        <v>2113.0000000011933</v>
      </c>
      <c r="R15" s="480">
        <f t="shared" si="17"/>
        <v>9477.5999999988999</v>
      </c>
      <c r="S15" s="476">
        <v>8383</v>
      </c>
      <c r="T15" s="500">
        <f t="shared" si="2"/>
        <v>0</v>
      </c>
      <c r="U15" s="476">
        <v>1023979</v>
      </c>
      <c r="V15" s="480">
        <f t="shared" si="14"/>
        <v>0</v>
      </c>
      <c r="W15" s="476">
        <v>31845</v>
      </c>
      <c r="X15" s="480">
        <f t="shared" si="23"/>
        <v>0</v>
      </c>
      <c r="Y15" s="476">
        <v>624440</v>
      </c>
      <c r="Z15" s="480">
        <f t="shared" si="22"/>
        <v>0</v>
      </c>
      <c r="AA15" s="476">
        <v>34890</v>
      </c>
      <c r="AB15" s="480">
        <f t="shared" si="15"/>
        <v>2</v>
      </c>
      <c r="AC15" s="476">
        <v>742464</v>
      </c>
      <c r="AD15" s="480">
        <f t="shared" si="16"/>
        <v>306</v>
      </c>
      <c r="AE15" s="503">
        <f t="shared" si="8"/>
        <v>2</v>
      </c>
      <c r="AF15" s="504">
        <f t="shared" si="9"/>
        <v>306</v>
      </c>
      <c r="AG15" s="496">
        <f t="shared" si="27"/>
        <v>153</v>
      </c>
      <c r="AI15" s="497">
        <f>R15-'EDl log'!B13</f>
        <v>-49467996.399999999</v>
      </c>
    </row>
    <row r="16" spans="1:115">
      <c r="A16" s="488">
        <f>'General information '!F19</f>
        <v>0.3826</v>
      </c>
      <c r="B16" s="482">
        <f t="shared" si="5"/>
        <v>87.998000000000005</v>
      </c>
      <c r="C16" s="489">
        <v>43875</v>
      </c>
      <c r="D16" s="476">
        <v>31423330</v>
      </c>
      <c r="E16" s="477">
        <f t="shared" si="6"/>
        <v>3860</v>
      </c>
      <c r="F16" s="476">
        <v>3524322</v>
      </c>
      <c r="G16" s="478">
        <f t="shared" si="0"/>
        <v>2245</v>
      </c>
      <c r="H16" s="476">
        <v>17312988</v>
      </c>
      <c r="I16" s="328">
        <f t="shared" si="10"/>
        <v>2234</v>
      </c>
      <c r="J16" s="476">
        <v>28302050</v>
      </c>
      <c r="K16" s="328">
        <f t="shared" si="11"/>
        <v>1578</v>
      </c>
      <c r="L16" s="476">
        <v>22699674</v>
      </c>
      <c r="M16" s="328">
        <f t="shared" si="12"/>
        <v>4056</v>
      </c>
      <c r="N16" s="327">
        <f t="shared" si="13"/>
        <v>13973</v>
      </c>
      <c r="O16" s="498">
        <f t="shared" si="26"/>
        <v>158.78769972044819</v>
      </c>
      <c r="P16" s="476">
        <v>15334.331</v>
      </c>
      <c r="Q16" s="480">
        <f>(P16-P15)*1000</f>
        <v>2096.9999999997526</v>
      </c>
      <c r="R16" s="480">
        <f t="shared" si="17"/>
        <v>11876.000000000247</v>
      </c>
      <c r="S16" s="476">
        <v>8384</v>
      </c>
      <c r="T16" s="500">
        <f t="shared" si="2"/>
        <v>1</v>
      </c>
      <c r="U16" s="476">
        <v>1024343</v>
      </c>
      <c r="V16" s="480">
        <f t="shared" si="14"/>
        <v>364</v>
      </c>
      <c r="W16" s="476">
        <f t="shared" si="20"/>
        <v>31845</v>
      </c>
      <c r="X16" s="480">
        <f>W16-W15</f>
        <v>0</v>
      </c>
      <c r="Y16" s="476">
        <f t="shared" si="21"/>
        <v>624440</v>
      </c>
      <c r="Z16" s="480">
        <f>Y16-Y15</f>
        <v>0</v>
      </c>
      <c r="AA16" s="476">
        <v>34895</v>
      </c>
      <c r="AB16" s="480">
        <f>AA16-AA15</f>
        <v>5</v>
      </c>
      <c r="AC16" s="476">
        <v>743301</v>
      </c>
      <c r="AD16" s="480">
        <f t="shared" si="16"/>
        <v>837</v>
      </c>
      <c r="AE16" s="503">
        <f t="shared" si="8"/>
        <v>6</v>
      </c>
      <c r="AF16" s="504">
        <f t="shared" si="9"/>
        <v>1201</v>
      </c>
      <c r="AG16" s="496">
        <f t="shared" si="27"/>
        <v>200.16666666666666</v>
      </c>
      <c r="AI16" s="497">
        <f>R16-'EDl log'!B14</f>
        <v>-49470408</v>
      </c>
    </row>
    <row r="17" spans="1:35">
      <c r="A17" s="488">
        <f>'General information '!F20</f>
        <v>0.247</v>
      </c>
      <c r="B17" s="482">
        <f t="shared" si="5"/>
        <v>56.81</v>
      </c>
      <c r="C17" s="489">
        <v>43876</v>
      </c>
      <c r="D17" s="476">
        <v>31426858</v>
      </c>
      <c r="E17" s="477">
        <f t="shared" si="6"/>
        <v>3528</v>
      </c>
      <c r="F17" s="476">
        <v>3526558.8</v>
      </c>
      <c r="G17" s="478">
        <f t="shared" si="0"/>
        <v>2236.7999999998137</v>
      </c>
      <c r="H17" s="476">
        <v>17315262</v>
      </c>
      <c r="I17" s="328">
        <f t="shared" si="10"/>
        <v>2274</v>
      </c>
      <c r="J17" s="476">
        <v>28303566</v>
      </c>
      <c r="K17" s="328">
        <f t="shared" si="11"/>
        <v>1516</v>
      </c>
      <c r="L17" s="476">
        <v>22703290</v>
      </c>
      <c r="M17" s="328">
        <f t="shared" si="12"/>
        <v>3616</v>
      </c>
      <c r="N17" s="327">
        <f t="shared" si="13"/>
        <v>13170.799999999814</v>
      </c>
      <c r="O17" s="498">
        <f t="shared" si="26"/>
        <v>231.83946488293986</v>
      </c>
      <c r="P17" s="476">
        <v>15336.825000000001</v>
      </c>
      <c r="Q17" s="480">
        <f t="shared" si="28"/>
        <v>2494.0000000005966</v>
      </c>
      <c r="R17" s="480">
        <f t="shared" si="17"/>
        <v>10676.799999999217</v>
      </c>
      <c r="S17" s="476">
        <f t="shared" si="18"/>
        <v>8384</v>
      </c>
      <c r="T17" s="500">
        <f t="shared" si="2"/>
        <v>0</v>
      </c>
      <c r="U17" s="476">
        <f t="shared" si="19"/>
        <v>1024343</v>
      </c>
      <c r="V17" s="480">
        <f t="shared" si="14"/>
        <v>0</v>
      </c>
      <c r="W17" s="476">
        <f t="shared" si="20"/>
        <v>31845</v>
      </c>
      <c r="X17" s="480">
        <f t="shared" si="23"/>
        <v>0</v>
      </c>
      <c r="Y17" s="476">
        <f t="shared" si="21"/>
        <v>624440</v>
      </c>
      <c r="Z17" s="480">
        <f t="shared" si="22"/>
        <v>0</v>
      </c>
      <c r="AA17" s="476">
        <v>34900</v>
      </c>
      <c r="AB17" s="480">
        <f t="shared" si="15"/>
        <v>5</v>
      </c>
      <c r="AC17" s="476">
        <v>744360</v>
      </c>
      <c r="AD17" s="480">
        <f t="shared" ref="AD17:AD32" si="29">AC17-AC16</f>
        <v>1059</v>
      </c>
      <c r="AE17" s="503">
        <f t="shared" si="8"/>
        <v>5</v>
      </c>
      <c r="AF17" s="504">
        <f t="shared" si="9"/>
        <v>1059</v>
      </c>
      <c r="AG17" s="496">
        <f t="shared" si="27"/>
        <v>211.8</v>
      </c>
      <c r="AI17" s="497">
        <f>R17-'EDl log'!B15</f>
        <v>-49476609.200000003</v>
      </c>
    </row>
    <row r="18" spans="1:35">
      <c r="A18" s="488">
        <f>'General information '!F21</f>
        <v>0.1696</v>
      </c>
      <c r="B18" s="482">
        <f t="shared" si="5"/>
        <v>39.008000000000003</v>
      </c>
      <c r="C18" s="489">
        <v>43877</v>
      </c>
      <c r="D18" s="476">
        <v>31430446</v>
      </c>
      <c r="E18" s="477">
        <f t="shared" si="6"/>
        <v>3588</v>
      </c>
      <c r="F18" s="476">
        <v>3528846</v>
      </c>
      <c r="G18" s="478">
        <f t="shared" si="0"/>
        <v>2287.2000000001863</v>
      </c>
      <c r="H18" s="476">
        <v>17317582</v>
      </c>
      <c r="I18" s="328">
        <f t="shared" si="10"/>
        <v>2320</v>
      </c>
      <c r="J18" s="476">
        <v>28305092</v>
      </c>
      <c r="K18" s="328">
        <f t="shared" si="11"/>
        <v>1526</v>
      </c>
      <c r="L18" s="476">
        <v>22707034</v>
      </c>
      <c r="M18" s="328">
        <f t="shared" si="12"/>
        <v>3744</v>
      </c>
      <c r="N18" s="327">
        <f t="shared" si="13"/>
        <v>13465.200000000186</v>
      </c>
      <c r="O18" s="498">
        <f t="shared" si="26"/>
        <v>345.19073010664954</v>
      </c>
      <c r="P18" s="476">
        <v>15337.7</v>
      </c>
      <c r="Q18" s="480">
        <f t="shared" si="28"/>
        <v>875</v>
      </c>
      <c r="R18" s="480">
        <f t="shared" si="17"/>
        <v>12590.200000000186</v>
      </c>
      <c r="S18" s="476">
        <f t="shared" si="18"/>
        <v>8384</v>
      </c>
      <c r="T18" s="500">
        <f t="shared" si="2"/>
        <v>0</v>
      </c>
      <c r="U18" s="476">
        <f t="shared" si="19"/>
        <v>1024343</v>
      </c>
      <c r="V18" s="480">
        <f t="shared" si="14"/>
        <v>0</v>
      </c>
      <c r="W18" s="476">
        <f t="shared" si="20"/>
        <v>31845</v>
      </c>
      <c r="X18" s="480">
        <f t="shared" si="23"/>
        <v>0</v>
      </c>
      <c r="Y18" s="476">
        <f t="shared" si="21"/>
        <v>624440</v>
      </c>
      <c r="Z18" s="480">
        <f t="shared" si="22"/>
        <v>0</v>
      </c>
      <c r="AA18" s="476">
        <v>34903</v>
      </c>
      <c r="AB18" s="480">
        <f t="shared" si="15"/>
        <v>3</v>
      </c>
      <c r="AC18" s="476">
        <v>744994</v>
      </c>
      <c r="AD18" s="480">
        <f t="shared" si="29"/>
        <v>634</v>
      </c>
      <c r="AE18" s="503">
        <f t="shared" si="8"/>
        <v>3</v>
      </c>
      <c r="AF18" s="504">
        <f t="shared" si="9"/>
        <v>634</v>
      </c>
      <c r="AG18" s="496">
        <f t="shared" si="27"/>
        <v>211.33333333333334</v>
      </c>
      <c r="AI18" s="497">
        <f>R18-'EDl log'!B16</f>
        <v>-49479604.799999997</v>
      </c>
    </row>
    <row r="19" spans="1:35">
      <c r="A19" s="488">
        <f>'General information '!F22</f>
        <v>0.23039999999999999</v>
      </c>
      <c r="B19" s="482">
        <f t="shared" si="5"/>
        <v>52.991999999999997</v>
      </c>
      <c r="C19" s="489">
        <v>43878</v>
      </c>
      <c r="D19" s="476">
        <v>31434710</v>
      </c>
      <c r="E19" s="477">
        <f t="shared" si="6"/>
        <v>4264</v>
      </c>
      <c r="F19" s="476">
        <v>3530950</v>
      </c>
      <c r="G19" s="478">
        <f t="shared" si="0"/>
        <v>2104</v>
      </c>
      <c r="H19" s="476">
        <v>17319762</v>
      </c>
      <c r="I19" s="328">
        <f t="shared" si="10"/>
        <v>2180</v>
      </c>
      <c r="J19" s="476">
        <v>28306616</v>
      </c>
      <c r="K19" s="328">
        <f t="shared" si="11"/>
        <v>1524</v>
      </c>
      <c r="L19" s="476">
        <v>22710454</v>
      </c>
      <c r="M19" s="328">
        <f t="shared" si="12"/>
        <v>3420</v>
      </c>
      <c r="N19" s="327">
        <f t="shared" si="13"/>
        <v>13492</v>
      </c>
      <c r="O19" s="498">
        <f t="shared" si="26"/>
        <v>254.60446859903382</v>
      </c>
      <c r="P19" s="476">
        <v>15339.919</v>
      </c>
      <c r="Q19" s="480">
        <f t="shared" si="28"/>
        <v>2218.9999999991414</v>
      </c>
      <c r="R19" s="480">
        <f t="shared" si="17"/>
        <v>11273.000000000859</v>
      </c>
      <c r="S19" s="476">
        <v>8384</v>
      </c>
      <c r="T19" s="500">
        <f t="shared" si="2"/>
        <v>0</v>
      </c>
      <c r="U19" s="476">
        <v>1024343</v>
      </c>
      <c r="V19" s="480">
        <f t="shared" si="14"/>
        <v>0</v>
      </c>
      <c r="W19" s="476">
        <v>31845</v>
      </c>
      <c r="X19" s="480">
        <f t="shared" si="23"/>
        <v>0</v>
      </c>
      <c r="Y19" s="476">
        <v>624440</v>
      </c>
      <c r="Z19" s="480">
        <f t="shared" si="22"/>
        <v>0</v>
      </c>
      <c r="AA19" s="476">
        <v>34907</v>
      </c>
      <c r="AB19" s="480">
        <f t="shared" si="15"/>
        <v>4</v>
      </c>
      <c r="AC19" s="476">
        <v>745923</v>
      </c>
      <c r="AD19" s="480">
        <f t="shared" si="29"/>
        <v>929</v>
      </c>
      <c r="AE19" s="503">
        <f t="shared" si="8"/>
        <v>4</v>
      </c>
      <c r="AF19" s="504">
        <f t="shared" si="9"/>
        <v>929</v>
      </c>
      <c r="AG19" s="496">
        <f t="shared" si="27"/>
        <v>232.25</v>
      </c>
      <c r="AI19" s="497">
        <f>R19-'EDl log'!B17</f>
        <v>-49487057</v>
      </c>
    </row>
    <row r="20" spans="1:35">
      <c r="A20" s="488">
        <f>'General information '!F23</f>
        <v>0.23480000000000001</v>
      </c>
      <c r="B20" s="482">
        <f t="shared" si="5"/>
        <v>54.004000000000005</v>
      </c>
      <c r="C20" s="489">
        <v>43879</v>
      </c>
      <c r="D20" s="476">
        <v>31438132</v>
      </c>
      <c r="E20" s="477">
        <f t="shared" si="6"/>
        <v>3422</v>
      </c>
      <c r="F20" s="476">
        <v>3532897</v>
      </c>
      <c r="G20" s="478">
        <f t="shared" si="0"/>
        <v>1947</v>
      </c>
      <c r="H20" s="476">
        <v>17321730</v>
      </c>
      <c r="I20" s="328">
        <f t="shared" si="10"/>
        <v>1968</v>
      </c>
      <c r="J20" s="476">
        <v>28308028</v>
      </c>
      <c r="K20" s="328">
        <f t="shared" si="11"/>
        <v>1412</v>
      </c>
      <c r="L20" s="476">
        <v>22713590</v>
      </c>
      <c r="M20" s="328">
        <f t="shared" si="12"/>
        <v>3136</v>
      </c>
      <c r="N20" s="327">
        <f t="shared" si="13"/>
        <v>11885</v>
      </c>
      <c r="O20" s="498">
        <f t="shared" si="26"/>
        <v>220.07629064513739</v>
      </c>
      <c r="P20" s="476">
        <v>15342.182000000001</v>
      </c>
      <c r="Q20" s="480">
        <f t="shared" si="28"/>
        <v>2263.0000000008295</v>
      </c>
      <c r="R20" s="480">
        <f t="shared" si="17"/>
        <v>9621.9999999991705</v>
      </c>
      <c r="S20" s="476">
        <v>8384</v>
      </c>
      <c r="T20" s="500">
        <f t="shared" si="2"/>
        <v>0</v>
      </c>
      <c r="U20" s="476">
        <v>1024343</v>
      </c>
      <c r="V20" s="480">
        <f t="shared" si="14"/>
        <v>0</v>
      </c>
      <c r="W20" s="476">
        <v>31845</v>
      </c>
      <c r="X20" s="480">
        <f t="shared" si="23"/>
        <v>0</v>
      </c>
      <c r="Y20" s="476">
        <v>624440</v>
      </c>
      <c r="Z20" s="480">
        <f t="shared" si="22"/>
        <v>0</v>
      </c>
      <c r="AA20" s="476">
        <v>34911</v>
      </c>
      <c r="AB20" s="480">
        <f t="shared" si="15"/>
        <v>4</v>
      </c>
      <c r="AC20" s="476">
        <v>746724</v>
      </c>
      <c r="AD20" s="480">
        <f t="shared" si="29"/>
        <v>801</v>
      </c>
      <c r="AE20" s="503">
        <f t="shared" si="8"/>
        <v>4</v>
      </c>
      <c r="AF20" s="504">
        <f t="shared" si="9"/>
        <v>801</v>
      </c>
      <c r="AG20" s="496">
        <f t="shared" si="27"/>
        <v>200.25</v>
      </c>
      <c r="AI20" s="497">
        <f>R20-'EDl log'!B18</f>
        <v>-49494226</v>
      </c>
    </row>
    <row r="21" spans="1:35">
      <c r="A21" s="488">
        <f>'General information '!F24</f>
        <v>0.23039999999999999</v>
      </c>
      <c r="B21" s="482">
        <f t="shared" si="5"/>
        <v>52.991999999999997</v>
      </c>
      <c r="C21" s="489">
        <v>43880</v>
      </c>
      <c r="D21" s="476">
        <v>31441234</v>
      </c>
      <c r="E21" s="477">
        <f t="shared" si="6"/>
        <v>3102</v>
      </c>
      <c r="F21" s="476">
        <v>3534911</v>
      </c>
      <c r="G21" s="478">
        <f t="shared" si="0"/>
        <v>2014</v>
      </c>
      <c r="H21" s="476">
        <v>17323880</v>
      </c>
      <c r="I21" s="328">
        <f t="shared" si="10"/>
        <v>2150</v>
      </c>
      <c r="J21" s="476">
        <v>28309470</v>
      </c>
      <c r="K21" s="328">
        <f t="shared" si="11"/>
        <v>1442</v>
      </c>
      <c r="L21" s="476">
        <v>22716958</v>
      </c>
      <c r="M21" s="328">
        <f t="shared" si="12"/>
        <v>3368</v>
      </c>
      <c r="N21" s="327">
        <f t="shared" si="13"/>
        <v>12076</v>
      </c>
      <c r="O21" s="498">
        <f t="shared" si="26"/>
        <v>227.8834541062802</v>
      </c>
      <c r="P21" s="476">
        <v>15344.795</v>
      </c>
      <c r="Q21" s="480">
        <f>(P21-P20)*1000</f>
        <v>2612.9999999993743</v>
      </c>
      <c r="R21" s="480">
        <f t="shared" si="17"/>
        <v>9463.0000000006257</v>
      </c>
      <c r="S21" s="476">
        <v>8384</v>
      </c>
      <c r="T21" s="500">
        <f t="shared" si="2"/>
        <v>0</v>
      </c>
      <c r="U21" s="476">
        <v>1024343</v>
      </c>
      <c r="V21" s="480">
        <f t="shared" si="14"/>
        <v>0</v>
      </c>
      <c r="W21" s="476">
        <v>31845</v>
      </c>
      <c r="X21" s="480">
        <f t="shared" si="23"/>
        <v>0</v>
      </c>
      <c r="Y21" s="476">
        <v>624440</v>
      </c>
      <c r="Z21" s="480">
        <f t="shared" si="22"/>
        <v>0</v>
      </c>
      <c r="AA21" s="476">
        <v>34913</v>
      </c>
      <c r="AB21" s="480">
        <f t="shared" si="15"/>
        <v>2</v>
      </c>
      <c r="AC21" s="476">
        <v>747174</v>
      </c>
      <c r="AD21" s="480">
        <f t="shared" si="29"/>
        <v>450</v>
      </c>
      <c r="AE21" s="503">
        <f t="shared" si="8"/>
        <v>2</v>
      </c>
      <c r="AF21" s="504">
        <f t="shared" si="9"/>
        <v>450</v>
      </c>
      <c r="AG21" s="496">
        <f t="shared" si="27"/>
        <v>225</v>
      </c>
      <c r="AI21" s="497">
        <f>R21-'EDl log'!B19</f>
        <v>-49500889</v>
      </c>
    </row>
    <row r="22" spans="1:35">
      <c r="A22" s="488">
        <f>'General information '!F25</f>
        <v>0</v>
      </c>
      <c r="B22" s="482">
        <f t="shared" si="5"/>
        <v>0</v>
      </c>
      <c r="C22" s="489">
        <v>43881</v>
      </c>
      <c r="D22" s="476">
        <f t="shared" ref="D22:D33" si="30">D21</f>
        <v>31441234</v>
      </c>
      <c r="E22" s="477">
        <f t="shared" si="6"/>
        <v>0</v>
      </c>
      <c r="F22" s="476">
        <f t="shared" ref="F22:F33" si="31">F21</f>
        <v>3534911</v>
      </c>
      <c r="G22" s="478">
        <f t="shared" si="0"/>
        <v>0</v>
      </c>
      <c r="H22" s="476">
        <f t="shared" ref="H22:H33" si="32">H21</f>
        <v>17323880</v>
      </c>
      <c r="I22" s="328">
        <f t="shared" si="10"/>
        <v>0</v>
      </c>
      <c r="J22" s="476">
        <f t="shared" ref="J22:J33" si="33">J21</f>
        <v>28309470</v>
      </c>
      <c r="K22" s="328">
        <f t="shared" si="11"/>
        <v>0</v>
      </c>
      <c r="L22" s="476">
        <f t="shared" ref="L22:L33" si="34">L21</f>
        <v>22716958</v>
      </c>
      <c r="M22" s="328">
        <f t="shared" si="12"/>
        <v>0</v>
      </c>
      <c r="N22" s="327">
        <f t="shared" si="13"/>
        <v>0</v>
      </c>
      <c r="O22" s="498">
        <f t="shared" si="26"/>
        <v>0</v>
      </c>
      <c r="P22" s="476">
        <f t="shared" ref="P22:P33" si="35">P21</f>
        <v>15344.795</v>
      </c>
      <c r="Q22" s="480">
        <f t="shared" si="28"/>
        <v>0</v>
      </c>
      <c r="R22" s="480">
        <f t="shared" si="17"/>
        <v>0</v>
      </c>
      <c r="S22" s="476">
        <f t="shared" si="18"/>
        <v>8384</v>
      </c>
      <c r="T22" s="500">
        <f t="shared" si="2"/>
        <v>0</v>
      </c>
      <c r="U22" s="476">
        <f t="shared" si="19"/>
        <v>1024343</v>
      </c>
      <c r="V22" s="480">
        <f t="shared" si="14"/>
        <v>0</v>
      </c>
      <c r="W22" s="476">
        <f t="shared" si="20"/>
        <v>31845</v>
      </c>
      <c r="X22" s="480">
        <f t="shared" si="23"/>
        <v>0</v>
      </c>
      <c r="Y22" s="476">
        <f t="shared" si="21"/>
        <v>624440</v>
      </c>
      <c r="Z22" s="480">
        <f t="shared" si="22"/>
        <v>0</v>
      </c>
      <c r="AA22" s="476">
        <f t="shared" si="24"/>
        <v>34913</v>
      </c>
      <c r="AB22" s="480">
        <f t="shared" si="15"/>
        <v>0</v>
      </c>
      <c r="AC22" s="476">
        <f t="shared" si="25"/>
        <v>747174</v>
      </c>
      <c r="AD22" s="480">
        <f t="shared" si="29"/>
        <v>0</v>
      </c>
      <c r="AE22" s="503">
        <f t="shared" si="8"/>
        <v>0</v>
      </c>
      <c r="AF22" s="504">
        <f t="shared" si="9"/>
        <v>0</v>
      </c>
      <c r="AG22" s="496">
        <f t="shared" si="27"/>
        <v>0</v>
      </c>
      <c r="AI22" s="497">
        <f>R22-'EDl log'!B20</f>
        <v>-49516213</v>
      </c>
    </row>
    <row r="23" spans="1:35">
      <c r="A23" s="488">
        <f>'General information '!F26</f>
        <v>0</v>
      </c>
      <c r="B23" s="482">
        <f t="shared" si="5"/>
        <v>0</v>
      </c>
      <c r="C23" s="489">
        <v>43882</v>
      </c>
      <c r="D23" s="476">
        <f t="shared" si="30"/>
        <v>31441234</v>
      </c>
      <c r="E23" s="477">
        <f t="shared" si="6"/>
        <v>0</v>
      </c>
      <c r="F23" s="476">
        <f t="shared" si="31"/>
        <v>3534911</v>
      </c>
      <c r="G23" s="478">
        <f t="shared" si="0"/>
        <v>0</v>
      </c>
      <c r="H23" s="476">
        <f t="shared" si="32"/>
        <v>17323880</v>
      </c>
      <c r="I23" s="469">
        <f t="shared" si="10"/>
        <v>0</v>
      </c>
      <c r="J23" s="476">
        <f t="shared" si="33"/>
        <v>28309470</v>
      </c>
      <c r="K23" s="328">
        <f t="shared" si="11"/>
        <v>0</v>
      </c>
      <c r="L23" s="476">
        <f t="shared" si="34"/>
        <v>22716958</v>
      </c>
      <c r="M23" s="328">
        <f t="shared" si="12"/>
        <v>0</v>
      </c>
      <c r="N23" s="327">
        <f t="shared" si="13"/>
        <v>0</v>
      </c>
      <c r="O23" s="498">
        <f t="shared" si="26"/>
        <v>0</v>
      </c>
      <c r="P23" s="476">
        <f t="shared" si="35"/>
        <v>15344.795</v>
      </c>
      <c r="Q23" s="480">
        <f t="shared" si="28"/>
        <v>0</v>
      </c>
      <c r="R23" s="480">
        <f t="shared" si="17"/>
        <v>0</v>
      </c>
      <c r="S23" s="476">
        <f t="shared" si="18"/>
        <v>8384</v>
      </c>
      <c r="T23" s="500">
        <f t="shared" si="2"/>
        <v>0</v>
      </c>
      <c r="U23" s="476">
        <f t="shared" si="19"/>
        <v>1024343</v>
      </c>
      <c r="V23" s="480">
        <f t="shared" si="14"/>
        <v>0</v>
      </c>
      <c r="W23" s="476">
        <f t="shared" si="20"/>
        <v>31845</v>
      </c>
      <c r="X23" s="480">
        <f t="shared" si="23"/>
        <v>0</v>
      </c>
      <c r="Y23" s="476">
        <f t="shared" si="21"/>
        <v>624440</v>
      </c>
      <c r="Z23" s="480">
        <f t="shared" si="22"/>
        <v>0</v>
      </c>
      <c r="AA23" s="476">
        <f t="shared" si="24"/>
        <v>34913</v>
      </c>
      <c r="AB23" s="480">
        <f t="shared" si="15"/>
        <v>0</v>
      </c>
      <c r="AC23" s="476">
        <f t="shared" si="25"/>
        <v>747174</v>
      </c>
      <c r="AD23" s="480">
        <f t="shared" si="29"/>
        <v>0</v>
      </c>
      <c r="AE23" s="503">
        <f t="shared" si="8"/>
        <v>0</v>
      </c>
      <c r="AF23" s="504">
        <f t="shared" si="9"/>
        <v>0</v>
      </c>
      <c r="AG23" s="496">
        <f t="shared" si="27"/>
        <v>0</v>
      </c>
      <c r="AI23" s="497">
        <f>R23-'EDl log'!B21</f>
        <v>-49521193</v>
      </c>
    </row>
    <row r="24" spans="1:35">
      <c r="A24" s="488">
        <f>'General information '!F27</f>
        <v>0</v>
      </c>
      <c r="B24" s="482">
        <f t="shared" si="5"/>
        <v>0</v>
      </c>
      <c r="C24" s="489">
        <v>43883</v>
      </c>
      <c r="D24" s="476">
        <f t="shared" si="30"/>
        <v>31441234</v>
      </c>
      <c r="E24" s="477">
        <f t="shared" si="6"/>
        <v>0</v>
      </c>
      <c r="F24" s="476">
        <f t="shared" si="31"/>
        <v>3534911</v>
      </c>
      <c r="G24" s="478">
        <f t="shared" si="0"/>
        <v>0</v>
      </c>
      <c r="H24" s="476">
        <f t="shared" si="32"/>
        <v>17323880</v>
      </c>
      <c r="I24" s="328">
        <f t="shared" si="10"/>
        <v>0</v>
      </c>
      <c r="J24" s="476">
        <f t="shared" si="33"/>
        <v>28309470</v>
      </c>
      <c r="K24" s="328">
        <f t="shared" si="11"/>
        <v>0</v>
      </c>
      <c r="L24" s="476">
        <f t="shared" si="34"/>
        <v>22716958</v>
      </c>
      <c r="M24" s="328">
        <f t="shared" si="12"/>
        <v>0</v>
      </c>
      <c r="N24" s="327">
        <f t="shared" si="13"/>
        <v>0</v>
      </c>
      <c r="O24" s="498">
        <f t="shared" si="26"/>
        <v>0</v>
      </c>
      <c r="P24" s="476">
        <f t="shared" si="35"/>
        <v>15344.795</v>
      </c>
      <c r="Q24" s="480">
        <f t="shared" si="28"/>
        <v>0</v>
      </c>
      <c r="R24" s="480">
        <f t="shared" si="17"/>
        <v>0</v>
      </c>
      <c r="S24" s="476">
        <f t="shared" si="18"/>
        <v>8384</v>
      </c>
      <c r="T24" s="500">
        <f t="shared" si="2"/>
        <v>0</v>
      </c>
      <c r="U24" s="476">
        <f t="shared" si="19"/>
        <v>1024343</v>
      </c>
      <c r="V24" s="480">
        <f t="shared" si="14"/>
        <v>0</v>
      </c>
      <c r="W24" s="476">
        <f t="shared" si="20"/>
        <v>31845</v>
      </c>
      <c r="X24" s="480">
        <f t="shared" si="23"/>
        <v>0</v>
      </c>
      <c r="Y24" s="476">
        <f t="shared" si="21"/>
        <v>624440</v>
      </c>
      <c r="Z24" s="480">
        <f t="shared" si="22"/>
        <v>0</v>
      </c>
      <c r="AA24" s="476">
        <f t="shared" si="24"/>
        <v>34913</v>
      </c>
      <c r="AB24" s="480">
        <f t="shared" si="15"/>
        <v>0</v>
      </c>
      <c r="AC24" s="476">
        <f t="shared" si="25"/>
        <v>747174</v>
      </c>
      <c r="AD24" s="480">
        <f t="shared" si="29"/>
        <v>0</v>
      </c>
      <c r="AE24" s="503">
        <f t="shared" si="8"/>
        <v>0</v>
      </c>
      <c r="AF24" s="504">
        <f t="shared" si="9"/>
        <v>0</v>
      </c>
      <c r="AG24" s="496">
        <f t="shared" si="27"/>
        <v>0</v>
      </c>
      <c r="AI24" s="497">
        <f>R24-'EDl log'!B22</f>
        <v>-49526042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si="30"/>
        <v>31441234</v>
      </c>
      <c r="E25" s="477">
        <f t="shared" si="6"/>
        <v>0</v>
      </c>
      <c r="F25" s="476">
        <f t="shared" si="31"/>
        <v>3534911</v>
      </c>
      <c r="G25" s="478">
        <f t="shared" si="0"/>
        <v>0</v>
      </c>
      <c r="H25" s="476">
        <f t="shared" si="32"/>
        <v>17323880</v>
      </c>
      <c r="I25" s="328">
        <f t="shared" si="10"/>
        <v>0</v>
      </c>
      <c r="J25" s="476">
        <f t="shared" si="33"/>
        <v>28309470</v>
      </c>
      <c r="K25" s="328">
        <f t="shared" si="11"/>
        <v>0</v>
      </c>
      <c r="L25" s="476">
        <f t="shared" si="34"/>
        <v>22716958</v>
      </c>
      <c r="M25" s="328">
        <f t="shared" si="12"/>
        <v>0</v>
      </c>
      <c r="N25" s="327">
        <f t="shared" si="13"/>
        <v>0</v>
      </c>
      <c r="O25" s="498">
        <f t="shared" si="26"/>
        <v>0</v>
      </c>
      <c r="P25" s="476">
        <f t="shared" si="35"/>
        <v>15344.795</v>
      </c>
      <c r="Q25" s="480">
        <f t="shared" si="28"/>
        <v>0</v>
      </c>
      <c r="R25" s="480">
        <f t="shared" si="17"/>
        <v>0</v>
      </c>
      <c r="S25" s="476">
        <f t="shared" si="18"/>
        <v>8384</v>
      </c>
      <c r="T25" s="500">
        <f t="shared" si="2"/>
        <v>0</v>
      </c>
      <c r="U25" s="476">
        <f t="shared" si="19"/>
        <v>1024343</v>
      </c>
      <c r="V25" s="480">
        <f t="shared" si="14"/>
        <v>0</v>
      </c>
      <c r="W25" s="476">
        <f t="shared" si="20"/>
        <v>31845</v>
      </c>
      <c r="X25" s="480">
        <f t="shared" si="23"/>
        <v>0</v>
      </c>
      <c r="Y25" s="476">
        <f t="shared" si="21"/>
        <v>624440</v>
      </c>
      <c r="Z25" s="480">
        <f t="shared" si="22"/>
        <v>0</v>
      </c>
      <c r="AA25" s="476">
        <f t="shared" si="24"/>
        <v>34913</v>
      </c>
      <c r="AB25" s="480">
        <f t="shared" si="15"/>
        <v>0</v>
      </c>
      <c r="AC25" s="476">
        <f t="shared" si="25"/>
        <v>747174</v>
      </c>
      <c r="AD25" s="480">
        <f t="shared" si="29"/>
        <v>0</v>
      </c>
      <c r="AE25" s="503">
        <f t="shared" si="8"/>
        <v>0</v>
      </c>
      <c r="AF25" s="504">
        <f t="shared" si="9"/>
        <v>0</v>
      </c>
      <c r="AG25" s="496">
        <f t="shared" si="27"/>
        <v>0</v>
      </c>
      <c r="AI25" s="497">
        <f>R25-'EDl log'!B23</f>
        <v>-49526042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30"/>
        <v>31441234</v>
      </c>
      <c r="E26" s="477">
        <f t="shared" si="6"/>
        <v>0</v>
      </c>
      <c r="F26" s="476">
        <f t="shared" si="31"/>
        <v>3534911</v>
      </c>
      <c r="G26" s="478">
        <f t="shared" si="0"/>
        <v>0</v>
      </c>
      <c r="H26" s="476">
        <f t="shared" si="32"/>
        <v>17323880</v>
      </c>
      <c r="I26" s="328">
        <f t="shared" si="10"/>
        <v>0</v>
      </c>
      <c r="J26" s="476">
        <f t="shared" si="33"/>
        <v>28309470</v>
      </c>
      <c r="K26" s="328">
        <f t="shared" si="11"/>
        <v>0</v>
      </c>
      <c r="L26" s="476">
        <f t="shared" si="34"/>
        <v>22716958</v>
      </c>
      <c r="M26" s="328">
        <f t="shared" si="12"/>
        <v>0</v>
      </c>
      <c r="N26" s="327">
        <f t="shared" si="13"/>
        <v>0</v>
      </c>
      <c r="O26" s="498">
        <f t="shared" si="26"/>
        <v>0</v>
      </c>
      <c r="P26" s="476">
        <f t="shared" si="35"/>
        <v>15344.795</v>
      </c>
      <c r="Q26" s="480">
        <f t="shared" si="28"/>
        <v>0</v>
      </c>
      <c r="R26" s="505">
        <f>N26-Q26</f>
        <v>0</v>
      </c>
      <c r="S26" s="476">
        <f t="shared" si="18"/>
        <v>8384</v>
      </c>
      <c r="T26" s="500">
        <f t="shared" si="2"/>
        <v>0</v>
      </c>
      <c r="U26" s="476">
        <f t="shared" si="19"/>
        <v>1024343</v>
      </c>
      <c r="V26" s="480">
        <f t="shared" si="14"/>
        <v>0</v>
      </c>
      <c r="W26" s="476">
        <f t="shared" si="20"/>
        <v>31845</v>
      </c>
      <c r="X26" s="480">
        <f t="shared" si="23"/>
        <v>0</v>
      </c>
      <c r="Y26" s="476">
        <f t="shared" si="21"/>
        <v>624440</v>
      </c>
      <c r="Z26" s="480">
        <f t="shared" si="22"/>
        <v>0</v>
      </c>
      <c r="AA26" s="476">
        <f t="shared" si="24"/>
        <v>34913</v>
      </c>
      <c r="AB26" s="480">
        <f t="shared" si="15"/>
        <v>0</v>
      </c>
      <c r="AC26" s="476">
        <f t="shared" si="25"/>
        <v>747174</v>
      </c>
      <c r="AD26" s="480">
        <f t="shared" si="29"/>
        <v>0</v>
      </c>
      <c r="AE26" s="503">
        <f t="shared" si="8"/>
        <v>0</v>
      </c>
      <c r="AF26" s="504">
        <f t="shared" si="9"/>
        <v>0</v>
      </c>
      <c r="AG26" s="496">
        <f t="shared" si="27"/>
        <v>0</v>
      </c>
      <c r="AI26" s="497">
        <f>R26-'EDl log'!B24</f>
        <v>-49526042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30"/>
        <v>31441234</v>
      </c>
      <c r="E27" s="477">
        <f t="shared" si="6"/>
        <v>0</v>
      </c>
      <c r="F27" s="476">
        <f t="shared" si="31"/>
        <v>3534911</v>
      </c>
      <c r="G27" s="478">
        <f t="shared" si="0"/>
        <v>0</v>
      </c>
      <c r="H27" s="476">
        <f t="shared" si="32"/>
        <v>17323880</v>
      </c>
      <c r="I27" s="328">
        <f t="shared" si="10"/>
        <v>0</v>
      </c>
      <c r="J27" s="476">
        <f t="shared" si="33"/>
        <v>28309470</v>
      </c>
      <c r="K27" s="328">
        <f t="shared" si="11"/>
        <v>0</v>
      </c>
      <c r="L27" s="476">
        <f t="shared" si="34"/>
        <v>22716958</v>
      </c>
      <c r="M27" s="328">
        <f t="shared" si="12"/>
        <v>0</v>
      </c>
      <c r="N27" s="327">
        <f t="shared" si="13"/>
        <v>0</v>
      </c>
      <c r="O27" s="498">
        <f t="shared" si="26"/>
        <v>0</v>
      </c>
      <c r="P27" s="476">
        <f t="shared" si="35"/>
        <v>15344.795</v>
      </c>
      <c r="Q27" s="480">
        <f t="shared" si="28"/>
        <v>0</v>
      </c>
      <c r="R27" s="480">
        <f t="shared" si="17"/>
        <v>0</v>
      </c>
      <c r="S27" s="476">
        <f t="shared" si="18"/>
        <v>8384</v>
      </c>
      <c r="T27" s="500">
        <f t="shared" si="2"/>
        <v>0</v>
      </c>
      <c r="U27" s="476">
        <f t="shared" si="19"/>
        <v>1024343</v>
      </c>
      <c r="V27" s="480">
        <f t="shared" si="14"/>
        <v>0</v>
      </c>
      <c r="W27" s="476">
        <f t="shared" si="20"/>
        <v>31845</v>
      </c>
      <c r="X27" s="480">
        <f t="shared" si="23"/>
        <v>0</v>
      </c>
      <c r="Y27" s="476">
        <f t="shared" si="21"/>
        <v>624440</v>
      </c>
      <c r="Z27" s="480">
        <f t="shared" si="22"/>
        <v>0</v>
      </c>
      <c r="AA27" s="476">
        <f t="shared" si="24"/>
        <v>34913</v>
      </c>
      <c r="AB27" s="480">
        <f t="shared" si="15"/>
        <v>0</v>
      </c>
      <c r="AC27" s="476">
        <f t="shared" si="25"/>
        <v>747174</v>
      </c>
      <c r="AD27" s="480">
        <f t="shared" si="29"/>
        <v>0</v>
      </c>
      <c r="AE27" s="503">
        <f t="shared" si="8"/>
        <v>0</v>
      </c>
      <c r="AF27" s="504">
        <f t="shared" si="9"/>
        <v>0</v>
      </c>
      <c r="AG27" s="496">
        <f t="shared" si="27"/>
        <v>0</v>
      </c>
      <c r="AI27" s="497">
        <f>R27-'EDl log'!B25</f>
        <v>-49526042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30"/>
        <v>31441234</v>
      </c>
      <c r="E28" s="477">
        <f t="shared" si="6"/>
        <v>0</v>
      </c>
      <c r="F28" s="476">
        <f t="shared" si="31"/>
        <v>3534911</v>
      </c>
      <c r="G28" s="478">
        <f t="shared" si="0"/>
        <v>0</v>
      </c>
      <c r="H28" s="476">
        <f t="shared" si="32"/>
        <v>17323880</v>
      </c>
      <c r="I28" s="328">
        <f t="shared" si="10"/>
        <v>0</v>
      </c>
      <c r="J28" s="476">
        <f t="shared" si="33"/>
        <v>28309470</v>
      </c>
      <c r="K28" s="328">
        <f t="shared" si="11"/>
        <v>0</v>
      </c>
      <c r="L28" s="476">
        <f t="shared" si="34"/>
        <v>22716958</v>
      </c>
      <c r="M28" s="328">
        <f t="shared" si="12"/>
        <v>0</v>
      </c>
      <c r="N28" s="327">
        <f t="shared" si="13"/>
        <v>0</v>
      </c>
      <c r="O28" s="498">
        <f t="shared" si="26"/>
        <v>0</v>
      </c>
      <c r="P28" s="476">
        <f t="shared" si="35"/>
        <v>15344.795</v>
      </c>
      <c r="Q28" s="480">
        <f t="shared" si="28"/>
        <v>0</v>
      </c>
      <c r="R28" s="480">
        <f>N28-Q28</f>
        <v>0</v>
      </c>
      <c r="S28" s="476">
        <f t="shared" si="18"/>
        <v>8384</v>
      </c>
      <c r="T28" s="500">
        <f t="shared" si="2"/>
        <v>0</v>
      </c>
      <c r="U28" s="476">
        <f t="shared" si="19"/>
        <v>1024343</v>
      </c>
      <c r="V28" s="480">
        <f t="shared" si="14"/>
        <v>0</v>
      </c>
      <c r="W28" s="476">
        <f t="shared" si="20"/>
        <v>31845</v>
      </c>
      <c r="X28" s="480">
        <f t="shared" si="23"/>
        <v>0</v>
      </c>
      <c r="Y28" s="476">
        <f t="shared" si="21"/>
        <v>624440</v>
      </c>
      <c r="Z28" s="480">
        <f t="shared" si="22"/>
        <v>0</v>
      </c>
      <c r="AA28" s="476">
        <f t="shared" si="24"/>
        <v>34913</v>
      </c>
      <c r="AB28" s="480">
        <f t="shared" si="15"/>
        <v>0</v>
      </c>
      <c r="AC28" s="476">
        <f t="shared" si="25"/>
        <v>747174</v>
      </c>
      <c r="AD28" s="480">
        <f t="shared" si="29"/>
        <v>0</v>
      </c>
      <c r="AE28" s="503">
        <f t="shared" si="8"/>
        <v>0</v>
      </c>
      <c r="AF28" s="504">
        <f t="shared" si="9"/>
        <v>0</v>
      </c>
      <c r="AG28" s="496">
        <f t="shared" si="27"/>
        <v>0</v>
      </c>
      <c r="AI28" s="497">
        <f>R28-'EDl log'!B26</f>
        <v>-49526042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30"/>
        <v>31441234</v>
      </c>
      <c r="E29" s="477">
        <f t="shared" si="6"/>
        <v>0</v>
      </c>
      <c r="F29" s="476">
        <f t="shared" si="31"/>
        <v>3534911</v>
      </c>
      <c r="G29" s="478">
        <f t="shared" si="0"/>
        <v>0</v>
      </c>
      <c r="H29" s="476">
        <f t="shared" si="32"/>
        <v>17323880</v>
      </c>
      <c r="I29" s="328">
        <f t="shared" si="10"/>
        <v>0</v>
      </c>
      <c r="J29" s="476">
        <f t="shared" si="33"/>
        <v>28309470</v>
      </c>
      <c r="K29" s="328">
        <f t="shared" si="11"/>
        <v>0</v>
      </c>
      <c r="L29" s="476">
        <f t="shared" si="34"/>
        <v>22716958</v>
      </c>
      <c r="M29" s="328">
        <f t="shared" si="12"/>
        <v>0</v>
      </c>
      <c r="N29" s="327">
        <f t="shared" si="13"/>
        <v>0</v>
      </c>
      <c r="O29" s="498">
        <f t="shared" si="26"/>
        <v>0</v>
      </c>
      <c r="P29" s="476">
        <f t="shared" si="35"/>
        <v>15344.795</v>
      </c>
      <c r="Q29" s="480">
        <f t="shared" si="28"/>
        <v>0</v>
      </c>
      <c r="R29" s="480">
        <f t="shared" si="17"/>
        <v>0</v>
      </c>
      <c r="S29" s="476">
        <f t="shared" si="18"/>
        <v>8384</v>
      </c>
      <c r="T29" s="500">
        <f t="shared" si="2"/>
        <v>0</v>
      </c>
      <c r="U29" s="476">
        <f t="shared" si="19"/>
        <v>1024343</v>
      </c>
      <c r="V29" s="480">
        <f t="shared" si="14"/>
        <v>0</v>
      </c>
      <c r="W29" s="476">
        <f t="shared" si="20"/>
        <v>31845</v>
      </c>
      <c r="X29" s="480">
        <f t="shared" si="23"/>
        <v>0</v>
      </c>
      <c r="Y29" s="476">
        <f t="shared" si="21"/>
        <v>624440</v>
      </c>
      <c r="Z29" s="480">
        <f t="shared" si="22"/>
        <v>0</v>
      </c>
      <c r="AA29" s="476">
        <f t="shared" si="24"/>
        <v>34913</v>
      </c>
      <c r="AB29" s="480">
        <f t="shared" si="15"/>
        <v>0</v>
      </c>
      <c r="AC29" s="476">
        <f t="shared" si="25"/>
        <v>747174</v>
      </c>
      <c r="AD29" s="480">
        <f t="shared" si="29"/>
        <v>0</v>
      </c>
      <c r="AE29" s="503">
        <f t="shared" si="8"/>
        <v>0</v>
      </c>
      <c r="AF29" s="504">
        <f t="shared" si="9"/>
        <v>0</v>
      </c>
      <c r="AG29" s="496">
        <f t="shared" si="27"/>
        <v>0</v>
      </c>
      <c r="AI29" s="497">
        <f>R29-'EDl log'!B27</f>
        <v>-49526042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30"/>
        <v>31441234</v>
      </c>
      <c r="E30" s="477">
        <f t="shared" si="6"/>
        <v>0</v>
      </c>
      <c r="F30" s="476">
        <f t="shared" si="31"/>
        <v>3534911</v>
      </c>
      <c r="G30" s="478">
        <f t="shared" si="0"/>
        <v>0</v>
      </c>
      <c r="H30" s="476">
        <f t="shared" si="32"/>
        <v>17323880</v>
      </c>
      <c r="I30" s="328">
        <f t="shared" si="10"/>
        <v>0</v>
      </c>
      <c r="J30" s="476">
        <f t="shared" si="33"/>
        <v>28309470</v>
      </c>
      <c r="K30" s="328">
        <f t="shared" si="11"/>
        <v>0</v>
      </c>
      <c r="L30" s="476">
        <f t="shared" si="34"/>
        <v>22716958</v>
      </c>
      <c r="M30" s="328">
        <f t="shared" si="12"/>
        <v>0</v>
      </c>
      <c r="N30" s="327">
        <f t="shared" si="13"/>
        <v>0</v>
      </c>
      <c r="O30" s="498">
        <f t="shared" si="26"/>
        <v>0</v>
      </c>
      <c r="P30" s="476">
        <f t="shared" si="35"/>
        <v>15344.795</v>
      </c>
      <c r="Q30" s="480">
        <f t="shared" si="28"/>
        <v>0</v>
      </c>
      <c r="R30" s="480">
        <f t="shared" si="17"/>
        <v>0</v>
      </c>
      <c r="S30" s="476">
        <f t="shared" si="18"/>
        <v>8384</v>
      </c>
      <c r="T30" s="500">
        <f t="shared" si="2"/>
        <v>0</v>
      </c>
      <c r="U30" s="476">
        <f t="shared" si="19"/>
        <v>1024343</v>
      </c>
      <c r="V30" s="480">
        <f t="shared" si="14"/>
        <v>0</v>
      </c>
      <c r="W30" s="476">
        <f t="shared" si="20"/>
        <v>31845</v>
      </c>
      <c r="X30" s="501">
        <f t="shared" si="23"/>
        <v>0</v>
      </c>
      <c r="Y30" s="476">
        <f t="shared" si="21"/>
        <v>624440</v>
      </c>
      <c r="Z30" s="480">
        <f t="shared" si="22"/>
        <v>0</v>
      </c>
      <c r="AA30" s="476">
        <f t="shared" si="24"/>
        <v>34913</v>
      </c>
      <c r="AB30" s="480">
        <f t="shared" si="15"/>
        <v>0</v>
      </c>
      <c r="AC30" s="476">
        <f t="shared" si="25"/>
        <v>747174</v>
      </c>
      <c r="AD30" s="480">
        <f t="shared" si="29"/>
        <v>0</v>
      </c>
      <c r="AE30" s="503">
        <f t="shared" si="8"/>
        <v>0</v>
      </c>
      <c r="AF30" s="504">
        <f t="shared" si="9"/>
        <v>0</v>
      </c>
      <c r="AG30" s="496">
        <f t="shared" si="27"/>
        <v>0</v>
      </c>
      <c r="AI30" s="497">
        <f>R30-'EDl log'!B28</f>
        <v>-49526042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30"/>
        <v>31441234</v>
      </c>
      <c r="E31" s="477">
        <f t="shared" si="6"/>
        <v>0</v>
      </c>
      <c r="F31" s="476">
        <f t="shared" si="31"/>
        <v>3534911</v>
      </c>
      <c r="G31" s="478">
        <f t="shared" si="0"/>
        <v>0</v>
      </c>
      <c r="H31" s="476">
        <f t="shared" si="32"/>
        <v>17323880</v>
      </c>
      <c r="I31" s="328">
        <f t="shared" si="10"/>
        <v>0</v>
      </c>
      <c r="J31" s="476">
        <f t="shared" si="33"/>
        <v>28309470</v>
      </c>
      <c r="K31" s="328">
        <f t="shared" si="11"/>
        <v>0</v>
      </c>
      <c r="L31" s="476">
        <f t="shared" si="34"/>
        <v>22716958</v>
      </c>
      <c r="M31" s="328">
        <f t="shared" si="12"/>
        <v>0</v>
      </c>
      <c r="N31" s="327">
        <f t="shared" si="13"/>
        <v>0</v>
      </c>
      <c r="O31" s="498">
        <f t="shared" si="26"/>
        <v>0</v>
      </c>
      <c r="P31" s="476">
        <f t="shared" si="35"/>
        <v>15344.795</v>
      </c>
      <c r="Q31" s="480">
        <f t="shared" si="28"/>
        <v>0</v>
      </c>
      <c r="R31" s="480">
        <f t="shared" si="17"/>
        <v>0</v>
      </c>
      <c r="S31" s="476">
        <f t="shared" si="18"/>
        <v>8384</v>
      </c>
      <c r="T31" s="500">
        <f t="shared" si="2"/>
        <v>0</v>
      </c>
      <c r="U31" s="476">
        <f t="shared" si="19"/>
        <v>1024343</v>
      </c>
      <c r="V31" s="480">
        <f t="shared" si="14"/>
        <v>0</v>
      </c>
      <c r="W31" s="476">
        <f t="shared" si="20"/>
        <v>31845</v>
      </c>
      <c r="X31" s="480">
        <f t="shared" si="23"/>
        <v>0</v>
      </c>
      <c r="Y31" s="476">
        <f t="shared" si="21"/>
        <v>624440</v>
      </c>
      <c r="Z31" s="502">
        <f>Y31-Y30</f>
        <v>0</v>
      </c>
      <c r="AA31" s="476">
        <f t="shared" si="24"/>
        <v>34913</v>
      </c>
      <c r="AB31" s="480">
        <f t="shared" si="15"/>
        <v>0</v>
      </c>
      <c r="AC31" s="476">
        <f t="shared" si="25"/>
        <v>747174</v>
      </c>
      <c r="AD31" s="480">
        <f t="shared" si="29"/>
        <v>0</v>
      </c>
      <c r="AE31" s="503">
        <f t="shared" si="8"/>
        <v>0</v>
      </c>
      <c r="AF31" s="504">
        <f t="shared" si="9"/>
        <v>0</v>
      </c>
      <c r="AG31" s="496">
        <f t="shared" si="27"/>
        <v>0</v>
      </c>
      <c r="AI31" s="497">
        <f>R31-'EDl log'!B29</f>
        <v>-49526042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30"/>
        <v>31441234</v>
      </c>
      <c r="E32" s="477">
        <f t="shared" si="6"/>
        <v>0</v>
      </c>
      <c r="F32" s="476">
        <f t="shared" si="31"/>
        <v>3534911</v>
      </c>
      <c r="G32" s="478">
        <f t="shared" si="0"/>
        <v>0</v>
      </c>
      <c r="H32" s="476">
        <f t="shared" si="32"/>
        <v>17323880</v>
      </c>
      <c r="I32" s="328">
        <f>H32-H31</f>
        <v>0</v>
      </c>
      <c r="J32" s="476">
        <f t="shared" si="33"/>
        <v>28309470</v>
      </c>
      <c r="K32" s="328">
        <f>J32-J31</f>
        <v>0</v>
      </c>
      <c r="L32" s="476">
        <f t="shared" si="34"/>
        <v>22716958</v>
      </c>
      <c r="M32" s="328">
        <f>L32-L31</f>
        <v>0</v>
      </c>
      <c r="N32" s="327">
        <f>M32+K32+I32+G32+E32</f>
        <v>0</v>
      </c>
      <c r="O32" s="498">
        <f t="shared" si="26"/>
        <v>0</v>
      </c>
      <c r="P32" s="476">
        <f t="shared" si="35"/>
        <v>15344.795</v>
      </c>
      <c r="Q32" s="480">
        <f>(P32-P31)*1000</f>
        <v>0</v>
      </c>
      <c r="R32" s="480">
        <f>N32-Q32</f>
        <v>0</v>
      </c>
      <c r="S32" s="476">
        <f t="shared" si="18"/>
        <v>8384</v>
      </c>
      <c r="T32" s="500">
        <f t="shared" si="2"/>
        <v>0</v>
      </c>
      <c r="U32" s="476">
        <f t="shared" si="19"/>
        <v>1024343</v>
      </c>
      <c r="V32" s="480">
        <f t="shared" si="14"/>
        <v>0</v>
      </c>
      <c r="W32" s="476">
        <f t="shared" si="20"/>
        <v>31845</v>
      </c>
      <c r="X32" s="480">
        <f t="shared" si="23"/>
        <v>0</v>
      </c>
      <c r="Y32" s="476">
        <f t="shared" si="21"/>
        <v>624440</v>
      </c>
      <c r="Z32" s="502">
        <f>Y32-Y31</f>
        <v>0</v>
      </c>
      <c r="AA32" s="476">
        <f t="shared" si="24"/>
        <v>34913</v>
      </c>
      <c r="AB32" s="480">
        <f t="shared" si="15"/>
        <v>0</v>
      </c>
      <c r="AC32" s="476">
        <f t="shared" si="25"/>
        <v>747174</v>
      </c>
      <c r="AD32" s="480">
        <f t="shared" si="29"/>
        <v>0</v>
      </c>
      <c r="AE32" s="503">
        <f t="shared" si="8"/>
        <v>0</v>
      </c>
      <c r="AF32" s="504">
        <f>V32+Z32+AD32</f>
        <v>0</v>
      </c>
      <c r="AG32" s="496">
        <f t="shared" si="27"/>
        <v>0</v>
      </c>
      <c r="AI32" s="497">
        <f>R32-'EDl log'!B30</f>
        <v>-49526042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30"/>
        <v>31441234</v>
      </c>
      <c r="E33" s="477">
        <f t="shared" si="6"/>
        <v>0</v>
      </c>
      <c r="F33" s="476">
        <f t="shared" si="31"/>
        <v>3534911</v>
      </c>
      <c r="G33" s="478">
        <f t="shared" si="0"/>
        <v>0</v>
      </c>
      <c r="H33" s="476">
        <f t="shared" si="32"/>
        <v>17323880</v>
      </c>
      <c r="I33" s="328">
        <f>H33-H32</f>
        <v>0</v>
      </c>
      <c r="J33" s="476">
        <f t="shared" si="33"/>
        <v>28309470</v>
      </c>
      <c r="K33" s="328">
        <f>J33-J32</f>
        <v>0</v>
      </c>
      <c r="L33" s="476">
        <f t="shared" si="34"/>
        <v>22716958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35"/>
        <v>15344.795</v>
      </c>
      <c r="Q33" s="480">
        <f>(P33-P32)*1000</f>
        <v>0</v>
      </c>
      <c r="R33" s="480">
        <f>N33-Q33</f>
        <v>0</v>
      </c>
      <c r="S33" s="476">
        <f t="shared" si="18"/>
        <v>8384</v>
      </c>
      <c r="T33" s="500">
        <f>S33-S32</f>
        <v>0</v>
      </c>
      <c r="U33" s="476">
        <f t="shared" si="19"/>
        <v>1024343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624440</v>
      </c>
      <c r="Z33" s="502">
        <f>Y33-Y32</f>
        <v>0</v>
      </c>
      <c r="AA33" s="476">
        <f t="shared" si="24"/>
        <v>34913</v>
      </c>
      <c r="AB33" s="480">
        <f>AA33-AA32</f>
        <v>0</v>
      </c>
      <c r="AC33" s="476">
        <f t="shared" si="25"/>
        <v>747174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27"/>
        <v>0</v>
      </c>
      <c r="AI33" s="497">
        <f>R33-'EDl log'!B31</f>
        <v>-49526042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abSelected="1" topLeftCell="AC1" zoomScale="90" zoomScaleNormal="90" workbookViewId="0">
      <pane ySplit="1" topLeftCell="A2" activePane="bottomLeft" state="frozen"/>
      <selection activeCell="K1" sqref="K1"/>
      <selection pane="bottomLeft" activeCell="AX24" sqref="AX2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45.75" thickBot="1">
      <c r="F1" s="589" t="s">
        <v>2</v>
      </c>
      <c r="G1" s="590"/>
      <c r="H1" s="590"/>
      <c r="I1" s="591"/>
      <c r="J1" s="294">
        <f>J36</f>
        <v>75.208974358974359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300.83589743589744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225.62692307692308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0.1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0.1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35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0.1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300.83589743589744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0.1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3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35" si="35">X9</f>
        <v>2328</v>
      </c>
      <c r="Y10" s="52">
        <f t="shared" si="16"/>
        <v>0</v>
      </c>
      <c r="Z10" s="64">
        <f t="shared" ref="Z10:Z35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v>252</v>
      </c>
      <c r="C11" s="64">
        <v>259</v>
      </c>
      <c r="D11" s="45">
        <f t="shared" si="0"/>
        <v>-42.599999999999994</v>
      </c>
      <c r="E11" s="45">
        <f t="shared" si="10"/>
        <v>-356.988</v>
      </c>
      <c r="F11" s="64">
        <v>1383</v>
      </c>
      <c r="G11" s="52">
        <f t="shared" si="1"/>
        <v>3</v>
      </c>
      <c r="H11" s="64">
        <v>336745</v>
      </c>
      <c r="I11" s="417">
        <f t="shared" si="2"/>
        <v>222</v>
      </c>
      <c r="J11" s="66">
        <f t="shared" si="11"/>
        <v>74</v>
      </c>
      <c r="K11" s="64">
        <v>1775</v>
      </c>
      <c r="L11" s="52">
        <f t="shared" si="3"/>
        <v>4</v>
      </c>
      <c r="M11" s="64">
        <v>129531</v>
      </c>
      <c r="N11" s="417">
        <f t="shared" si="4"/>
        <v>332</v>
      </c>
      <c r="O11" s="67">
        <f t="shared" si="5"/>
        <v>300.83589743589744</v>
      </c>
      <c r="P11" s="64">
        <f t="shared" ref="P11:P35" si="37">P10</f>
        <v>1606</v>
      </c>
      <c r="Q11" s="64">
        <f t="shared" ref="Q11:Q35" si="38">Q10</f>
        <v>137989</v>
      </c>
      <c r="R11" s="416">
        <f t="shared" ref="R11:R34" si="39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7</v>
      </c>
      <c r="V11" s="62">
        <f t="shared" si="14"/>
        <v>554</v>
      </c>
      <c r="W11" s="421">
        <f t="shared" si="15"/>
        <v>79.142857142857139</v>
      </c>
      <c r="X11" s="64">
        <v>2335</v>
      </c>
      <c r="Y11" s="52">
        <f t="shared" si="16"/>
        <v>7</v>
      </c>
      <c r="Z11" s="64">
        <v>131372.6</v>
      </c>
      <c r="AA11" s="65">
        <f t="shared" si="7"/>
        <v>352.90000000000873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352.90000000000873</v>
      </c>
      <c r="AI11" s="334">
        <f>SUM(AH11+V11)</f>
        <v>906.90000000000873</v>
      </c>
      <c r="AJ11" s="334">
        <f>-tanks!AW12</f>
        <v>906.90000000000873</v>
      </c>
      <c r="AK11" s="334">
        <f t="shared" si="19"/>
        <v>0</v>
      </c>
      <c r="AL11" s="334">
        <f t="shared" si="9"/>
        <v>7</v>
      </c>
      <c r="AM11" s="334">
        <f t="shared" si="20"/>
        <v>7</v>
      </c>
      <c r="AN11" s="64">
        <v>78</v>
      </c>
      <c r="AO11" s="336">
        <f t="shared" si="21"/>
        <v>2340</v>
      </c>
      <c r="AP11" s="64">
        <v>78</v>
      </c>
      <c r="AQ11" s="336">
        <f t="shared" si="22"/>
        <v>2340</v>
      </c>
      <c r="AR11" s="64">
        <v>78</v>
      </c>
      <c r="AS11" s="336">
        <f t="shared" si="28"/>
        <v>2340</v>
      </c>
      <c r="AT11" s="336">
        <f t="shared" si="29"/>
        <v>7020</v>
      </c>
      <c r="AU11" s="336">
        <f t="shared" si="30"/>
        <v>120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v>248</v>
      </c>
      <c r="C12" s="64">
        <v>253.4</v>
      </c>
      <c r="D12" s="45">
        <f t="shared" si="0"/>
        <v>5.5999999999999943</v>
      </c>
      <c r="E12" s="45">
        <f t="shared" si="10"/>
        <v>46.927999999999955</v>
      </c>
      <c r="F12" s="64">
        <f t="shared" ref="F12:F35" si="40">F11</f>
        <v>1383</v>
      </c>
      <c r="G12" s="52">
        <f t="shared" si="1"/>
        <v>0</v>
      </c>
      <c r="H12" s="64">
        <f t="shared" ref="H12:H35" si="41">H11</f>
        <v>336745</v>
      </c>
      <c r="I12" s="417">
        <f t="shared" si="2"/>
        <v>0</v>
      </c>
      <c r="J12" s="66">
        <f t="shared" si="11"/>
        <v>0</v>
      </c>
      <c r="K12" s="64">
        <v>1779</v>
      </c>
      <c r="L12" s="52">
        <f t="shared" si="3"/>
        <v>4</v>
      </c>
      <c r="M12" s="64">
        <v>129837</v>
      </c>
      <c r="N12" s="417">
        <f t="shared" si="4"/>
        <v>306</v>
      </c>
      <c r="O12" s="67">
        <f t="shared" si="5"/>
        <v>300.83589743589744</v>
      </c>
      <c r="P12" s="64">
        <v>1610</v>
      </c>
      <c r="Q12" s="64">
        <v>138263</v>
      </c>
      <c r="R12" s="416">
        <f t="shared" si="39"/>
        <v>274</v>
      </c>
      <c r="S12" s="52">
        <f t="shared" si="12"/>
        <v>4</v>
      </c>
      <c r="T12" s="68">
        <f t="shared" si="24"/>
        <v>0</v>
      </c>
      <c r="U12" s="423">
        <f t="shared" si="13"/>
        <v>8</v>
      </c>
      <c r="V12" s="62">
        <f t="shared" si="14"/>
        <v>580</v>
      </c>
      <c r="W12" s="421">
        <f t="shared" si="15"/>
        <v>72.5</v>
      </c>
      <c r="X12" s="64">
        <f t="shared" si="35"/>
        <v>2335</v>
      </c>
      <c r="Y12" s="52">
        <f t="shared" si="16"/>
        <v>0</v>
      </c>
      <c r="Z12" s="64">
        <v>131398.9</v>
      </c>
      <c r="AA12" s="65">
        <f t="shared" si="7"/>
        <v>26.299999999988358</v>
      </c>
      <c r="AB12" s="296">
        <f t="shared" si="25"/>
        <v>0</v>
      </c>
      <c r="AC12" s="64">
        <v>1801</v>
      </c>
      <c r="AD12" s="45">
        <f t="shared" si="8"/>
        <v>1</v>
      </c>
      <c r="AE12" s="64">
        <v>357711.4</v>
      </c>
      <c r="AF12" s="323">
        <f t="shared" si="17"/>
        <v>63.5</v>
      </c>
      <c r="AG12" s="213">
        <f t="shared" si="26"/>
        <v>63.5</v>
      </c>
      <c r="AH12" s="62">
        <f t="shared" si="27"/>
        <v>89.799999999988358</v>
      </c>
      <c r="AI12" s="334">
        <f t="shared" si="18"/>
        <v>669.79999999998836</v>
      </c>
      <c r="AJ12" s="334">
        <f>-tanks!AW13</f>
        <v>669.79999999998836</v>
      </c>
      <c r="AK12" s="334">
        <f t="shared" si="19"/>
        <v>0</v>
      </c>
      <c r="AL12" s="334">
        <f t="shared" si="9"/>
        <v>8</v>
      </c>
      <c r="AM12" s="334">
        <f t="shared" si="20"/>
        <v>1</v>
      </c>
      <c r="AN12" s="64">
        <v>77</v>
      </c>
      <c r="AO12" s="336">
        <f t="shared" si="21"/>
        <v>2310</v>
      </c>
      <c r="AP12" s="64">
        <v>77</v>
      </c>
      <c r="AQ12" s="336">
        <f t="shared" si="22"/>
        <v>2310</v>
      </c>
      <c r="AR12" s="64">
        <v>77</v>
      </c>
      <c r="AS12" s="336">
        <f t="shared" si="28"/>
        <v>2310</v>
      </c>
      <c r="AT12" s="336">
        <f t="shared" si="29"/>
        <v>6930</v>
      </c>
      <c r="AU12" s="336">
        <f t="shared" si="30"/>
        <v>90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v>242</v>
      </c>
      <c r="C13" s="64">
        <v>248</v>
      </c>
      <c r="D13" s="45">
        <f t="shared" si="0"/>
        <v>5.4000000000000057</v>
      </c>
      <c r="E13" s="45">
        <f t="shared" si="10"/>
        <v>45.252000000000052</v>
      </c>
      <c r="F13" s="64">
        <v>1387</v>
      </c>
      <c r="G13" s="52">
        <f t="shared" si="1"/>
        <v>4</v>
      </c>
      <c r="H13" s="64">
        <v>337106</v>
      </c>
      <c r="I13" s="417">
        <f t="shared" si="2"/>
        <v>361</v>
      </c>
      <c r="J13" s="66">
        <f t="shared" si="11"/>
        <v>90.25</v>
      </c>
      <c r="K13" s="64">
        <f t="shared" si="33"/>
        <v>1779</v>
      </c>
      <c r="L13" s="52">
        <f t="shared" si="3"/>
        <v>0</v>
      </c>
      <c r="M13" s="64">
        <f t="shared" si="34"/>
        <v>129837</v>
      </c>
      <c r="N13" s="417">
        <f t="shared" si="4"/>
        <v>0</v>
      </c>
      <c r="O13" s="67">
        <f t="shared" si="5"/>
        <v>0</v>
      </c>
      <c r="P13" s="64">
        <v>1616</v>
      </c>
      <c r="Q13" s="64">
        <v>138730</v>
      </c>
      <c r="R13" s="416">
        <f t="shared" si="39"/>
        <v>467</v>
      </c>
      <c r="S13" s="52">
        <f t="shared" si="12"/>
        <v>6</v>
      </c>
      <c r="T13" s="68">
        <f t="shared" si="24"/>
        <v>0</v>
      </c>
      <c r="U13" s="423">
        <f t="shared" si="13"/>
        <v>10</v>
      </c>
      <c r="V13" s="62">
        <f>R13+N13+I13:I13</f>
        <v>828</v>
      </c>
      <c r="W13" s="421">
        <f t="shared" si="15"/>
        <v>82.8</v>
      </c>
      <c r="X13" s="64">
        <f t="shared" si="35"/>
        <v>2335</v>
      </c>
      <c r="Y13" s="52">
        <f t="shared" si="16"/>
        <v>0</v>
      </c>
      <c r="Z13" s="64">
        <f t="shared" si="36"/>
        <v>131398.9</v>
      </c>
      <c r="AA13" s="296">
        <f t="shared" si="7"/>
        <v>0</v>
      </c>
      <c r="AB13" s="296">
        <f t="shared" si="25"/>
        <v>0</v>
      </c>
      <c r="AC13" s="64">
        <f t="shared" si="31"/>
        <v>1801</v>
      </c>
      <c r="AD13" s="45">
        <f t="shared" si="8"/>
        <v>0</v>
      </c>
      <c r="AE13" s="64">
        <f t="shared" si="32"/>
        <v>357711.4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828</v>
      </c>
      <c r="AJ13" s="334">
        <f>-tanks!AW14</f>
        <v>828</v>
      </c>
      <c r="AK13" s="334">
        <f t="shared" si="19"/>
        <v>0</v>
      </c>
      <c r="AL13" s="334">
        <f t="shared" si="9"/>
        <v>10</v>
      </c>
      <c r="AM13" s="334">
        <f t="shared" si="20"/>
        <v>0</v>
      </c>
      <c r="AN13" s="64">
        <v>74</v>
      </c>
      <c r="AO13" s="336">
        <f t="shared" si="21"/>
        <v>2220</v>
      </c>
      <c r="AP13" s="64">
        <v>74</v>
      </c>
      <c r="AQ13" s="336">
        <f t="shared" si="22"/>
        <v>2220</v>
      </c>
      <c r="AR13" s="64">
        <v>74</v>
      </c>
      <c r="AS13" s="336">
        <f t="shared" si="28"/>
        <v>2220</v>
      </c>
      <c r="AT13" s="336">
        <f t="shared" si="29"/>
        <v>6660</v>
      </c>
      <c r="AU13" s="336">
        <f t="shared" si="30"/>
        <v>270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v>236.1</v>
      </c>
      <c r="C14" s="64">
        <v>241.4</v>
      </c>
      <c r="D14" s="45">
        <f t="shared" si="0"/>
        <v>6.5999999999999943</v>
      </c>
      <c r="E14" s="45">
        <f t="shared" si="10"/>
        <v>55.307999999999957</v>
      </c>
      <c r="F14" s="64">
        <v>1394</v>
      </c>
      <c r="G14" s="52">
        <f t="shared" si="1"/>
        <v>7</v>
      </c>
      <c r="H14" s="64">
        <v>337680</v>
      </c>
      <c r="I14" s="417">
        <f t="shared" si="2"/>
        <v>574</v>
      </c>
      <c r="J14" s="66">
        <f t="shared" si="11"/>
        <v>82</v>
      </c>
      <c r="K14" s="64">
        <v>1784</v>
      </c>
      <c r="L14" s="52">
        <f t="shared" si="3"/>
        <v>5</v>
      </c>
      <c r="M14" s="64">
        <v>130244</v>
      </c>
      <c r="N14" s="417">
        <f t="shared" si="4"/>
        <v>407</v>
      </c>
      <c r="O14" s="67">
        <f t="shared" si="5"/>
        <v>376.04487179487182</v>
      </c>
      <c r="P14" s="64">
        <v>1617</v>
      </c>
      <c r="Q14" s="64">
        <v>138848</v>
      </c>
      <c r="R14" s="416">
        <f t="shared" si="39"/>
        <v>118</v>
      </c>
      <c r="S14" s="52">
        <f t="shared" si="12"/>
        <v>1</v>
      </c>
      <c r="T14" s="68">
        <f t="shared" si="24"/>
        <v>0</v>
      </c>
      <c r="U14" s="423">
        <f t="shared" si="13"/>
        <v>13</v>
      </c>
      <c r="V14" s="62">
        <f t="shared" si="14"/>
        <v>1099</v>
      </c>
      <c r="W14" s="421">
        <f t="shared" si="15"/>
        <v>84.538461538461533</v>
      </c>
      <c r="X14" s="64">
        <v>2335</v>
      </c>
      <c r="Y14" s="52">
        <f t="shared" si="16"/>
        <v>0</v>
      </c>
      <c r="Z14" s="64">
        <v>131398.9</v>
      </c>
      <c r="AA14" s="65">
        <f t="shared" si="7"/>
        <v>0</v>
      </c>
      <c r="AB14" s="296">
        <f t="shared" si="25"/>
        <v>0</v>
      </c>
      <c r="AC14" s="64">
        <v>1801</v>
      </c>
      <c r="AD14" s="45">
        <f t="shared" si="8"/>
        <v>0</v>
      </c>
      <c r="AE14" s="64">
        <v>357711</v>
      </c>
      <c r="AF14" s="323">
        <f t="shared" si="17"/>
        <v>-0.40000000002328306</v>
      </c>
      <c r="AG14" s="213">
        <f t="shared" si="26"/>
        <v>0</v>
      </c>
      <c r="AH14" s="62">
        <f t="shared" si="27"/>
        <v>-0.40000000002328306</v>
      </c>
      <c r="AI14" s="334">
        <f t="shared" si="18"/>
        <v>1098.5999999999767</v>
      </c>
      <c r="AJ14" s="334">
        <f>-tanks!AW15</f>
        <v>1098.5999999999767</v>
      </c>
      <c r="AK14" s="334">
        <f t="shared" si="19"/>
        <v>0</v>
      </c>
      <c r="AL14" s="334">
        <f t="shared" si="9"/>
        <v>13</v>
      </c>
      <c r="AM14" s="334">
        <f t="shared" si="20"/>
        <v>0</v>
      </c>
      <c r="AN14" s="64">
        <v>71</v>
      </c>
      <c r="AO14" s="336">
        <f t="shared" si="21"/>
        <v>2130</v>
      </c>
      <c r="AP14" s="64">
        <v>71</v>
      </c>
      <c r="AQ14" s="336">
        <f t="shared" si="22"/>
        <v>2130</v>
      </c>
      <c r="AR14" s="64">
        <v>71</v>
      </c>
      <c r="AS14" s="336">
        <f t="shared" si="28"/>
        <v>2130</v>
      </c>
      <c r="AT14" s="336">
        <f t="shared" si="29"/>
        <v>6390</v>
      </c>
      <c r="AU14" s="336">
        <f t="shared" si="30"/>
        <v>270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v>230</v>
      </c>
      <c r="C15" s="64">
        <v>235.4</v>
      </c>
      <c r="D15" s="45">
        <f t="shared" si="0"/>
        <v>6</v>
      </c>
      <c r="E15" s="45">
        <f t="shared" si="10"/>
        <v>50.28</v>
      </c>
      <c r="F15" s="64">
        <v>1394</v>
      </c>
      <c r="G15" s="52">
        <f t="shared" si="1"/>
        <v>0</v>
      </c>
      <c r="H15" s="64">
        <v>337680</v>
      </c>
      <c r="I15" s="417">
        <f t="shared" si="2"/>
        <v>0</v>
      </c>
      <c r="J15" s="66">
        <f t="shared" si="11"/>
        <v>0</v>
      </c>
      <c r="K15" s="64">
        <v>1792</v>
      </c>
      <c r="L15" s="52">
        <f t="shared" si="3"/>
        <v>8</v>
      </c>
      <c r="M15" s="64">
        <v>130802</v>
      </c>
      <c r="N15" s="417">
        <f t="shared" si="4"/>
        <v>558</v>
      </c>
      <c r="O15" s="67">
        <f t="shared" si="5"/>
        <v>601.67179487179487</v>
      </c>
      <c r="P15" s="64">
        <v>1623</v>
      </c>
      <c r="Q15" s="64">
        <v>139294</v>
      </c>
      <c r="R15" s="416">
        <f t="shared" si="39"/>
        <v>446</v>
      </c>
      <c r="S15" s="52">
        <f t="shared" si="12"/>
        <v>6</v>
      </c>
      <c r="T15" s="68">
        <f t="shared" si="24"/>
        <v>0</v>
      </c>
      <c r="U15" s="423">
        <f t="shared" si="13"/>
        <v>14</v>
      </c>
      <c r="V15" s="62">
        <f t="shared" si="14"/>
        <v>1004</v>
      </c>
      <c r="W15" s="421">
        <f t="shared" si="15"/>
        <v>71.714285714285708</v>
      </c>
      <c r="X15" s="64">
        <v>2344</v>
      </c>
      <c r="Y15" s="52">
        <f t="shared" si="16"/>
        <v>9</v>
      </c>
      <c r="Z15" s="64">
        <v>131862.6</v>
      </c>
      <c r="AA15" s="65">
        <f t="shared" si="7"/>
        <v>463.70000000001164</v>
      </c>
      <c r="AB15" s="296">
        <f t="shared" si="25"/>
        <v>0</v>
      </c>
      <c r="AC15" s="64">
        <v>1801</v>
      </c>
      <c r="AD15" s="45">
        <f t="shared" si="8"/>
        <v>0</v>
      </c>
      <c r="AE15" s="64">
        <v>357711.4</v>
      </c>
      <c r="AF15" s="323">
        <f t="shared" si="17"/>
        <v>0.40000000002328306</v>
      </c>
      <c r="AG15" s="213">
        <f t="shared" si="26"/>
        <v>0</v>
      </c>
      <c r="AH15" s="62">
        <f t="shared" si="27"/>
        <v>464.10000000003492</v>
      </c>
      <c r="AI15" s="334">
        <f t="shared" si="18"/>
        <v>1468.1000000000349</v>
      </c>
      <c r="AJ15" s="334">
        <f>-tanks!AW16</f>
        <v>1468.1000000000349</v>
      </c>
      <c r="AK15" s="334">
        <f t="shared" si="19"/>
        <v>0</v>
      </c>
      <c r="AL15" s="334">
        <f t="shared" si="9"/>
        <v>14</v>
      </c>
      <c r="AM15" s="334">
        <f t="shared" si="20"/>
        <v>9</v>
      </c>
      <c r="AN15" s="64">
        <v>70</v>
      </c>
      <c r="AO15" s="336">
        <f t="shared" si="21"/>
        <v>2100</v>
      </c>
      <c r="AP15" s="64">
        <v>70</v>
      </c>
      <c r="AQ15" s="336">
        <f t="shared" si="22"/>
        <v>2100</v>
      </c>
      <c r="AR15" s="64">
        <v>70</v>
      </c>
      <c r="AS15" s="336">
        <f t="shared" si="28"/>
        <v>2100</v>
      </c>
      <c r="AT15" s="336">
        <f t="shared" si="29"/>
        <v>6300</v>
      </c>
      <c r="AU15" s="336">
        <f t="shared" si="30"/>
        <v>90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v>223</v>
      </c>
      <c r="C16" s="64">
        <v>229.5</v>
      </c>
      <c r="D16" s="45">
        <f t="shared" si="0"/>
        <v>5.9000000000000057</v>
      </c>
      <c r="E16" s="45">
        <f t="shared" si="10"/>
        <v>49.44200000000005</v>
      </c>
      <c r="F16" s="64">
        <v>1399</v>
      </c>
      <c r="G16" s="52">
        <f t="shared" si="1"/>
        <v>5</v>
      </c>
      <c r="H16" s="64">
        <v>338058</v>
      </c>
      <c r="I16" s="417">
        <f t="shared" si="2"/>
        <v>378</v>
      </c>
      <c r="J16" s="66">
        <f t="shared" si="11"/>
        <v>75.599999999999994</v>
      </c>
      <c r="K16" s="64">
        <f t="shared" si="33"/>
        <v>1792</v>
      </c>
      <c r="L16" s="52">
        <f t="shared" si="3"/>
        <v>0</v>
      </c>
      <c r="M16" s="64">
        <f t="shared" si="34"/>
        <v>130802</v>
      </c>
      <c r="N16" s="417">
        <f t="shared" si="4"/>
        <v>0</v>
      </c>
      <c r="O16" s="67">
        <f t="shared" si="5"/>
        <v>0</v>
      </c>
      <c r="P16" s="64">
        <v>1630</v>
      </c>
      <c r="Q16" s="64">
        <v>139796</v>
      </c>
      <c r="R16" s="416">
        <f t="shared" si="39"/>
        <v>502</v>
      </c>
      <c r="S16" s="52">
        <f t="shared" si="12"/>
        <v>7</v>
      </c>
      <c r="T16" s="68">
        <f t="shared" si="24"/>
        <v>0</v>
      </c>
      <c r="U16" s="423">
        <f t="shared" si="13"/>
        <v>12</v>
      </c>
      <c r="V16" s="62">
        <f t="shared" si="14"/>
        <v>880</v>
      </c>
      <c r="W16" s="421">
        <f t="shared" si="15"/>
        <v>73.333333333333329</v>
      </c>
      <c r="X16" s="64">
        <f t="shared" si="35"/>
        <v>2344</v>
      </c>
      <c r="Y16" s="52">
        <f t="shared" si="16"/>
        <v>0</v>
      </c>
      <c r="Z16" s="64">
        <f t="shared" si="36"/>
        <v>131862.6</v>
      </c>
      <c r="AA16" s="65">
        <f t="shared" si="7"/>
        <v>0</v>
      </c>
      <c r="AB16" s="296">
        <f t="shared" si="25"/>
        <v>0</v>
      </c>
      <c r="AC16" s="64">
        <f t="shared" si="31"/>
        <v>1801</v>
      </c>
      <c r="AD16" s="45">
        <f t="shared" si="8"/>
        <v>0</v>
      </c>
      <c r="AE16" s="64">
        <f t="shared" si="32"/>
        <v>357711.4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880</v>
      </c>
      <c r="AJ16" s="334">
        <f>-tanks!AW17</f>
        <v>880</v>
      </c>
      <c r="AK16" s="334">
        <f t="shared" si="19"/>
        <v>0</v>
      </c>
      <c r="AL16" s="334">
        <f t="shared" si="9"/>
        <v>12</v>
      </c>
      <c r="AM16" s="334">
        <f t="shared" si="20"/>
        <v>0</v>
      </c>
      <c r="AN16" s="64">
        <v>69</v>
      </c>
      <c r="AO16" s="336">
        <f t="shared" si="21"/>
        <v>2070</v>
      </c>
      <c r="AP16" s="64">
        <v>69</v>
      </c>
      <c r="AQ16" s="336">
        <f t="shared" si="22"/>
        <v>2070</v>
      </c>
      <c r="AR16" s="64">
        <v>68</v>
      </c>
      <c r="AS16" s="336">
        <f t="shared" si="28"/>
        <v>2040.0000000000002</v>
      </c>
      <c r="AT16" s="336">
        <f t="shared" si="29"/>
        <v>6180</v>
      </c>
      <c r="AU16" s="336">
        <f t="shared" si="30"/>
        <v>120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v>219</v>
      </c>
      <c r="C17" s="64">
        <v>225</v>
      </c>
      <c r="D17" s="45">
        <f t="shared" si="0"/>
        <v>4.5</v>
      </c>
      <c r="E17" s="45">
        <f t="shared" si="10"/>
        <v>37.71</v>
      </c>
      <c r="F17" s="64">
        <v>1403</v>
      </c>
      <c r="G17" s="52">
        <f t="shared" si="1"/>
        <v>4</v>
      </c>
      <c r="H17" s="64">
        <v>338387</v>
      </c>
      <c r="I17" s="417">
        <f t="shared" si="2"/>
        <v>329</v>
      </c>
      <c r="J17" s="66">
        <f t="shared" si="11"/>
        <v>82.25</v>
      </c>
      <c r="K17" s="64">
        <v>1793</v>
      </c>
      <c r="L17" s="52">
        <f t="shared" si="3"/>
        <v>1</v>
      </c>
      <c r="M17" s="64">
        <v>130929</v>
      </c>
      <c r="N17" s="417">
        <f t="shared" si="4"/>
        <v>127</v>
      </c>
      <c r="O17" s="67">
        <f t="shared" si="5"/>
        <v>75.208974358974359</v>
      </c>
      <c r="P17" s="64">
        <v>1634</v>
      </c>
      <c r="Q17" s="64">
        <v>140075</v>
      </c>
      <c r="R17" s="416">
        <f t="shared" si="39"/>
        <v>279</v>
      </c>
      <c r="S17" s="52">
        <f t="shared" si="12"/>
        <v>4</v>
      </c>
      <c r="T17" s="68">
        <f t="shared" si="24"/>
        <v>0</v>
      </c>
      <c r="U17" s="423">
        <f t="shared" si="13"/>
        <v>9</v>
      </c>
      <c r="V17" s="62">
        <f t="shared" si="14"/>
        <v>735</v>
      </c>
      <c r="W17" s="421"/>
      <c r="X17" s="64">
        <v>2344</v>
      </c>
      <c r="Y17" s="52">
        <f t="shared" si="16"/>
        <v>0</v>
      </c>
      <c r="Z17" s="64">
        <v>131862.6</v>
      </c>
      <c r="AA17" s="65">
        <f t="shared" si="7"/>
        <v>0</v>
      </c>
      <c r="AB17" s="296">
        <f t="shared" si="25"/>
        <v>0</v>
      </c>
      <c r="AC17" s="64">
        <v>1801</v>
      </c>
      <c r="AD17" s="45">
        <f t="shared" si="8"/>
        <v>0</v>
      </c>
      <c r="AE17" s="64">
        <v>357711.4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735</v>
      </c>
      <c r="AJ17" s="334">
        <f>-tanks!AW18</f>
        <v>735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80</v>
      </c>
      <c r="AO17" s="336">
        <f t="shared" si="21"/>
        <v>2400</v>
      </c>
      <c r="AP17" s="64">
        <v>80</v>
      </c>
      <c r="AQ17" s="336">
        <f t="shared" si="22"/>
        <v>2400</v>
      </c>
      <c r="AR17" s="64">
        <v>80</v>
      </c>
      <c r="AS17" s="336">
        <f t="shared" si="28"/>
        <v>2400</v>
      </c>
      <c r="AT17" s="336">
        <f t="shared" si="29"/>
        <v>7200</v>
      </c>
      <c r="AU17" s="336">
        <f t="shared" si="30"/>
        <v>380</v>
      </c>
      <c r="AV17" s="276">
        <v>1400</v>
      </c>
      <c r="AW17" s="276">
        <v>0.7</v>
      </c>
      <c r="AX17" s="329">
        <f t="shared" si="23"/>
        <v>0.7</v>
      </c>
    </row>
    <row r="18" spans="1:50">
      <c r="A18" s="63">
        <f>ELEC!C16</f>
        <v>43875</v>
      </c>
      <c r="B18" s="64">
        <v>213.2</v>
      </c>
      <c r="C18" s="64">
        <v>219</v>
      </c>
      <c r="D18" s="45">
        <f t="shared" si="0"/>
        <v>6</v>
      </c>
      <c r="E18" s="45">
        <f t="shared" si="10"/>
        <v>50.28</v>
      </c>
      <c r="F18" s="64">
        <f t="shared" si="40"/>
        <v>1403</v>
      </c>
      <c r="G18" s="52">
        <f t="shared" si="1"/>
        <v>0</v>
      </c>
      <c r="H18" s="64">
        <f t="shared" si="41"/>
        <v>338387</v>
      </c>
      <c r="I18" s="417">
        <f t="shared" si="2"/>
        <v>0</v>
      </c>
      <c r="J18" s="66">
        <f t="shared" si="11"/>
        <v>0</v>
      </c>
      <c r="K18" s="64">
        <f t="shared" si="33"/>
        <v>1793</v>
      </c>
      <c r="L18" s="52">
        <f t="shared" si="3"/>
        <v>0</v>
      </c>
      <c r="M18" s="64">
        <f t="shared" si="34"/>
        <v>130929</v>
      </c>
      <c r="N18" s="417">
        <f t="shared" si="4"/>
        <v>0</v>
      </c>
      <c r="O18" s="67">
        <f t="shared" si="5"/>
        <v>0</v>
      </c>
      <c r="P18" s="64">
        <v>1643</v>
      </c>
      <c r="Q18" s="64">
        <v>140820</v>
      </c>
      <c r="R18" s="416">
        <f t="shared" si="39"/>
        <v>745</v>
      </c>
      <c r="S18" s="52">
        <f t="shared" si="12"/>
        <v>9</v>
      </c>
      <c r="T18" s="68">
        <f t="shared" si="24"/>
        <v>0</v>
      </c>
      <c r="U18" s="423">
        <f t="shared" si="13"/>
        <v>9</v>
      </c>
      <c r="V18" s="62">
        <f t="shared" si="14"/>
        <v>745</v>
      </c>
      <c r="W18" s="421"/>
      <c r="X18" s="64">
        <v>2353</v>
      </c>
      <c r="Y18" s="52">
        <f t="shared" si="16"/>
        <v>9</v>
      </c>
      <c r="Z18" s="64">
        <v>132298.70000000001</v>
      </c>
      <c r="AA18" s="65">
        <f t="shared" si="7"/>
        <v>436.10000000000582</v>
      </c>
      <c r="AB18" s="296">
        <f t="shared" ref="AB18:AB23" si="42">SUM(Y18*$AB$2)</f>
        <v>0</v>
      </c>
      <c r="AC18" s="64">
        <f t="shared" si="31"/>
        <v>1801</v>
      </c>
      <c r="AD18" s="45">
        <f t="shared" si="8"/>
        <v>0</v>
      </c>
      <c r="AE18" s="64">
        <v>357717.4</v>
      </c>
      <c r="AF18" s="323">
        <f t="shared" si="17"/>
        <v>6</v>
      </c>
      <c r="AG18" s="213">
        <f t="shared" si="26"/>
        <v>0</v>
      </c>
      <c r="AH18" s="62">
        <f t="shared" si="27"/>
        <v>442.10000000000582</v>
      </c>
      <c r="AI18" s="334">
        <f t="shared" si="18"/>
        <v>1187.1000000000058</v>
      </c>
      <c r="AJ18" s="334">
        <f>-tanks!AW19</f>
        <v>1187.1000000000058</v>
      </c>
      <c r="AK18" s="334">
        <f t="shared" si="19"/>
        <v>0</v>
      </c>
      <c r="AL18" s="334">
        <f t="shared" si="9"/>
        <v>9</v>
      </c>
      <c r="AM18" s="334">
        <f t="shared" si="20"/>
        <v>9</v>
      </c>
      <c r="AN18" s="64">
        <v>78</v>
      </c>
      <c r="AO18" s="336">
        <f t="shared" si="21"/>
        <v>2340</v>
      </c>
      <c r="AP18" s="64">
        <v>79</v>
      </c>
      <c r="AQ18" s="336">
        <f t="shared" si="22"/>
        <v>2370</v>
      </c>
      <c r="AR18" s="64">
        <v>79</v>
      </c>
      <c r="AS18" s="336">
        <f t="shared" si="28"/>
        <v>2370</v>
      </c>
      <c r="AT18" s="336">
        <f t="shared" si="29"/>
        <v>7080</v>
      </c>
      <c r="AU18" s="336">
        <f t="shared" si="30"/>
        <v>120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v>206.1</v>
      </c>
      <c r="C19" s="64">
        <v>212</v>
      </c>
      <c r="D19" s="45">
        <f t="shared" si="0"/>
        <v>7</v>
      </c>
      <c r="E19" s="45">
        <f t="shared" si="10"/>
        <v>58.660000000000004</v>
      </c>
      <c r="F19" s="64">
        <v>1408</v>
      </c>
      <c r="G19" s="52">
        <f t="shared" si="1"/>
        <v>5</v>
      </c>
      <c r="H19" s="64">
        <v>338776</v>
      </c>
      <c r="I19" s="417">
        <f t="shared" si="2"/>
        <v>389</v>
      </c>
      <c r="J19" s="66">
        <f t="shared" si="11"/>
        <v>77.8</v>
      </c>
      <c r="K19" s="64">
        <f t="shared" si="33"/>
        <v>1793</v>
      </c>
      <c r="L19" s="52">
        <f t="shared" si="3"/>
        <v>0</v>
      </c>
      <c r="M19" s="64">
        <f t="shared" si="34"/>
        <v>130929</v>
      </c>
      <c r="N19" s="417">
        <f t="shared" si="4"/>
        <v>0</v>
      </c>
      <c r="O19" s="67">
        <f t="shared" si="5"/>
        <v>0</v>
      </c>
      <c r="P19" s="64">
        <v>1648</v>
      </c>
      <c r="Q19" s="64">
        <v>141150</v>
      </c>
      <c r="R19" s="416">
        <f t="shared" si="39"/>
        <v>330</v>
      </c>
      <c r="S19" s="52">
        <f t="shared" si="12"/>
        <v>5</v>
      </c>
      <c r="T19" s="68">
        <f t="shared" si="24"/>
        <v>0</v>
      </c>
      <c r="U19" s="423">
        <f t="shared" si="13"/>
        <v>10</v>
      </c>
      <c r="V19" s="62">
        <f t="shared" si="14"/>
        <v>719</v>
      </c>
      <c r="W19" s="421"/>
      <c r="X19" s="64">
        <f t="shared" si="35"/>
        <v>2353</v>
      </c>
      <c r="Y19" s="52">
        <f t="shared" si="16"/>
        <v>0</v>
      </c>
      <c r="Z19" s="64">
        <v>132325.70000000001</v>
      </c>
      <c r="AA19" s="65">
        <f t="shared" si="7"/>
        <v>27</v>
      </c>
      <c r="AB19" s="296">
        <f t="shared" si="42"/>
        <v>0</v>
      </c>
      <c r="AC19" s="64">
        <f t="shared" si="31"/>
        <v>1801</v>
      </c>
      <c r="AD19" s="45">
        <f t="shared" si="8"/>
        <v>0</v>
      </c>
      <c r="AE19" s="64">
        <v>357717.4</v>
      </c>
      <c r="AF19" s="323">
        <f t="shared" si="17"/>
        <v>0</v>
      </c>
      <c r="AG19" s="213">
        <f t="shared" si="26"/>
        <v>0</v>
      </c>
      <c r="AH19" s="62">
        <f t="shared" si="27"/>
        <v>27</v>
      </c>
      <c r="AI19" s="334">
        <f t="shared" si="18"/>
        <v>746</v>
      </c>
      <c r="AJ19" s="334">
        <f>-tanks!AW20</f>
        <v>746</v>
      </c>
      <c r="AK19" s="334">
        <f t="shared" si="19"/>
        <v>0</v>
      </c>
      <c r="AL19" s="334">
        <f>S19+L20+G19</f>
        <v>15</v>
      </c>
      <c r="AM19" s="334">
        <f t="shared" si="20"/>
        <v>0</v>
      </c>
      <c r="AN19" s="64">
        <v>76</v>
      </c>
      <c r="AO19" s="336">
        <f t="shared" si="21"/>
        <v>2280</v>
      </c>
      <c r="AP19" s="64">
        <v>78</v>
      </c>
      <c r="AQ19" s="336">
        <f t="shared" si="22"/>
        <v>2340</v>
      </c>
      <c r="AR19" s="64">
        <v>78</v>
      </c>
      <c r="AS19" s="336">
        <f t="shared" si="28"/>
        <v>2340</v>
      </c>
      <c r="AT19" s="336">
        <f t="shared" si="29"/>
        <v>6960</v>
      </c>
      <c r="AU19" s="336">
        <f t="shared" si="30"/>
        <v>120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v>202.3</v>
      </c>
      <c r="C20" s="64">
        <v>208.1</v>
      </c>
      <c r="D20" s="45">
        <f>C19-C20</f>
        <v>3.9000000000000057</v>
      </c>
      <c r="E20" s="45">
        <f t="shared" si="10"/>
        <v>32.682000000000052</v>
      </c>
      <c r="F20" s="64">
        <v>1411</v>
      </c>
      <c r="G20" s="52">
        <f t="shared" si="1"/>
        <v>3</v>
      </c>
      <c r="H20" s="64">
        <v>339042</v>
      </c>
      <c r="I20" s="417">
        <f t="shared" si="2"/>
        <v>266</v>
      </c>
      <c r="J20" s="66">
        <f t="shared" si="11"/>
        <v>88.666666666666671</v>
      </c>
      <c r="K20" s="64">
        <v>1798</v>
      </c>
      <c r="L20" s="52">
        <f t="shared" si="3"/>
        <v>5</v>
      </c>
      <c r="M20" s="64">
        <v>131307</v>
      </c>
      <c r="N20" s="417">
        <f t="shared" si="4"/>
        <v>378</v>
      </c>
      <c r="O20" s="67">
        <f t="shared" si="5"/>
        <v>376.04487179487182</v>
      </c>
      <c r="P20" s="64">
        <f t="shared" si="37"/>
        <v>1648</v>
      </c>
      <c r="Q20" s="64">
        <f t="shared" si="38"/>
        <v>141150</v>
      </c>
      <c r="R20" s="416">
        <f t="shared" si="39"/>
        <v>0</v>
      </c>
      <c r="S20" s="52">
        <f t="shared" si="12"/>
        <v>0</v>
      </c>
      <c r="T20" s="68">
        <f t="shared" si="24"/>
        <v>0</v>
      </c>
      <c r="U20" s="423">
        <f t="shared" si="13"/>
        <v>8</v>
      </c>
      <c r="V20" s="62">
        <f t="shared" si="14"/>
        <v>644</v>
      </c>
      <c r="W20" s="421"/>
      <c r="X20" s="64">
        <f t="shared" si="35"/>
        <v>2353</v>
      </c>
      <c r="Y20" s="52">
        <f t="shared" si="16"/>
        <v>0</v>
      </c>
      <c r="Z20" s="64">
        <v>132325.70000000001</v>
      </c>
      <c r="AA20" s="65">
        <f t="shared" si="7"/>
        <v>0</v>
      </c>
      <c r="AB20" s="296">
        <f t="shared" si="42"/>
        <v>0</v>
      </c>
      <c r="AC20" s="64">
        <f t="shared" si="31"/>
        <v>1801</v>
      </c>
      <c r="AD20" s="45">
        <f t="shared" si="8"/>
        <v>0</v>
      </c>
      <c r="AE20" s="64">
        <f t="shared" si="32"/>
        <v>357717.4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644</v>
      </c>
      <c r="AJ20" s="334">
        <f>-tanks!AW21</f>
        <v>644</v>
      </c>
      <c r="AK20" s="334">
        <f t="shared" si="19"/>
        <v>0</v>
      </c>
      <c r="AL20" s="334">
        <f>S20+L21+G20</f>
        <v>7</v>
      </c>
      <c r="AM20" s="334">
        <f t="shared" si="20"/>
        <v>0</v>
      </c>
      <c r="AN20" s="64">
        <v>74</v>
      </c>
      <c r="AO20" s="336">
        <f t="shared" si="21"/>
        <v>2220</v>
      </c>
      <c r="AP20" s="64">
        <v>76</v>
      </c>
      <c r="AQ20" s="336">
        <f t="shared" si="22"/>
        <v>2280</v>
      </c>
      <c r="AR20" s="64">
        <v>76</v>
      </c>
      <c r="AS20" s="336">
        <f t="shared" si="28"/>
        <v>2280</v>
      </c>
      <c r="AT20" s="336">
        <f t="shared" si="29"/>
        <v>6780</v>
      </c>
      <c r="AU20" s="336">
        <f t="shared" si="30"/>
        <v>180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v>198</v>
      </c>
      <c r="C21" s="64">
        <v>203.3</v>
      </c>
      <c r="D21" s="45">
        <f t="shared" si="0"/>
        <v>4.7999999999999829</v>
      </c>
      <c r="E21" s="45">
        <f t="shared" si="10"/>
        <v>40.223999999999862</v>
      </c>
      <c r="F21" s="64">
        <v>1411</v>
      </c>
      <c r="G21" s="52">
        <f t="shared" si="1"/>
        <v>0</v>
      </c>
      <c r="H21" s="64">
        <v>339042</v>
      </c>
      <c r="I21" s="417">
        <f t="shared" si="2"/>
        <v>0</v>
      </c>
      <c r="J21" s="66">
        <f t="shared" si="11"/>
        <v>0</v>
      </c>
      <c r="K21" s="64">
        <v>1802</v>
      </c>
      <c r="L21" s="52">
        <f t="shared" si="3"/>
        <v>4</v>
      </c>
      <c r="M21" s="64">
        <v>131602</v>
      </c>
      <c r="N21" s="417">
        <f t="shared" si="4"/>
        <v>295</v>
      </c>
      <c r="O21" s="67">
        <f t="shared" si="5"/>
        <v>300.83589743589744</v>
      </c>
      <c r="P21" s="64">
        <v>1652</v>
      </c>
      <c r="Q21" s="64">
        <v>141485</v>
      </c>
      <c r="R21" s="416">
        <f t="shared" si="39"/>
        <v>335</v>
      </c>
      <c r="S21" s="52">
        <f t="shared" si="12"/>
        <v>4</v>
      </c>
      <c r="T21" s="68">
        <f t="shared" si="24"/>
        <v>0</v>
      </c>
      <c r="U21" s="423">
        <f t="shared" si="13"/>
        <v>8</v>
      </c>
      <c r="V21" s="62">
        <f t="shared" si="14"/>
        <v>630</v>
      </c>
      <c r="W21" s="421"/>
      <c r="X21" s="64">
        <v>2353</v>
      </c>
      <c r="Y21" s="52">
        <f t="shared" si="16"/>
        <v>0</v>
      </c>
      <c r="Z21" s="64">
        <v>132325.70000000001</v>
      </c>
      <c r="AA21" s="65">
        <f t="shared" si="7"/>
        <v>0</v>
      </c>
      <c r="AB21" s="296">
        <f t="shared" si="42"/>
        <v>0</v>
      </c>
      <c r="AC21" s="64">
        <v>1801</v>
      </c>
      <c r="AD21" s="45">
        <f t="shared" si="8"/>
        <v>0</v>
      </c>
      <c r="AE21" s="64">
        <v>357717.4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630</v>
      </c>
      <c r="AJ21" s="334">
        <f>-tanks!AW22</f>
        <v>630</v>
      </c>
      <c r="AK21" s="334">
        <f t="shared" si="19"/>
        <v>0</v>
      </c>
      <c r="AL21" s="334">
        <f t="shared" ref="AL21:AL34" si="43">S21+L21+G21</f>
        <v>8</v>
      </c>
      <c r="AM21" s="334">
        <f t="shared" si="20"/>
        <v>0</v>
      </c>
      <c r="AN21" s="64">
        <v>71</v>
      </c>
      <c r="AO21" s="336">
        <f t="shared" si="21"/>
        <v>2130</v>
      </c>
      <c r="AP21" s="64">
        <v>73</v>
      </c>
      <c r="AQ21" s="336">
        <f t="shared" si="22"/>
        <v>2190</v>
      </c>
      <c r="AR21" s="64">
        <v>73</v>
      </c>
      <c r="AS21" s="336">
        <f t="shared" si="28"/>
        <v>2190</v>
      </c>
      <c r="AT21" s="336">
        <f t="shared" si="29"/>
        <v>6510</v>
      </c>
      <c r="AU21" s="336">
        <f t="shared" si="30"/>
        <v>270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v>251.2</v>
      </c>
      <c r="C22" s="64">
        <v>256.39999999999998</v>
      </c>
      <c r="D22" s="45">
        <f t="shared" si="0"/>
        <v>-53.099999999999966</v>
      </c>
      <c r="E22" s="45">
        <f t="shared" si="10"/>
        <v>-444.97799999999978</v>
      </c>
      <c r="F22" s="64">
        <v>1415</v>
      </c>
      <c r="G22" s="52">
        <f t="shared" si="1"/>
        <v>4</v>
      </c>
      <c r="H22" s="64">
        <v>339352</v>
      </c>
      <c r="I22" s="417">
        <f t="shared" si="2"/>
        <v>310</v>
      </c>
      <c r="J22" s="66">
        <f t="shared" si="11"/>
        <v>77.5</v>
      </c>
      <c r="K22" s="64">
        <v>1802</v>
      </c>
      <c r="L22" s="52">
        <f t="shared" si="3"/>
        <v>0</v>
      </c>
      <c r="M22" s="64">
        <v>131602</v>
      </c>
      <c r="N22" s="417">
        <f t="shared" si="4"/>
        <v>0</v>
      </c>
      <c r="O22" s="67">
        <f t="shared" si="5"/>
        <v>0</v>
      </c>
      <c r="P22" s="64">
        <v>1656</v>
      </c>
      <c r="Q22" s="64">
        <v>141745</v>
      </c>
      <c r="R22" s="416">
        <f t="shared" si="39"/>
        <v>260</v>
      </c>
      <c r="S22" s="52">
        <f t="shared" si="12"/>
        <v>4</v>
      </c>
      <c r="T22" s="68">
        <f t="shared" si="24"/>
        <v>0</v>
      </c>
      <c r="U22" s="423">
        <f t="shared" si="13"/>
        <v>8</v>
      </c>
      <c r="V22" s="62">
        <f t="shared" si="14"/>
        <v>570</v>
      </c>
      <c r="W22" s="421"/>
      <c r="X22" s="64">
        <v>2363</v>
      </c>
      <c r="Y22" s="52">
        <f t="shared" si="16"/>
        <v>10</v>
      </c>
      <c r="Z22" s="64">
        <v>132877.70000000001</v>
      </c>
      <c r="AA22" s="65">
        <f t="shared" si="7"/>
        <v>552</v>
      </c>
      <c r="AB22" s="296">
        <f t="shared" si="42"/>
        <v>0</v>
      </c>
      <c r="AC22" s="64">
        <f t="shared" si="31"/>
        <v>1801</v>
      </c>
      <c r="AD22" s="45">
        <f t="shared" si="8"/>
        <v>0</v>
      </c>
      <c r="AE22" s="64">
        <f t="shared" si="32"/>
        <v>357717.4</v>
      </c>
      <c r="AF22" s="323">
        <f t="shared" si="17"/>
        <v>0</v>
      </c>
      <c r="AG22" s="213">
        <f t="shared" si="26"/>
        <v>0</v>
      </c>
      <c r="AH22" s="62">
        <f t="shared" si="27"/>
        <v>552</v>
      </c>
      <c r="AI22" s="334">
        <f t="shared" si="18"/>
        <v>1122</v>
      </c>
      <c r="AJ22" s="334">
        <f>-tanks!AW23</f>
        <v>1122</v>
      </c>
      <c r="AK22" s="334">
        <f t="shared" si="19"/>
        <v>0</v>
      </c>
      <c r="AL22" s="334">
        <f t="shared" si="43"/>
        <v>8</v>
      </c>
      <c r="AM22" s="334">
        <f t="shared" si="20"/>
        <v>10</v>
      </c>
      <c r="AN22" s="64">
        <v>69</v>
      </c>
      <c r="AO22" s="336">
        <f t="shared" si="21"/>
        <v>2070</v>
      </c>
      <c r="AP22" s="64">
        <v>71</v>
      </c>
      <c r="AQ22" s="336">
        <f t="shared" si="22"/>
        <v>2130</v>
      </c>
      <c r="AR22" s="64">
        <v>72</v>
      </c>
      <c r="AS22" s="336">
        <f t="shared" si="28"/>
        <v>2160</v>
      </c>
      <c r="AT22" s="336">
        <f t="shared" si="29"/>
        <v>6360</v>
      </c>
      <c r="AU22" s="336">
        <f t="shared" si="30"/>
        <v>150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v>245</v>
      </c>
      <c r="C23" s="64">
        <v>249.4</v>
      </c>
      <c r="D23" s="45">
        <f t="shared" si="0"/>
        <v>6.9999999999999716</v>
      </c>
      <c r="E23" s="45">
        <f t="shared" si="10"/>
        <v>58.659999999999769</v>
      </c>
      <c r="F23" s="64">
        <v>1418</v>
      </c>
      <c r="G23" s="52">
        <f t="shared" si="1"/>
        <v>3</v>
      </c>
      <c r="H23" s="64">
        <v>339608</v>
      </c>
      <c r="I23" s="417">
        <f t="shared" si="2"/>
        <v>256</v>
      </c>
      <c r="J23" s="66">
        <f t="shared" si="11"/>
        <v>85.333333333333329</v>
      </c>
      <c r="K23" s="64">
        <v>1805</v>
      </c>
      <c r="L23" s="52">
        <f t="shared" si="3"/>
        <v>3</v>
      </c>
      <c r="M23" s="64">
        <v>131845</v>
      </c>
      <c r="N23" s="417">
        <f t="shared" si="4"/>
        <v>243</v>
      </c>
      <c r="O23" s="67">
        <f t="shared" si="5"/>
        <v>225.62692307692308</v>
      </c>
      <c r="P23" s="64">
        <v>1656</v>
      </c>
      <c r="Q23" s="64">
        <v>141745</v>
      </c>
      <c r="R23" s="416">
        <f t="shared" si="39"/>
        <v>0</v>
      </c>
      <c r="S23" s="52">
        <f t="shared" si="12"/>
        <v>0</v>
      </c>
      <c r="T23" s="68">
        <f t="shared" si="24"/>
        <v>0</v>
      </c>
      <c r="U23" s="423">
        <f t="shared" si="13"/>
        <v>6</v>
      </c>
      <c r="V23" s="62">
        <f t="shared" si="14"/>
        <v>499</v>
      </c>
      <c r="W23" s="421"/>
      <c r="X23" s="64">
        <v>2363</v>
      </c>
      <c r="Y23" s="52">
        <f t="shared" si="16"/>
        <v>0</v>
      </c>
      <c r="Z23" s="64">
        <v>132877.70000000001</v>
      </c>
      <c r="AA23" s="65">
        <f t="shared" si="7"/>
        <v>0</v>
      </c>
      <c r="AB23" s="296">
        <f t="shared" si="42"/>
        <v>0</v>
      </c>
      <c r="AC23" s="64">
        <v>1801</v>
      </c>
      <c r="AD23" s="45">
        <f t="shared" si="8"/>
        <v>0</v>
      </c>
      <c r="AE23" s="64">
        <v>357717.4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499</v>
      </c>
      <c r="AJ23" s="334">
        <f>-tanks!AW24</f>
        <v>499</v>
      </c>
      <c r="AK23" s="334">
        <f t="shared" si="19"/>
        <v>0</v>
      </c>
      <c r="AL23" s="334">
        <f t="shared" si="43"/>
        <v>6</v>
      </c>
      <c r="AM23" s="334">
        <f t="shared" si="20"/>
        <v>0</v>
      </c>
      <c r="AN23" s="64">
        <v>67</v>
      </c>
      <c r="AO23" s="336">
        <f t="shared" si="21"/>
        <v>2010.0000000000002</v>
      </c>
      <c r="AP23" s="64">
        <v>69</v>
      </c>
      <c r="AQ23" s="336">
        <f t="shared" si="22"/>
        <v>2070</v>
      </c>
      <c r="AR23" s="64">
        <v>70</v>
      </c>
      <c r="AS23" s="336">
        <f t="shared" si="28"/>
        <v>2100</v>
      </c>
      <c r="AT23" s="336">
        <f t="shared" si="29"/>
        <v>6180</v>
      </c>
      <c r="AU23" s="336">
        <f t="shared" si="30"/>
        <v>180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f t="shared" ref="B24:B35" si="44">B23</f>
        <v>245</v>
      </c>
      <c r="C24" s="64">
        <f t="shared" ref="C24:C35" si="45">C23</f>
        <v>249.4</v>
      </c>
      <c r="D24" s="45">
        <f t="shared" si="0"/>
        <v>0</v>
      </c>
      <c r="E24" s="45">
        <f t="shared" si="10"/>
        <v>0</v>
      </c>
      <c r="F24" s="64">
        <f t="shared" si="40"/>
        <v>1418</v>
      </c>
      <c r="G24" s="52">
        <f t="shared" si="1"/>
        <v>0</v>
      </c>
      <c r="H24" s="64">
        <f t="shared" si="41"/>
        <v>339608</v>
      </c>
      <c r="I24" s="417">
        <f t="shared" si="2"/>
        <v>0</v>
      </c>
      <c r="J24" s="66">
        <f t="shared" si="11"/>
        <v>0</v>
      </c>
      <c r="K24" s="64">
        <f t="shared" si="33"/>
        <v>1805</v>
      </c>
      <c r="L24" s="52">
        <f t="shared" si="3"/>
        <v>0</v>
      </c>
      <c r="M24" s="64">
        <f t="shared" si="34"/>
        <v>131845</v>
      </c>
      <c r="N24" s="417">
        <f t="shared" si="4"/>
        <v>0</v>
      </c>
      <c r="O24" s="67">
        <f t="shared" si="5"/>
        <v>0</v>
      </c>
      <c r="P24" s="64">
        <f t="shared" si="37"/>
        <v>1656</v>
      </c>
      <c r="Q24" s="64">
        <f t="shared" si="38"/>
        <v>141745</v>
      </c>
      <c r="R24" s="416">
        <f t="shared" si="39"/>
        <v>0</v>
      </c>
      <c r="S24" s="52">
        <f t="shared" ref="S24:S33" si="46">SUM(P24-P23)</f>
        <v>0</v>
      </c>
      <c r="T24" s="68">
        <f t="shared" si="24"/>
        <v>0</v>
      </c>
      <c r="U24" s="423">
        <f t="shared" si="13"/>
        <v>0</v>
      </c>
      <c r="V24" s="62">
        <f t="shared" si="14"/>
        <v>0</v>
      </c>
      <c r="W24" s="421"/>
      <c r="X24" s="64">
        <f t="shared" si="35"/>
        <v>2363</v>
      </c>
      <c r="Y24" s="52">
        <f t="shared" si="16"/>
        <v>0</v>
      </c>
      <c r="Z24" s="64">
        <f t="shared" si="36"/>
        <v>132877.70000000001</v>
      </c>
      <c r="AA24" s="65">
        <f t="shared" si="7"/>
        <v>0</v>
      </c>
      <c r="AB24" s="296">
        <f t="shared" ref="AB24:AB34" si="47">SUM(Y24*$AB$2)</f>
        <v>0</v>
      </c>
      <c r="AC24" s="64">
        <f t="shared" si="31"/>
        <v>1801</v>
      </c>
      <c r="AD24" s="45">
        <f t="shared" si="8"/>
        <v>0</v>
      </c>
      <c r="AE24" s="64">
        <f t="shared" si="32"/>
        <v>357717.4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0</v>
      </c>
      <c r="AJ24" s="334">
        <f>-tanks!AW25</f>
        <v>0</v>
      </c>
      <c r="AK24" s="334">
        <f t="shared" si="19"/>
        <v>0</v>
      </c>
      <c r="AL24" s="334">
        <f t="shared" si="43"/>
        <v>0</v>
      </c>
      <c r="AM24" s="334">
        <f t="shared" si="20"/>
        <v>0</v>
      </c>
      <c r="AN24" s="64">
        <f t="shared" ref="AN24:AN35" si="48">AN23</f>
        <v>67</v>
      </c>
      <c r="AO24" s="336">
        <f t="shared" si="21"/>
        <v>2010.0000000000002</v>
      </c>
      <c r="AP24" s="64">
        <f t="shared" ref="AP24:AP35" si="49">AP23</f>
        <v>69</v>
      </c>
      <c r="AQ24" s="336">
        <f t="shared" si="22"/>
        <v>2070</v>
      </c>
      <c r="AR24" s="64">
        <f t="shared" ref="AR24:AR35" si="50">AR23</f>
        <v>70</v>
      </c>
      <c r="AS24" s="336">
        <f t="shared" si="28"/>
        <v>2100</v>
      </c>
      <c r="AT24" s="336">
        <f t="shared" ref="AT24:AT34" si="51">SUM(AO24+AQ24+AS24)</f>
        <v>6180</v>
      </c>
      <c r="AU24" s="336">
        <f t="shared" si="30"/>
        <v>1400</v>
      </c>
      <c r="AV24" s="276">
        <v>1400</v>
      </c>
      <c r="AW24" s="276">
        <v>0.7</v>
      </c>
      <c r="AX24" s="329">
        <f t="shared" si="23"/>
        <v>0.7</v>
      </c>
    </row>
    <row r="25" spans="1:50" ht="13.5" customHeight="1">
      <c r="A25" s="63">
        <f>ELEC!C23</f>
        <v>43882</v>
      </c>
      <c r="B25" s="64">
        <f t="shared" si="44"/>
        <v>245</v>
      </c>
      <c r="C25" s="64">
        <f t="shared" si="45"/>
        <v>249.4</v>
      </c>
      <c r="D25" s="45">
        <f t="shared" si="0"/>
        <v>0</v>
      </c>
      <c r="E25" s="45">
        <f t="shared" si="10"/>
        <v>0</v>
      </c>
      <c r="F25" s="64">
        <f t="shared" si="40"/>
        <v>1418</v>
      </c>
      <c r="G25" s="52">
        <f t="shared" si="1"/>
        <v>0</v>
      </c>
      <c r="H25" s="64">
        <f t="shared" si="41"/>
        <v>339608</v>
      </c>
      <c r="I25" s="417">
        <f t="shared" si="2"/>
        <v>0</v>
      </c>
      <c r="J25" s="66">
        <f t="shared" si="11"/>
        <v>0</v>
      </c>
      <c r="K25" s="64">
        <f t="shared" si="33"/>
        <v>1805</v>
      </c>
      <c r="L25" s="52">
        <f t="shared" si="3"/>
        <v>0</v>
      </c>
      <c r="M25" s="64">
        <f t="shared" si="34"/>
        <v>131845</v>
      </c>
      <c r="N25" s="417">
        <f t="shared" si="4"/>
        <v>0</v>
      </c>
      <c r="O25" s="67">
        <f t="shared" si="5"/>
        <v>0</v>
      </c>
      <c r="P25" s="64">
        <f t="shared" si="37"/>
        <v>1656</v>
      </c>
      <c r="Q25" s="64">
        <f t="shared" si="38"/>
        <v>141745</v>
      </c>
      <c r="R25" s="416">
        <f t="shared" si="39"/>
        <v>0</v>
      </c>
      <c r="S25" s="52">
        <f t="shared" si="46"/>
        <v>0</v>
      </c>
      <c r="T25" s="68">
        <f t="shared" si="24"/>
        <v>0</v>
      </c>
      <c r="U25" s="423">
        <f t="shared" si="13"/>
        <v>0</v>
      </c>
      <c r="V25" s="62">
        <f t="shared" si="14"/>
        <v>0</v>
      </c>
      <c r="W25" s="421"/>
      <c r="X25" s="64">
        <f t="shared" si="35"/>
        <v>2363</v>
      </c>
      <c r="Y25" s="52">
        <f t="shared" si="16"/>
        <v>0</v>
      </c>
      <c r="Z25" s="64">
        <f t="shared" si="36"/>
        <v>132877.70000000001</v>
      </c>
      <c r="AA25" s="65">
        <f t="shared" si="7"/>
        <v>0</v>
      </c>
      <c r="AB25" s="296">
        <f t="shared" si="47"/>
        <v>0</v>
      </c>
      <c r="AC25" s="64">
        <f t="shared" si="31"/>
        <v>1801</v>
      </c>
      <c r="AD25" s="45">
        <f t="shared" si="8"/>
        <v>0</v>
      </c>
      <c r="AE25" s="64">
        <f t="shared" si="32"/>
        <v>357717.4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4">
        <f t="shared" si="18"/>
        <v>0</v>
      </c>
      <c r="AJ25" s="334">
        <f>-tanks!AW26</f>
        <v>0</v>
      </c>
      <c r="AK25" s="334">
        <f t="shared" si="19"/>
        <v>0</v>
      </c>
      <c r="AL25" s="334">
        <f t="shared" si="43"/>
        <v>0</v>
      </c>
      <c r="AM25" s="334">
        <f t="shared" si="20"/>
        <v>0</v>
      </c>
      <c r="AN25" s="64">
        <f t="shared" si="48"/>
        <v>67</v>
      </c>
      <c r="AO25" s="336">
        <f t="shared" si="21"/>
        <v>2010.0000000000002</v>
      </c>
      <c r="AP25" s="64">
        <f t="shared" si="49"/>
        <v>69</v>
      </c>
      <c r="AQ25" s="336">
        <f t="shared" ref="AQ25:AQ34" si="52">(AP25/100)*3000</f>
        <v>2070</v>
      </c>
      <c r="AR25" s="64">
        <f t="shared" si="50"/>
        <v>70</v>
      </c>
      <c r="AS25" s="336">
        <f t="shared" si="28"/>
        <v>2100</v>
      </c>
      <c r="AT25" s="336">
        <f t="shared" si="51"/>
        <v>6180</v>
      </c>
      <c r="AU25" s="336">
        <f t="shared" si="30"/>
        <v>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f t="shared" si="44"/>
        <v>245</v>
      </c>
      <c r="C26" s="64">
        <f t="shared" si="45"/>
        <v>249.4</v>
      </c>
      <c r="D26" s="45">
        <f t="shared" si="0"/>
        <v>0</v>
      </c>
      <c r="E26" s="45">
        <f t="shared" si="10"/>
        <v>0</v>
      </c>
      <c r="F26" s="64">
        <f t="shared" si="40"/>
        <v>1418</v>
      </c>
      <c r="G26" s="52">
        <f t="shared" si="1"/>
        <v>0</v>
      </c>
      <c r="H26" s="64">
        <f t="shared" si="41"/>
        <v>339608</v>
      </c>
      <c r="I26" s="417">
        <f t="shared" si="2"/>
        <v>0</v>
      </c>
      <c r="J26" s="66">
        <f t="shared" si="11"/>
        <v>0</v>
      </c>
      <c r="K26" s="64">
        <f t="shared" si="33"/>
        <v>1805</v>
      </c>
      <c r="L26" s="52">
        <f t="shared" si="3"/>
        <v>0</v>
      </c>
      <c r="M26" s="64">
        <f t="shared" si="34"/>
        <v>131845</v>
      </c>
      <c r="N26" s="417">
        <f t="shared" si="4"/>
        <v>0</v>
      </c>
      <c r="O26" s="67">
        <f t="shared" si="5"/>
        <v>0</v>
      </c>
      <c r="P26" s="64">
        <f t="shared" si="37"/>
        <v>1656</v>
      </c>
      <c r="Q26" s="64">
        <f t="shared" si="38"/>
        <v>141745</v>
      </c>
      <c r="R26" s="416">
        <f t="shared" si="39"/>
        <v>0</v>
      </c>
      <c r="S26" s="52">
        <f t="shared" si="46"/>
        <v>0</v>
      </c>
      <c r="T26" s="68">
        <f t="shared" si="24"/>
        <v>0</v>
      </c>
      <c r="U26" s="423">
        <f t="shared" si="13"/>
        <v>0</v>
      </c>
      <c r="V26" s="62">
        <f t="shared" si="14"/>
        <v>0</v>
      </c>
      <c r="W26" s="421"/>
      <c r="X26" s="64">
        <f t="shared" si="35"/>
        <v>2363</v>
      </c>
      <c r="Y26" s="52">
        <f t="shared" si="16"/>
        <v>0</v>
      </c>
      <c r="Z26" s="64">
        <f t="shared" si="36"/>
        <v>132877.70000000001</v>
      </c>
      <c r="AA26" s="65">
        <f t="shared" si="7"/>
        <v>0</v>
      </c>
      <c r="AB26" s="296">
        <f t="shared" si="47"/>
        <v>0</v>
      </c>
      <c r="AC26" s="64">
        <f t="shared" si="31"/>
        <v>1801</v>
      </c>
      <c r="AD26" s="45">
        <f t="shared" si="8"/>
        <v>0</v>
      </c>
      <c r="AE26" s="64">
        <f t="shared" si="32"/>
        <v>357717.4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4">
        <f t="shared" si="18"/>
        <v>0</v>
      </c>
      <c r="AJ26" s="334">
        <f>-tanks!AW27</f>
        <v>0</v>
      </c>
      <c r="AK26" s="334">
        <f t="shared" si="19"/>
        <v>0</v>
      </c>
      <c r="AL26" s="334">
        <f t="shared" si="43"/>
        <v>0</v>
      </c>
      <c r="AM26" s="334">
        <f t="shared" si="20"/>
        <v>0</v>
      </c>
      <c r="AN26" s="64">
        <f t="shared" si="48"/>
        <v>67</v>
      </c>
      <c r="AO26" s="336">
        <f t="shared" si="21"/>
        <v>2010.0000000000002</v>
      </c>
      <c r="AP26" s="64">
        <f t="shared" si="49"/>
        <v>69</v>
      </c>
      <c r="AQ26" s="336">
        <f t="shared" si="52"/>
        <v>2070</v>
      </c>
      <c r="AR26" s="64">
        <f t="shared" si="50"/>
        <v>70</v>
      </c>
      <c r="AS26" s="336">
        <f t="shared" si="28"/>
        <v>2100</v>
      </c>
      <c r="AT26" s="336">
        <f t="shared" si="51"/>
        <v>6180</v>
      </c>
      <c r="AU26" s="336">
        <f t="shared" si="30"/>
        <v>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f t="shared" si="44"/>
        <v>245</v>
      </c>
      <c r="C27" s="64">
        <f t="shared" si="45"/>
        <v>249.4</v>
      </c>
      <c r="D27" s="45">
        <f t="shared" si="0"/>
        <v>0</v>
      </c>
      <c r="E27" s="45">
        <f t="shared" si="10"/>
        <v>0</v>
      </c>
      <c r="F27" s="64">
        <f t="shared" si="40"/>
        <v>1418</v>
      </c>
      <c r="G27" s="52">
        <f t="shared" si="1"/>
        <v>0</v>
      </c>
      <c r="H27" s="64">
        <f t="shared" si="41"/>
        <v>339608</v>
      </c>
      <c r="I27" s="417">
        <f t="shared" si="2"/>
        <v>0</v>
      </c>
      <c r="J27" s="66">
        <f t="shared" si="11"/>
        <v>0</v>
      </c>
      <c r="K27" s="64">
        <f t="shared" si="33"/>
        <v>1805</v>
      </c>
      <c r="L27" s="52">
        <f t="shared" si="3"/>
        <v>0</v>
      </c>
      <c r="M27" s="64">
        <f t="shared" si="34"/>
        <v>131845</v>
      </c>
      <c r="N27" s="417">
        <f t="shared" si="4"/>
        <v>0</v>
      </c>
      <c r="O27" s="67">
        <f t="shared" si="5"/>
        <v>0</v>
      </c>
      <c r="P27" s="64">
        <f t="shared" si="37"/>
        <v>1656</v>
      </c>
      <c r="Q27" s="64">
        <f t="shared" si="38"/>
        <v>141745</v>
      </c>
      <c r="R27" s="416">
        <f t="shared" si="39"/>
        <v>0</v>
      </c>
      <c r="S27" s="52">
        <f t="shared" si="46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5"/>
        <v>2363</v>
      </c>
      <c r="Y27" s="52">
        <f t="shared" si="16"/>
        <v>0</v>
      </c>
      <c r="Z27" s="64">
        <f t="shared" si="36"/>
        <v>132877.70000000001</v>
      </c>
      <c r="AA27" s="65">
        <f t="shared" si="7"/>
        <v>0</v>
      </c>
      <c r="AB27" s="296">
        <f t="shared" si="47"/>
        <v>0</v>
      </c>
      <c r="AC27" s="64">
        <f t="shared" si="31"/>
        <v>1801</v>
      </c>
      <c r="AD27" s="45">
        <f t="shared" si="8"/>
        <v>0</v>
      </c>
      <c r="AE27" s="64">
        <f t="shared" si="32"/>
        <v>357717.4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3"/>
        <v>0</v>
      </c>
      <c r="AM27" s="334">
        <f t="shared" si="20"/>
        <v>0</v>
      </c>
      <c r="AN27" s="64">
        <f t="shared" si="48"/>
        <v>67</v>
      </c>
      <c r="AO27" s="336">
        <f>(AN27/100)*3000</f>
        <v>2010.0000000000002</v>
      </c>
      <c r="AP27" s="64">
        <f t="shared" si="49"/>
        <v>69</v>
      </c>
      <c r="AQ27" s="336">
        <f t="shared" si="52"/>
        <v>2070</v>
      </c>
      <c r="AR27" s="64">
        <f t="shared" si="50"/>
        <v>70</v>
      </c>
      <c r="AS27" s="336">
        <f t="shared" si="28"/>
        <v>2100</v>
      </c>
      <c r="AT27" s="336">
        <f t="shared" si="51"/>
        <v>6180</v>
      </c>
      <c r="AU27" s="336">
        <f t="shared" si="30"/>
        <v>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si="44"/>
        <v>245</v>
      </c>
      <c r="C28" s="64">
        <f t="shared" si="45"/>
        <v>249.4</v>
      </c>
      <c r="D28" s="45">
        <f t="shared" si="0"/>
        <v>0</v>
      </c>
      <c r="E28" s="45">
        <f t="shared" si="10"/>
        <v>0</v>
      </c>
      <c r="F28" s="64">
        <f t="shared" si="40"/>
        <v>1418</v>
      </c>
      <c r="G28" s="52">
        <f t="shared" si="1"/>
        <v>0</v>
      </c>
      <c r="H28" s="64">
        <f t="shared" si="41"/>
        <v>339608</v>
      </c>
      <c r="I28" s="417">
        <f t="shared" si="2"/>
        <v>0</v>
      </c>
      <c r="J28" s="66">
        <f t="shared" si="11"/>
        <v>0</v>
      </c>
      <c r="K28" s="64">
        <f t="shared" si="33"/>
        <v>1805</v>
      </c>
      <c r="L28" s="52">
        <f t="shared" si="3"/>
        <v>0</v>
      </c>
      <c r="M28" s="64">
        <f t="shared" si="34"/>
        <v>131845</v>
      </c>
      <c r="N28" s="417">
        <f t="shared" si="4"/>
        <v>0</v>
      </c>
      <c r="O28" s="67">
        <f t="shared" si="5"/>
        <v>0</v>
      </c>
      <c r="P28" s="64">
        <f t="shared" si="37"/>
        <v>1656</v>
      </c>
      <c r="Q28" s="64">
        <f t="shared" si="38"/>
        <v>141745</v>
      </c>
      <c r="R28" s="416">
        <f t="shared" si="39"/>
        <v>0</v>
      </c>
      <c r="S28" s="52">
        <f t="shared" si="46"/>
        <v>0</v>
      </c>
      <c r="T28" s="68">
        <f t="shared" si="24"/>
        <v>0</v>
      </c>
      <c r="U28" s="423">
        <f t="shared" si="13"/>
        <v>0</v>
      </c>
      <c r="V28" s="62">
        <f t="shared" si="14"/>
        <v>0</v>
      </c>
      <c r="W28" s="421"/>
      <c r="X28" s="64">
        <f t="shared" si="35"/>
        <v>2363</v>
      </c>
      <c r="Y28" s="52">
        <f t="shared" si="16"/>
        <v>0</v>
      </c>
      <c r="Z28" s="64">
        <f t="shared" si="36"/>
        <v>132877.70000000001</v>
      </c>
      <c r="AA28" s="65">
        <f t="shared" si="7"/>
        <v>0</v>
      </c>
      <c r="AB28" s="296">
        <f t="shared" si="47"/>
        <v>0</v>
      </c>
      <c r="AC28" s="64">
        <f t="shared" si="31"/>
        <v>1801</v>
      </c>
      <c r="AD28" s="45">
        <f t="shared" si="8"/>
        <v>0</v>
      </c>
      <c r="AE28" s="64">
        <f t="shared" si="32"/>
        <v>357717.4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 t="shared" si="18"/>
        <v>0</v>
      </c>
      <c r="AJ28" s="334">
        <f>-tanks!AW29</f>
        <v>0</v>
      </c>
      <c r="AK28" s="334">
        <f t="shared" si="19"/>
        <v>0</v>
      </c>
      <c r="AL28" s="334">
        <f t="shared" si="43"/>
        <v>0</v>
      </c>
      <c r="AM28" s="334">
        <f t="shared" si="20"/>
        <v>0</v>
      </c>
      <c r="AN28" s="64">
        <f t="shared" si="48"/>
        <v>67</v>
      </c>
      <c r="AO28" s="336">
        <f t="shared" ref="AO28:AO34" si="53">(AN28/100)*3000</f>
        <v>2010.0000000000002</v>
      </c>
      <c r="AP28" s="64">
        <f t="shared" si="49"/>
        <v>69</v>
      </c>
      <c r="AQ28" s="336">
        <f t="shared" si="52"/>
        <v>2070</v>
      </c>
      <c r="AR28" s="64">
        <f t="shared" si="50"/>
        <v>70</v>
      </c>
      <c r="AS28" s="336">
        <f t="shared" si="28"/>
        <v>2100</v>
      </c>
      <c r="AT28" s="336">
        <f t="shared" si="51"/>
        <v>6180</v>
      </c>
      <c r="AU28" s="336">
        <f t="shared" si="30"/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44"/>
        <v>245</v>
      </c>
      <c r="C29" s="64">
        <f t="shared" si="45"/>
        <v>249.4</v>
      </c>
      <c r="D29" s="45">
        <f t="shared" si="0"/>
        <v>0</v>
      </c>
      <c r="E29" s="45">
        <f t="shared" ref="E29:E34" si="54">D29*8.38</f>
        <v>0</v>
      </c>
      <c r="F29" s="64">
        <f t="shared" si="40"/>
        <v>1418</v>
      </c>
      <c r="G29" s="52">
        <f t="shared" si="1"/>
        <v>0</v>
      </c>
      <c r="H29" s="64">
        <f t="shared" si="41"/>
        <v>339608</v>
      </c>
      <c r="I29" s="417">
        <f t="shared" si="2"/>
        <v>0</v>
      </c>
      <c r="J29" s="66">
        <f t="shared" si="11"/>
        <v>0</v>
      </c>
      <c r="K29" s="64">
        <f t="shared" si="33"/>
        <v>1805</v>
      </c>
      <c r="L29" s="52">
        <f t="shared" si="3"/>
        <v>0</v>
      </c>
      <c r="M29" s="64">
        <f t="shared" si="34"/>
        <v>131845</v>
      </c>
      <c r="N29" s="417">
        <f t="shared" si="4"/>
        <v>0</v>
      </c>
      <c r="O29" s="67">
        <f t="shared" si="5"/>
        <v>0</v>
      </c>
      <c r="P29" s="64">
        <f t="shared" si="37"/>
        <v>1656</v>
      </c>
      <c r="Q29" s="64">
        <f t="shared" si="38"/>
        <v>141745</v>
      </c>
      <c r="R29" s="416">
        <f t="shared" si="39"/>
        <v>0</v>
      </c>
      <c r="S29" s="52">
        <f t="shared" si="46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si="35"/>
        <v>2363</v>
      </c>
      <c r="Y29" s="52">
        <f t="shared" si="16"/>
        <v>0</v>
      </c>
      <c r="Z29" s="64">
        <f t="shared" si="36"/>
        <v>132877.70000000001</v>
      </c>
      <c r="AA29" s="65">
        <f t="shared" si="7"/>
        <v>0</v>
      </c>
      <c r="AB29" s="296">
        <f t="shared" si="47"/>
        <v>0</v>
      </c>
      <c r="AC29" s="64">
        <f t="shared" si="31"/>
        <v>1801</v>
      </c>
      <c r="AD29" s="45">
        <f t="shared" si="8"/>
        <v>0</v>
      </c>
      <c r="AE29" s="64">
        <f t="shared" si="32"/>
        <v>357717.4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3"/>
        <v>0</v>
      </c>
      <c r="AM29" s="334">
        <f t="shared" si="20"/>
        <v>0</v>
      </c>
      <c r="AN29" s="64">
        <f t="shared" si="48"/>
        <v>67</v>
      </c>
      <c r="AO29" s="336">
        <f t="shared" si="53"/>
        <v>2010.0000000000002</v>
      </c>
      <c r="AP29" s="64">
        <f t="shared" si="49"/>
        <v>69</v>
      </c>
      <c r="AQ29" s="336">
        <f t="shared" si="52"/>
        <v>2070</v>
      </c>
      <c r="AR29" s="64">
        <f t="shared" si="50"/>
        <v>70</v>
      </c>
      <c r="AS29" s="336">
        <f t="shared" si="28"/>
        <v>2100</v>
      </c>
      <c r="AT29" s="336">
        <f>SUM(AO29+AQ29+AS29)</f>
        <v>6180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44"/>
        <v>245</v>
      </c>
      <c r="C30" s="64">
        <f t="shared" si="45"/>
        <v>249.4</v>
      </c>
      <c r="D30" s="45">
        <f t="shared" si="0"/>
        <v>0</v>
      </c>
      <c r="E30" s="45">
        <f t="shared" si="54"/>
        <v>0</v>
      </c>
      <c r="F30" s="64">
        <f t="shared" si="40"/>
        <v>1418</v>
      </c>
      <c r="G30" s="52">
        <f t="shared" si="1"/>
        <v>0</v>
      </c>
      <c r="H30" s="64">
        <f t="shared" si="41"/>
        <v>339608</v>
      </c>
      <c r="I30" s="417">
        <f t="shared" si="2"/>
        <v>0</v>
      </c>
      <c r="J30" s="66">
        <f t="shared" si="11"/>
        <v>0</v>
      </c>
      <c r="K30" s="64">
        <f t="shared" si="33"/>
        <v>1805</v>
      </c>
      <c r="L30" s="52">
        <f t="shared" si="3"/>
        <v>0</v>
      </c>
      <c r="M30" s="64">
        <f t="shared" si="34"/>
        <v>131845</v>
      </c>
      <c r="N30" s="417">
        <f t="shared" si="4"/>
        <v>0</v>
      </c>
      <c r="O30" s="67">
        <f t="shared" si="5"/>
        <v>0</v>
      </c>
      <c r="P30" s="64">
        <f t="shared" si="37"/>
        <v>1656</v>
      </c>
      <c r="Q30" s="64">
        <f t="shared" si="38"/>
        <v>141745</v>
      </c>
      <c r="R30" s="416">
        <f t="shared" si="39"/>
        <v>0</v>
      </c>
      <c r="S30" s="52">
        <f t="shared" si="46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35"/>
        <v>2363</v>
      </c>
      <c r="Y30" s="52">
        <f t="shared" si="16"/>
        <v>0</v>
      </c>
      <c r="Z30" s="64">
        <f t="shared" si="36"/>
        <v>132877.70000000001</v>
      </c>
      <c r="AA30" s="65">
        <f t="shared" si="7"/>
        <v>0</v>
      </c>
      <c r="AB30" s="296">
        <f t="shared" si="47"/>
        <v>0</v>
      </c>
      <c r="AC30" s="64">
        <f t="shared" si="31"/>
        <v>1801</v>
      </c>
      <c r="AD30" s="45">
        <f t="shared" si="8"/>
        <v>0</v>
      </c>
      <c r="AE30" s="64">
        <f t="shared" si="32"/>
        <v>357717.4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3"/>
        <v>0</v>
      </c>
      <c r="AM30" s="334">
        <f t="shared" si="20"/>
        <v>0</v>
      </c>
      <c r="AN30" s="64">
        <f t="shared" si="48"/>
        <v>67</v>
      </c>
      <c r="AO30" s="336">
        <f t="shared" si="53"/>
        <v>2010.0000000000002</v>
      </c>
      <c r="AP30" s="64">
        <f t="shared" si="49"/>
        <v>69</v>
      </c>
      <c r="AQ30" s="336">
        <f t="shared" si="52"/>
        <v>2070</v>
      </c>
      <c r="AR30" s="64">
        <f t="shared" si="50"/>
        <v>70</v>
      </c>
      <c r="AS30" s="336">
        <f t="shared" si="28"/>
        <v>2100</v>
      </c>
      <c r="AT30" s="336">
        <f t="shared" si="51"/>
        <v>6180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44"/>
        <v>245</v>
      </c>
      <c r="C31" s="64">
        <f t="shared" si="45"/>
        <v>249.4</v>
      </c>
      <c r="D31" s="45">
        <f t="shared" si="0"/>
        <v>0</v>
      </c>
      <c r="E31" s="45">
        <f t="shared" si="54"/>
        <v>0</v>
      </c>
      <c r="F31" s="64">
        <f t="shared" si="40"/>
        <v>1418</v>
      </c>
      <c r="G31" s="52">
        <f t="shared" si="1"/>
        <v>0</v>
      </c>
      <c r="H31" s="64">
        <f t="shared" si="41"/>
        <v>339608</v>
      </c>
      <c r="I31" s="417">
        <f t="shared" si="2"/>
        <v>0</v>
      </c>
      <c r="J31" s="66">
        <f t="shared" si="11"/>
        <v>0</v>
      </c>
      <c r="K31" s="64">
        <f t="shared" si="33"/>
        <v>1805</v>
      </c>
      <c r="L31" s="52">
        <f t="shared" si="3"/>
        <v>0</v>
      </c>
      <c r="M31" s="64">
        <f t="shared" si="34"/>
        <v>131845</v>
      </c>
      <c r="N31" s="417">
        <f>M31-M30</f>
        <v>0</v>
      </c>
      <c r="O31" s="67">
        <f t="shared" si="5"/>
        <v>0</v>
      </c>
      <c r="P31" s="64">
        <f t="shared" si="37"/>
        <v>1656</v>
      </c>
      <c r="Q31" s="64">
        <f t="shared" si="38"/>
        <v>141745</v>
      </c>
      <c r="R31" s="416">
        <f t="shared" si="39"/>
        <v>0</v>
      </c>
      <c r="S31" s="52">
        <f t="shared" si="46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35"/>
        <v>2363</v>
      </c>
      <c r="Y31" s="52">
        <f t="shared" si="16"/>
        <v>0</v>
      </c>
      <c r="Z31" s="64">
        <f t="shared" si="36"/>
        <v>132877.70000000001</v>
      </c>
      <c r="AA31" s="65">
        <f t="shared" si="7"/>
        <v>0</v>
      </c>
      <c r="AB31" s="296">
        <f t="shared" si="47"/>
        <v>0</v>
      </c>
      <c r="AC31" s="64">
        <f t="shared" si="31"/>
        <v>1801</v>
      </c>
      <c r="AD31" s="276">
        <f t="shared" si="8"/>
        <v>0</v>
      </c>
      <c r="AE31" s="64">
        <f t="shared" si="32"/>
        <v>357717.4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3"/>
        <v>0</v>
      </c>
      <c r="AM31" s="334">
        <f t="shared" si="20"/>
        <v>0</v>
      </c>
      <c r="AN31" s="64">
        <f t="shared" si="48"/>
        <v>67</v>
      </c>
      <c r="AO31" s="336">
        <f t="shared" si="53"/>
        <v>2010.0000000000002</v>
      </c>
      <c r="AP31" s="64">
        <f t="shared" si="49"/>
        <v>69</v>
      </c>
      <c r="AQ31" s="336">
        <f t="shared" si="52"/>
        <v>2070</v>
      </c>
      <c r="AR31" s="64">
        <f t="shared" si="50"/>
        <v>70</v>
      </c>
      <c r="AS31" s="336">
        <f t="shared" si="28"/>
        <v>2100</v>
      </c>
      <c r="AT31" s="336">
        <f t="shared" si="51"/>
        <v>6180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44"/>
        <v>245</v>
      </c>
      <c r="C32" s="64">
        <f t="shared" si="45"/>
        <v>249.4</v>
      </c>
      <c r="D32" s="45">
        <f t="shared" si="0"/>
        <v>0</v>
      </c>
      <c r="E32" s="45">
        <f t="shared" si="54"/>
        <v>0</v>
      </c>
      <c r="F32" s="64">
        <f t="shared" si="40"/>
        <v>1418</v>
      </c>
      <c r="G32" s="52">
        <f t="shared" si="1"/>
        <v>0</v>
      </c>
      <c r="H32" s="64">
        <f t="shared" si="41"/>
        <v>339608</v>
      </c>
      <c r="I32" s="417">
        <f t="shared" si="2"/>
        <v>0</v>
      </c>
      <c r="J32" s="66">
        <f t="shared" si="11"/>
        <v>0</v>
      </c>
      <c r="K32" s="64">
        <f t="shared" si="33"/>
        <v>1805</v>
      </c>
      <c r="L32" s="52">
        <f t="shared" si="3"/>
        <v>0</v>
      </c>
      <c r="M32" s="64">
        <f t="shared" si="34"/>
        <v>131845</v>
      </c>
      <c r="N32" s="417">
        <f>M32-M31</f>
        <v>0</v>
      </c>
      <c r="O32" s="67">
        <f t="shared" si="5"/>
        <v>0</v>
      </c>
      <c r="P32" s="64">
        <f t="shared" si="37"/>
        <v>1656</v>
      </c>
      <c r="Q32" s="64">
        <f t="shared" si="38"/>
        <v>141745</v>
      </c>
      <c r="R32" s="416">
        <f t="shared" si="39"/>
        <v>0</v>
      </c>
      <c r="S32" s="52">
        <f t="shared" si="46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35"/>
        <v>2363</v>
      </c>
      <c r="Y32" s="52">
        <f t="shared" si="16"/>
        <v>0</v>
      </c>
      <c r="Z32" s="64">
        <f t="shared" si="36"/>
        <v>132877.70000000001</v>
      </c>
      <c r="AA32" s="65">
        <f t="shared" si="7"/>
        <v>0</v>
      </c>
      <c r="AB32" s="296">
        <f t="shared" si="47"/>
        <v>0</v>
      </c>
      <c r="AC32" s="64">
        <f t="shared" si="31"/>
        <v>1801</v>
      </c>
      <c r="AD32" s="276">
        <f t="shared" si="8"/>
        <v>0</v>
      </c>
      <c r="AE32" s="64">
        <f t="shared" si="32"/>
        <v>357717.4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3"/>
        <v>0</v>
      </c>
      <c r="AM32" s="334">
        <f t="shared" si="20"/>
        <v>0</v>
      </c>
      <c r="AN32" s="64">
        <f t="shared" si="48"/>
        <v>67</v>
      </c>
      <c r="AO32" s="336">
        <f t="shared" si="53"/>
        <v>2010.0000000000002</v>
      </c>
      <c r="AP32" s="64">
        <f t="shared" si="49"/>
        <v>69</v>
      </c>
      <c r="AQ32" s="336">
        <f t="shared" si="52"/>
        <v>2070</v>
      </c>
      <c r="AR32" s="64">
        <f t="shared" si="50"/>
        <v>70</v>
      </c>
      <c r="AS32" s="336">
        <f t="shared" si="28"/>
        <v>2100</v>
      </c>
      <c r="AT32" s="336">
        <f t="shared" si="51"/>
        <v>6180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44"/>
        <v>245</v>
      </c>
      <c r="C33" s="64">
        <f t="shared" si="45"/>
        <v>249.4</v>
      </c>
      <c r="D33" s="45">
        <f t="shared" si="0"/>
        <v>0</v>
      </c>
      <c r="E33" s="45">
        <f t="shared" si="54"/>
        <v>0</v>
      </c>
      <c r="F33" s="64">
        <f t="shared" si="40"/>
        <v>1418</v>
      </c>
      <c r="G33" s="52">
        <f t="shared" si="1"/>
        <v>0</v>
      </c>
      <c r="H33" s="64">
        <f t="shared" si="41"/>
        <v>339608</v>
      </c>
      <c r="I33" s="417">
        <f t="shared" si="2"/>
        <v>0</v>
      </c>
      <c r="J33" s="66">
        <f t="shared" si="11"/>
        <v>0</v>
      </c>
      <c r="K33" s="64">
        <f t="shared" si="33"/>
        <v>1805</v>
      </c>
      <c r="L33" s="52">
        <f t="shared" si="3"/>
        <v>0</v>
      </c>
      <c r="M33" s="64">
        <f t="shared" si="34"/>
        <v>131845</v>
      </c>
      <c r="N33" s="417">
        <f>M33-M32</f>
        <v>0</v>
      </c>
      <c r="O33" s="67">
        <f t="shared" si="5"/>
        <v>0</v>
      </c>
      <c r="P33" s="64">
        <f t="shared" si="37"/>
        <v>1656</v>
      </c>
      <c r="Q33" s="64">
        <f t="shared" si="38"/>
        <v>141745</v>
      </c>
      <c r="R33" s="416">
        <f t="shared" si="39"/>
        <v>0</v>
      </c>
      <c r="S33" s="52">
        <f t="shared" si="46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35"/>
        <v>2363</v>
      </c>
      <c r="Y33" s="52">
        <f t="shared" si="16"/>
        <v>0</v>
      </c>
      <c r="Z33" s="64">
        <f t="shared" si="36"/>
        <v>132877.70000000001</v>
      </c>
      <c r="AA33" s="65">
        <f t="shared" si="7"/>
        <v>0</v>
      </c>
      <c r="AB33" s="296">
        <f t="shared" si="47"/>
        <v>0</v>
      </c>
      <c r="AC33" s="64">
        <f t="shared" si="31"/>
        <v>1801</v>
      </c>
      <c r="AD33" s="45">
        <f t="shared" si="8"/>
        <v>0</v>
      </c>
      <c r="AE33" s="64">
        <f t="shared" si="32"/>
        <v>357717.4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3"/>
        <v>0</v>
      </c>
      <c r="AM33" s="334">
        <f t="shared" si="20"/>
        <v>0</v>
      </c>
      <c r="AN33" s="64">
        <f t="shared" si="48"/>
        <v>67</v>
      </c>
      <c r="AO33" s="336">
        <f t="shared" si="53"/>
        <v>2010.0000000000002</v>
      </c>
      <c r="AP33" s="64">
        <f t="shared" si="49"/>
        <v>69</v>
      </c>
      <c r="AQ33" s="336">
        <f t="shared" si="52"/>
        <v>2070</v>
      </c>
      <c r="AR33" s="64">
        <f t="shared" si="50"/>
        <v>70</v>
      </c>
      <c r="AS33" s="336">
        <f t="shared" si="28"/>
        <v>2100</v>
      </c>
      <c r="AT33" s="336">
        <f t="shared" si="51"/>
        <v>6180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44"/>
        <v>245</v>
      </c>
      <c r="C34" s="64">
        <f t="shared" si="45"/>
        <v>249.4</v>
      </c>
      <c r="D34" s="45">
        <f t="shared" si="0"/>
        <v>0</v>
      </c>
      <c r="E34" s="45">
        <f t="shared" si="54"/>
        <v>0</v>
      </c>
      <c r="F34" s="64">
        <f t="shared" si="40"/>
        <v>1418</v>
      </c>
      <c r="G34" s="52">
        <f t="shared" si="1"/>
        <v>0</v>
      </c>
      <c r="H34" s="64">
        <f t="shared" si="41"/>
        <v>339608</v>
      </c>
      <c r="I34" s="417">
        <f t="shared" si="2"/>
        <v>0</v>
      </c>
      <c r="J34" s="66">
        <f t="shared" si="11"/>
        <v>0</v>
      </c>
      <c r="K34" s="64">
        <f t="shared" si="33"/>
        <v>1805</v>
      </c>
      <c r="L34" s="52">
        <f t="shared" si="3"/>
        <v>0</v>
      </c>
      <c r="M34" s="64">
        <f t="shared" si="34"/>
        <v>131845</v>
      </c>
      <c r="N34" s="417">
        <f>M34-M33</f>
        <v>0</v>
      </c>
      <c r="O34" s="67">
        <f t="shared" si="5"/>
        <v>0</v>
      </c>
      <c r="P34" s="64">
        <f t="shared" si="37"/>
        <v>1656</v>
      </c>
      <c r="Q34" s="64">
        <f t="shared" si="38"/>
        <v>141745</v>
      </c>
      <c r="R34" s="416">
        <f t="shared" si="39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35"/>
        <v>2363</v>
      </c>
      <c r="Y34" s="52">
        <f t="shared" si="16"/>
        <v>0</v>
      </c>
      <c r="Z34" s="64">
        <f t="shared" si="36"/>
        <v>132877.70000000001</v>
      </c>
      <c r="AA34" s="65">
        <f t="shared" si="7"/>
        <v>0</v>
      </c>
      <c r="AB34" s="296">
        <f t="shared" si="47"/>
        <v>0</v>
      </c>
      <c r="AC34" s="64">
        <f t="shared" si="31"/>
        <v>1801</v>
      </c>
      <c r="AD34" s="45">
        <f t="shared" si="8"/>
        <v>0</v>
      </c>
      <c r="AE34" s="64">
        <f t="shared" si="32"/>
        <v>357717.4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3"/>
        <v>0</v>
      </c>
      <c r="AM34" s="334">
        <f>Y34+AD34</f>
        <v>0</v>
      </c>
      <c r="AN34" s="64">
        <f t="shared" si="48"/>
        <v>67</v>
      </c>
      <c r="AO34" s="336">
        <f t="shared" si="53"/>
        <v>2010.0000000000002</v>
      </c>
      <c r="AP34" s="64">
        <f t="shared" si="49"/>
        <v>69</v>
      </c>
      <c r="AQ34" s="336">
        <f t="shared" si="52"/>
        <v>2070</v>
      </c>
      <c r="AR34" s="64">
        <f t="shared" si="50"/>
        <v>70</v>
      </c>
      <c r="AS34" s="336">
        <f t="shared" si="28"/>
        <v>2100</v>
      </c>
      <c r="AT34" s="336">
        <f t="shared" si="51"/>
        <v>6180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44"/>
        <v>245</v>
      </c>
      <c r="C35" s="64">
        <f t="shared" si="45"/>
        <v>249.4</v>
      </c>
      <c r="D35" s="45">
        <f>C34-C35</f>
        <v>0</v>
      </c>
      <c r="E35" s="45">
        <f>D35*8.38</f>
        <v>0</v>
      </c>
      <c r="F35" s="64">
        <f t="shared" si="40"/>
        <v>1418</v>
      </c>
      <c r="G35" s="52">
        <f>F35-F34</f>
        <v>0</v>
      </c>
      <c r="H35" s="64">
        <f t="shared" si="41"/>
        <v>339608</v>
      </c>
      <c r="I35" s="417">
        <f>SUM(H35-H34)</f>
        <v>0</v>
      </c>
      <c r="J35" s="66">
        <f>IF(G35&gt;0,I35/G35,0)</f>
        <v>0</v>
      </c>
      <c r="K35" s="64">
        <f t="shared" si="33"/>
        <v>1805</v>
      </c>
      <c r="L35" s="52">
        <f>K35-K34</f>
        <v>0</v>
      </c>
      <c r="M35" s="64">
        <f t="shared" si="34"/>
        <v>131845</v>
      </c>
      <c r="N35" s="417">
        <f>M35-M34</f>
        <v>0</v>
      </c>
      <c r="O35" s="67">
        <f>SUM(L35*$J$1)</f>
        <v>0</v>
      </c>
      <c r="P35" s="64">
        <f t="shared" si="37"/>
        <v>1656</v>
      </c>
      <c r="Q35" s="64">
        <f t="shared" si="38"/>
        <v>141745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35"/>
        <v>2363</v>
      </c>
      <c r="Y35" s="52">
        <f>X35-X34</f>
        <v>0</v>
      </c>
      <c r="Z35" s="64">
        <f t="shared" si="36"/>
        <v>132877.70000000001</v>
      </c>
      <c r="AA35" s="65">
        <f>Z35-Z34</f>
        <v>0</v>
      </c>
      <c r="AB35" s="296">
        <f>SUM(Y35*$AB$2)</f>
        <v>0</v>
      </c>
      <c r="AC35" s="64">
        <f t="shared" si="31"/>
        <v>1801</v>
      </c>
      <c r="AD35" s="45">
        <f>AC35-AC34</f>
        <v>0</v>
      </c>
      <c r="AE35" s="64">
        <f t="shared" si="32"/>
        <v>357717.4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48"/>
        <v>67</v>
      </c>
      <c r="AO35" s="336">
        <f>(AN35/100)*3000</f>
        <v>2010.0000000000002</v>
      </c>
      <c r="AP35" s="64">
        <f t="shared" si="49"/>
        <v>69</v>
      </c>
      <c r="AQ35" s="336">
        <f>(AP35/100)*3000</f>
        <v>2070</v>
      </c>
      <c r="AR35" s="64">
        <f t="shared" si="50"/>
        <v>70</v>
      </c>
      <c r="AS35" s="336">
        <f>(AR35/100)*3000</f>
        <v>2100</v>
      </c>
      <c r="AT35" s="336">
        <f>SUM(AO35+AQ35+AS35)</f>
        <v>6180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75.208974358974359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4</v>
      </c>
      <c r="AT36" s="329"/>
      <c r="AU36" s="329">
        <f>SUM(AU5:AU35)</f>
        <v>4830.1000000000004</v>
      </c>
      <c r="AV36" s="72">
        <f>SUM(AV5:AV35)</f>
        <v>3900.1</v>
      </c>
      <c r="AW36" s="329">
        <f>SUM(AW5:AW35)/AS36</f>
        <v>0.55000000000000004</v>
      </c>
    </row>
    <row r="37" spans="1:50">
      <c r="AH37" s="62">
        <f>AF37+AA37</f>
        <v>0</v>
      </c>
      <c r="AI37" s="337">
        <f>SUM(AI5:AI35)</f>
        <v>15413.200000000012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2463.3510000000001</v>
      </c>
      <c r="AV38" s="329">
        <f>AV36/0.51</f>
        <v>7647.2549019607841</v>
      </c>
      <c r="AW38" s="329">
        <f>SUM(AW5:AW35)/AS36</f>
        <v>0.55000000000000004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1989.0509999999999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Normal="100" workbookViewId="0">
      <pane ySplit="3" topLeftCell="A10" activePane="bottomLeft" state="frozen"/>
      <selection pane="bottomLeft" activeCell="BA24" sqref="BA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0.7109375" style="533" customWidth="1"/>
    <col min="14" max="14" width="10.7109375" style="535" hidden="1" customWidth="1"/>
    <col min="15" max="15" width="11.140625" style="533" hidden="1" customWidth="1"/>
    <col min="16" max="16" width="11.140625" style="535" hidden="1" customWidth="1"/>
    <col min="17" max="17" width="17.28515625" style="533" hidden="1" customWidth="1"/>
    <col min="18" max="18" width="10.85546875" style="533" hidden="1" customWidth="1"/>
    <col min="19" max="19" width="10.7109375" style="533" hidden="1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8868114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17.5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19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v>590459</v>
      </c>
      <c r="H12" s="5">
        <f t="shared" si="12"/>
        <v>334</v>
      </c>
      <c r="I12" s="5">
        <f t="shared" si="0"/>
        <v>334</v>
      </c>
      <c r="J12" s="350">
        <f t="shared" si="1"/>
        <v>0.77431344208135466</v>
      </c>
      <c r="K12" s="5">
        <f>'Swimming Pool quality check '!H12</f>
        <v>5903</v>
      </c>
      <c r="L12" s="84">
        <f t="shared" si="34"/>
        <v>1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v>4550</v>
      </c>
      <c r="U12" s="5">
        <f t="shared" si="4"/>
        <v>6</v>
      </c>
      <c r="V12" s="5">
        <v>373</v>
      </c>
      <c r="W12" s="340">
        <f t="shared" si="15"/>
        <v>7</v>
      </c>
      <c r="X12" s="5">
        <v>140826</v>
      </c>
      <c r="Y12" s="340">
        <f t="shared" si="30"/>
        <v>46</v>
      </c>
      <c r="Z12" s="5">
        <v>92251</v>
      </c>
      <c r="AA12" s="84">
        <f t="shared" si="16"/>
        <v>67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v>98.77</v>
      </c>
      <c r="AF12" s="84">
        <f t="shared" si="19"/>
        <v>1.4899999999999949</v>
      </c>
      <c r="AG12" s="5">
        <v>1270</v>
      </c>
      <c r="AH12" s="84">
        <f t="shared" si="20"/>
        <v>5.7599999999999909</v>
      </c>
      <c r="AI12" s="84">
        <f t="shared" si="21"/>
        <v>7.2499999999999858</v>
      </c>
      <c r="AJ12" s="342">
        <f t="shared" si="22"/>
        <v>67</v>
      </c>
      <c r="AK12" s="343">
        <f t="shared" si="5"/>
        <v>45</v>
      </c>
      <c r="AL12" s="343">
        <f t="shared" si="23"/>
        <v>60</v>
      </c>
      <c r="AM12" s="343">
        <f>'General information '!D12</f>
        <v>13</v>
      </c>
      <c r="AN12" s="85">
        <f>'General information '!H12</f>
        <v>0</v>
      </c>
      <c r="AO12" s="85"/>
      <c r="AP12" s="85">
        <f>'General information '!J12</f>
        <v>304</v>
      </c>
      <c r="AQ12" s="82"/>
      <c r="AR12" s="287">
        <f t="shared" si="24"/>
        <v>43868</v>
      </c>
      <c r="AS12" s="446">
        <f t="shared" si="6"/>
        <v>0.9</v>
      </c>
      <c r="AT12" s="205">
        <v>130</v>
      </c>
      <c r="AU12" s="447">
        <f t="shared" si="35"/>
        <v>1.1000000000000001</v>
      </c>
      <c r="AV12" s="205">
        <v>180</v>
      </c>
      <c r="AW12" s="5">
        <v>2.9</v>
      </c>
      <c r="AX12" s="205">
        <v>183</v>
      </c>
      <c r="AY12" s="450">
        <f t="shared" si="7"/>
        <v>117</v>
      </c>
      <c r="AZ12" s="450">
        <f t="shared" si="25"/>
        <v>198.00000000000003</v>
      </c>
      <c r="BA12" s="450">
        <f t="shared" si="26"/>
        <v>530.69999999999993</v>
      </c>
      <c r="BB12" s="21">
        <f t="shared" si="27"/>
        <v>84.6</v>
      </c>
      <c r="BC12" s="21">
        <f t="shared" si="28"/>
        <v>33.000000000000028</v>
      </c>
      <c r="BD12" s="21">
        <f t="shared" si="28"/>
        <v>20.299999999999955</v>
      </c>
      <c r="BE12" s="24">
        <f t="shared" si="29"/>
        <v>137.89999999999998</v>
      </c>
      <c r="BF12" s="97">
        <f t="shared" si="8"/>
        <v>196.10000000000002</v>
      </c>
      <c r="BG12" s="83">
        <f t="shared" si="9"/>
        <v>137.89999999999998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590459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5904</v>
      </c>
      <c r="L13" s="84">
        <f t="shared" si="34"/>
        <v>1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v>4556</v>
      </c>
      <c r="U13" s="5">
        <f t="shared" si="4"/>
        <v>6</v>
      </c>
      <c r="V13" s="5">
        <v>374</v>
      </c>
      <c r="W13" s="340">
        <f t="shared" si="15"/>
        <v>1</v>
      </c>
      <c r="X13" s="5">
        <f t="shared" ref="X13:X36" si="37">X12</f>
        <v>140826</v>
      </c>
      <c r="Y13" s="340">
        <f t="shared" si="30"/>
        <v>0</v>
      </c>
      <c r="Z13" s="5">
        <f t="shared" ref="Z13:Z36" si="38">Z12</f>
        <v>92251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v>101.54</v>
      </c>
      <c r="AF13" s="84">
        <f t="shared" si="19"/>
        <v>2.7700000000000102</v>
      </c>
      <c r="AG13" s="5">
        <v>1287.42</v>
      </c>
      <c r="AH13" s="84">
        <f t="shared" si="20"/>
        <v>17.420000000000073</v>
      </c>
      <c r="AI13" s="84">
        <f t="shared" si="21"/>
        <v>20.190000000000083</v>
      </c>
      <c r="AJ13" s="342">
        <f t="shared" si="22"/>
        <v>0</v>
      </c>
      <c r="AK13" s="343">
        <f t="shared" si="5"/>
        <v>-1</v>
      </c>
      <c r="AL13" s="343">
        <f t="shared" si="23"/>
        <v>-1</v>
      </c>
      <c r="AM13" s="343">
        <f>'General information '!D13</f>
        <v>11.5</v>
      </c>
      <c r="AN13" s="85">
        <f>'General information '!H13</f>
        <v>0</v>
      </c>
      <c r="AO13" s="85"/>
      <c r="AP13" s="85">
        <f>'General information '!J13</f>
        <v>445</v>
      </c>
      <c r="AQ13" s="96"/>
      <c r="AR13" s="287">
        <f t="shared" si="24"/>
        <v>43869</v>
      </c>
      <c r="AS13" s="446">
        <f t="shared" si="6"/>
        <v>0.9</v>
      </c>
      <c r="AT13" s="205">
        <v>116</v>
      </c>
      <c r="AU13" s="447">
        <f t="shared" si="35"/>
        <v>1.1000000000000001</v>
      </c>
      <c r="AV13" s="205">
        <v>146</v>
      </c>
      <c r="AW13" s="5">
        <v>2.9</v>
      </c>
      <c r="AX13" s="205">
        <v>173</v>
      </c>
      <c r="AY13" s="450">
        <f t="shared" si="7"/>
        <v>104.4</v>
      </c>
      <c r="AZ13" s="450">
        <f t="shared" si="25"/>
        <v>160.60000000000002</v>
      </c>
      <c r="BA13" s="450">
        <f t="shared" si="26"/>
        <v>501.7</v>
      </c>
      <c r="BB13" s="21">
        <f t="shared" si="27"/>
        <v>-12.599999999999994</v>
      </c>
      <c r="BC13" s="21">
        <f t="shared" si="28"/>
        <v>-37.400000000000006</v>
      </c>
      <c r="BD13" s="21">
        <f t="shared" si="28"/>
        <v>-28.999999999999943</v>
      </c>
      <c r="BE13" s="24">
        <f t="shared" si="29"/>
        <v>-78.999999999999943</v>
      </c>
      <c r="BF13" s="97">
        <f t="shared" si="8"/>
        <v>78.999999999999943</v>
      </c>
      <c r="BG13" s="83">
        <f t="shared" si="9"/>
        <v>-78.999999999999943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590459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5904</v>
      </c>
      <c r="L14" s="84">
        <f t="shared" si="34"/>
        <v>0</v>
      </c>
      <c r="M14" s="432">
        <f t="shared" si="13"/>
        <v>457.44</v>
      </c>
      <c r="N14" s="560">
        <f t="shared" ref="N14:N36" si="39">SUM(M14-M13)</f>
        <v>0</v>
      </c>
      <c r="O14" s="432">
        <f t="shared" si="13"/>
        <v>529.52</v>
      </c>
      <c r="P14" s="560">
        <f t="shared" ref="P14:P36" si="40">SUM(O14-O13)</f>
        <v>0</v>
      </c>
      <c r="Q14" s="560">
        <f t="shared" ref="Q14:Q36" si="41">SUM(P14+N14)</f>
        <v>0</v>
      </c>
      <c r="R14" s="560"/>
      <c r="S14" s="560"/>
      <c r="T14" s="5">
        <v>4564</v>
      </c>
      <c r="U14" s="5">
        <f t="shared" si="4"/>
        <v>8</v>
      </c>
      <c r="V14" s="5">
        <f t="shared" si="14"/>
        <v>374</v>
      </c>
      <c r="W14" s="340">
        <f t="shared" si="15"/>
        <v>0</v>
      </c>
      <c r="X14" s="5">
        <v>140947</v>
      </c>
      <c r="Y14" s="340">
        <f t="shared" si="30"/>
        <v>121</v>
      </c>
      <c r="Z14" s="5">
        <v>92350</v>
      </c>
      <c r="AA14" s="84">
        <f t="shared" si="16"/>
        <v>99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v>101.54</v>
      </c>
      <c r="AF14" s="84">
        <f t="shared" si="19"/>
        <v>0</v>
      </c>
      <c r="AG14" s="5">
        <v>1288</v>
      </c>
      <c r="AH14" s="84">
        <f t="shared" si="20"/>
        <v>0.57999999999992724</v>
      </c>
      <c r="AI14" s="84">
        <f t="shared" si="21"/>
        <v>0.57999999999992724</v>
      </c>
      <c r="AJ14" s="342">
        <f t="shared" si="22"/>
        <v>99</v>
      </c>
      <c r="AK14" s="343">
        <f t="shared" si="5"/>
        <v>121</v>
      </c>
      <c r="AL14" s="343">
        <f t="shared" si="23"/>
        <v>99</v>
      </c>
      <c r="AM14" s="343">
        <f>'General information '!D14</f>
        <v>8.5</v>
      </c>
      <c r="AN14" s="85">
        <f>'General information '!H14</f>
        <v>0</v>
      </c>
      <c r="AO14" s="85"/>
      <c r="AP14" s="85">
        <f>'General information '!J14</f>
        <v>376</v>
      </c>
      <c r="AQ14" s="82"/>
      <c r="AR14" s="287">
        <f t="shared" si="24"/>
        <v>43870</v>
      </c>
      <c r="AS14" s="446">
        <f t="shared" si="6"/>
        <v>0.9</v>
      </c>
      <c r="AT14" s="205">
        <v>110</v>
      </c>
      <c r="AU14" s="447">
        <f t="shared" si="35"/>
        <v>1.1000000000000001</v>
      </c>
      <c r="AV14" s="205">
        <v>194</v>
      </c>
      <c r="AW14" s="5">
        <v>2.9</v>
      </c>
      <c r="AX14" s="205">
        <v>195</v>
      </c>
      <c r="AY14" s="450">
        <f t="shared" si="7"/>
        <v>99</v>
      </c>
      <c r="AZ14" s="450">
        <f t="shared" si="25"/>
        <v>213.4</v>
      </c>
      <c r="BA14" s="450">
        <f t="shared" si="26"/>
        <v>565.5</v>
      </c>
      <c r="BB14" s="21">
        <f t="shared" si="27"/>
        <v>-5.4000000000000057</v>
      </c>
      <c r="BC14" s="21">
        <f t="shared" si="28"/>
        <v>52.799999999999983</v>
      </c>
      <c r="BD14" s="21">
        <f t="shared" si="28"/>
        <v>63.800000000000011</v>
      </c>
      <c r="BE14" s="24">
        <f t="shared" si="29"/>
        <v>111.19999999999999</v>
      </c>
      <c r="BF14" s="97">
        <f t="shared" si="8"/>
        <v>-111.19999999999999</v>
      </c>
      <c r="BG14" s="83">
        <f t="shared" si="9"/>
        <v>111.19999999999999</v>
      </c>
    </row>
    <row r="15" spans="1:65" ht="16.5" customHeight="1" thickBot="1">
      <c r="A15" s="6">
        <f>ELEC!C12</f>
        <v>43871</v>
      </c>
      <c r="B15" s="5"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v>590783</v>
      </c>
      <c r="H15" s="5">
        <f t="shared" si="12"/>
        <v>324</v>
      </c>
      <c r="I15" s="5">
        <f t="shared" si="0"/>
        <v>324</v>
      </c>
      <c r="J15" s="350">
        <f t="shared" si="1"/>
        <v>0.79821200510855694</v>
      </c>
      <c r="K15" s="5">
        <f>'Swimming Pool quality check '!H15</f>
        <v>5905</v>
      </c>
      <c r="L15" s="84">
        <f t="shared" si="34"/>
        <v>1</v>
      </c>
      <c r="M15" s="432">
        <f t="shared" si="13"/>
        <v>457.44</v>
      </c>
      <c r="N15" s="560">
        <f t="shared" si="39"/>
        <v>0</v>
      </c>
      <c r="O15" s="432">
        <f t="shared" si="13"/>
        <v>529.52</v>
      </c>
      <c r="P15" s="560">
        <f t="shared" si="40"/>
        <v>0</v>
      </c>
      <c r="Q15" s="560">
        <f t="shared" si="41"/>
        <v>0</v>
      </c>
      <c r="R15" s="560"/>
      <c r="S15" s="560"/>
      <c r="T15" s="5">
        <v>4571</v>
      </c>
      <c r="U15" s="5">
        <f t="shared" si="4"/>
        <v>7</v>
      </c>
      <c r="V15" s="5">
        <v>374</v>
      </c>
      <c r="W15" s="340">
        <f t="shared" si="15"/>
        <v>0</v>
      </c>
      <c r="X15" s="5">
        <v>140947</v>
      </c>
      <c r="Y15" s="340">
        <f t="shared" si="30"/>
        <v>0</v>
      </c>
      <c r="Z15" s="5">
        <v>92350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v>101.54</v>
      </c>
      <c r="AF15" s="84">
        <f t="shared" si="19"/>
        <v>0</v>
      </c>
      <c r="AG15" s="5">
        <v>1288.3</v>
      </c>
      <c r="AH15" s="84">
        <f t="shared" si="20"/>
        <v>0.29999999999995453</v>
      </c>
      <c r="AI15" s="84">
        <f t="shared" si="21"/>
        <v>0.29999999999995453</v>
      </c>
      <c r="AJ15" s="342">
        <f t="shared" si="22"/>
        <v>0</v>
      </c>
      <c r="AK15" s="343">
        <f t="shared" si="5"/>
        <v>-1</v>
      </c>
      <c r="AL15" s="343">
        <f t="shared" si="23"/>
        <v>0</v>
      </c>
      <c r="AM15" s="343">
        <f>'General information '!D15</f>
        <v>8.5</v>
      </c>
      <c r="AN15" s="85">
        <f>'General information '!H15</f>
        <v>0</v>
      </c>
      <c r="AO15" s="85"/>
      <c r="AP15" s="85">
        <f>'General information '!J15</f>
        <v>206</v>
      </c>
      <c r="AQ15" s="82"/>
      <c r="AR15" s="287">
        <f t="shared" si="24"/>
        <v>43871</v>
      </c>
      <c r="AS15" s="446">
        <f t="shared" si="6"/>
        <v>0.9</v>
      </c>
      <c r="AT15" s="205">
        <v>110</v>
      </c>
      <c r="AU15" s="447">
        <f t="shared" si="35"/>
        <v>1.1000000000000001</v>
      </c>
      <c r="AV15" s="205">
        <v>175</v>
      </c>
      <c r="AW15" s="5">
        <v>2.9</v>
      </c>
      <c r="AX15" s="205">
        <v>185</v>
      </c>
      <c r="AY15" s="450">
        <f t="shared" si="7"/>
        <v>99</v>
      </c>
      <c r="AZ15" s="450">
        <f t="shared" si="25"/>
        <v>192.50000000000003</v>
      </c>
      <c r="BA15" s="450">
        <f t="shared" si="26"/>
        <v>536.5</v>
      </c>
      <c r="BB15" s="21">
        <f t="shared" si="27"/>
        <v>0</v>
      </c>
      <c r="BC15" s="21">
        <f t="shared" si="28"/>
        <v>-20.899999999999977</v>
      </c>
      <c r="BD15" s="21">
        <f t="shared" si="28"/>
        <v>-29</v>
      </c>
      <c r="BE15" s="24">
        <f t="shared" si="29"/>
        <v>-49.899999999999977</v>
      </c>
      <c r="BF15" s="97">
        <f t="shared" si="8"/>
        <v>373.9</v>
      </c>
      <c r="BG15" s="83">
        <f t="shared" si="9"/>
        <v>-49.899999999999977</v>
      </c>
    </row>
    <row r="16" spans="1:65" ht="15.75" thickBot="1">
      <c r="A16" s="6">
        <f>ELEC!C13</f>
        <v>43872</v>
      </c>
      <c r="B16" s="5"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v>590924</v>
      </c>
      <c r="H16" s="5">
        <f t="shared" si="12"/>
        <v>141</v>
      </c>
      <c r="I16" s="5">
        <f t="shared" si="0"/>
        <v>141</v>
      </c>
      <c r="J16" s="350">
        <f t="shared" si="1"/>
        <v>1.8341892883345563</v>
      </c>
      <c r="K16" s="5">
        <f>'Swimming Pool quality check '!H16</f>
        <v>5905</v>
      </c>
      <c r="L16" s="282">
        <f t="shared" si="34"/>
        <v>0</v>
      </c>
      <c r="M16" s="432">
        <f t="shared" si="13"/>
        <v>457.44</v>
      </c>
      <c r="N16" s="560">
        <f t="shared" si="39"/>
        <v>0</v>
      </c>
      <c r="O16" s="432">
        <f t="shared" si="13"/>
        <v>529.52</v>
      </c>
      <c r="P16" s="560">
        <f t="shared" si="40"/>
        <v>0</v>
      </c>
      <c r="Q16" s="560">
        <f t="shared" si="41"/>
        <v>0</v>
      </c>
      <c r="R16" s="562"/>
      <c r="S16" s="562"/>
      <c r="T16" s="5">
        <v>4576</v>
      </c>
      <c r="U16" s="5">
        <f t="shared" si="4"/>
        <v>5</v>
      </c>
      <c r="V16" s="5">
        <v>375</v>
      </c>
      <c r="W16" s="340">
        <f t="shared" si="15"/>
        <v>1</v>
      </c>
      <c r="X16" s="5">
        <v>140950</v>
      </c>
      <c r="Y16" s="340">
        <f t="shared" si="30"/>
        <v>3</v>
      </c>
      <c r="Z16" s="5">
        <v>92351</v>
      </c>
      <c r="AA16" s="84">
        <f t="shared" si="16"/>
        <v>1</v>
      </c>
      <c r="AB16" s="5">
        <v>261</v>
      </c>
      <c r="AC16" s="5">
        <f t="shared" si="18"/>
        <v>671</v>
      </c>
      <c r="AD16" s="84">
        <f t="shared" si="31"/>
        <v>0</v>
      </c>
      <c r="AE16" s="5">
        <v>101.54</v>
      </c>
      <c r="AF16" s="84">
        <f t="shared" si="19"/>
        <v>0</v>
      </c>
      <c r="AG16" s="5">
        <v>1288.58</v>
      </c>
      <c r="AH16" s="84">
        <f t="shared" si="20"/>
        <v>0.27999999999997272</v>
      </c>
      <c r="AI16" s="84">
        <f t="shared" si="21"/>
        <v>0.27999999999997272</v>
      </c>
      <c r="AJ16" s="342">
        <f t="shared" si="22"/>
        <v>1</v>
      </c>
      <c r="AK16" s="343">
        <f t="shared" si="5"/>
        <v>3</v>
      </c>
      <c r="AL16" s="343">
        <f t="shared" si="23"/>
        <v>0</v>
      </c>
      <c r="AM16" s="343">
        <f>'General information '!D16</f>
        <v>11</v>
      </c>
      <c r="AN16" s="85">
        <f>'General information '!H16</f>
        <v>0</v>
      </c>
      <c r="AO16" s="85"/>
      <c r="AP16" s="85">
        <f>'General information '!J16</f>
        <v>199</v>
      </c>
      <c r="AQ16" s="82"/>
      <c r="AR16" s="287">
        <f t="shared" si="24"/>
        <v>43872</v>
      </c>
      <c r="AS16" s="446">
        <f t="shared" si="6"/>
        <v>0.9</v>
      </c>
      <c r="AT16" s="205">
        <v>194</v>
      </c>
      <c r="AU16" s="447">
        <f t="shared" si="35"/>
        <v>1.1000000000000001</v>
      </c>
      <c r="AV16" s="205">
        <v>155</v>
      </c>
      <c r="AW16" s="5">
        <v>2.9</v>
      </c>
      <c r="AX16" s="205">
        <v>174</v>
      </c>
      <c r="AY16" s="450">
        <f t="shared" si="7"/>
        <v>174.6</v>
      </c>
      <c r="AZ16" s="450">
        <f t="shared" si="25"/>
        <v>170.5</v>
      </c>
      <c r="BA16" s="450">
        <f t="shared" si="26"/>
        <v>504.59999999999997</v>
      </c>
      <c r="BB16" s="21">
        <f t="shared" si="27"/>
        <v>75.599999999999994</v>
      </c>
      <c r="BC16" s="21">
        <f t="shared" si="28"/>
        <v>-22.000000000000028</v>
      </c>
      <c r="BD16" s="21">
        <f t="shared" si="28"/>
        <v>-31.900000000000034</v>
      </c>
      <c r="BE16" s="24">
        <f t="shared" si="29"/>
        <v>21.699999999999932</v>
      </c>
      <c r="BF16" s="97">
        <f t="shared" si="8"/>
        <v>119.30000000000007</v>
      </c>
      <c r="BG16" s="83">
        <f t="shared" si="9"/>
        <v>21.699999999999932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590924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5905</v>
      </c>
      <c r="L17" s="84">
        <f t="shared" si="34"/>
        <v>0</v>
      </c>
      <c r="M17" s="432">
        <f t="shared" si="13"/>
        <v>457.44</v>
      </c>
      <c r="N17" s="560">
        <f t="shared" si="39"/>
        <v>0</v>
      </c>
      <c r="O17" s="432">
        <f t="shared" si="13"/>
        <v>529.52</v>
      </c>
      <c r="P17" s="560">
        <f t="shared" si="40"/>
        <v>0</v>
      </c>
      <c r="Q17" s="560">
        <f t="shared" si="41"/>
        <v>0</v>
      </c>
      <c r="R17" s="560"/>
      <c r="S17" s="560"/>
      <c r="T17" s="5">
        <v>4580</v>
      </c>
      <c r="U17" s="5">
        <f t="shared" si="4"/>
        <v>4</v>
      </c>
      <c r="V17" s="5">
        <f t="shared" si="14"/>
        <v>375</v>
      </c>
      <c r="W17" s="340">
        <f t="shared" si="15"/>
        <v>0</v>
      </c>
      <c r="X17" s="5">
        <f t="shared" si="37"/>
        <v>140950</v>
      </c>
      <c r="Y17" s="340">
        <f t="shared" si="30"/>
        <v>0</v>
      </c>
      <c r="Z17" s="5">
        <f t="shared" si="38"/>
        <v>92351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v>105.45</v>
      </c>
      <c r="AF17" s="84">
        <f t="shared" si="19"/>
        <v>3.9099999999999966</v>
      </c>
      <c r="AG17" s="5">
        <v>1313.82</v>
      </c>
      <c r="AH17" s="84">
        <f t="shared" si="20"/>
        <v>25.240000000000009</v>
      </c>
      <c r="AI17" s="84">
        <f t="shared" si="21"/>
        <v>29.150000000000006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14.5</v>
      </c>
      <c r="AN17" s="85">
        <f>'General information '!H17</f>
        <v>0</v>
      </c>
      <c r="AO17" s="85"/>
      <c r="AP17" s="85">
        <f>'General information '!J17</f>
        <v>136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194</v>
      </c>
      <c r="AU17" s="447">
        <f t="shared" si="35"/>
        <v>1.1000000000000001</v>
      </c>
      <c r="AV17" s="205">
        <v>115</v>
      </c>
      <c r="AW17" s="5">
        <v>2.9</v>
      </c>
      <c r="AX17" s="205">
        <v>170</v>
      </c>
      <c r="AY17" s="450">
        <f t="shared" si="7"/>
        <v>174.6</v>
      </c>
      <c r="AZ17" s="450">
        <f t="shared" si="25"/>
        <v>126.50000000000001</v>
      </c>
      <c r="BA17" s="450">
        <f t="shared" si="26"/>
        <v>493</v>
      </c>
      <c r="BB17" s="21">
        <f t="shared" si="27"/>
        <v>0</v>
      </c>
      <c r="BC17" s="21">
        <f t="shared" si="28"/>
        <v>-43.999999999999986</v>
      </c>
      <c r="BD17" s="21">
        <f t="shared" si="28"/>
        <v>-11.599999999999966</v>
      </c>
      <c r="BE17" s="24">
        <f t="shared" si="29"/>
        <v>-55.599999999999952</v>
      </c>
      <c r="BF17" s="97">
        <f t="shared" si="8"/>
        <v>55.599999999999952</v>
      </c>
      <c r="BG17" s="83">
        <f t="shared" si="9"/>
        <v>-55.599999999999952</v>
      </c>
    </row>
    <row r="18" spans="1:61" ht="15.75" thickBot="1">
      <c r="A18" s="6">
        <f>ELEC!C15</f>
        <v>43874</v>
      </c>
      <c r="B18" s="5"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v>590924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5907</v>
      </c>
      <c r="L18" s="84">
        <f t="shared" si="34"/>
        <v>2</v>
      </c>
      <c r="M18" s="432">
        <f t="shared" si="13"/>
        <v>457.44</v>
      </c>
      <c r="N18" s="560">
        <f t="shared" si="39"/>
        <v>0</v>
      </c>
      <c r="O18" s="432">
        <f t="shared" si="13"/>
        <v>529.52</v>
      </c>
      <c r="P18" s="560">
        <f t="shared" si="40"/>
        <v>0</v>
      </c>
      <c r="Q18" s="560">
        <f t="shared" si="41"/>
        <v>0</v>
      </c>
      <c r="R18" s="560"/>
      <c r="S18" s="560"/>
      <c r="T18" s="5">
        <v>4584</v>
      </c>
      <c r="U18" s="5">
        <f t="shared" si="4"/>
        <v>4</v>
      </c>
      <c r="V18" s="5">
        <v>380</v>
      </c>
      <c r="W18" s="340">
        <f t="shared" si="15"/>
        <v>5</v>
      </c>
      <c r="X18" s="5">
        <v>140950</v>
      </c>
      <c r="Y18" s="340">
        <f t="shared" si="30"/>
        <v>0</v>
      </c>
      <c r="Z18" s="5">
        <v>92351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v>105.47</v>
      </c>
      <c r="AF18" s="84">
        <f t="shared" si="19"/>
        <v>1.9999999999996021E-2</v>
      </c>
      <c r="AG18" s="5">
        <v>1314.29</v>
      </c>
      <c r="AH18" s="84">
        <f t="shared" si="20"/>
        <v>0.47000000000002728</v>
      </c>
      <c r="AI18" s="84">
        <f t="shared" si="21"/>
        <v>0.49000000000002331</v>
      </c>
      <c r="AJ18" s="342">
        <f t="shared" si="22"/>
        <v>0</v>
      </c>
      <c r="AK18" s="343">
        <f t="shared" si="5"/>
        <v>-2</v>
      </c>
      <c r="AL18" s="343">
        <f t="shared" si="23"/>
        <v>-5</v>
      </c>
      <c r="AM18" s="343">
        <f>'General information '!D18</f>
        <v>15.5</v>
      </c>
      <c r="AN18" s="85">
        <f>'General information '!H18</f>
        <v>0</v>
      </c>
      <c r="AO18" s="85"/>
      <c r="AP18" s="85">
        <f>'General information '!J18</f>
        <v>284</v>
      </c>
      <c r="AQ18" s="96"/>
      <c r="AR18" s="287">
        <f t="shared" si="24"/>
        <v>43874</v>
      </c>
      <c r="AS18" s="446">
        <f t="shared" si="6"/>
        <v>0.9</v>
      </c>
      <c r="AT18" s="205">
        <v>182</v>
      </c>
      <c r="AU18" s="447">
        <f t="shared" si="35"/>
        <v>1.1000000000000001</v>
      </c>
      <c r="AV18" s="205">
        <v>95</v>
      </c>
      <c r="AW18" s="5">
        <v>2.9</v>
      </c>
      <c r="AX18" s="205">
        <v>158</v>
      </c>
      <c r="AY18" s="450">
        <f t="shared" si="7"/>
        <v>163.80000000000001</v>
      </c>
      <c r="AZ18" s="450">
        <f t="shared" si="25"/>
        <v>104.50000000000001</v>
      </c>
      <c r="BA18" s="450">
        <f t="shared" si="26"/>
        <v>458.2</v>
      </c>
      <c r="BB18" s="21">
        <f t="shared" si="27"/>
        <v>-10.799999999999983</v>
      </c>
      <c r="BC18" s="21">
        <f t="shared" si="28"/>
        <v>-22</v>
      </c>
      <c r="BD18" s="21">
        <f t="shared" si="28"/>
        <v>-34.800000000000011</v>
      </c>
      <c r="BE18" s="24">
        <f t="shared" si="29"/>
        <v>-67.599999999999994</v>
      </c>
      <c r="BF18" s="97">
        <f t="shared" si="8"/>
        <v>67.599999999999994</v>
      </c>
      <c r="BG18" s="83">
        <f t="shared" si="9"/>
        <v>-67.599999999999994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590924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5907</v>
      </c>
      <c r="L19" s="84">
        <f t="shared" si="34"/>
        <v>0</v>
      </c>
      <c r="M19" s="432">
        <f t="shared" si="13"/>
        <v>457.44</v>
      </c>
      <c r="N19" s="560">
        <f t="shared" si="39"/>
        <v>0</v>
      </c>
      <c r="O19" s="432">
        <f t="shared" si="13"/>
        <v>529.52</v>
      </c>
      <c r="P19" s="560">
        <f t="shared" si="40"/>
        <v>0</v>
      </c>
      <c r="Q19" s="560">
        <f t="shared" si="41"/>
        <v>0</v>
      </c>
      <c r="R19" s="560"/>
      <c r="S19" s="560"/>
      <c r="T19" s="5">
        <v>4589</v>
      </c>
      <c r="U19" s="5">
        <f t="shared" si="4"/>
        <v>5</v>
      </c>
      <c r="V19" s="5">
        <v>383</v>
      </c>
      <c r="W19" s="340">
        <f t="shared" si="15"/>
        <v>3</v>
      </c>
      <c r="X19" s="5">
        <v>140950</v>
      </c>
      <c r="Y19" s="340">
        <f t="shared" si="30"/>
        <v>0</v>
      </c>
      <c r="Z19" s="5">
        <v>92352</v>
      </c>
      <c r="AA19" s="84">
        <f t="shared" si="16"/>
        <v>1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v>106.94</v>
      </c>
      <c r="AF19" s="84">
        <f t="shared" si="19"/>
        <v>1.4699999999999989</v>
      </c>
      <c r="AG19" s="5">
        <v>1320.43</v>
      </c>
      <c r="AH19" s="84">
        <f t="shared" si="20"/>
        <v>6.1400000000001</v>
      </c>
      <c r="AI19" s="84">
        <f t="shared" si="21"/>
        <v>7.6100000000000989</v>
      </c>
      <c r="AJ19" s="342">
        <f t="shared" si="22"/>
        <v>1</v>
      </c>
      <c r="AK19" s="343">
        <f t="shared" si="5"/>
        <v>0</v>
      </c>
      <c r="AL19" s="343">
        <f t="shared" si="23"/>
        <v>-2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477</v>
      </c>
      <c r="AQ19" s="82"/>
      <c r="AR19" s="287">
        <f t="shared" si="24"/>
        <v>43875</v>
      </c>
      <c r="AS19" s="446">
        <f t="shared" si="6"/>
        <v>0.9</v>
      </c>
      <c r="AT19" s="205">
        <v>181</v>
      </c>
      <c r="AU19" s="447">
        <f t="shared" si="35"/>
        <v>1.1000000000000001</v>
      </c>
      <c r="AV19" s="205">
        <v>66</v>
      </c>
      <c r="AW19" s="5">
        <v>2.9</v>
      </c>
      <c r="AX19" s="205">
        <v>141</v>
      </c>
      <c r="AY19" s="450">
        <f t="shared" si="7"/>
        <v>162.9</v>
      </c>
      <c r="AZ19" s="450">
        <f t="shared" si="25"/>
        <v>72.600000000000009</v>
      </c>
      <c r="BA19" s="450">
        <f t="shared" si="26"/>
        <v>408.9</v>
      </c>
      <c r="BB19" s="21">
        <f t="shared" si="27"/>
        <v>-0.90000000000000568</v>
      </c>
      <c r="BC19" s="21">
        <f t="shared" si="28"/>
        <v>-31.900000000000006</v>
      </c>
      <c r="BD19" s="21">
        <f t="shared" si="28"/>
        <v>-49.300000000000011</v>
      </c>
      <c r="BE19" s="24">
        <f t="shared" si="29"/>
        <v>-82.100000000000023</v>
      </c>
      <c r="BF19" s="97">
        <f t="shared" si="8"/>
        <v>82.100000000000023</v>
      </c>
      <c r="BG19" s="83">
        <f t="shared" si="9"/>
        <v>-82.100000000000023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590924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5908</v>
      </c>
      <c r="L20" s="84">
        <f t="shared" si="34"/>
        <v>1</v>
      </c>
      <c r="M20" s="432">
        <f t="shared" si="13"/>
        <v>457.44</v>
      </c>
      <c r="N20" s="560">
        <f t="shared" si="39"/>
        <v>0</v>
      </c>
      <c r="O20" s="432">
        <f t="shared" si="13"/>
        <v>529.52</v>
      </c>
      <c r="P20" s="560">
        <f t="shared" si="40"/>
        <v>0</v>
      </c>
      <c r="Q20" s="560">
        <f t="shared" si="41"/>
        <v>0</v>
      </c>
      <c r="R20" s="560"/>
      <c r="S20" s="560"/>
      <c r="T20" s="5">
        <v>4594</v>
      </c>
      <c r="U20" s="5">
        <f t="shared" si="4"/>
        <v>5</v>
      </c>
      <c r="V20" s="5">
        <f t="shared" si="14"/>
        <v>383</v>
      </c>
      <c r="W20" s="340">
        <f t="shared" si="15"/>
        <v>0</v>
      </c>
      <c r="X20" s="5">
        <f t="shared" si="37"/>
        <v>140950</v>
      </c>
      <c r="Y20" s="340">
        <f t="shared" si="30"/>
        <v>0</v>
      </c>
      <c r="Z20" s="5">
        <f t="shared" si="38"/>
        <v>92352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v>109.33</v>
      </c>
      <c r="AF20" s="84">
        <f t="shared" si="19"/>
        <v>2.3900000000000006</v>
      </c>
      <c r="AG20" s="5">
        <v>1342.7</v>
      </c>
      <c r="AH20" s="84">
        <f t="shared" si="20"/>
        <v>22.269999999999982</v>
      </c>
      <c r="AI20" s="84">
        <f t="shared" si="21"/>
        <v>24.659999999999982</v>
      </c>
      <c r="AJ20" s="342">
        <f t="shared" si="22"/>
        <v>0</v>
      </c>
      <c r="AK20" s="343">
        <f t="shared" si="5"/>
        <v>-1</v>
      </c>
      <c r="AL20" s="343">
        <f t="shared" si="23"/>
        <v>0</v>
      </c>
      <c r="AM20" s="343">
        <f>'General information '!D20</f>
        <v>14.5</v>
      </c>
      <c r="AN20" s="85">
        <f>'General information '!H20</f>
        <v>0</v>
      </c>
      <c r="AO20" s="85"/>
      <c r="AP20" s="85">
        <f>'General information '!J20</f>
        <v>396</v>
      </c>
      <c r="AQ20" s="82"/>
      <c r="AR20" s="287">
        <f t="shared" si="24"/>
        <v>43876</v>
      </c>
      <c r="AS20" s="446">
        <f t="shared" si="6"/>
        <v>0.9</v>
      </c>
      <c r="AT20" s="205">
        <v>159</v>
      </c>
      <c r="AU20" s="447">
        <f t="shared" si="35"/>
        <v>1.1000000000000001</v>
      </c>
      <c r="AV20" s="205">
        <v>58</v>
      </c>
      <c r="AW20" s="5">
        <v>2.9</v>
      </c>
      <c r="AX20" s="205">
        <v>128</v>
      </c>
      <c r="AY20" s="450">
        <f t="shared" si="7"/>
        <v>143.1</v>
      </c>
      <c r="AZ20" s="450">
        <f t="shared" si="25"/>
        <v>63.800000000000004</v>
      </c>
      <c r="BA20" s="450">
        <f t="shared" si="26"/>
        <v>371.2</v>
      </c>
      <c r="BB20" s="21">
        <f t="shared" si="27"/>
        <v>-19.800000000000011</v>
      </c>
      <c r="BC20" s="21">
        <f t="shared" si="28"/>
        <v>-8.8000000000000043</v>
      </c>
      <c r="BD20" s="21">
        <f t="shared" si="28"/>
        <v>-37.699999999999989</v>
      </c>
      <c r="BE20" s="24">
        <f t="shared" si="29"/>
        <v>-66.300000000000011</v>
      </c>
      <c r="BF20" s="97">
        <f t="shared" si="8"/>
        <v>66.300000000000011</v>
      </c>
      <c r="BG20" s="83">
        <f t="shared" si="9"/>
        <v>-66.300000000000011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590924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5909</v>
      </c>
      <c r="L21" s="84">
        <f t="shared" si="34"/>
        <v>1</v>
      </c>
      <c r="M21" s="432">
        <f t="shared" si="13"/>
        <v>457.44</v>
      </c>
      <c r="N21" s="560">
        <f t="shared" si="39"/>
        <v>0</v>
      </c>
      <c r="O21" s="432">
        <f t="shared" si="13"/>
        <v>529.52</v>
      </c>
      <c r="P21" s="560">
        <f t="shared" si="40"/>
        <v>0</v>
      </c>
      <c r="Q21" s="560">
        <f t="shared" si="41"/>
        <v>0</v>
      </c>
      <c r="R21" s="560"/>
      <c r="S21" s="560"/>
      <c r="T21" s="5">
        <v>4599</v>
      </c>
      <c r="U21" s="5">
        <f t="shared" si="4"/>
        <v>5</v>
      </c>
      <c r="V21" s="5">
        <v>383</v>
      </c>
      <c r="W21" s="340">
        <f t="shared" si="15"/>
        <v>0</v>
      </c>
      <c r="X21" s="5">
        <v>140950</v>
      </c>
      <c r="Y21" s="340">
        <f>SUM(X21-X20)</f>
        <v>0</v>
      </c>
      <c r="Z21" s="5">
        <v>92417</v>
      </c>
      <c r="AA21" s="84">
        <f t="shared" si="16"/>
        <v>65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109.33</v>
      </c>
      <c r="AF21" s="84">
        <f t="shared" si="19"/>
        <v>0</v>
      </c>
      <c r="AG21" s="5">
        <v>1343.06</v>
      </c>
      <c r="AH21" s="84">
        <f t="shared" si="20"/>
        <v>0.35999999999989996</v>
      </c>
      <c r="AI21" s="84">
        <f t="shared" si="21"/>
        <v>0.35999999999989996</v>
      </c>
      <c r="AJ21" s="342">
        <f t="shared" si="22"/>
        <v>65</v>
      </c>
      <c r="AK21" s="343">
        <f t="shared" si="5"/>
        <v>-1</v>
      </c>
      <c r="AL21" s="343">
        <f t="shared" si="23"/>
        <v>65</v>
      </c>
      <c r="AM21" s="343">
        <f>'General information '!D21</f>
        <v>14</v>
      </c>
      <c r="AN21" s="85">
        <f>'General information '!H21</f>
        <v>0</v>
      </c>
      <c r="AO21" s="85"/>
      <c r="AP21" s="85">
        <f>'General information '!J21</f>
        <v>305</v>
      </c>
      <c r="AQ21" s="82"/>
      <c r="AR21" s="287">
        <f t="shared" si="24"/>
        <v>43877</v>
      </c>
      <c r="AS21" s="446">
        <f t="shared" si="6"/>
        <v>0.9</v>
      </c>
      <c r="AT21" s="205">
        <v>126</v>
      </c>
      <c r="AU21" s="447">
        <f t="shared" si="35"/>
        <v>1.1000000000000001</v>
      </c>
      <c r="AV21" s="205">
        <v>54</v>
      </c>
      <c r="AW21" s="5">
        <v>2.9</v>
      </c>
      <c r="AX21" s="205">
        <v>117</v>
      </c>
      <c r="AY21" s="450">
        <f t="shared" si="7"/>
        <v>113.4</v>
      </c>
      <c r="AZ21" s="450">
        <f t="shared" si="25"/>
        <v>59.400000000000006</v>
      </c>
      <c r="BA21" s="450">
        <f t="shared" si="26"/>
        <v>339.3</v>
      </c>
      <c r="BB21" s="21">
        <f t="shared" si="27"/>
        <v>-29.699999999999989</v>
      </c>
      <c r="BC21" s="21">
        <f t="shared" si="28"/>
        <v>-4.3999999999999986</v>
      </c>
      <c r="BD21" s="21">
        <f t="shared" si="28"/>
        <v>-31.899999999999977</v>
      </c>
      <c r="BE21" s="24">
        <f t="shared" si="29"/>
        <v>-65.999999999999972</v>
      </c>
      <c r="BF21" s="97">
        <f t="shared" si="8"/>
        <v>65.999999999999972</v>
      </c>
      <c r="BG21" s="83">
        <f t="shared" si="9"/>
        <v>-65.999999999999972</v>
      </c>
    </row>
    <row r="22" spans="1:61" ht="15.75" thickBot="1">
      <c r="A22" s="6">
        <f>ELEC!C19</f>
        <v>43878</v>
      </c>
      <c r="B22" s="5">
        <v>108473</v>
      </c>
      <c r="C22" s="5">
        <f t="shared" si="10"/>
        <v>32</v>
      </c>
      <c r="D22" s="441">
        <f t="shared" si="11"/>
        <v>1.1851851851851851</v>
      </c>
      <c r="E22" s="349">
        <f>SUM((C22*$E$4)+(7500/'EDl log'!$A$36))</f>
        <v>311.74068965517245</v>
      </c>
      <c r="F22" s="343"/>
      <c r="G22" s="5">
        <v>591131</v>
      </c>
      <c r="H22" s="5">
        <f t="shared" si="12"/>
        <v>207</v>
      </c>
      <c r="I22" s="5">
        <f t="shared" si="0"/>
        <v>239</v>
      </c>
      <c r="J22" s="350">
        <f t="shared" si="1"/>
        <v>1.3043543500216421</v>
      </c>
      <c r="K22" s="5">
        <f>'Swimming Pool quality check '!H22</f>
        <v>5909</v>
      </c>
      <c r="L22" s="84">
        <f t="shared" si="34"/>
        <v>0</v>
      </c>
      <c r="M22" s="432">
        <f t="shared" si="13"/>
        <v>457.44</v>
      </c>
      <c r="N22" s="560">
        <f t="shared" si="39"/>
        <v>0</v>
      </c>
      <c r="O22" s="432">
        <f t="shared" si="13"/>
        <v>529.52</v>
      </c>
      <c r="P22" s="560">
        <f t="shared" si="40"/>
        <v>0</v>
      </c>
      <c r="Q22" s="560">
        <f t="shared" si="41"/>
        <v>0</v>
      </c>
      <c r="R22" s="560"/>
      <c r="S22" s="560"/>
      <c r="T22" s="5">
        <v>4604</v>
      </c>
      <c r="U22" s="5">
        <f t="shared" si="4"/>
        <v>5</v>
      </c>
      <c r="V22" s="5">
        <v>383</v>
      </c>
      <c r="W22" s="340">
        <f t="shared" si="15"/>
        <v>0</v>
      </c>
      <c r="X22" s="5">
        <v>140950</v>
      </c>
      <c r="Y22" s="340">
        <f t="shared" si="30"/>
        <v>0</v>
      </c>
      <c r="Z22" s="5">
        <v>92452</v>
      </c>
      <c r="AA22" s="84">
        <f t="shared" si="16"/>
        <v>35</v>
      </c>
      <c r="AB22" s="5">
        <v>261</v>
      </c>
      <c r="AC22" s="5">
        <f t="shared" si="18"/>
        <v>671</v>
      </c>
      <c r="AD22" s="84">
        <f t="shared" si="31"/>
        <v>0</v>
      </c>
      <c r="AE22" s="5">
        <v>109.33</v>
      </c>
      <c r="AF22" s="84">
        <f t="shared" si="19"/>
        <v>0</v>
      </c>
      <c r="AG22" s="5">
        <v>1343.38</v>
      </c>
      <c r="AH22" s="84">
        <f t="shared" si="20"/>
        <v>0.32000000000016371</v>
      </c>
      <c r="AI22" s="84">
        <f t="shared" si="21"/>
        <v>0.32000000000016371</v>
      </c>
      <c r="AJ22" s="342">
        <f t="shared" si="22"/>
        <v>35</v>
      </c>
      <c r="AK22" s="343">
        <f t="shared" si="5"/>
        <v>0</v>
      </c>
      <c r="AL22" s="343">
        <f t="shared" si="23"/>
        <v>35</v>
      </c>
      <c r="AM22" s="343">
        <f>'General information '!D22</f>
        <v>14</v>
      </c>
      <c r="AN22" s="85">
        <f>'General information '!H22</f>
        <v>0</v>
      </c>
      <c r="AO22" s="85"/>
      <c r="AP22" s="85">
        <f>'General information '!J22</f>
        <v>178</v>
      </c>
      <c r="AR22" s="287">
        <f t="shared" si="24"/>
        <v>43878</v>
      </c>
      <c r="AS22" s="446">
        <f t="shared" ref="AS22:AT36" si="42">AS21</f>
        <v>0.9</v>
      </c>
      <c r="AT22" s="205">
        <v>180</v>
      </c>
      <c r="AU22" s="447">
        <f t="shared" si="35"/>
        <v>1.1000000000000001</v>
      </c>
      <c r="AV22" s="205">
        <v>62</v>
      </c>
      <c r="AW22" s="5">
        <v>2.9</v>
      </c>
      <c r="AX22" s="205">
        <v>108</v>
      </c>
      <c r="AY22" s="450">
        <f t="shared" si="7"/>
        <v>162</v>
      </c>
      <c r="AZ22" s="450">
        <f t="shared" si="25"/>
        <v>68.2</v>
      </c>
      <c r="BA22" s="450">
        <f t="shared" si="26"/>
        <v>313.2</v>
      </c>
      <c r="BB22" s="21">
        <f t="shared" si="27"/>
        <v>48.599999999999994</v>
      </c>
      <c r="BC22" s="21">
        <f t="shared" si="27"/>
        <v>8.7999999999999972</v>
      </c>
      <c r="BD22" s="21">
        <f t="shared" si="27"/>
        <v>-26.100000000000023</v>
      </c>
      <c r="BE22" s="24">
        <f t="shared" si="29"/>
        <v>31.299999999999969</v>
      </c>
      <c r="BF22" s="97">
        <f t="shared" si="8"/>
        <v>207.70000000000005</v>
      </c>
      <c r="BG22" s="83">
        <f t="shared" si="9"/>
        <v>31.299999999999955</v>
      </c>
    </row>
    <row r="23" spans="1:61" ht="15.75" thickBot="1">
      <c r="A23" s="6">
        <f>ELEC!C20</f>
        <v>43879</v>
      </c>
      <c r="B23" s="5">
        <v>108473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v>591131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5910</v>
      </c>
      <c r="L23" s="282">
        <f t="shared" si="34"/>
        <v>1</v>
      </c>
      <c r="M23" s="432">
        <f t="shared" si="13"/>
        <v>457.44</v>
      </c>
      <c r="N23" s="560">
        <f t="shared" si="39"/>
        <v>0</v>
      </c>
      <c r="O23" s="432">
        <f t="shared" si="13"/>
        <v>529.52</v>
      </c>
      <c r="P23" s="560">
        <f t="shared" si="40"/>
        <v>0</v>
      </c>
      <c r="Q23" s="560">
        <f t="shared" si="41"/>
        <v>0</v>
      </c>
      <c r="R23" s="562"/>
      <c r="S23" s="562"/>
      <c r="T23" s="5">
        <v>4609</v>
      </c>
      <c r="U23" s="5">
        <f t="shared" si="4"/>
        <v>5</v>
      </c>
      <c r="V23" s="5">
        <v>386</v>
      </c>
      <c r="W23" s="340">
        <f t="shared" si="15"/>
        <v>3</v>
      </c>
      <c r="X23" s="5">
        <v>140950</v>
      </c>
      <c r="Y23" s="340">
        <f t="shared" si="30"/>
        <v>0</v>
      </c>
      <c r="Z23" s="5">
        <v>92486</v>
      </c>
      <c r="AA23" s="84">
        <f t="shared" si="16"/>
        <v>34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v>110.36</v>
      </c>
      <c r="AF23" s="84">
        <f t="shared" si="19"/>
        <v>1.0300000000000011</v>
      </c>
      <c r="AG23" s="5">
        <v>1350.8</v>
      </c>
      <c r="AH23" s="84">
        <f t="shared" si="20"/>
        <v>7.4199999999998454</v>
      </c>
      <c r="AI23" s="84">
        <f t="shared" si="21"/>
        <v>8.4499999999998465</v>
      </c>
      <c r="AJ23" s="342">
        <f t="shared" si="22"/>
        <v>34</v>
      </c>
      <c r="AK23" s="343">
        <f t="shared" si="5"/>
        <v>-1</v>
      </c>
      <c r="AL23" s="343">
        <f t="shared" si="23"/>
        <v>31</v>
      </c>
      <c r="AM23" s="343">
        <f>'General information '!D23</f>
        <v>14</v>
      </c>
      <c r="AN23" s="85">
        <f>'General information '!H23</f>
        <v>0</v>
      </c>
      <c r="AO23" s="85"/>
      <c r="AP23" s="85">
        <f>'General information '!J23</f>
        <v>179</v>
      </c>
      <c r="AR23" s="287">
        <f t="shared" si="24"/>
        <v>43879</v>
      </c>
      <c r="AS23" s="446">
        <f t="shared" si="42"/>
        <v>0.9</v>
      </c>
      <c r="AT23" s="205">
        <v>146</v>
      </c>
      <c r="AU23" s="447">
        <f t="shared" si="35"/>
        <v>1.1000000000000001</v>
      </c>
      <c r="AV23" s="205">
        <v>64</v>
      </c>
      <c r="AW23" s="5">
        <v>2.9</v>
      </c>
      <c r="AX23" s="205">
        <v>100</v>
      </c>
      <c r="AY23" s="450">
        <f t="shared" si="7"/>
        <v>131.4</v>
      </c>
      <c r="AZ23" s="450">
        <f t="shared" si="25"/>
        <v>70.400000000000006</v>
      </c>
      <c r="BA23" s="450">
        <f t="shared" si="26"/>
        <v>290</v>
      </c>
      <c r="BB23" s="21">
        <f t="shared" si="27"/>
        <v>-30.599999999999994</v>
      </c>
      <c r="BC23" s="21">
        <f t="shared" si="27"/>
        <v>2.2000000000000028</v>
      </c>
      <c r="BD23" s="21">
        <f t="shared" si="27"/>
        <v>-23.199999999999989</v>
      </c>
      <c r="BE23" s="24">
        <f t="shared" si="29"/>
        <v>-51.59999999999998</v>
      </c>
      <c r="BF23" s="97">
        <f t="shared" si="8"/>
        <v>51.59999999999998</v>
      </c>
      <c r="BG23" s="83">
        <f t="shared" si="9"/>
        <v>-51.59999999999998</v>
      </c>
    </row>
    <row r="24" spans="1:61" ht="15.75" thickBot="1">
      <c r="A24" s="6">
        <f>ELEC!C21</f>
        <v>43880</v>
      </c>
      <c r="B24" s="5">
        <v>108473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v>591244</v>
      </c>
      <c r="H24" s="5">
        <f t="shared" si="12"/>
        <v>113</v>
      </c>
      <c r="I24" s="5">
        <f t="shared" si="0"/>
        <v>113</v>
      </c>
      <c r="J24" s="350">
        <f t="shared" si="1"/>
        <v>2.2886786695148005</v>
      </c>
      <c r="K24" s="5">
        <f>'Swimming Pool quality check '!H24</f>
        <v>5911</v>
      </c>
      <c r="L24" s="282">
        <f t="shared" si="34"/>
        <v>1</v>
      </c>
      <c r="M24" s="432">
        <f t="shared" si="13"/>
        <v>457.44</v>
      </c>
      <c r="N24" s="560">
        <f t="shared" si="39"/>
        <v>0</v>
      </c>
      <c r="O24" s="432">
        <f t="shared" si="13"/>
        <v>529.52</v>
      </c>
      <c r="P24" s="560">
        <f t="shared" si="40"/>
        <v>0</v>
      </c>
      <c r="Q24" s="560">
        <f t="shared" si="41"/>
        <v>0</v>
      </c>
      <c r="R24" s="562"/>
      <c r="S24" s="562"/>
      <c r="T24" s="5">
        <v>4614</v>
      </c>
      <c r="U24" s="5">
        <f t="shared" si="4"/>
        <v>5</v>
      </c>
      <c r="V24" s="5">
        <v>386</v>
      </c>
      <c r="W24" s="340">
        <f t="shared" si="15"/>
        <v>0</v>
      </c>
      <c r="X24" s="5">
        <v>140950</v>
      </c>
      <c r="Y24" s="340">
        <f t="shared" si="30"/>
        <v>0</v>
      </c>
      <c r="Z24" s="5">
        <v>92561</v>
      </c>
      <c r="AA24" s="84">
        <f t="shared" si="16"/>
        <v>75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v>113.66</v>
      </c>
      <c r="AF24" s="84">
        <f t="shared" si="19"/>
        <v>3.2999999999999972</v>
      </c>
      <c r="AG24" s="5">
        <v>1376.36</v>
      </c>
      <c r="AH24" s="84">
        <f t="shared" si="20"/>
        <v>25.559999999999945</v>
      </c>
      <c r="AI24" s="84">
        <f t="shared" si="21"/>
        <v>28.859999999999943</v>
      </c>
      <c r="AJ24" s="342">
        <f t="shared" si="22"/>
        <v>75</v>
      </c>
      <c r="AK24" s="343">
        <f t="shared" si="5"/>
        <v>-1</v>
      </c>
      <c r="AL24" s="343">
        <f t="shared" si="23"/>
        <v>75</v>
      </c>
      <c r="AM24" s="343">
        <f>'General information '!D24</f>
        <v>15.5</v>
      </c>
      <c r="AN24" s="85">
        <f>'General information '!H24</f>
        <v>0</v>
      </c>
      <c r="AO24" s="85"/>
      <c r="AP24" s="85">
        <f>'General information '!J24</f>
        <v>173</v>
      </c>
      <c r="AR24" s="287">
        <f t="shared" si="24"/>
        <v>43880</v>
      </c>
      <c r="AS24" s="446">
        <f t="shared" si="42"/>
        <v>0.9</v>
      </c>
      <c r="AT24" s="205">
        <v>150</v>
      </c>
      <c r="AU24" s="447">
        <f t="shared" si="35"/>
        <v>1.1000000000000001</v>
      </c>
      <c r="AV24" s="205">
        <v>75</v>
      </c>
      <c r="AW24" s="5">
        <v>2.9</v>
      </c>
      <c r="AX24" s="205">
        <v>89</v>
      </c>
      <c r="AY24" s="450">
        <f t="shared" si="7"/>
        <v>135</v>
      </c>
      <c r="AZ24" s="450">
        <f t="shared" si="25"/>
        <v>82.5</v>
      </c>
      <c r="BA24" s="450">
        <f t="shared" si="26"/>
        <v>258.09999999999997</v>
      </c>
      <c r="BB24" s="21">
        <f t="shared" si="27"/>
        <v>3.5999999999999943</v>
      </c>
      <c r="BC24" s="21">
        <f t="shared" si="27"/>
        <v>12.099999999999994</v>
      </c>
      <c r="BD24" s="21">
        <f t="shared" si="27"/>
        <v>-31.900000000000034</v>
      </c>
      <c r="BE24" s="24">
        <f t="shared" si="29"/>
        <v>-16.200000000000045</v>
      </c>
      <c r="BF24" s="97">
        <f t="shared" si="8"/>
        <v>129.20000000000005</v>
      </c>
      <c r="BG24" s="83">
        <f t="shared" si="9"/>
        <v>-16.200000000000045</v>
      </c>
      <c r="BI24" s="83"/>
    </row>
    <row r="25" spans="1:61" ht="15.75" thickBot="1">
      <c r="A25" s="6">
        <f>ELEC!C22</f>
        <v>43881</v>
      </c>
      <c r="B25" s="5">
        <f t="shared" si="32"/>
        <v>108473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f t="shared" si="33"/>
        <v>591244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5911</v>
      </c>
      <c r="L25" s="282">
        <f t="shared" si="34"/>
        <v>0</v>
      </c>
      <c r="M25" s="432">
        <f t="shared" si="13"/>
        <v>457.44</v>
      </c>
      <c r="N25" s="560">
        <f t="shared" si="39"/>
        <v>0</v>
      </c>
      <c r="O25" s="432">
        <f t="shared" si="13"/>
        <v>529.52</v>
      </c>
      <c r="P25" s="560">
        <f t="shared" si="40"/>
        <v>0</v>
      </c>
      <c r="Q25" s="560">
        <f t="shared" si="41"/>
        <v>0</v>
      </c>
      <c r="R25" s="562"/>
      <c r="S25" s="562"/>
      <c r="T25" s="5">
        <f t="shared" ref="T25:T36" si="43">T24</f>
        <v>4614</v>
      </c>
      <c r="U25" s="5">
        <f t="shared" si="4"/>
        <v>0</v>
      </c>
      <c r="V25" s="5">
        <f t="shared" si="14"/>
        <v>386</v>
      </c>
      <c r="W25" s="340">
        <f t="shared" si="15"/>
        <v>0</v>
      </c>
      <c r="X25" s="5">
        <f t="shared" si="37"/>
        <v>140950</v>
      </c>
      <c r="Y25" s="340">
        <f t="shared" si="30"/>
        <v>0</v>
      </c>
      <c r="Z25" s="5">
        <f t="shared" si="38"/>
        <v>92561</v>
      </c>
      <c r="AA25" s="84">
        <f t="shared" si="16"/>
        <v>0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f t="shared" si="36"/>
        <v>113.66</v>
      </c>
      <c r="AF25" s="84">
        <f t="shared" si="19"/>
        <v>0</v>
      </c>
      <c r="AG25" s="5">
        <f t="shared" ref="AG25:AG36" si="44">AG24</f>
        <v>1376.36</v>
      </c>
      <c r="AH25" s="84">
        <f t="shared" si="20"/>
        <v>0</v>
      </c>
      <c r="AI25" s="84">
        <f t="shared" si="21"/>
        <v>0</v>
      </c>
      <c r="AJ25" s="342">
        <f t="shared" si="22"/>
        <v>0</v>
      </c>
      <c r="AK25" s="343">
        <f t="shared" si="5"/>
        <v>0</v>
      </c>
      <c r="AL25" s="343">
        <f t="shared" si="23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24"/>
        <v>43881</v>
      </c>
      <c r="AS25" s="446">
        <f t="shared" si="42"/>
        <v>0.9</v>
      </c>
      <c r="AT25" s="205">
        <f t="shared" si="42"/>
        <v>150</v>
      </c>
      <c r="AU25" s="447">
        <f t="shared" si="35"/>
        <v>1.1000000000000001</v>
      </c>
      <c r="AV25" s="205">
        <f t="shared" ref="AV25:AV36" si="45">AV24</f>
        <v>75</v>
      </c>
      <c r="AW25" s="5">
        <v>2.9</v>
      </c>
      <c r="AX25" s="205">
        <f t="shared" ref="AX25:AX36" si="46">AX24</f>
        <v>89</v>
      </c>
      <c r="AY25" s="450">
        <f t="shared" si="7"/>
        <v>135</v>
      </c>
      <c r="AZ25" s="450">
        <f t="shared" si="25"/>
        <v>82.5</v>
      </c>
      <c r="BA25" s="450">
        <f t="shared" si="26"/>
        <v>258.09999999999997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43882</v>
      </c>
      <c r="B26" s="5">
        <f t="shared" si="32"/>
        <v>108473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f t="shared" si="33"/>
        <v>591244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5911</v>
      </c>
      <c r="L26" s="282">
        <f t="shared" si="34"/>
        <v>0</v>
      </c>
      <c r="M26" s="432">
        <f t="shared" si="13"/>
        <v>457.44</v>
      </c>
      <c r="N26" s="560">
        <f t="shared" si="39"/>
        <v>0</v>
      </c>
      <c r="O26" s="432">
        <f t="shared" si="13"/>
        <v>529.52</v>
      </c>
      <c r="P26" s="560">
        <f t="shared" si="40"/>
        <v>0</v>
      </c>
      <c r="Q26" s="560">
        <f t="shared" si="41"/>
        <v>0</v>
      </c>
      <c r="R26" s="562"/>
      <c r="S26" s="562"/>
      <c r="T26" s="5">
        <f t="shared" si="43"/>
        <v>4614</v>
      </c>
      <c r="U26" s="5">
        <f t="shared" si="4"/>
        <v>0</v>
      </c>
      <c r="V26" s="5">
        <f t="shared" si="14"/>
        <v>386</v>
      </c>
      <c r="W26" s="340">
        <f t="shared" si="15"/>
        <v>0</v>
      </c>
      <c r="X26" s="5">
        <f t="shared" si="37"/>
        <v>140950</v>
      </c>
      <c r="Y26" s="340">
        <f t="shared" si="30"/>
        <v>0</v>
      </c>
      <c r="Z26" s="5">
        <f t="shared" si="38"/>
        <v>92561</v>
      </c>
      <c r="AA26" s="84">
        <f t="shared" si="16"/>
        <v>0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f t="shared" si="36"/>
        <v>113.66</v>
      </c>
      <c r="AF26" s="84">
        <f t="shared" si="19"/>
        <v>0</v>
      </c>
      <c r="AG26" s="5">
        <f t="shared" si="44"/>
        <v>1376.36</v>
      </c>
      <c r="AH26" s="84">
        <f t="shared" si="20"/>
        <v>0</v>
      </c>
      <c r="AI26" s="84">
        <f t="shared" si="21"/>
        <v>0</v>
      </c>
      <c r="AJ26" s="342">
        <f t="shared" si="22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4"/>
        <v>43882</v>
      </c>
      <c r="AS26" s="446">
        <f t="shared" si="42"/>
        <v>0.9</v>
      </c>
      <c r="AT26" s="205">
        <f t="shared" si="42"/>
        <v>150</v>
      </c>
      <c r="AU26" s="447">
        <f t="shared" si="35"/>
        <v>1.1000000000000001</v>
      </c>
      <c r="AV26" s="205">
        <f t="shared" si="45"/>
        <v>75</v>
      </c>
      <c r="AW26" s="5">
        <v>2.9</v>
      </c>
      <c r="AX26" s="205">
        <f t="shared" si="46"/>
        <v>89</v>
      </c>
      <c r="AY26" s="450">
        <f t="shared" si="7"/>
        <v>135</v>
      </c>
      <c r="AZ26" s="450">
        <f t="shared" si="25"/>
        <v>82.5</v>
      </c>
      <c r="BA26" s="450">
        <f t="shared" si="26"/>
        <v>258.09999999999997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32"/>
        <v>108473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f t="shared" si="33"/>
        <v>591244</v>
      </c>
      <c r="H27" s="5">
        <f t="shared" si="12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5911</v>
      </c>
      <c r="L27" s="282">
        <f t="shared" si="34"/>
        <v>0</v>
      </c>
      <c r="M27" s="432">
        <f t="shared" si="13"/>
        <v>457.44</v>
      </c>
      <c r="N27" s="560">
        <f t="shared" si="39"/>
        <v>0</v>
      </c>
      <c r="O27" s="432">
        <f t="shared" si="13"/>
        <v>529.52</v>
      </c>
      <c r="P27" s="560">
        <f t="shared" si="40"/>
        <v>0</v>
      </c>
      <c r="Q27" s="560">
        <f t="shared" si="41"/>
        <v>0</v>
      </c>
      <c r="R27" s="562"/>
      <c r="S27" s="562"/>
      <c r="T27" s="5">
        <f t="shared" si="43"/>
        <v>4614</v>
      </c>
      <c r="U27" s="5">
        <f t="shared" si="4"/>
        <v>0</v>
      </c>
      <c r="V27" s="5">
        <f t="shared" si="14"/>
        <v>386</v>
      </c>
      <c r="W27" s="340">
        <f t="shared" si="15"/>
        <v>0</v>
      </c>
      <c r="X27" s="5">
        <f t="shared" si="37"/>
        <v>140950</v>
      </c>
      <c r="Y27" s="340">
        <f>SUM(X27-X26)</f>
        <v>0</v>
      </c>
      <c r="Z27" s="5">
        <f t="shared" si="38"/>
        <v>92561</v>
      </c>
      <c r="AA27" s="84">
        <f t="shared" si="16"/>
        <v>0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f t="shared" si="36"/>
        <v>113.66</v>
      </c>
      <c r="AF27" s="84">
        <f t="shared" si="19"/>
        <v>0</v>
      </c>
      <c r="AG27" s="5">
        <f t="shared" si="44"/>
        <v>1376.36</v>
      </c>
      <c r="AH27" s="84">
        <f t="shared" si="20"/>
        <v>0</v>
      </c>
      <c r="AI27" s="84">
        <f t="shared" si="21"/>
        <v>0</v>
      </c>
      <c r="AJ27" s="342">
        <f t="shared" si="22"/>
        <v>0</v>
      </c>
      <c r="AK27" s="343">
        <f t="shared" si="5"/>
        <v>0</v>
      </c>
      <c r="AL27" s="343">
        <f t="shared" si="23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4"/>
        <v>43883</v>
      </c>
      <c r="AS27" s="446">
        <f t="shared" si="42"/>
        <v>0.9</v>
      </c>
      <c r="AT27" s="205">
        <f t="shared" si="42"/>
        <v>150</v>
      </c>
      <c r="AU27" s="447">
        <f t="shared" si="35"/>
        <v>1.1000000000000001</v>
      </c>
      <c r="AV27" s="205">
        <f t="shared" si="45"/>
        <v>75</v>
      </c>
      <c r="AW27" s="5">
        <v>2.9</v>
      </c>
      <c r="AX27" s="205">
        <f t="shared" si="46"/>
        <v>89</v>
      </c>
      <c r="AY27" s="450">
        <f t="shared" si="7"/>
        <v>135</v>
      </c>
      <c r="AZ27" s="450">
        <f t="shared" si="25"/>
        <v>82.5</v>
      </c>
      <c r="BA27" s="450">
        <f t="shared" si="26"/>
        <v>258.09999999999997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32"/>
        <v>108473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591244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5911</v>
      </c>
      <c r="L28" s="282">
        <f t="shared" si="34"/>
        <v>0</v>
      </c>
      <c r="M28" s="432">
        <f t="shared" si="13"/>
        <v>457.44</v>
      </c>
      <c r="N28" s="560">
        <f t="shared" si="39"/>
        <v>0</v>
      </c>
      <c r="O28" s="432">
        <f t="shared" si="13"/>
        <v>529.52</v>
      </c>
      <c r="P28" s="560">
        <f t="shared" si="40"/>
        <v>0</v>
      </c>
      <c r="Q28" s="560">
        <f t="shared" si="41"/>
        <v>0</v>
      </c>
      <c r="R28" s="562"/>
      <c r="S28" s="562"/>
      <c r="T28" s="5">
        <f t="shared" si="43"/>
        <v>4614</v>
      </c>
      <c r="U28" s="5">
        <f t="shared" si="4"/>
        <v>0</v>
      </c>
      <c r="V28" s="5">
        <f t="shared" si="14"/>
        <v>386</v>
      </c>
      <c r="W28" s="340">
        <f t="shared" si="15"/>
        <v>0</v>
      </c>
      <c r="X28" s="5">
        <f t="shared" si="37"/>
        <v>140950</v>
      </c>
      <c r="Y28" s="340">
        <f t="shared" si="30"/>
        <v>0</v>
      </c>
      <c r="Z28" s="5">
        <f t="shared" si="38"/>
        <v>92561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6"/>
        <v>113.66</v>
      </c>
      <c r="AF28" s="84">
        <f t="shared" si="19"/>
        <v>0</v>
      </c>
      <c r="AG28" s="5">
        <f t="shared" si="44"/>
        <v>1376.36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2"/>
        <v>0.9</v>
      </c>
      <c r="AT28" s="205">
        <f t="shared" si="42"/>
        <v>150</v>
      </c>
      <c r="AU28" s="447">
        <f t="shared" si="35"/>
        <v>1.1000000000000001</v>
      </c>
      <c r="AV28" s="205">
        <f t="shared" si="45"/>
        <v>75</v>
      </c>
      <c r="AW28" s="5">
        <v>2.9</v>
      </c>
      <c r="AX28" s="205">
        <f t="shared" si="46"/>
        <v>89</v>
      </c>
      <c r="AY28" s="450">
        <f t="shared" si="7"/>
        <v>135</v>
      </c>
      <c r="AZ28" s="450">
        <f t="shared" si="25"/>
        <v>82.5</v>
      </c>
      <c r="BA28" s="450">
        <f t="shared" si="26"/>
        <v>258.09999999999997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108473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591244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5911</v>
      </c>
      <c r="L29" s="282">
        <f t="shared" si="34"/>
        <v>0</v>
      </c>
      <c r="M29" s="432">
        <f t="shared" si="13"/>
        <v>457.44</v>
      </c>
      <c r="N29" s="560">
        <f t="shared" si="39"/>
        <v>0</v>
      </c>
      <c r="O29" s="432">
        <f t="shared" si="13"/>
        <v>529.52</v>
      </c>
      <c r="P29" s="560">
        <f t="shared" si="40"/>
        <v>0</v>
      </c>
      <c r="Q29" s="560">
        <f t="shared" si="41"/>
        <v>0</v>
      </c>
      <c r="R29" s="562"/>
      <c r="S29" s="562"/>
      <c r="T29" s="5">
        <f t="shared" si="43"/>
        <v>4614</v>
      </c>
      <c r="U29" s="5">
        <f t="shared" si="4"/>
        <v>0</v>
      </c>
      <c r="V29" s="5">
        <f t="shared" si="14"/>
        <v>386</v>
      </c>
      <c r="W29" s="340">
        <f t="shared" si="15"/>
        <v>0</v>
      </c>
      <c r="X29" s="5">
        <f t="shared" si="37"/>
        <v>140950</v>
      </c>
      <c r="Y29" s="340">
        <f t="shared" si="30"/>
        <v>0</v>
      </c>
      <c r="Z29" s="5">
        <f t="shared" si="38"/>
        <v>92561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113.66</v>
      </c>
      <c r="AF29" s="84">
        <f t="shared" si="19"/>
        <v>0</v>
      </c>
      <c r="AG29" s="5">
        <f t="shared" si="44"/>
        <v>1376.36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2"/>
        <v>0.9</v>
      </c>
      <c r="AT29" s="205">
        <f t="shared" si="42"/>
        <v>150</v>
      </c>
      <c r="AU29" s="447">
        <f t="shared" si="35"/>
        <v>1.1000000000000001</v>
      </c>
      <c r="AV29" s="205">
        <f t="shared" si="45"/>
        <v>75</v>
      </c>
      <c r="AW29" s="5">
        <v>2.9</v>
      </c>
      <c r="AX29" s="205">
        <f t="shared" si="46"/>
        <v>89</v>
      </c>
      <c r="AY29" s="450">
        <f t="shared" si="7"/>
        <v>135</v>
      </c>
      <c r="AZ29" s="450">
        <f t="shared" si="25"/>
        <v>82.5</v>
      </c>
      <c r="BA29" s="450">
        <f t="shared" si="26"/>
        <v>258.09999999999997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108473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591244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5911</v>
      </c>
      <c r="L30" s="282">
        <f t="shared" si="34"/>
        <v>0</v>
      </c>
      <c r="M30" s="432">
        <f t="shared" si="13"/>
        <v>457.44</v>
      </c>
      <c r="N30" s="560">
        <f t="shared" si="39"/>
        <v>0</v>
      </c>
      <c r="O30" s="432">
        <f t="shared" si="13"/>
        <v>529.52</v>
      </c>
      <c r="P30" s="560">
        <f t="shared" si="40"/>
        <v>0</v>
      </c>
      <c r="Q30" s="560">
        <f t="shared" si="41"/>
        <v>0</v>
      </c>
      <c r="R30" s="562"/>
      <c r="S30" s="562"/>
      <c r="T30" s="5">
        <f t="shared" si="43"/>
        <v>4614</v>
      </c>
      <c r="U30" s="5">
        <f t="shared" si="4"/>
        <v>0</v>
      </c>
      <c r="V30" s="5">
        <f t="shared" si="14"/>
        <v>386</v>
      </c>
      <c r="W30" s="340">
        <f t="shared" si="15"/>
        <v>0</v>
      </c>
      <c r="X30" s="5">
        <f t="shared" si="37"/>
        <v>140950</v>
      </c>
      <c r="Y30" s="340">
        <f t="shared" si="30"/>
        <v>0</v>
      </c>
      <c r="Z30" s="5">
        <f t="shared" si="38"/>
        <v>92561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113.66</v>
      </c>
      <c r="AF30" s="84">
        <f t="shared" si="19"/>
        <v>0</v>
      </c>
      <c r="AG30" s="5">
        <f t="shared" si="44"/>
        <v>1376.36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2"/>
        <v>0.9</v>
      </c>
      <c r="AT30" s="205">
        <f t="shared" si="42"/>
        <v>150</v>
      </c>
      <c r="AU30" s="447">
        <f t="shared" si="35"/>
        <v>1.1000000000000001</v>
      </c>
      <c r="AV30" s="205">
        <f t="shared" si="45"/>
        <v>75</v>
      </c>
      <c r="AW30" s="5">
        <v>2.9</v>
      </c>
      <c r="AX30" s="205">
        <f t="shared" si="46"/>
        <v>89</v>
      </c>
      <c r="AY30" s="450">
        <f t="shared" si="7"/>
        <v>135</v>
      </c>
      <c r="AZ30" s="450">
        <f t="shared" si="25"/>
        <v>82.5</v>
      </c>
      <c r="BA30" s="450">
        <f t="shared" si="26"/>
        <v>258.09999999999997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108473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591244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5911</v>
      </c>
      <c r="L31" s="282">
        <f t="shared" si="34"/>
        <v>0</v>
      </c>
      <c r="M31" s="432">
        <f t="shared" si="13"/>
        <v>457.44</v>
      </c>
      <c r="N31" s="560">
        <f t="shared" si="39"/>
        <v>0</v>
      </c>
      <c r="O31" s="432">
        <f t="shared" si="13"/>
        <v>529.52</v>
      </c>
      <c r="P31" s="560">
        <f t="shared" si="40"/>
        <v>0</v>
      </c>
      <c r="Q31" s="560">
        <f t="shared" si="41"/>
        <v>0</v>
      </c>
      <c r="R31" s="562"/>
      <c r="S31" s="562"/>
      <c r="T31" s="5">
        <f t="shared" si="43"/>
        <v>4614</v>
      </c>
      <c r="U31" s="5">
        <f t="shared" si="4"/>
        <v>0</v>
      </c>
      <c r="V31" s="5">
        <f t="shared" si="14"/>
        <v>386</v>
      </c>
      <c r="W31" s="340">
        <f t="shared" si="15"/>
        <v>0</v>
      </c>
      <c r="X31" s="5">
        <f t="shared" si="37"/>
        <v>140950</v>
      </c>
      <c r="Y31" s="340">
        <f t="shared" si="30"/>
        <v>0</v>
      </c>
      <c r="Z31" s="5">
        <f t="shared" si="38"/>
        <v>92561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113.66</v>
      </c>
      <c r="AF31" s="84">
        <f t="shared" si="19"/>
        <v>0</v>
      </c>
      <c r="AG31" s="5">
        <f t="shared" si="44"/>
        <v>1376.36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2"/>
        <v>0.9</v>
      </c>
      <c r="AT31" s="205">
        <f t="shared" si="42"/>
        <v>150</v>
      </c>
      <c r="AU31" s="447">
        <f t="shared" si="35"/>
        <v>1.1000000000000001</v>
      </c>
      <c r="AV31" s="205">
        <f t="shared" si="45"/>
        <v>75</v>
      </c>
      <c r="AW31" s="5">
        <v>2.9</v>
      </c>
      <c r="AX31" s="205">
        <f t="shared" si="46"/>
        <v>89</v>
      </c>
      <c r="AY31" s="450">
        <f t="shared" si="7"/>
        <v>135</v>
      </c>
      <c r="AZ31" s="450">
        <f t="shared" si="25"/>
        <v>82.5</v>
      </c>
      <c r="BA31" s="450">
        <f t="shared" si="26"/>
        <v>258.09999999999997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108473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591244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5911</v>
      </c>
      <c r="L32" s="282">
        <f t="shared" si="34"/>
        <v>0</v>
      </c>
      <c r="M32" s="432">
        <f t="shared" si="13"/>
        <v>457.44</v>
      </c>
      <c r="N32" s="560">
        <f t="shared" si="39"/>
        <v>0</v>
      </c>
      <c r="O32" s="432">
        <f t="shared" si="13"/>
        <v>529.52</v>
      </c>
      <c r="P32" s="560">
        <f t="shared" si="40"/>
        <v>0</v>
      </c>
      <c r="Q32" s="560">
        <f t="shared" si="41"/>
        <v>0</v>
      </c>
      <c r="R32" s="562"/>
      <c r="S32" s="562"/>
      <c r="T32" s="5">
        <f t="shared" si="43"/>
        <v>4614</v>
      </c>
      <c r="U32" s="5">
        <f t="shared" si="4"/>
        <v>0</v>
      </c>
      <c r="V32" s="5">
        <f t="shared" si="14"/>
        <v>386</v>
      </c>
      <c r="W32" s="340">
        <f t="shared" si="15"/>
        <v>0</v>
      </c>
      <c r="X32" s="5">
        <f t="shared" si="37"/>
        <v>140950</v>
      </c>
      <c r="Y32" s="340">
        <f t="shared" si="30"/>
        <v>0</v>
      </c>
      <c r="Z32" s="5">
        <f t="shared" si="38"/>
        <v>92561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113.66</v>
      </c>
      <c r="AF32" s="84">
        <f t="shared" si="19"/>
        <v>0</v>
      </c>
      <c r="AG32" s="5">
        <f t="shared" si="44"/>
        <v>1376.36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2"/>
        <v>0.9</v>
      </c>
      <c r="AT32" s="205">
        <f t="shared" si="42"/>
        <v>150</v>
      </c>
      <c r="AU32" s="447">
        <f t="shared" si="35"/>
        <v>1.1000000000000001</v>
      </c>
      <c r="AV32" s="205">
        <f t="shared" si="45"/>
        <v>75</v>
      </c>
      <c r="AW32" s="5">
        <v>2.9</v>
      </c>
      <c r="AX32" s="205">
        <f t="shared" si="46"/>
        <v>89</v>
      </c>
      <c r="AY32" s="450">
        <f t="shared" si="7"/>
        <v>135</v>
      </c>
      <c r="AZ32" s="450">
        <f t="shared" si="25"/>
        <v>82.5</v>
      </c>
      <c r="BA32" s="450">
        <f t="shared" si="26"/>
        <v>258.09999999999997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108473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591244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5911</v>
      </c>
      <c r="L33" s="282">
        <f t="shared" si="34"/>
        <v>0</v>
      </c>
      <c r="M33" s="432">
        <f t="shared" si="13"/>
        <v>457.44</v>
      </c>
      <c r="N33" s="560">
        <f t="shared" si="39"/>
        <v>0</v>
      </c>
      <c r="O33" s="432">
        <f t="shared" si="13"/>
        <v>529.52</v>
      </c>
      <c r="P33" s="560">
        <f t="shared" si="40"/>
        <v>0</v>
      </c>
      <c r="Q33" s="560">
        <f t="shared" si="41"/>
        <v>0</v>
      </c>
      <c r="R33" s="562"/>
      <c r="S33" s="562"/>
      <c r="T33" s="5">
        <f t="shared" si="43"/>
        <v>4614</v>
      </c>
      <c r="U33" s="5">
        <f t="shared" si="4"/>
        <v>0</v>
      </c>
      <c r="V33" s="5">
        <f t="shared" si="14"/>
        <v>386</v>
      </c>
      <c r="W33" s="340">
        <f t="shared" si="15"/>
        <v>0</v>
      </c>
      <c r="X33" s="5">
        <f t="shared" si="37"/>
        <v>140950</v>
      </c>
      <c r="Y33" s="340">
        <f t="shared" si="30"/>
        <v>0</v>
      </c>
      <c r="Z33" s="5">
        <f t="shared" si="38"/>
        <v>92561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113.66</v>
      </c>
      <c r="AF33" s="84">
        <f>AE33-AE32</f>
        <v>0</v>
      </c>
      <c r="AG33" s="5">
        <f t="shared" si="44"/>
        <v>1376.36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2"/>
        <v>0.9</v>
      </c>
      <c r="AT33" s="205">
        <f t="shared" si="42"/>
        <v>150</v>
      </c>
      <c r="AU33" s="447">
        <f t="shared" si="35"/>
        <v>1.1000000000000001</v>
      </c>
      <c r="AV33" s="205">
        <f t="shared" si="45"/>
        <v>75</v>
      </c>
      <c r="AW33" s="5">
        <v>2.9</v>
      </c>
      <c r="AX33" s="205">
        <f t="shared" si="46"/>
        <v>89</v>
      </c>
      <c r="AY33" s="450">
        <f t="shared" si="7"/>
        <v>135</v>
      </c>
      <c r="AZ33" s="450">
        <f t="shared" si="25"/>
        <v>82.5</v>
      </c>
      <c r="BA33" s="450">
        <f t="shared" si="26"/>
        <v>258.09999999999997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108473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591244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5911</v>
      </c>
      <c r="L34" s="282">
        <f t="shared" si="34"/>
        <v>0</v>
      </c>
      <c r="M34" s="432">
        <f t="shared" si="13"/>
        <v>457.44</v>
      </c>
      <c r="N34" s="560">
        <f t="shared" si="39"/>
        <v>0</v>
      </c>
      <c r="O34" s="432">
        <f t="shared" si="13"/>
        <v>529.52</v>
      </c>
      <c r="P34" s="560">
        <f t="shared" si="40"/>
        <v>0</v>
      </c>
      <c r="Q34" s="560">
        <f t="shared" si="41"/>
        <v>0</v>
      </c>
      <c r="R34" s="562"/>
      <c r="S34" s="562"/>
      <c r="T34" s="5">
        <f t="shared" si="43"/>
        <v>4614</v>
      </c>
      <c r="U34" s="5">
        <f t="shared" si="4"/>
        <v>0</v>
      </c>
      <c r="V34" s="5">
        <f t="shared" si="14"/>
        <v>386</v>
      </c>
      <c r="W34" s="340">
        <f t="shared" si="15"/>
        <v>0</v>
      </c>
      <c r="X34" s="5">
        <f t="shared" si="37"/>
        <v>140950</v>
      </c>
      <c r="Y34" s="340">
        <f t="shared" si="30"/>
        <v>0</v>
      </c>
      <c r="Z34" s="5">
        <f t="shared" si="38"/>
        <v>92561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113.66</v>
      </c>
      <c r="AF34" s="84">
        <f t="shared" si="19"/>
        <v>0</v>
      </c>
      <c r="AG34" s="5">
        <f t="shared" si="44"/>
        <v>1376.36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2"/>
        <v>0.9</v>
      </c>
      <c r="AT34" s="205">
        <f t="shared" si="42"/>
        <v>150</v>
      </c>
      <c r="AU34" s="448">
        <f t="shared" si="35"/>
        <v>1.1000000000000001</v>
      </c>
      <c r="AV34" s="205">
        <f t="shared" si="45"/>
        <v>75</v>
      </c>
      <c r="AW34" s="5">
        <v>2.9</v>
      </c>
      <c r="AX34" s="205">
        <f t="shared" si="46"/>
        <v>89</v>
      </c>
      <c r="AY34" s="450">
        <f t="shared" si="7"/>
        <v>135</v>
      </c>
      <c r="AZ34" s="450">
        <f t="shared" si="25"/>
        <v>82.5</v>
      </c>
      <c r="BA34" s="450">
        <f t="shared" si="26"/>
        <v>258.09999999999997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108473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591244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5911</v>
      </c>
      <c r="L35" s="84">
        <f t="shared" si="34"/>
        <v>0</v>
      </c>
      <c r="M35" s="432">
        <f t="shared" si="13"/>
        <v>457.44</v>
      </c>
      <c r="N35" s="560">
        <f t="shared" si="39"/>
        <v>0</v>
      </c>
      <c r="O35" s="432">
        <f t="shared" si="13"/>
        <v>529.52</v>
      </c>
      <c r="P35" s="560">
        <f t="shared" si="40"/>
        <v>0</v>
      </c>
      <c r="Q35" s="560">
        <f t="shared" si="41"/>
        <v>0</v>
      </c>
      <c r="R35" s="560"/>
      <c r="S35" s="560"/>
      <c r="T35" s="5">
        <f t="shared" si="43"/>
        <v>4614</v>
      </c>
      <c r="U35" s="5">
        <f t="shared" si="4"/>
        <v>0</v>
      </c>
      <c r="V35" s="5">
        <f t="shared" si="14"/>
        <v>386</v>
      </c>
      <c r="W35" s="340">
        <f t="shared" si="15"/>
        <v>0</v>
      </c>
      <c r="X35" s="5">
        <f t="shared" si="37"/>
        <v>140950</v>
      </c>
      <c r="Y35" s="340">
        <f t="shared" si="30"/>
        <v>0</v>
      </c>
      <c r="Z35" s="5">
        <f t="shared" si="38"/>
        <v>92561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113.66</v>
      </c>
      <c r="AF35" s="84">
        <f t="shared" si="19"/>
        <v>0</v>
      </c>
      <c r="AG35" s="5">
        <f t="shared" si="44"/>
        <v>1376.36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2"/>
        <v>0.9</v>
      </c>
      <c r="AT35" s="205">
        <f t="shared" si="42"/>
        <v>150</v>
      </c>
      <c r="AU35" s="449">
        <f t="shared" si="35"/>
        <v>1.1000000000000001</v>
      </c>
      <c r="AV35" s="205">
        <f t="shared" si="45"/>
        <v>75</v>
      </c>
      <c r="AW35" s="5">
        <v>2.9</v>
      </c>
      <c r="AX35" s="205">
        <f t="shared" si="46"/>
        <v>89</v>
      </c>
      <c r="AY35" s="450">
        <f t="shared" si="7"/>
        <v>135</v>
      </c>
      <c r="AZ35" s="450">
        <f t="shared" si="25"/>
        <v>82.5</v>
      </c>
      <c r="BA35" s="450">
        <f t="shared" si="26"/>
        <v>258.09999999999997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108473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591244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5911</v>
      </c>
      <c r="L36" s="84">
        <f>K36-K35</f>
        <v>0</v>
      </c>
      <c r="M36" s="432">
        <f t="shared" si="13"/>
        <v>457.44</v>
      </c>
      <c r="N36" s="560">
        <f t="shared" si="39"/>
        <v>0</v>
      </c>
      <c r="O36" s="432">
        <f t="shared" si="13"/>
        <v>529.52</v>
      </c>
      <c r="P36" s="560">
        <f t="shared" si="40"/>
        <v>0</v>
      </c>
      <c r="Q36" s="560">
        <f t="shared" si="41"/>
        <v>0</v>
      </c>
      <c r="R36" s="560"/>
      <c r="S36" s="560"/>
      <c r="T36" s="5">
        <f t="shared" si="43"/>
        <v>4614</v>
      </c>
      <c r="U36" s="5">
        <f>SUM(T36-T35)</f>
        <v>0</v>
      </c>
      <c r="V36" s="5">
        <f t="shared" si="14"/>
        <v>386</v>
      </c>
      <c r="W36" s="340">
        <f t="shared" si="15"/>
        <v>0</v>
      </c>
      <c r="X36" s="5">
        <f t="shared" si="37"/>
        <v>140950</v>
      </c>
      <c r="Y36" s="340">
        <f>SUM(X36-X35)</f>
        <v>0</v>
      </c>
      <c r="Z36" s="5">
        <f t="shared" si="38"/>
        <v>92561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113.66</v>
      </c>
      <c r="AF36" s="84">
        <f>AE36-AE35</f>
        <v>0</v>
      </c>
      <c r="AG36" s="5">
        <f t="shared" si="44"/>
        <v>1376.36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2"/>
        <v>0.9</v>
      </c>
      <c r="AT36" s="205">
        <f t="shared" si="42"/>
        <v>150</v>
      </c>
      <c r="AU36" s="449">
        <f t="shared" si="35"/>
        <v>1.1000000000000001</v>
      </c>
      <c r="AV36" s="205">
        <f t="shared" si="45"/>
        <v>75</v>
      </c>
      <c r="AW36" s="5">
        <v>2.9</v>
      </c>
      <c r="AX36" s="205">
        <f t="shared" si="46"/>
        <v>89</v>
      </c>
      <c r="AY36" s="450">
        <f>AS36*AT36</f>
        <v>135</v>
      </c>
      <c r="AZ36" s="450">
        <f>AU36*AV36</f>
        <v>82.5</v>
      </c>
      <c r="BA36" s="450">
        <f t="shared" si="26"/>
        <v>258.09999999999997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32</v>
      </c>
      <c r="D37" s="338">
        <f>SUM(D6:D36)</f>
        <v>1.1851851851851851</v>
      </c>
      <c r="F37" s="436">
        <f>SUM(F6:F36)</f>
        <v>0</v>
      </c>
      <c r="H37" s="434">
        <f>SUM(H6:H36)</f>
        <v>1908</v>
      </c>
      <c r="I37" s="434">
        <f>SUM(I6:I36)</f>
        <v>1940</v>
      </c>
      <c r="L37" s="275">
        <f>SUM(L7:L36)</f>
        <v>14</v>
      </c>
      <c r="Q37" s="536">
        <f>SUM(Q5:Q35)</f>
        <v>0</v>
      </c>
      <c r="U37" s="431">
        <f>SUM(U6:U36)</f>
        <v>95</v>
      </c>
      <c r="X37" s="339"/>
      <c r="Y37" s="338">
        <f>SUM(Y35,Y33,Y31,Y29,Y27,Y25,Y23,Y21,Y19,Y17,Y15,Y13,Y11,Y9,Y7+Y36)</f>
        <v>103</v>
      </c>
      <c r="AJ37" s="338">
        <f>SUM(AJ6:AJ36)</f>
        <v>601</v>
      </c>
      <c r="AK37" s="343">
        <f t="shared" si="5"/>
        <v>89</v>
      </c>
      <c r="AL37" s="338">
        <f>SUM(AL6:AL36)</f>
        <v>578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53.12</v>
      </c>
      <c r="E38" s="348">
        <f>SUM(E6:E36)</f>
        <v>8070.3613793103414</v>
      </c>
      <c r="F38" s="439">
        <f>SUM(F6:F36)</f>
        <v>0</v>
      </c>
      <c r="H38" s="158">
        <v>7500</v>
      </c>
      <c r="I38" s="435">
        <f>SUM('General information '!G37/WATER!I37)</f>
        <v>0.43647835051546396</v>
      </c>
      <c r="L38" s="158"/>
      <c r="O38" s="533">
        <f>SUM(Q37+I37)</f>
        <v>1940</v>
      </c>
      <c r="Z38" s="338">
        <f>SUM(Y37:AJ37)</f>
        <v>704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1.1851851851851851</v>
      </c>
      <c r="F39" s="437">
        <f>SUM(F6:F36)</f>
        <v>0</v>
      </c>
      <c r="G39" s="1">
        <f>SUM(I37)</f>
        <v>1940</v>
      </c>
      <c r="H39" s="1">
        <f>SUM(H38+C38)</f>
        <v>7553.12</v>
      </c>
      <c r="K39" s="1">
        <f>SUM(H39/G39)</f>
        <v>3.8933608247422682</v>
      </c>
      <c r="AJ39" s="338">
        <f>SUM(C38-AK38)</f>
        <v>53.12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25" sqref="J25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20</v>
      </c>
      <c r="C10" s="37">
        <v>15</v>
      </c>
      <c r="D10" s="26">
        <f t="shared" si="0"/>
        <v>17.5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22</v>
      </c>
      <c r="C11" s="37">
        <v>16</v>
      </c>
      <c r="D11" s="26">
        <f t="shared" si="0"/>
        <v>19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>
        <v>16</v>
      </c>
      <c r="C12" s="37">
        <v>10</v>
      </c>
      <c r="D12" s="26">
        <f t="shared" si="0"/>
        <v>13</v>
      </c>
      <c r="E12" s="415">
        <v>0.61</v>
      </c>
      <c r="F12" s="415">
        <v>0.19570000000000001</v>
      </c>
      <c r="G12" s="246">
        <f t="shared" si="1"/>
        <v>45.011000000000003</v>
      </c>
      <c r="H12" s="3"/>
      <c r="I12" s="3"/>
      <c r="J12" s="37">
        <v>304</v>
      </c>
      <c r="K12" s="270">
        <f t="shared" si="2"/>
        <v>304</v>
      </c>
      <c r="L12" s="3"/>
      <c r="M12" s="3"/>
      <c r="N12" s="156"/>
      <c r="O12" s="3"/>
    </row>
    <row r="13" spans="1:15">
      <c r="A13" s="515">
        <f>ELEC!C10</f>
        <v>43869</v>
      </c>
      <c r="B13" s="37">
        <v>14</v>
      </c>
      <c r="C13" s="37">
        <v>9</v>
      </c>
      <c r="D13" s="26">
        <f>(C13+B13)/2</f>
        <v>11.5</v>
      </c>
      <c r="E13" s="373">
        <v>0.46</v>
      </c>
      <c r="F13" s="373">
        <v>0.13900000000000001</v>
      </c>
      <c r="G13" s="246">
        <f>F13*230</f>
        <v>31.970000000000002</v>
      </c>
      <c r="H13" s="3"/>
      <c r="I13" s="3"/>
      <c r="J13" s="37">
        <v>445</v>
      </c>
      <c r="K13" s="270">
        <f t="shared" si="2"/>
        <v>445</v>
      </c>
      <c r="L13" s="3"/>
      <c r="M13" s="3"/>
      <c r="N13" s="156"/>
      <c r="O13" s="3"/>
    </row>
    <row r="14" spans="1:15">
      <c r="A14" s="515">
        <f>ELEC!C11</f>
        <v>43870</v>
      </c>
      <c r="B14" s="37">
        <v>9</v>
      </c>
      <c r="C14" s="37">
        <v>8</v>
      </c>
      <c r="D14" s="26">
        <f t="shared" ref="D14:D35" si="3">(C14+B14)/2</f>
        <v>8.5</v>
      </c>
      <c r="E14" s="357">
        <v>0.52</v>
      </c>
      <c r="F14" s="357">
        <v>0.1522</v>
      </c>
      <c r="G14" s="246">
        <f t="shared" ref="G14:G35" si="4">F14*230</f>
        <v>35.006</v>
      </c>
      <c r="H14" s="3"/>
      <c r="I14" s="3">
        <v>0</v>
      </c>
      <c r="J14" s="37">
        <v>376</v>
      </c>
      <c r="K14" s="270">
        <f t="shared" si="2"/>
        <v>376</v>
      </c>
      <c r="L14" s="3"/>
      <c r="M14" s="3"/>
      <c r="N14" s="156"/>
      <c r="O14" s="3"/>
    </row>
    <row r="15" spans="1:15">
      <c r="A15" s="515">
        <f>ELEC!C12</f>
        <v>43871</v>
      </c>
      <c r="B15" s="37">
        <v>10</v>
      </c>
      <c r="C15" s="37">
        <v>7</v>
      </c>
      <c r="D15" s="26">
        <f t="shared" si="3"/>
        <v>8.5</v>
      </c>
      <c r="E15" s="357">
        <v>0.55000000000000004</v>
      </c>
      <c r="F15" s="357">
        <v>0.16089999999999999</v>
      </c>
      <c r="G15" s="246">
        <f>F15*230</f>
        <v>37.006999999999998</v>
      </c>
      <c r="H15" s="3"/>
      <c r="I15" s="3"/>
      <c r="J15" s="37">
        <v>206</v>
      </c>
      <c r="K15" s="270">
        <f>+J15+H15</f>
        <v>206</v>
      </c>
      <c r="L15" s="3"/>
      <c r="M15" s="3"/>
      <c r="N15" s="156"/>
      <c r="O15" s="3"/>
    </row>
    <row r="16" spans="1:15">
      <c r="A16" s="515">
        <f>ELEC!C13</f>
        <v>43872</v>
      </c>
      <c r="B16" s="37">
        <v>14</v>
      </c>
      <c r="C16" s="37">
        <v>8</v>
      </c>
      <c r="D16" s="26">
        <f t="shared" si="3"/>
        <v>11</v>
      </c>
      <c r="E16" s="357">
        <v>0.5</v>
      </c>
      <c r="F16" s="357">
        <v>0.14779999999999999</v>
      </c>
      <c r="G16" s="246">
        <f t="shared" si="4"/>
        <v>33.994</v>
      </c>
      <c r="H16" s="3"/>
      <c r="I16" s="3"/>
      <c r="J16" s="37">
        <v>199</v>
      </c>
      <c r="K16" s="270">
        <f>+J16+H16</f>
        <v>199</v>
      </c>
      <c r="L16" s="3"/>
      <c r="M16" s="3"/>
      <c r="N16" s="156"/>
      <c r="O16" s="3"/>
    </row>
    <row r="17" spans="1:15">
      <c r="A17" s="515">
        <f>ELEC!C14</f>
        <v>43873</v>
      </c>
      <c r="B17" s="37">
        <v>16</v>
      </c>
      <c r="C17" s="37">
        <v>13</v>
      </c>
      <c r="D17" s="26">
        <f t="shared" si="3"/>
        <v>14.5</v>
      </c>
      <c r="E17" s="357">
        <v>0.6</v>
      </c>
      <c r="F17" s="357">
        <v>0.20430000000000001</v>
      </c>
      <c r="G17" s="246">
        <f t="shared" si="4"/>
        <v>46.989000000000004</v>
      </c>
      <c r="H17" s="3"/>
      <c r="I17" s="3">
        <v>0</v>
      </c>
      <c r="J17" s="464">
        <v>136</v>
      </c>
      <c r="K17" s="270">
        <f t="shared" si="2"/>
        <v>136</v>
      </c>
      <c r="L17" s="3"/>
      <c r="M17" s="3"/>
      <c r="N17" s="156"/>
      <c r="O17" s="3"/>
    </row>
    <row r="18" spans="1:15">
      <c r="A18" s="515">
        <f>ELEC!C15</f>
        <v>43874</v>
      </c>
      <c r="B18" s="37">
        <v>17</v>
      </c>
      <c r="C18" s="37">
        <v>14</v>
      </c>
      <c r="D18" s="26">
        <f t="shared" si="3"/>
        <v>15.5</v>
      </c>
      <c r="E18" s="451">
        <v>0.65</v>
      </c>
      <c r="F18" s="357">
        <v>0.3478</v>
      </c>
      <c r="G18" s="246">
        <f t="shared" si="4"/>
        <v>79.994</v>
      </c>
      <c r="H18" s="3"/>
      <c r="I18" s="3"/>
      <c r="J18" s="3">
        <v>284</v>
      </c>
      <c r="K18" s="270">
        <f t="shared" si="2"/>
        <v>284</v>
      </c>
      <c r="L18" s="3"/>
      <c r="M18" s="3"/>
      <c r="N18" s="156"/>
      <c r="O18" s="3"/>
    </row>
    <row r="19" spans="1:15">
      <c r="A19" s="515">
        <f>ELEC!C16</f>
        <v>43875</v>
      </c>
      <c r="B19" s="37">
        <v>17</v>
      </c>
      <c r="C19" s="37">
        <v>11</v>
      </c>
      <c r="D19" s="26">
        <f t="shared" si="3"/>
        <v>14</v>
      </c>
      <c r="E19" s="357">
        <v>0.78</v>
      </c>
      <c r="F19" s="357">
        <v>0.3826</v>
      </c>
      <c r="G19" s="246">
        <f t="shared" si="4"/>
        <v>87.998000000000005</v>
      </c>
      <c r="H19" s="3"/>
      <c r="I19" s="3">
        <v>0</v>
      </c>
      <c r="J19" s="3">
        <v>477</v>
      </c>
      <c r="K19" s="270">
        <f t="shared" si="2"/>
        <v>477</v>
      </c>
      <c r="L19" s="3"/>
      <c r="M19" s="3"/>
      <c r="N19" s="156"/>
      <c r="O19" s="3"/>
    </row>
    <row r="20" spans="1:15">
      <c r="A20" s="515">
        <f>ELEC!C17</f>
        <v>43876</v>
      </c>
      <c r="B20" s="37">
        <v>17</v>
      </c>
      <c r="C20" s="37">
        <v>12</v>
      </c>
      <c r="D20" s="26">
        <f t="shared" si="3"/>
        <v>14.5</v>
      </c>
      <c r="E20" s="357">
        <v>0.59</v>
      </c>
      <c r="F20" s="357">
        <v>0.247</v>
      </c>
      <c r="G20" s="246">
        <f t="shared" si="4"/>
        <v>56.81</v>
      </c>
      <c r="H20" s="3"/>
      <c r="I20" s="3"/>
      <c r="J20" s="3">
        <v>396</v>
      </c>
      <c r="K20" s="270">
        <f t="shared" si="2"/>
        <v>396</v>
      </c>
      <c r="L20" s="3"/>
      <c r="M20" s="3"/>
      <c r="N20" s="156"/>
      <c r="O20" s="3"/>
    </row>
    <row r="21" spans="1:15">
      <c r="A21" s="515">
        <f>ELEC!C18</f>
        <v>43877</v>
      </c>
      <c r="B21" s="37">
        <v>17</v>
      </c>
      <c r="C21" s="37">
        <v>11</v>
      </c>
      <c r="D21" s="26">
        <f>(C21+B21)/2</f>
        <v>14</v>
      </c>
      <c r="E21" s="357">
        <v>0.57999999999999996</v>
      </c>
      <c r="F21" s="357">
        <v>0.1696</v>
      </c>
      <c r="G21" s="246">
        <f t="shared" si="4"/>
        <v>39.008000000000003</v>
      </c>
      <c r="H21" s="3"/>
      <c r="I21" s="3"/>
      <c r="J21" s="3">
        <v>305</v>
      </c>
      <c r="K21" s="270">
        <f t="shared" si="2"/>
        <v>305</v>
      </c>
      <c r="L21" s="3"/>
      <c r="M21" s="3"/>
      <c r="N21" s="156"/>
      <c r="O21" s="3"/>
    </row>
    <row r="22" spans="1:15">
      <c r="A22" s="515">
        <f>ELEC!C19</f>
        <v>43878</v>
      </c>
      <c r="B22" s="37">
        <v>16</v>
      </c>
      <c r="C22" s="37">
        <v>12</v>
      </c>
      <c r="D22" s="26">
        <f t="shared" si="3"/>
        <v>14</v>
      </c>
      <c r="E22" s="357">
        <v>0.6</v>
      </c>
      <c r="F22" s="415">
        <v>0.23039999999999999</v>
      </c>
      <c r="G22" s="246">
        <f t="shared" si="4"/>
        <v>52.991999999999997</v>
      </c>
      <c r="H22" s="3"/>
      <c r="I22" s="3"/>
      <c r="J22" s="3">
        <v>178</v>
      </c>
      <c r="K22" s="270">
        <f t="shared" si="2"/>
        <v>178</v>
      </c>
      <c r="L22" s="3"/>
      <c r="M22" s="3"/>
      <c r="N22" s="156"/>
      <c r="O22" s="3"/>
    </row>
    <row r="23" spans="1:15">
      <c r="A23" s="515">
        <f>ELEC!C20</f>
        <v>43879</v>
      </c>
      <c r="B23" s="37">
        <v>17</v>
      </c>
      <c r="C23" s="37">
        <v>11</v>
      </c>
      <c r="D23" s="26">
        <f>(C23+B23)/2</f>
        <v>14</v>
      </c>
      <c r="E23" s="357">
        <v>0.62</v>
      </c>
      <c r="F23" s="357">
        <v>0.23480000000000001</v>
      </c>
      <c r="G23" s="246">
        <f t="shared" si="4"/>
        <v>54.004000000000005</v>
      </c>
      <c r="H23" s="3"/>
      <c r="I23" s="3"/>
      <c r="J23" s="3">
        <v>179</v>
      </c>
      <c r="K23" s="270">
        <f t="shared" si="2"/>
        <v>179</v>
      </c>
      <c r="L23" s="3"/>
      <c r="M23" s="3"/>
      <c r="N23" s="156"/>
      <c r="O23" s="3"/>
    </row>
    <row r="24" spans="1:15">
      <c r="A24" s="515">
        <f>ELEC!C21</f>
        <v>43880</v>
      </c>
      <c r="B24" s="37">
        <v>17</v>
      </c>
      <c r="C24" s="37">
        <v>14</v>
      </c>
      <c r="D24" s="26">
        <f t="shared" si="3"/>
        <v>15.5</v>
      </c>
      <c r="E24" s="357">
        <v>0.6</v>
      </c>
      <c r="F24" s="357">
        <v>0.23039999999999999</v>
      </c>
      <c r="G24" s="246">
        <f t="shared" si="4"/>
        <v>52.991999999999997</v>
      </c>
      <c r="H24" s="3"/>
      <c r="I24" s="3"/>
      <c r="J24" s="3">
        <v>173</v>
      </c>
      <c r="K24" s="270">
        <f t="shared" si="2"/>
        <v>173</v>
      </c>
      <c r="L24" s="3"/>
      <c r="M24" s="3"/>
      <c r="N24" s="156"/>
      <c r="O24" s="3"/>
    </row>
    <row r="25" spans="1:15">
      <c r="A25" s="515">
        <f>ELEC!C22</f>
        <v>43881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15">
        <f>ELEC!C23</f>
        <v>43882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5">
        <f>ELEC!C24</f>
        <v>43883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0.19376842105263156</v>
      </c>
      <c r="G37" s="207">
        <f>SUM(G6:G35)</f>
        <v>846.76800000000014</v>
      </c>
    </row>
    <row r="38" spans="1:15">
      <c r="D38" s="268">
        <f>SUM(D6:D36)/'EDl log'!A34</f>
        <v>13.763157894736842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7" zoomScale="90" zoomScaleNormal="90" workbookViewId="0">
      <pane xSplit="1" topLeftCell="AI1" activePane="topRight" state="frozen"/>
      <selection pane="topRight" activeCell="AR24" sqref="AR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-1463.3870967741823</v>
      </c>
      <c r="AT7" s="278"/>
      <c r="AU7" s="532"/>
      <c r="AV7" s="567">
        <f>IF(AT7&gt;0,AU7,AV6)</f>
        <v>0.58350000000000002</v>
      </c>
      <c r="AW7" s="302">
        <f>-SUM('B5'!AI6)</f>
        <v>-606</v>
      </c>
      <c r="AX7" s="302">
        <f t="shared" ref="AX7:AX35" si="39">-SUM(AW7-AS7)</f>
        <v>-857.38709677418228</v>
      </c>
      <c r="AY7" s="37">
        <f t="shared" ref="AY7:AY35" si="40">SUM(AX7+AW7)</f>
        <v>-1463.3870967741823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0.58350000000000002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0.58350000000000002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8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0.58350000000000002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17.5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0.58350000000000002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19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707.54852320669863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252</v>
      </c>
      <c r="C12" s="207">
        <f t="shared" si="18"/>
        <v>5422.0645161290322</v>
      </c>
      <c r="D12">
        <f t="shared" si="19"/>
        <v>252</v>
      </c>
      <c r="E12" s="207">
        <f t="shared" si="18"/>
        <v>5422.0645161290322</v>
      </c>
      <c r="F12">
        <f t="shared" si="20"/>
        <v>252</v>
      </c>
      <c r="G12" s="207">
        <f t="shared" si="1"/>
        <v>5422.0645161290322</v>
      </c>
      <c r="H12" s="207">
        <f t="shared" si="21"/>
        <v>252</v>
      </c>
      <c r="I12" s="207">
        <f t="shared" si="2"/>
        <v>5422.0645161290322</v>
      </c>
      <c r="J12" s="207">
        <f t="shared" si="22"/>
        <v>252</v>
      </c>
      <c r="K12" s="207">
        <f t="shared" si="3"/>
        <v>5422.0645161290322</v>
      </c>
      <c r="L12" s="207">
        <f t="shared" si="23"/>
        <v>252</v>
      </c>
      <c r="M12" s="207">
        <f t="shared" si="4"/>
        <v>5422.0645161290322</v>
      </c>
      <c r="N12" s="207">
        <f t="shared" si="24"/>
        <v>252</v>
      </c>
      <c r="O12" s="207">
        <f t="shared" si="5"/>
        <v>5422.0645161290322</v>
      </c>
      <c r="P12" s="207">
        <f t="shared" si="25"/>
        <v>252</v>
      </c>
      <c r="Q12" s="207">
        <f t="shared" si="6"/>
        <v>5422.0645161290322</v>
      </c>
      <c r="R12" s="207">
        <f t="shared" si="26"/>
        <v>252</v>
      </c>
      <c r="S12" s="207">
        <f t="shared" si="7"/>
        <v>5422.0645161290322</v>
      </c>
      <c r="T12" s="207">
        <f t="shared" si="27"/>
        <v>252</v>
      </c>
      <c r="U12" s="207">
        <f t="shared" si="8"/>
        <v>5422.0645161290322</v>
      </c>
      <c r="V12" s="207">
        <f t="shared" si="28"/>
        <v>252</v>
      </c>
      <c r="W12" s="207">
        <f t="shared" si="9"/>
        <v>5422.0645161290322</v>
      </c>
      <c r="X12" s="35">
        <f t="shared" si="10"/>
        <v>0.81290322580645147</v>
      </c>
      <c r="Y12" s="36">
        <f t="shared" si="29"/>
        <v>59642.709677419341</v>
      </c>
      <c r="Z12" s="207">
        <f>'B5'!C11</f>
        <v>259</v>
      </c>
      <c r="AA12" s="207">
        <f t="shared" si="30"/>
        <v>2590</v>
      </c>
      <c r="AB12" s="207">
        <f t="shared" si="31"/>
        <v>259</v>
      </c>
      <c r="AC12" s="207">
        <f t="shared" si="30"/>
        <v>2590</v>
      </c>
      <c r="AD12" s="207">
        <f t="shared" si="32"/>
        <v>259</v>
      </c>
      <c r="AE12" s="207">
        <f t="shared" si="11"/>
        <v>2590</v>
      </c>
      <c r="AF12" s="207">
        <f t="shared" si="33"/>
        <v>259</v>
      </c>
      <c r="AG12" s="207">
        <f t="shared" si="12"/>
        <v>2590</v>
      </c>
      <c r="AH12" s="207">
        <f t="shared" si="34"/>
        <v>259</v>
      </c>
      <c r="AI12" s="207">
        <f t="shared" si="13"/>
        <v>2590</v>
      </c>
      <c r="AJ12" s="207">
        <f t="shared" si="35"/>
        <v>259</v>
      </c>
      <c r="AK12" s="207">
        <f t="shared" si="14"/>
        <v>2590</v>
      </c>
      <c r="AL12" s="207">
        <f t="shared" si="36"/>
        <v>259</v>
      </c>
      <c r="AM12" s="207">
        <f t="shared" si="15"/>
        <v>2590</v>
      </c>
      <c r="AN12" s="35">
        <f t="shared" si="16"/>
        <v>0.92500000000000004</v>
      </c>
      <c r="AO12" s="36">
        <f t="shared" si="17"/>
        <v>18130</v>
      </c>
      <c r="AQ12" s="227">
        <f t="shared" si="37"/>
        <v>0.83653554563213228</v>
      </c>
      <c r="AR12" s="38">
        <f t="shared" si="43"/>
        <v>77772.709677419334</v>
      </c>
      <c r="AS12" s="201">
        <f t="shared" si="38"/>
        <v>-132.55161290324031</v>
      </c>
      <c r="AT12" s="278">
        <v>12984</v>
      </c>
      <c r="AU12" s="510">
        <v>0.54</v>
      </c>
      <c r="AV12" s="567">
        <f t="shared" si="41"/>
        <v>0.54</v>
      </c>
      <c r="AW12" s="302">
        <f>-SUM('B5'!AI11)</f>
        <v>-906.90000000000873</v>
      </c>
      <c r="AX12" s="302">
        <f t="shared" si="39"/>
        <v>774.34838709676842</v>
      </c>
      <c r="AY12" s="37">
        <f t="shared" si="40"/>
        <v>-132.55161290324031</v>
      </c>
      <c r="AZ12" s="101">
        <f>ELEC!A9</f>
        <v>0.19570000000000001</v>
      </c>
      <c r="BA12" s="119">
        <f>'General information '!D12</f>
        <v>13</v>
      </c>
      <c r="BB12" s="415">
        <f>SUM('General information '!E12)</f>
        <v>0.61</v>
      </c>
      <c r="BC12" s="3">
        <f t="shared" si="42"/>
        <v>1</v>
      </c>
      <c r="BD12" s="103">
        <v>19222</v>
      </c>
      <c r="BE12" s="14">
        <f>(305/1185)*ELEC!Q10</f>
        <v>369.86075949364471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248</v>
      </c>
      <c r="C13" s="207">
        <f t="shared" si="18"/>
        <v>5336</v>
      </c>
      <c r="D13">
        <f t="shared" si="19"/>
        <v>248</v>
      </c>
      <c r="E13" s="207">
        <f t="shared" si="18"/>
        <v>5336</v>
      </c>
      <c r="F13">
        <f t="shared" si="20"/>
        <v>248</v>
      </c>
      <c r="G13" s="207">
        <f t="shared" si="1"/>
        <v>5336</v>
      </c>
      <c r="H13" s="207">
        <f t="shared" si="21"/>
        <v>248</v>
      </c>
      <c r="I13" s="207">
        <f t="shared" si="2"/>
        <v>5336</v>
      </c>
      <c r="J13" s="207">
        <f t="shared" si="22"/>
        <v>248</v>
      </c>
      <c r="K13" s="207">
        <f t="shared" si="3"/>
        <v>5336</v>
      </c>
      <c r="L13" s="207">
        <f t="shared" si="23"/>
        <v>248</v>
      </c>
      <c r="M13" s="207">
        <f t="shared" si="4"/>
        <v>5336</v>
      </c>
      <c r="N13" s="207">
        <f t="shared" si="24"/>
        <v>248</v>
      </c>
      <c r="O13" s="207">
        <f t="shared" si="5"/>
        <v>5336</v>
      </c>
      <c r="P13" s="207">
        <f t="shared" si="25"/>
        <v>248</v>
      </c>
      <c r="Q13" s="207">
        <f t="shared" si="6"/>
        <v>5336</v>
      </c>
      <c r="R13" s="207">
        <f t="shared" si="26"/>
        <v>248</v>
      </c>
      <c r="S13" s="207">
        <f t="shared" si="7"/>
        <v>5336</v>
      </c>
      <c r="T13" s="207">
        <f t="shared" si="27"/>
        <v>248</v>
      </c>
      <c r="U13" s="207">
        <f t="shared" si="8"/>
        <v>5336</v>
      </c>
      <c r="V13" s="207">
        <f t="shared" si="28"/>
        <v>248</v>
      </c>
      <c r="W13" s="207">
        <f t="shared" si="9"/>
        <v>5336</v>
      </c>
      <c r="X13" s="35">
        <f t="shared" si="10"/>
        <v>0.8</v>
      </c>
      <c r="Y13" s="36">
        <f t="shared" si="29"/>
        <v>58696</v>
      </c>
      <c r="Z13" s="207">
        <f>'B5'!C12</f>
        <v>253.4</v>
      </c>
      <c r="AA13" s="207">
        <f t="shared" si="30"/>
        <v>2534</v>
      </c>
      <c r="AB13" s="207">
        <f t="shared" si="31"/>
        <v>253.4</v>
      </c>
      <c r="AC13" s="207">
        <f t="shared" si="30"/>
        <v>2534</v>
      </c>
      <c r="AD13" s="207">
        <f t="shared" si="32"/>
        <v>253.4</v>
      </c>
      <c r="AE13" s="207">
        <f t="shared" si="11"/>
        <v>2534</v>
      </c>
      <c r="AF13" s="207">
        <f t="shared" si="33"/>
        <v>253.4</v>
      </c>
      <c r="AG13" s="207">
        <f t="shared" si="12"/>
        <v>2534</v>
      </c>
      <c r="AH13" s="207">
        <f t="shared" si="34"/>
        <v>253.4</v>
      </c>
      <c r="AI13" s="207">
        <f t="shared" si="13"/>
        <v>2534</v>
      </c>
      <c r="AJ13" s="207">
        <f t="shared" si="35"/>
        <v>253.4</v>
      </c>
      <c r="AK13" s="207">
        <f t="shared" si="14"/>
        <v>2534</v>
      </c>
      <c r="AL13" s="207">
        <f t="shared" si="36"/>
        <v>253.4</v>
      </c>
      <c r="AM13" s="207">
        <f t="shared" si="15"/>
        <v>2534</v>
      </c>
      <c r="AN13" s="35">
        <f t="shared" si="16"/>
        <v>0.90500000000000003</v>
      </c>
      <c r="AO13" s="36">
        <f t="shared" si="17"/>
        <v>17738</v>
      </c>
      <c r="AQ13" s="227">
        <f t="shared" si="37"/>
        <v>0.82213617295901908</v>
      </c>
      <c r="AR13" s="38">
        <f t="shared" si="43"/>
        <v>76434</v>
      </c>
      <c r="AS13" s="201">
        <f t="shared" si="38"/>
        <v>-1338.7096774193342</v>
      </c>
      <c r="AT13" s="278"/>
      <c r="AU13" s="467"/>
      <c r="AV13" s="567">
        <f t="shared" si="41"/>
        <v>0.54</v>
      </c>
      <c r="AW13" s="302">
        <f>-SUM('B5'!AI12)</f>
        <v>-669.79999999998836</v>
      </c>
      <c r="AX13" s="302">
        <f t="shared" si="39"/>
        <v>-668.90967741934583</v>
      </c>
      <c r="AY13" s="37">
        <f t="shared" si="40"/>
        <v>-1338.7096774193342</v>
      </c>
      <c r="AZ13" s="101">
        <f>ELEC!A10</f>
        <v>0.13900000000000001</v>
      </c>
      <c r="BA13" s="119">
        <f>'General information '!D13</f>
        <v>11.5</v>
      </c>
      <c r="BB13" s="415">
        <f>SUM('General information '!E13)</f>
        <v>0.46</v>
      </c>
      <c r="BC13" s="3">
        <f t="shared" si="42"/>
        <v>0</v>
      </c>
      <c r="BD13" s="103">
        <v>19222</v>
      </c>
      <c r="BE13" s="14">
        <f>(305/1185)*ELEC!Q11</f>
        <v>537.93248945151424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242</v>
      </c>
      <c r="C14" s="207">
        <f t="shared" si="18"/>
        <v>5206.9032258064517</v>
      </c>
      <c r="D14">
        <f t="shared" si="19"/>
        <v>242</v>
      </c>
      <c r="E14" s="207">
        <f t="shared" si="18"/>
        <v>5206.9032258064517</v>
      </c>
      <c r="F14">
        <f t="shared" si="20"/>
        <v>242</v>
      </c>
      <c r="G14" s="207">
        <f t="shared" si="1"/>
        <v>5206.9032258064517</v>
      </c>
      <c r="H14" s="207">
        <f t="shared" si="21"/>
        <v>242</v>
      </c>
      <c r="I14" s="207">
        <f t="shared" si="2"/>
        <v>5206.9032258064517</v>
      </c>
      <c r="J14" s="207">
        <f t="shared" si="22"/>
        <v>242</v>
      </c>
      <c r="K14" s="207">
        <f t="shared" si="3"/>
        <v>5206.9032258064517</v>
      </c>
      <c r="L14" s="207">
        <f t="shared" si="23"/>
        <v>242</v>
      </c>
      <c r="M14" s="207">
        <f t="shared" si="4"/>
        <v>5206.9032258064517</v>
      </c>
      <c r="N14" s="207">
        <f t="shared" si="24"/>
        <v>242</v>
      </c>
      <c r="O14" s="207">
        <f t="shared" si="5"/>
        <v>5206.9032258064517</v>
      </c>
      <c r="P14" s="207">
        <f t="shared" si="25"/>
        <v>242</v>
      </c>
      <c r="Q14" s="207">
        <f t="shared" si="6"/>
        <v>5206.9032258064517</v>
      </c>
      <c r="R14" s="207">
        <f t="shared" si="26"/>
        <v>242</v>
      </c>
      <c r="S14" s="207">
        <f t="shared" si="7"/>
        <v>5206.9032258064517</v>
      </c>
      <c r="T14" s="207">
        <f t="shared" si="27"/>
        <v>242</v>
      </c>
      <c r="U14" s="207">
        <f t="shared" si="8"/>
        <v>5206.9032258064517</v>
      </c>
      <c r="V14" s="207">
        <f t="shared" si="28"/>
        <v>242</v>
      </c>
      <c r="W14" s="207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7">
        <f>'B5'!C13</f>
        <v>248</v>
      </c>
      <c r="AA14" s="207">
        <f t="shared" si="30"/>
        <v>2480</v>
      </c>
      <c r="AB14" s="207">
        <f t="shared" si="31"/>
        <v>248</v>
      </c>
      <c r="AC14" s="207">
        <f t="shared" si="30"/>
        <v>2480</v>
      </c>
      <c r="AD14" s="207">
        <f t="shared" si="32"/>
        <v>248</v>
      </c>
      <c r="AE14" s="207">
        <f t="shared" si="11"/>
        <v>2480</v>
      </c>
      <c r="AF14" s="207">
        <f t="shared" si="33"/>
        <v>248</v>
      </c>
      <c r="AG14" s="207">
        <f t="shared" si="12"/>
        <v>2480</v>
      </c>
      <c r="AH14" s="207">
        <f t="shared" si="34"/>
        <v>248</v>
      </c>
      <c r="AI14" s="207">
        <f t="shared" si="13"/>
        <v>2480</v>
      </c>
      <c r="AJ14" s="207">
        <f t="shared" si="35"/>
        <v>248</v>
      </c>
      <c r="AK14" s="207">
        <f t="shared" si="14"/>
        <v>2480</v>
      </c>
      <c r="AL14" s="207">
        <f t="shared" si="36"/>
        <v>248</v>
      </c>
      <c r="AM14" s="207">
        <f t="shared" si="15"/>
        <v>2480</v>
      </c>
      <c r="AN14" s="35">
        <f t="shared" si="16"/>
        <v>0.88571428571428568</v>
      </c>
      <c r="AO14" s="36">
        <f t="shared" si="17"/>
        <v>17360</v>
      </c>
      <c r="AQ14" s="227">
        <f t="shared" si="37"/>
        <v>0.80279590710843252</v>
      </c>
      <c r="AR14" s="38">
        <f t="shared" si="43"/>
        <v>74635.93548387097</v>
      </c>
      <c r="AS14" s="201">
        <f t="shared" si="38"/>
        <v>-1798.0645161290304</v>
      </c>
      <c r="AT14" s="278"/>
      <c r="AU14" s="510"/>
      <c r="AV14" s="567">
        <f t="shared" si="41"/>
        <v>0.54</v>
      </c>
      <c r="AW14" s="302">
        <f>-SUM('B5'!AI13)</f>
        <v>-828</v>
      </c>
      <c r="AX14" s="302">
        <f t="shared" si="39"/>
        <v>-970.06451612903038</v>
      </c>
      <c r="AY14" s="37">
        <f t="shared" si="40"/>
        <v>-1798.0645161290304</v>
      </c>
      <c r="AZ14" s="101">
        <f>ELEC!A11</f>
        <v>0.1522</v>
      </c>
      <c r="BA14" s="119">
        <f>'General information '!D14</f>
        <v>8.5</v>
      </c>
      <c r="BB14" s="415">
        <f>SUM('General information '!E14)</f>
        <v>0.52</v>
      </c>
      <c r="BC14" s="3">
        <f t="shared" si="42"/>
        <v>0</v>
      </c>
      <c r="BD14" s="103">
        <v>19222</v>
      </c>
      <c r="BE14" s="14">
        <f>(305/1185)*ELEC!Q12</f>
        <v>409.2405063291514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236.1</v>
      </c>
      <c r="C15" s="207">
        <f t="shared" si="18"/>
        <v>5079.9580645161286</v>
      </c>
      <c r="D15">
        <f t="shared" si="19"/>
        <v>236.1</v>
      </c>
      <c r="E15" s="207">
        <f t="shared" si="18"/>
        <v>5079.9580645161286</v>
      </c>
      <c r="F15">
        <f t="shared" si="20"/>
        <v>236.1</v>
      </c>
      <c r="G15" s="207">
        <f t="shared" si="1"/>
        <v>5079.9580645161286</v>
      </c>
      <c r="H15" s="207">
        <f t="shared" si="21"/>
        <v>236.1</v>
      </c>
      <c r="I15" s="207">
        <f t="shared" si="2"/>
        <v>5079.9580645161286</v>
      </c>
      <c r="J15" s="207">
        <f t="shared" si="22"/>
        <v>236.1</v>
      </c>
      <c r="K15" s="207">
        <f t="shared" si="3"/>
        <v>5079.9580645161286</v>
      </c>
      <c r="L15" s="207">
        <f t="shared" si="23"/>
        <v>236.1</v>
      </c>
      <c r="M15" s="207">
        <f t="shared" si="4"/>
        <v>5079.9580645161286</v>
      </c>
      <c r="N15" s="207">
        <f t="shared" si="24"/>
        <v>236.1</v>
      </c>
      <c r="O15" s="207">
        <f t="shared" si="5"/>
        <v>5079.9580645161286</v>
      </c>
      <c r="P15" s="207">
        <f t="shared" si="25"/>
        <v>236.1</v>
      </c>
      <c r="Q15" s="207">
        <f t="shared" si="6"/>
        <v>5079.9580645161286</v>
      </c>
      <c r="R15" s="207">
        <f t="shared" si="26"/>
        <v>236.1</v>
      </c>
      <c r="S15" s="207">
        <f t="shared" si="7"/>
        <v>5079.9580645161286</v>
      </c>
      <c r="T15" s="207">
        <f t="shared" si="27"/>
        <v>236.1</v>
      </c>
      <c r="U15" s="207">
        <f t="shared" si="8"/>
        <v>5079.9580645161286</v>
      </c>
      <c r="V15" s="207">
        <f t="shared" si="28"/>
        <v>236.1</v>
      </c>
      <c r="W15" s="207">
        <f t="shared" si="9"/>
        <v>5079.9580645161286</v>
      </c>
      <c r="X15" s="35">
        <f t="shared" si="10"/>
        <v>0.76161290322580633</v>
      </c>
      <c r="Y15" s="36">
        <f t="shared" si="29"/>
        <v>55879.538709677407</v>
      </c>
      <c r="Z15" s="207">
        <f>'B5'!C14</f>
        <v>241.4</v>
      </c>
      <c r="AA15" s="207">
        <f t="shared" si="30"/>
        <v>2414</v>
      </c>
      <c r="AB15" s="207">
        <f t="shared" si="31"/>
        <v>241.4</v>
      </c>
      <c r="AC15" s="207">
        <f t="shared" si="30"/>
        <v>2414</v>
      </c>
      <c r="AD15" s="207">
        <f t="shared" si="32"/>
        <v>241.4</v>
      </c>
      <c r="AE15" s="207">
        <f t="shared" si="11"/>
        <v>2414</v>
      </c>
      <c r="AF15" s="207">
        <f t="shared" si="33"/>
        <v>241.4</v>
      </c>
      <c r="AG15" s="207">
        <f t="shared" si="12"/>
        <v>2414</v>
      </c>
      <c r="AH15" s="207">
        <f t="shared" si="34"/>
        <v>241.4</v>
      </c>
      <c r="AI15" s="207">
        <f t="shared" si="13"/>
        <v>2414</v>
      </c>
      <c r="AJ15" s="207">
        <f t="shared" si="35"/>
        <v>241.4</v>
      </c>
      <c r="AK15" s="207">
        <f t="shared" si="14"/>
        <v>2414</v>
      </c>
      <c r="AL15" s="207">
        <f t="shared" si="36"/>
        <v>241.4</v>
      </c>
      <c r="AM15" s="207">
        <f t="shared" si="15"/>
        <v>2414</v>
      </c>
      <c r="AN15" s="35">
        <f t="shared" si="16"/>
        <v>0.8621428571428571</v>
      </c>
      <c r="AO15" s="36">
        <f t="shared" si="17"/>
        <v>16898</v>
      </c>
      <c r="AQ15" s="227">
        <f t="shared" si="37"/>
        <v>0.78280669796361624</v>
      </c>
      <c r="AR15" s="38">
        <f t="shared" si="43"/>
        <v>72777.538709677407</v>
      </c>
      <c r="AS15" s="201">
        <f>SUM(AR15-AR14-AT15)</f>
        <v>-1858.396774193563</v>
      </c>
      <c r="AT15" s="278"/>
      <c r="AU15" s="467"/>
      <c r="AV15" s="567">
        <f>IF(AT15&gt;0,AU15,AV14)</f>
        <v>0.54</v>
      </c>
      <c r="AW15" s="302">
        <f>-SUM('B5'!AI14)</f>
        <v>-1098.5999999999767</v>
      </c>
      <c r="AX15" s="302">
        <f t="shared" si="39"/>
        <v>-759.79677419358632</v>
      </c>
      <c r="AY15" s="37">
        <f t="shared" si="40"/>
        <v>-1858.396774193563</v>
      </c>
      <c r="AZ15" s="101">
        <f>ELEC!A12</f>
        <v>0.16089999999999999</v>
      </c>
      <c r="BA15" s="119">
        <f>'General information '!D15</f>
        <v>8.5</v>
      </c>
      <c r="BB15" s="415">
        <f>SUM('General information '!E15)</f>
        <v>0.55000000000000004</v>
      </c>
      <c r="BC15" s="3">
        <f t="shared" si="42"/>
        <v>0</v>
      </c>
      <c r="BD15" s="103">
        <v>19222</v>
      </c>
      <c r="BE15" s="14">
        <f>(305/1185)*ELEC!Q13</f>
        <v>424.94092827000105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230</v>
      </c>
      <c r="C16" s="207">
        <f t="shared" si="18"/>
        <v>4948.7096774193551</v>
      </c>
      <c r="D16">
        <f t="shared" si="19"/>
        <v>230</v>
      </c>
      <c r="E16" s="207">
        <f t="shared" si="18"/>
        <v>4948.7096774193551</v>
      </c>
      <c r="F16">
        <f t="shared" si="20"/>
        <v>230</v>
      </c>
      <c r="G16" s="207">
        <f t="shared" si="1"/>
        <v>4948.7096774193551</v>
      </c>
      <c r="H16" s="207">
        <f t="shared" si="21"/>
        <v>230</v>
      </c>
      <c r="I16" s="207">
        <f t="shared" si="2"/>
        <v>4948.7096774193551</v>
      </c>
      <c r="J16" s="207">
        <f t="shared" si="22"/>
        <v>230</v>
      </c>
      <c r="K16" s="207">
        <f t="shared" si="3"/>
        <v>4948.7096774193551</v>
      </c>
      <c r="L16" s="207">
        <f t="shared" si="23"/>
        <v>230</v>
      </c>
      <c r="M16" s="207">
        <f t="shared" si="4"/>
        <v>4948.7096774193551</v>
      </c>
      <c r="N16" s="207">
        <f t="shared" si="24"/>
        <v>230</v>
      </c>
      <c r="O16" s="207">
        <f t="shared" si="5"/>
        <v>4948.7096774193551</v>
      </c>
      <c r="P16" s="207">
        <f t="shared" si="25"/>
        <v>230</v>
      </c>
      <c r="Q16" s="207">
        <f t="shared" si="6"/>
        <v>4948.7096774193551</v>
      </c>
      <c r="R16" s="207">
        <f t="shared" si="26"/>
        <v>230</v>
      </c>
      <c r="S16" s="207">
        <f t="shared" si="7"/>
        <v>4948.7096774193551</v>
      </c>
      <c r="T16" s="207">
        <f t="shared" si="27"/>
        <v>230</v>
      </c>
      <c r="U16" s="207">
        <f t="shared" si="8"/>
        <v>4948.7096774193551</v>
      </c>
      <c r="V16" s="207">
        <f t="shared" si="28"/>
        <v>230</v>
      </c>
      <c r="W16" s="207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7">
        <f>'B5'!C15</f>
        <v>235.4</v>
      </c>
      <c r="AA16" s="207">
        <f t="shared" si="30"/>
        <v>2354</v>
      </c>
      <c r="AB16" s="207">
        <f t="shared" si="31"/>
        <v>235.4</v>
      </c>
      <c r="AC16" s="207">
        <f t="shared" si="30"/>
        <v>2354</v>
      </c>
      <c r="AD16" s="207">
        <f t="shared" si="32"/>
        <v>235.4</v>
      </c>
      <c r="AE16" s="207">
        <f t="shared" si="11"/>
        <v>2354</v>
      </c>
      <c r="AF16" s="207">
        <f t="shared" si="33"/>
        <v>235.4</v>
      </c>
      <c r="AG16" s="207">
        <f t="shared" si="12"/>
        <v>2354</v>
      </c>
      <c r="AH16" s="207">
        <f t="shared" si="34"/>
        <v>235.4</v>
      </c>
      <c r="AI16" s="207">
        <f t="shared" si="13"/>
        <v>2354</v>
      </c>
      <c r="AJ16" s="207">
        <f t="shared" si="35"/>
        <v>235.4</v>
      </c>
      <c r="AK16" s="207">
        <f t="shared" si="14"/>
        <v>2354</v>
      </c>
      <c r="AL16" s="207">
        <f t="shared" si="36"/>
        <v>235.4</v>
      </c>
      <c r="AM16" s="207">
        <f t="shared" si="15"/>
        <v>2354</v>
      </c>
      <c r="AN16" s="35">
        <f t="shared" si="16"/>
        <v>0.84071428571428575</v>
      </c>
      <c r="AO16" s="36">
        <f t="shared" si="17"/>
        <v>16478</v>
      </c>
      <c r="AQ16" s="227">
        <f t="shared" si="37"/>
        <v>0.76276009951180923</v>
      </c>
      <c r="AR16" s="38">
        <f t="shared" si="43"/>
        <v>70913.806451612909</v>
      </c>
      <c r="AS16" s="201">
        <f>SUM(AR16-AR15-AT16)</f>
        <v>-1863.7322580644977</v>
      </c>
      <c r="AT16" s="278"/>
      <c r="AU16" s="467"/>
      <c r="AV16" s="567">
        <f>IF(AT16&gt;0,AU16,AV15)</f>
        <v>0.54</v>
      </c>
      <c r="AW16" s="302">
        <f>-SUM('B5'!AI15)</f>
        <v>-1468.1000000000349</v>
      </c>
      <c r="AX16" s="302">
        <f>-SUM(AW16-AS16)</f>
        <v>-395.6322580644628</v>
      </c>
      <c r="AY16" s="37">
        <f t="shared" si="40"/>
        <v>-1863.7322580644977</v>
      </c>
      <c r="AZ16" s="101">
        <f>ELEC!A13</f>
        <v>0.14779999999999999</v>
      </c>
      <c r="BA16" s="119">
        <f>'General information '!D16</f>
        <v>11</v>
      </c>
      <c r="BB16" s="415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440.12658227825631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223</v>
      </c>
      <c r="C17" s="207">
        <f t="shared" si="18"/>
        <v>4798.0967741935483</v>
      </c>
      <c r="D17">
        <f t="shared" si="19"/>
        <v>223</v>
      </c>
      <c r="E17" s="207">
        <f t="shared" si="18"/>
        <v>4798.0967741935483</v>
      </c>
      <c r="F17">
        <f t="shared" si="20"/>
        <v>223</v>
      </c>
      <c r="G17" s="207">
        <f t="shared" si="1"/>
        <v>4798.0967741935483</v>
      </c>
      <c r="H17" s="207">
        <f t="shared" si="21"/>
        <v>223</v>
      </c>
      <c r="I17" s="207">
        <f t="shared" si="2"/>
        <v>4798.0967741935483</v>
      </c>
      <c r="J17" s="207">
        <f t="shared" si="22"/>
        <v>223</v>
      </c>
      <c r="K17" s="207">
        <f t="shared" si="3"/>
        <v>4798.0967741935483</v>
      </c>
      <c r="L17" s="207">
        <f t="shared" si="23"/>
        <v>223</v>
      </c>
      <c r="M17" s="207">
        <f t="shared" si="4"/>
        <v>4798.0967741935483</v>
      </c>
      <c r="N17" s="207">
        <f t="shared" si="24"/>
        <v>223</v>
      </c>
      <c r="O17" s="207">
        <f t="shared" si="5"/>
        <v>4798.0967741935483</v>
      </c>
      <c r="P17" s="207">
        <f t="shared" si="25"/>
        <v>223</v>
      </c>
      <c r="Q17" s="207">
        <f t="shared" si="6"/>
        <v>4798.0967741935483</v>
      </c>
      <c r="R17" s="207">
        <f t="shared" si="26"/>
        <v>223</v>
      </c>
      <c r="S17" s="207">
        <f t="shared" si="7"/>
        <v>4798.0967741935483</v>
      </c>
      <c r="T17" s="207">
        <f t="shared" si="27"/>
        <v>223</v>
      </c>
      <c r="U17" s="207">
        <f t="shared" si="8"/>
        <v>4798.0967741935483</v>
      </c>
      <c r="V17" s="207">
        <f t="shared" si="28"/>
        <v>223</v>
      </c>
      <c r="W17" s="207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7">
        <f>'B5'!C16</f>
        <v>229.5</v>
      </c>
      <c r="AA17" s="207">
        <f t="shared" si="30"/>
        <v>2295</v>
      </c>
      <c r="AB17" s="207">
        <f t="shared" si="31"/>
        <v>229.5</v>
      </c>
      <c r="AC17" s="207">
        <f t="shared" si="30"/>
        <v>2295</v>
      </c>
      <c r="AD17" s="207">
        <f t="shared" si="32"/>
        <v>229.5</v>
      </c>
      <c r="AE17" s="207">
        <f t="shared" si="11"/>
        <v>2295</v>
      </c>
      <c r="AF17" s="207">
        <f t="shared" si="33"/>
        <v>229.5</v>
      </c>
      <c r="AG17" s="207">
        <f t="shared" si="12"/>
        <v>2295</v>
      </c>
      <c r="AH17" s="207">
        <f t="shared" si="34"/>
        <v>229.5</v>
      </c>
      <c r="AI17" s="207">
        <f t="shared" si="13"/>
        <v>2295</v>
      </c>
      <c r="AJ17" s="207">
        <f t="shared" si="35"/>
        <v>229.5</v>
      </c>
      <c r="AK17" s="207">
        <f t="shared" si="14"/>
        <v>2295</v>
      </c>
      <c r="AL17" s="207">
        <f t="shared" si="36"/>
        <v>229.5</v>
      </c>
      <c r="AM17" s="207">
        <f t="shared" si="15"/>
        <v>2295</v>
      </c>
      <c r="AN17" s="35">
        <f t="shared" si="16"/>
        <v>0.81964285714285712</v>
      </c>
      <c r="AO17" s="36">
        <f>SUM(AA17+AC17+AE17+AG17+AI17+AK17+AM17)</f>
        <v>16065</v>
      </c>
      <c r="AQ17" s="227">
        <f t="shared" si="37"/>
        <v>0.74049762844066935</v>
      </c>
      <c r="AR17" s="38">
        <f t="shared" si="43"/>
        <v>68844.06451612903</v>
      </c>
      <c r="AS17" s="201">
        <f t="shared" si="38"/>
        <v>-2069.7419354838785</v>
      </c>
      <c r="AT17" s="374"/>
      <c r="AU17" s="510"/>
      <c r="AV17" s="567">
        <f t="shared" si="41"/>
        <v>0.54</v>
      </c>
      <c r="AW17" s="302">
        <f>-SUM('B5'!AI16)</f>
        <v>-880</v>
      </c>
      <c r="AX17" s="302">
        <f t="shared" si="39"/>
        <v>-1189.7419354838785</v>
      </c>
      <c r="AY17" s="37">
        <f t="shared" si="40"/>
        <v>-2069.7419354838785</v>
      </c>
      <c r="AZ17" s="101">
        <f>ELEC!A14</f>
        <v>0.20430000000000001</v>
      </c>
      <c r="BA17" s="119">
        <f>'General information '!D17</f>
        <v>14.5</v>
      </c>
      <c r="BB17" s="415">
        <f>SUM('General information '!E17)</f>
        <v>0.6</v>
      </c>
      <c r="BC17" s="3">
        <f t="shared" si="42"/>
        <v>0</v>
      </c>
      <c r="BD17" s="103">
        <v>19222</v>
      </c>
      <c r="BE17" s="14">
        <f>(305/1185)*ELEC!Q15</f>
        <v>543.85232067541267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219</v>
      </c>
      <c r="C18" s="207">
        <f t="shared" si="18"/>
        <v>4712.0322580645161</v>
      </c>
      <c r="D18">
        <f t="shared" si="19"/>
        <v>219</v>
      </c>
      <c r="E18" s="207">
        <f t="shared" si="18"/>
        <v>4712.0322580645161</v>
      </c>
      <c r="F18">
        <f t="shared" si="20"/>
        <v>219</v>
      </c>
      <c r="G18" s="207">
        <f t="shared" si="1"/>
        <v>4712.0322580645161</v>
      </c>
      <c r="H18" s="207">
        <f t="shared" si="21"/>
        <v>219</v>
      </c>
      <c r="I18" s="207">
        <f t="shared" si="2"/>
        <v>4712.0322580645161</v>
      </c>
      <c r="J18" s="207">
        <f t="shared" si="22"/>
        <v>219</v>
      </c>
      <c r="K18" s="207">
        <f t="shared" si="3"/>
        <v>4712.0322580645161</v>
      </c>
      <c r="L18" s="207">
        <f t="shared" si="23"/>
        <v>219</v>
      </c>
      <c r="M18" s="207">
        <f t="shared" si="4"/>
        <v>4712.0322580645161</v>
      </c>
      <c r="N18" s="207">
        <f t="shared" si="24"/>
        <v>219</v>
      </c>
      <c r="O18" s="207">
        <f t="shared" si="5"/>
        <v>4712.0322580645161</v>
      </c>
      <c r="P18" s="207">
        <f t="shared" si="25"/>
        <v>219</v>
      </c>
      <c r="Q18" s="207">
        <f t="shared" si="6"/>
        <v>4712.0322580645161</v>
      </c>
      <c r="R18" s="207">
        <f t="shared" si="26"/>
        <v>219</v>
      </c>
      <c r="S18" s="207">
        <f t="shared" si="7"/>
        <v>4712.0322580645161</v>
      </c>
      <c r="T18" s="207">
        <f t="shared" si="27"/>
        <v>219</v>
      </c>
      <c r="U18" s="207">
        <f t="shared" si="8"/>
        <v>4712.0322580645161</v>
      </c>
      <c r="V18" s="207">
        <f t="shared" si="28"/>
        <v>219</v>
      </c>
      <c r="W18" s="207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7">
        <f>'B5'!C17</f>
        <v>225</v>
      </c>
      <c r="AA18" s="207">
        <f t="shared" si="30"/>
        <v>2250</v>
      </c>
      <c r="AB18" s="207">
        <f t="shared" si="31"/>
        <v>225</v>
      </c>
      <c r="AC18" s="207">
        <f t="shared" si="30"/>
        <v>2250</v>
      </c>
      <c r="AD18" s="207">
        <f t="shared" si="32"/>
        <v>225</v>
      </c>
      <c r="AE18" s="207">
        <f t="shared" si="11"/>
        <v>2250</v>
      </c>
      <c r="AF18" s="207">
        <f t="shared" si="33"/>
        <v>225</v>
      </c>
      <c r="AG18" s="207">
        <f t="shared" si="12"/>
        <v>2250</v>
      </c>
      <c r="AH18" s="207">
        <f t="shared" si="34"/>
        <v>225</v>
      </c>
      <c r="AI18" s="207">
        <f t="shared" si="13"/>
        <v>2250</v>
      </c>
      <c r="AJ18" s="207">
        <f t="shared" si="35"/>
        <v>225</v>
      </c>
      <c r="AK18" s="207">
        <f t="shared" si="14"/>
        <v>2250</v>
      </c>
      <c r="AL18" s="207">
        <f t="shared" si="36"/>
        <v>225</v>
      </c>
      <c r="AM18" s="207">
        <f t="shared" si="15"/>
        <v>2250</v>
      </c>
      <c r="AN18" s="35">
        <f t="shared" si="16"/>
        <v>0.8035714285714286</v>
      </c>
      <c r="AO18" s="36">
        <f t="shared" si="17"/>
        <v>15750</v>
      </c>
      <c r="AQ18" s="227">
        <f t="shared" si="37"/>
        <v>0.72692647992588644</v>
      </c>
      <c r="AR18" s="38">
        <f t="shared" si="43"/>
        <v>67582.354838709667</v>
      </c>
      <c r="AS18" s="201">
        <f t="shared" si="38"/>
        <v>-1261.7096774193633</v>
      </c>
      <c r="AT18" s="278"/>
      <c r="AU18" s="467"/>
      <c r="AV18" s="567">
        <f>IF(AT18&gt;0,AU18,AV17)</f>
        <v>0.54</v>
      </c>
      <c r="AW18" s="302">
        <f>-SUM('B5'!AI17)</f>
        <v>-735</v>
      </c>
      <c r="AX18" s="302">
        <f t="shared" si="39"/>
        <v>-526.70967741936329</v>
      </c>
      <c r="AY18" s="37">
        <f t="shared" si="40"/>
        <v>-1261.7096774193633</v>
      </c>
      <c r="AZ18" s="101">
        <f>ELEC!A15</f>
        <v>0.3478</v>
      </c>
      <c r="BA18" s="119">
        <f>'General information '!D18</f>
        <v>15.5</v>
      </c>
      <c r="BB18" s="415">
        <f>SUM('General information '!E18)</f>
        <v>0.65</v>
      </c>
      <c r="BC18" s="3">
        <f t="shared" si="42"/>
        <v>0</v>
      </c>
      <c r="BD18" s="103">
        <v>19222</v>
      </c>
      <c r="BE18" s="14">
        <f>(305/1185)*ELEC!Q16</f>
        <v>539.73417721512624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213.2</v>
      </c>
      <c r="C19" s="207">
        <f t="shared" si="18"/>
        <v>4587.2387096774191</v>
      </c>
      <c r="D19">
        <f t="shared" si="19"/>
        <v>213.2</v>
      </c>
      <c r="E19" s="207">
        <f t="shared" si="18"/>
        <v>4587.2387096774191</v>
      </c>
      <c r="F19">
        <f t="shared" si="20"/>
        <v>213.2</v>
      </c>
      <c r="G19" s="207">
        <f t="shared" si="1"/>
        <v>4587.2387096774191</v>
      </c>
      <c r="H19" s="207">
        <f t="shared" si="21"/>
        <v>213.2</v>
      </c>
      <c r="I19" s="207">
        <f t="shared" si="2"/>
        <v>4587.2387096774191</v>
      </c>
      <c r="J19" s="207">
        <f t="shared" si="22"/>
        <v>213.2</v>
      </c>
      <c r="K19" s="207">
        <f t="shared" si="3"/>
        <v>4587.2387096774191</v>
      </c>
      <c r="L19" s="207">
        <f t="shared" si="23"/>
        <v>213.2</v>
      </c>
      <c r="M19" s="207">
        <f t="shared" si="4"/>
        <v>4587.2387096774191</v>
      </c>
      <c r="N19" s="207">
        <f t="shared" si="24"/>
        <v>213.2</v>
      </c>
      <c r="O19" s="207">
        <f t="shared" si="5"/>
        <v>4587.2387096774191</v>
      </c>
      <c r="P19" s="207">
        <f t="shared" si="25"/>
        <v>213.2</v>
      </c>
      <c r="Q19" s="207">
        <f t="shared" si="6"/>
        <v>4587.2387096774191</v>
      </c>
      <c r="R19" s="207">
        <f t="shared" si="26"/>
        <v>213.2</v>
      </c>
      <c r="S19" s="207">
        <f t="shared" si="7"/>
        <v>4587.2387096774191</v>
      </c>
      <c r="T19" s="207">
        <f t="shared" si="27"/>
        <v>213.2</v>
      </c>
      <c r="U19" s="207">
        <f t="shared" si="8"/>
        <v>4587.2387096774191</v>
      </c>
      <c r="V19" s="207">
        <f t="shared" si="28"/>
        <v>213.2</v>
      </c>
      <c r="W19" s="207">
        <f t="shared" si="9"/>
        <v>4587.2387096774191</v>
      </c>
      <c r="X19" s="35">
        <f t="shared" si="10"/>
        <v>0.68774193548387086</v>
      </c>
      <c r="Y19" s="36">
        <f t="shared" si="29"/>
        <v>50459.625806451608</v>
      </c>
      <c r="Z19" s="207">
        <f>'B5'!C18</f>
        <v>219</v>
      </c>
      <c r="AA19" s="207">
        <f t="shared" si="30"/>
        <v>2190</v>
      </c>
      <c r="AB19" s="207">
        <f t="shared" si="31"/>
        <v>219</v>
      </c>
      <c r="AC19" s="207">
        <f t="shared" si="30"/>
        <v>2190</v>
      </c>
      <c r="AD19" s="207">
        <f t="shared" si="32"/>
        <v>219</v>
      </c>
      <c r="AE19" s="207">
        <f t="shared" si="11"/>
        <v>2190</v>
      </c>
      <c r="AF19" s="207">
        <f t="shared" si="33"/>
        <v>219</v>
      </c>
      <c r="AG19" s="207">
        <f t="shared" si="12"/>
        <v>2190</v>
      </c>
      <c r="AH19" s="207">
        <f t="shared" si="34"/>
        <v>219</v>
      </c>
      <c r="AI19" s="207">
        <f t="shared" si="13"/>
        <v>2190</v>
      </c>
      <c r="AJ19" s="207">
        <f t="shared" si="35"/>
        <v>219</v>
      </c>
      <c r="AK19" s="207">
        <f t="shared" si="14"/>
        <v>2190</v>
      </c>
      <c r="AL19" s="207">
        <f t="shared" si="36"/>
        <v>219</v>
      </c>
      <c r="AM19" s="207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7">
        <f t="shared" si="37"/>
        <v>0.70764360338229104</v>
      </c>
      <c r="AR19" s="38">
        <f t="shared" si="43"/>
        <v>65789.625806451601</v>
      </c>
      <c r="AS19" s="201">
        <f t="shared" si="38"/>
        <v>-1792.7290322580666</v>
      </c>
      <c r="AT19" s="278"/>
      <c r="AU19" s="510"/>
      <c r="AV19" s="567">
        <f t="shared" si="41"/>
        <v>0.54</v>
      </c>
      <c r="AW19" s="302">
        <f>-SUM('B5'!AI18)</f>
        <v>-1187.1000000000058</v>
      </c>
      <c r="AX19" s="302">
        <f t="shared" si="39"/>
        <v>-605.62903225806076</v>
      </c>
      <c r="AY19" s="37">
        <f t="shared" si="40"/>
        <v>-1792.7290322580666</v>
      </c>
      <c r="AZ19" s="101">
        <f>ELEC!A16</f>
        <v>0.3826</v>
      </c>
      <c r="BA19" s="119">
        <f>'General information '!D19</f>
        <v>14</v>
      </c>
      <c r="BB19" s="415">
        <f>SUM('General information '!E19)</f>
        <v>0.78</v>
      </c>
      <c r="BC19" s="3">
        <f t="shared" si="42"/>
        <v>0</v>
      </c>
      <c r="BD19" s="103">
        <v>19222</v>
      </c>
      <c r="BE19" s="14">
        <f>(305/1185)*ELEC!Q17</f>
        <v>641.91561181449958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206.1</v>
      </c>
      <c r="C20" s="207">
        <f t="shared" si="18"/>
        <v>4434.4741935483871</v>
      </c>
      <c r="D20">
        <f t="shared" si="19"/>
        <v>206.1</v>
      </c>
      <c r="E20" s="207">
        <f t="shared" si="18"/>
        <v>4434.4741935483871</v>
      </c>
      <c r="F20">
        <f t="shared" si="20"/>
        <v>206.1</v>
      </c>
      <c r="G20" s="207">
        <f t="shared" si="1"/>
        <v>4434.4741935483871</v>
      </c>
      <c r="H20" s="207">
        <f t="shared" si="21"/>
        <v>206.1</v>
      </c>
      <c r="I20" s="207">
        <f t="shared" si="2"/>
        <v>4434.4741935483871</v>
      </c>
      <c r="J20" s="207">
        <f t="shared" si="22"/>
        <v>206.1</v>
      </c>
      <c r="K20" s="207">
        <f t="shared" si="3"/>
        <v>4434.4741935483871</v>
      </c>
      <c r="L20" s="207">
        <f t="shared" si="23"/>
        <v>206.1</v>
      </c>
      <c r="M20" s="207">
        <f t="shared" si="4"/>
        <v>4434.4741935483871</v>
      </c>
      <c r="N20" s="207">
        <f t="shared" si="24"/>
        <v>206.1</v>
      </c>
      <c r="O20" s="207">
        <f t="shared" si="5"/>
        <v>4434.4741935483871</v>
      </c>
      <c r="P20" s="207">
        <f t="shared" si="25"/>
        <v>206.1</v>
      </c>
      <c r="Q20" s="207">
        <f t="shared" si="6"/>
        <v>4434.4741935483871</v>
      </c>
      <c r="R20" s="207">
        <f t="shared" si="26"/>
        <v>206.1</v>
      </c>
      <c r="S20" s="207">
        <f t="shared" si="7"/>
        <v>4434.4741935483871</v>
      </c>
      <c r="T20" s="207">
        <f t="shared" si="27"/>
        <v>206.1</v>
      </c>
      <c r="U20" s="207">
        <f t="shared" si="8"/>
        <v>4434.4741935483871</v>
      </c>
      <c r="V20" s="207">
        <f t="shared" si="28"/>
        <v>206.1</v>
      </c>
      <c r="W20" s="207">
        <f t="shared" si="9"/>
        <v>4434.4741935483871</v>
      </c>
      <c r="X20" s="35">
        <f t="shared" si="10"/>
        <v>0.66483870967741954</v>
      </c>
      <c r="Y20" s="36">
        <f t="shared" si="29"/>
        <v>48779.216129032269</v>
      </c>
      <c r="Z20" s="207">
        <f>'B5'!C19</f>
        <v>212</v>
      </c>
      <c r="AA20" s="207">
        <f t="shared" si="30"/>
        <v>2120</v>
      </c>
      <c r="AB20" s="207">
        <f t="shared" si="31"/>
        <v>212</v>
      </c>
      <c r="AC20" s="207">
        <f t="shared" si="30"/>
        <v>2120</v>
      </c>
      <c r="AD20" s="207">
        <f t="shared" si="32"/>
        <v>212</v>
      </c>
      <c r="AE20" s="207">
        <f t="shared" si="11"/>
        <v>2120</v>
      </c>
      <c r="AF20" s="207">
        <f t="shared" si="33"/>
        <v>212</v>
      </c>
      <c r="AG20" s="207">
        <f t="shared" si="12"/>
        <v>2120</v>
      </c>
      <c r="AH20" s="207">
        <f t="shared" si="34"/>
        <v>212</v>
      </c>
      <c r="AI20" s="207">
        <f t="shared" si="13"/>
        <v>2120</v>
      </c>
      <c r="AJ20" s="207">
        <f t="shared" si="35"/>
        <v>212</v>
      </c>
      <c r="AK20" s="207">
        <f t="shared" si="14"/>
        <v>2120</v>
      </c>
      <c r="AL20" s="207">
        <f t="shared" si="36"/>
        <v>212</v>
      </c>
      <c r="AM20" s="207">
        <f t="shared" si="15"/>
        <v>2120</v>
      </c>
      <c r="AN20" s="35">
        <f t="shared" si="16"/>
        <v>0.75714285714285712</v>
      </c>
      <c r="AO20" s="36">
        <f t="shared" si="17"/>
        <v>14840</v>
      </c>
      <c r="AQ20" s="227">
        <f t="shared" si="37"/>
        <v>0.6842983341834169</v>
      </c>
      <c r="AR20" s="38">
        <f t="shared" si="43"/>
        <v>63619.216129032269</v>
      </c>
      <c r="AS20" s="201">
        <f t="shared" si="38"/>
        <v>-2170.4096774193313</v>
      </c>
      <c r="AT20" s="278"/>
      <c r="AU20" s="467"/>
      <c r="AV20" s="567">
        <f t="shared" si="41"/>
        <v>0.54</v>
      </c>
      <c r="AW20" s="302">
        <f>-SUM('B5'!AI19)</f>
        <v>-746</v>
      </c>
      <c r="AX20" s="302">
        <f t="shared" si="39"/>
        <v>-1424.4096774193313</v>
      </c>
      <c r="AY20" s="37">
        <f t="shared" si="40"/>
        <v>-2170.4096774193313</v>
      </c>
      <c r="AZ20" s="101">
        <f>ELEC!A17</f>
        <v>0.247</v>
      </c>
      <c r="BA20" s="119">
        <f>'General information '!D20</f>
        <v>14.5</v>
      </c>
      <c r="BB20" s="415">
        <f>SUM('General information '!E20)</f>
        <v>0.59</v>
      </c>
      <c r="BC20" s="3">
        <f t="shared" si="42"/>
        <v>0</v>
      </c>
      <c r="BD20" s="103">
        <v>19222</v>
      </c>
      <c r="BE20" s="14">
        <f>(305/1185)*ELEC!Q18</f>
        <v>225.21097046413504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202.3</v>
      </c>
      <c r="C21" s="207">
        <f t="shared" si="18"/>
        <v>4352.7129032258063</v>
      </c>
      <c r="D21">
        <f t="shared" si="19"/>
        <v>202.3</v>
      </c>
      <c r="E21" s="207">
        <f t="shared" si="18"/>
        <v>4352.7129032258063</v>
      </c>
      <c r="F21">
        <f t="shared" si="20"/>
        <v>202.3</v>
      </c>
      <c r="G21" s="207">
        <f t="shared" si="1"/>
        <v>4352.7129032258063</v>
      </c>
      <c r="H21" s="207">
        <f t="shared" si="21"/>
        <v>202.3</v>
      </c>
      <c r="I21" s="207">
        <f t="shared" si="2"/>
        <v>4352.7129032258063</v>
      </c>
      <c r="J21" s="207">
        <f t="shared" si="22"/>
        <v>202.3</v>
      </c>
      <c r="K21" s="207">
        <f t="shared" si="3"/>
        <v>4352.7129032258063</v>
      </c>
      <c r="L21" s="207">
        <f t="shared" si="23"/>
        <v>202.3</v>
      </c>
      <c r="M21" s="207">
        <f t="shared" si="4"/>
        <v>4352.7129032258063</v>
      </c>
      <c r="N21" s="207">
        <f t="shared" si="24"/>
        <v>202.3</v>
      </c>
      <c r="O21" s="207">
        <f t="shared" si="5"/>
        <v>4352.7129032258063</v>
      </c>
      <c r="P21" s="207">
        <f t="shared" si="25"/>
        <v>202.3</v>
      </c>
      <c r="Q21" s="207">
        <f t="shared" si="6"/>
        <v>4352.7129032258063</v>
      </c>
      <c r="R21" s="207">
        <f t="shared" si="26"/>
        <v>202.3</v>
      </c>
      <c r="S21" s="207">
        <f t="shared" si="7"/>
        <v>4352.7129032258063</v>
      </c>
      <c r="T21" s="207">
        <f t="shared" si="27"/>
        <v>202.3</v>
      </c>
      <c r="U21" s="207">
        <f t="shared" si="8"/>
        <v>4352.7129032258063</v>
      </c>
      <c r="V21" s="207">
        <f t="shared" si="28"/>
        <v>202.3</v>
      </c>
      <c r="W21" s="207">
        <f t="shared" si="9"/>
        <v>4352.7129032258063</v>
      </c>
      <c r="X21" s="35">
        <f t="shared" si="10"/>
        <v>0.65258064516129044</v>
      </c>
      <c r="Y21" s="36">
        <f t="shared" si="29"/>
        <v>47879.841935483877</v>
      </c>
      <c r="Z21" s="207">
        <f>'B5'!C20</f>
        <v>208.1</v>
      </c>
      <c r="AA21" s="207">
        <f t="shared" si="30"/>
        <v>2081</v>
      </c>
      <c r="AB21" s="207">
        <f t="shared" si="31"/>
        <v>208.1</v>
      </c>
      <c r="AC21" s="207">
        <f t="shared" si="30"/>
        <v>2081</v>
      </c>
      <c r="AD21" s="207">
        <f t="shared" si="32"/>
        <v>208.1</v>
      </c>
      <c r="AE21" s="207">
        <f t="shared" si="11"/>
        <v>2081</v>
      </c>
      <c r="AF21" s="207">
        <f t="shared" si="33"/>
        <v>208.1</v>
      </c>
      <c r="AG21" s="207">
        <f t="shared" si="12"/>
        <v>2081</v>
      </c>
      <c r="AH21" s="207">
        <f t="shared" si="34"/>
        <v>208.1</v>
      </c>
      <c r="AI21" s="207">
        <f t="shared" si="13"/>
        <v>2081</v>
      </c>
      <c r="AJ21" s="207">
        <f t="shared" si="35"/>
        <v>208.1</v>
      </c>
      <c r="AK21" s="207">
        <f t="shared" si="14"/>
        <v>2081</v>
      </c>
      <c r="AL21" s="207">
        <f t="shared" si="36"/>
        <v>208.1</v>
      </c>
      <c r="AM21" s="207">
        <f t="shared" si="15"/>
        <v>2081</v>
      </c>
      <c r="AN21" s="35">
        <f t="shared" si="16"/>
        <v>0.74321428571428572</v>
      </c>
      <c r="AO21" s="36">
        <f t="shared" si="17"/>
        <v>14567</v>
      </c>
      <c r="AQ21" s="227">
        <f t="shared" si="37"/>
        <v>0.67168809223925863</v>
      </c>
      <c r="AR21" s="38">
        <f>SUM(AO21+Y21)</f>
        <v>62446.841935483877</v>
      </c>
      <c r="AS21" s="201">
        <f>SUM(AR21-AR20-AT21)</f>
        <v>-1172.3741935483922</v>
      </c>
      <c r="AT21" s="278"/>
      <c r="AU21" s="467"/>
      <c r="AV21" s="567">
        <f t="shared" si="41"/>
        <v>0.54</v>
      </c>
      <c r="AW21" s="302">
        <f>-SUM('B5'!AI20)</f>
        <v>-644</v>
      </c>
      <c r="AX21" s="302">
        <f t="shared" si="39"/>
        <v>-528.37419354839221</v>
      </c>
      <c r="AY21" s="37">
        <f t="shared" si="40"/>
        <v>-1172.3741935483922</v>
      </c>
      <c r="AZ21" s="101">
        <f>ELEC!A18</f>
        <v>0.1696</v>
      </c>
      <c r="BA21" s="119">
        <f>'General information '!D21</f>
        <v>14</v>
      </c>
      <c r="BB21" s="415">
        <f>SUM('General information '!E21)</f>
        <v>0.57999999999999996</v>
      </c>
      <c r="BC21" s="3">
        <f t="shared" si="42"/>
        <v>0</v>
      </c>
      <c r="BD21" s="103">
        <v>19222</v>
      </c>
      <c r="BE21" s="14">
        <f>(305/1185)*ELEC!Q19</f>
        <v>571.13502109682543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198</v>
      </c>
      <c r="C22" s="207">
        <f t="shared" si="18"/>
        <v>4260.1935483870966</v>
      </c>
      <c r="D22">
        <f t="shared" si="19"/>
        <v>198</v>
      </c>
      <c r="E22" s="207">
        <f t="shared" si="18"/>
        <v>4260.1935483870966</v>
      </c>
      <c r="F22">
        <f t="shared" si="20"/>
        <v>198</v>
      </c>
      <c r="G22" s="207">
        <f t="shared" si="1"/>
        <v>4260.1935483870966</v>
      </c>
      <c r="H22" s="207">
        <f t="shared" si="21"/>
        <v>198</v>
      </c>
      <c r="I22" s="207">
        <f t="shared" si="2"/>
        <v>4260.1935483870966</v>
      </c>
      <c r="J22" s="207">
        <f t="shared" si="22"/>
        <v>198</v>
      </c>
      <c r="K22" s="207">
        <f t="shared" si="3"/>
        <v>4260.1935483870966</v>
      </c>
      <c r="L22" s="207">
        <f t="shared" si="23"/>
        <v>198</v>
      </c>
      <c r="M22" s="207">
        <f t="shared" si="4"/>
        <v>4260.1935483870966</v>
      </c>
      <c r="N22" s="207">
        <f t="shared" si="24"/>
        <v>198</v>
      </c>
      <c r="O22" s="207">
        <f t="shared" si="5"/>
        <v>4260.1935483870966</v>
      </c>
      <c r="P22" s="207">
        <f t="shared" si="25"/>
        <v>198</v>
      </c>
      <c r="Q22" s="207">
        <f t="shared" si="6"/>
        <v>4260.1935483870966</v>
      </c>
      <c r="R22" s="207">
        <f t="shared" si="26"/>
        <v>198</v>
      </c>
      <c r="S22" s="207">
        <f t="shared" si="7"/>
        <v>4260.1935483870966</v>
      </c>
      <c r="T22" s="207">
        <f t="shared" si="27"/>
        <v>198</v>
      </c>
      <c r="U22" s="207">
        <f t="shared" si="8"/>
        <v>4260.1935483870966</v>
      </c>
      <c r="V22" s="207">
        <f t="shared" si="28"/>
        <v>198</v>
      </c>
      <c r="W22" s="207">
        <f t="shared" si="9"/>
        <v>4260.1935483870966</v>
      </c>
      <c r="X22" s="35">
        <f t="shared" si="10"/>
        <v>0.63870967741935503</v>
      </c>
      <c r="Y22" s="36">
        <f t="shared" si="29"/>
        <v>46862.129032258075</v>
      </c>
      <c r="Z22" s="207">
        <f>'B5'!C21</f>
        <v>203.3</v>
      </c>
      <c r="AA22" s="207">
        <f t="shared" si="30"/>
        <v>2033</v>
      </c>
      <c r="AB22" s="207">
        <f t="shared" si="31"/>
        <v>203.3</v>
      </c>
      <c r="AC22" s="207">
        <f t="shared" si="30"/>
        <v>2033</v>
      </c>
      <c r="AD22" s="207">
        <f t="shared" si="32"/>
        <v>203.3</v>
      </c>
      <c r="AE22" s="207">
        <f t="shared" si="11"/>
        <v>2033</v>
      </c>
      <c r="AF22" s="207">
        <f t="shared" si="33"/>
        <v>203.3</v>
      </c>
      <c r="AG22" s="207">
        <f t="shared" si="12"/>
        <v>2033</v>
      </c>
      <c r="AH22" s="207">
        <f t="shared" si="34"/>
        <v>203.3</v>
      </c>
      <c r="AI22" s="207">
        <f t="shared" si="13"/>
        <v>2033</v>
      </c>
      <c r="AJ22" s="207">
        <f t="shared" si="35"/>
        <v>203.3</v>
      </c>
      <c r="AK22" s="207">
        <f t="shared" si="14"/>
        <v>2033</v>
      </c>
      <c r="AL22" s="207">
        <f t="shared" si="36"/>
        <v>203.3</v>
      </c>
      <c r="AM22" s="207">
        <f t="shared" si="15"/>
        <v>2033</v>
      </c>
      <c r="AN22" s="35">
        <f t="shared" si="16"/>
        <v>0.72607142857142859</v>
      </c>
      <c r="AO22" s="36">
        <f t="shared" si="17"/>
        <v>14231</v>
      </c>
      <c r="AQ22" s="227">
        <f t="shared" si="37"/>
        <v>0.65712734250035576</v>
      </c>
      <c r="AR22" s="38">
        <f t="shared" si="43"/>
        <v>61093.129032258075</v>
      </c>
      <c r="AS22" s="201">
        <f t="shared" si="38"/>
        <v>-1353.7129032258017</v>
      </c>
      <c r="AT22" s="278"/>
      <c r="AU22" s="467"/>
      <c r="AV22" s="567">
        <f t="shared" si="41"/>
        <v>0.54</v>
      </c>
      <c r="AW22" s="302">
        <f>-SUM('B5'!AI21)</f>
        <v>-630</v>
      </c>
      <c r="AX22" s="302">
        <f t="shared" si="39"/>
        <v>-723.71290322580171</v>
      </c>
      <c r="AY22" s="37">
        <f t="shared" si="40"/>
        <v>-1353.7129032258017</v>
      </c>
      <c r="AZ22" s="101">
        <f>ELEC!A19</f>
        <v>0.23039999999999999</v>
      </c>
      <c r="BA22" s="119">
        <f>'General information '!D22</f>
        <v>14</v>
      </c>
      <c r="BB22" s="415">
        <f>SUM('General information '!E22)</f>
        <v>0.6</v>
      </c>
      <c r="BC22" s="3">
        <f t="shared" si="42"/>
        <v>0</v>
      </c>
      <c r="BD22" s="103">
        <v>19222</v>
      </c>
      <c r="BE22" s="14">
        <f>(305/1185)*ELEC!Q20</f>
        <v>582.45991561202788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251.2</v>
      </c>
      <c r="C23" s="207">
        <f t="shared" si="18"/>
        <v>5404.851612903225</v>
      </c>
      <c r="D23">
        <f t="shared" si="19"/>
        <v>251.2</v>
      </c>
      <c r="E23" s="207">
        <f t="shared" si="18"/>
        <v>5404.851612903225</v>
      </c>
      <c r="F23">
        <f t="shared" si="20"/>
        <v>251.2</v>
      </c>
      <c r="G23" s="207">
        <f t="shared" si="1"/>
        <v>5404.851612903225</v>
      </c>
      <c r="H23" s="207">
        <f t="shared" si="21"/>
        <v>251.2</v>
      </c>
      <c r="I23" s="207">
        <f t="shared" si="2"/>
        <v>5404.851612903225</v>
      </c>
      <c r="J23" s="207">
        <f t="shared" si="22"/>
        <v>251.2</v>
      </c>
      <c r="K23" s="207">
        <f t="shared" si="3"/>
        <v>5404.851612903225</v>
      </c>
      <c r="L23" s="207">
        <f t="shared" si="23"/>
        <v>251.2</v>
      </c>
      <c r="M23" s="207">
        <f t="shared" si="4"/>
        <v>5404.851612903225</v>
      </c>
      <c r="N23" s="207">
        <f t="shared" si="24"/>
        <v>251.2</v>
      </c>
      <c r="O23" s="207">
        <f t="shared" si="5"/>
        <v>5404.851612903225</v>
      </c>
      <c r="P23" s="207">
        <f t="shared" si="25"/>
        <v>251.2</v>
      </c>
      <c r="Q23" s="207">
        <f t="shared" si="6"/>
        <v>5404.851612903225</v>
      </c>
      <c r="R23" s="207">
        <f t="shared" si="26"/>
        <v>251.2</v>
      </c>
      <c r="S23" s="207">
        <f t="shared" si="7"/>
        <v>5404.851612903225</v>
      </c>
      <c r="T23" s="207">
        <f t="shared" si="27"/>
        <v>251.2</v>
      </c>
      <c r="U23" s="207">
        <f t="shared" si="8"/>
        <v>5404.851612903225</v>
      </c>
      <c r="V23" s="207">
        <f t="shared" si="28"/>
        <v>251.2</v>
      </c>
      <c r="W23" s="207">
        <f t="shared" si="9"/>
        <v>5404.851612903225</v>
      </c>
      <c r="X23" s="35">
        <f t="shared" si="10"/>
        <v>0.81032258064516105</v>
      </c>
      <c r="Y23" s="36">
        <f t="shared" si="29"/>
        <v>59453.367741935464</v>
      </c>
      <c r="Z23" s="207">
        <f>'B5'!C22</f>
        <v>256.39999999999998</v>
      </c>
      <c r="AA23" s="207">
        <f t="shared" si="30"/>
        <v>2564</v>
      </c>
      <c r="AB23" s="207">
        <f t="shared" si="31"/>
        <v>256.39999999999998</v>
      </c>
      <c r="AC23" s="207">
        <f t="shared" si="30"/>
        <v>2564</v>
      </c>
      <c r="AD23" s="207">
        <f t="shared" si="32"/>
        <v>256.39999999999998</v>
      </c>
      <c r="AE23" s="207">
        <f t="shared" si="11"/>
        <v>2564</v>
      </c>
      <c r="AF23" s="207">
        <f t="shared" si="33"/>
        <v>256.39999999999998</v>
      </c>
      <c r="AG23" s="207">
        <f t="shared" si="12"/>
        <v>2564</v>
      </c>
      <c r="AH23" s="207">
        <f t="shared" si="34"/>
        <v>256.39999999999998</v>
      </c>
      <c r="AI23" s="207">
        <f t="shared" si="13"/>
        <v>2564</v>
      </c>
      <c r="AJ23" s="207">
        <f t="shared" si="35"/>
        <v>256.39999999999998</v>
      </c>
      <c r="AK23" s="207">
        <f t="shared" si="14"/>
        <v>2564</v>
      </c>
      <c r="AL23" s="207">
        <f t="shared" si="36"/>
        <v>256.39999999999998</v>
      </c>
      <c r="AM23" s="207">
        <f t="shared" si="15"/>
        <v>2564</v>
      </c>
      <c r="AN23" s="35">
        <f t="shared" si="16"/>
        <v>0.9157142857142857</v>
      </c>
      <c r="AO23" s="36">
        <f t="shared" si="17"/>
        <v>17948</v>
      </c>
      <c r="AQ23" s="227">
        <f t="shared" si="37"/>
        <v>0.83254133313902834</v>
      </c>
      <c r="AR23" s="38">
        <f t="shared" si="43"/>
        <v>77401.367741935464</v>
      </c>
      <c r="AS23" s="201">
        <f t="shared" si="38"/>
        <v>425.23870967738912</v>
      </c>
      <c r="AT23" s="278">
        <v>15883</v>
      </c>
      <c r="AU23" s="467">
        <v>0.51649999999999996</v>
      </c>
      <c r="AV23" s="567">
        <f t="shared" si="41"/>
        <v>0.51649999999999996</v>
      </c>
      <c r="AW23" s="302">
        <f>-SUM('B5'!AI22)</f>
        <v>-1122</v>
      </c>
      <c r="AX23" s="302">
        <f t="shared" si="39"/>
        <v>1547.2387096773891</v>
      </c>
      <c r="AY23" s="37">
        <f t="shared" si="40"/>
        <v>425.23870967738912</v>
      </c>
      <c r="AZ23" s="101">
        <f>ELEC!A20</f>
        <v>0.23480000000000001</v>
      </c>
      <c r="BA23" s="119">
        <f>'General information '!D23</f>
        <v>14</v>
      </c>
      <c r="BB23" s="415">
        <f>SUM('General information '!E23)</f>
        <v>0.62</v>
      </c>
      <c r="BC23" s="3">
        <f t="shared" si="42"/>
        <v>1</v>
      </c>
      <c r="BD23" s="103">
        <v>19222</v>
      </c>
      <c r="BE23" s="14">
        <f>(305/1185)*ELEC!Q21</f>
        <v>672.54430379730741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245</v>
      </c>
      <c r="C24" s="207">
        <f t="shared" si="18"/>
        <v>5271.4516129032254</v>
      </c>
      <c r="D24">
        <f t="shared" si="19"/>
        <v>245</v>
      </c>
      <c r="E24" s="207">
        <f t="shared" si="18"/>
        <v>5271.4516129032254</v>
      </c>
      <c r="F24">
        <f t="shared" si="20"/>
        <v>245</v>
      </c>
      <c r="G24" s="207">
        <f t="shared" si="1"/>
        <v>5271.4516129032254</v>
      </c>
      <c r="H24" s="207">
        <f t="shared" si="21"/>
        <v>245</v>
      </c>
      <c r="I24" s="207">
        <f t="shared" si="2"/>
        <v>5271.4516129032254</v>
      </c>
      <c r="J24" s="207">
        <f t="shared" si="22"/>
        <v>245</v>
      </c>
      <c r="K24" s="207">
        <f t="shared" si="3"/>
        <v>5271.4516129032254</v>
      </c>
      <c r="L24" s="207">
        <f t="shared" si="23"/>
        <v>245</v>
      </c>
      <c r="M24" s="207">
        <f t="shared" si="4"/>
        <v>5271.4516129032254</v>
      </c>
      <c r="N24" s="207">
        <f t="shared" si="24"/>
        <v>245</v>
      </c>
      <c r="O24" s="207">
        <f t="shared" si="5"/>
        <v>5271.4516129032254</v>
      </c>
      <c r="P24" s="207">
        <f t="shared" si="25"/>
        <v>245</v>
      </c>
      <c r="Q24" s="207">
        <f t="shared" si="6"/>
        <v>5271.4516129032254</v>
      </c>
      <c r="R24" s="207">
        <f t="shared" si="26"/>
        <v>245</v>
      </c>
      <c r="S24" s="207">
        <f t="shared" si="7"/>
        <v>5271.4516129032254</v>
      </c>
      <c r="T24" s="207">
        <f t="shared" si="27"/>
        <v>245</v>
      </c>
      <c r="U24" s="207">
        <f t="shared" si="8"/>
        <v>5271.4516129032254</v>
      </c>
      <c r="V24" s="207">
        <f t="shared" si="28"/>
        <v>245</v>
      </c>
      <c r="W24" s="207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7">
        <f>'B5'!C23</f>
        <v>249.4</v>
      </c>
      <c r="AA24" s="207">
        <f t="shared" si="30"/>
        <v>2494</v>
      </c>
      <c r="AB24" s="207">
        <f t="shared" si="31"/>
        <v>249.4</v>
      </c>
      <c r="AC24" s="207">
        <f t="shared" si="30"/>
        <v>2494</v>
      </c>
      <c r="AD24" s="207">
        <f t="shared" si="32"/>
        <v>249.4</v>
      </c>
      <c r="AE24" s="207">
        <f t="shared" si="11"/>
        <v>2494</v>
      </c>
      <c r="AF24" s="207">
        <f t="shared" si="33"/>
        <v>249.4</v>
      </c>
      <c r="AG24" s="207">
        <f t="shared" si="12"/>
        <v>2494</v>
      </c>
      <c r="AH24" s="207">
        <f t="shared" si="34"/>
        <v>249.4</v>
      </c>
      <c r="AI24" s="207">
        <f t="shared" si="13"/>
        <v>2494</v>
      </c>
      <c r="AJ24" s="207">
        <f t="shared" si="35"/>
        <v>249.4</v>
      </c>
      <c r="AK24" s="207">
        <f t="shared" si="14"/>
        <v>2494</v>
      </c>
      <c r="AL24" s="207">
        <f t="shared" si="36"/>
        <v>249.4</v>
      </c>
      <c r="AM24" s="207">
        <f t="shared" si="15"/>
        <v>2494</v>
      </c>
      <c r="AN24" s="35">
        <f t="shared" si="16"/>
        <v>0.89071428571428568</v>
      </c>
      <c r="AO24" s="36">
        <f t="shared" si="17"/>
        <v>17458</v>
      </c>
      <c r="AQ24" s="227">
        <f t="shared" si="37"/>
        <v>0.81148722966478959</v>
      </c>
      <c r="AR24" s="38">
        <f t="shared" si="43"/>
        <v>75443.967741935485</v>
      </c>
      <c r="AS24" s="201">
        <f t="shared" si="38"/>
        <v>-1957.3999999999796</v>
      </c>
      <c r="AT24" s="278"/>
      <c r="AU24" s="467"/>
      <c r="AV24" s="567">
        <f t="shared" si="41"/>
        <v>0.51649999999999996</v>
      </c>
      <c r="AW24" s="302">
        <f>-SUM('B5'!AI23)</f>
        <v>-499</v>
      </c>
      <c r="AX24" s="302">
        <f t="shared" si="39"/>
        <v>-1458.3999999999796</v>
      </c>
      <c r="AY24" s="37">
        <f t="shared" si="40"/>
        <v>-1957.3999999999796</v>
      </c>
      <c r="AZ24" s="101">
        <f>ELEC!A21</f>
        <v>0.23039999999999999</v>
      </c>
      <c r="BA24" s="119">
        <f>'General information '!D24</f>
        <v>15.5</v>
      </c>
      <c r="BB24" s="415">
        <f>SUM('General information '!E24)</f>
        <v>0.6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245</v>
      </c>
      <c r="C25" s="207">
        <f t="shared" si="18"/>
        <v>5271.4516129032254</v>
      </c>
      <c r="D25">
        <f t="shared" si="19"/>
        <v>245</v>
      </c>
      <c r="E25" s="207">
        <f t="shared" si="18"/>
        <v>5271.4516129032254</v>
      </c>
      <c r="F25">
        <f t="shared" si="20"/>
        <v>245</v>
      </c>
      <c r="G25" s="207">
        <f t="shared" si="1"/>
        <v>5271.4516129032254</v>
      </c>
      <c r="H25" s="207">
        <f t="shared" si="21"/>
        <v>245</v>
      </c>
      <c r="I25" s="207">
        <f t="shared" si="2"/>
        <v>5271.4516129032254</v>
      </c>
      <c r="J25" s="207">
        <f t="shared" si="22"/>
        <v>245</v>
      </c>
      <c r="K25" s="207">
        <f t="shared" si="3"/>
        <v>5271.4516129032254</v>
      </c>
      <c r="L25" s="207">
        <f t="shared" si="23"/>
        <v>245</v>
      </c>
      <c r="M25" s="207">
        <f t="shared" si="4"/>
        <v>5271.4516129032254</v>
      </c>
      <c r="N25" s="207">
        <f t="shared" si="24"/>
        <v>245</v>
      </c>
      <c r="O25" s="207">
        <f t="shared" si="5"/>
        <v>5271.4516129032254</v>
      </c>
      <c r="P25" s="207">
        <f t="shared" si="25"/>
        <v>245</v>
      </c>
      <c r="Q25" s="207">
        <f t="shared" si="6"/>
        <v>5271.4516129032254</v>
      </c>
      <c r="R25" s="207">
        <f t="shared" si="26"/>
        <v>245</v>
      </c>
      <c r="S25" s="207">
        <f t="shared" si="7"/>
        <v>5271.4516129032254</v>
      </c>
      <c r="T25" s="207">
        <f t="shared" si="27"/>
        <v>245</v>
      </c>
      <c r="U25" s="207">
        <f t="shared" si="8"/>
        <v>5271.4516129032254</v>
      </c>
      <c r="V25" s="207">
        <f t="shared" si="28"/>
        <v>245</v>
      </c>
      <c r="W25" s="207">
        <f t="shared" si="9"/>
        <v>5271.4516129032254</v>
      </c>
      <c r="X25" s="35">
        <f t="shared" si="10"/>
        <v>0.79032258064516137</v>
      </c>
      <c r="Y25" s="36">
        <f t="shared" si="29"/>
        <v>57985.967741935492</v>
      </c>
      <c r="Z25" s="207">
        <f>'B5'!C24</f>
        <v>249.4</v>
      </c>
      <c r="AA25" s="207">
        <f t="shared" si="30"/>
        <v>2494</v>
      </c>
      <c r="AB25" s="207">
        <f t="shared" si="31"/>
        <v>249.4</v>
      </c>
      <c r="AC25" s="207">
        <f t="shared" si="30"/>
        <v>2494</v>
      </c>
      <c r="AD25" s="207">
        <f t="shared" si="32"/>
        <v>249.4</v>
      </c>
      <c r="AE25" s="207">
        <f t="shared" si="11"/>
        <v>2494</v>
      </c>
      <c r="AF25" s="207">
        <f t="shared" si="33"/>
        <v>249.4</v>
      </c>
      <c r="AG25" s="207">
        <f t="shared" si="12"/>
        <v>2494</v>
      </c>
      <c r="AH25" s="207">
        <f t="shared" si="34"/>
        <v>249.4</v>
      </c>
      <c r="AI25" s="207">
        <f t="shared" si="13"/>
        <v>2494</v>
      </c>
      <c r="AJ25" s="207">
        <f t="shared" si="35"/>
        <v>249.4</v>
      </c>
      <c r="AK25" s="207">
        <f t="shared" si="14"/>
        <v>2494</v>
      </c>
      <c r="AL25" s="207">
        <f t="shared" si="36"/>
        <v>249.4</v>
      </c>
      <c r="AM25" s="207">
        <f t="shared" si="15"/>
        <v>2494</v>
      </c>
      <c r="AN25" s="35">
        <f t="shared" si="16"/>
        <v>0.89071428571428568</v>
      </c>
      <c r="AO25" s="36">
        <f t="shared" si="17"/>
        <v>17458</v>
      </c>
      <c r="AQ25" s="227">
        <f t="shared" si="37"/>
        <v>0.81148722966478959</v>
      </c>
      <c r="AR25" s="38">
        <f t="shared" si="43"/>
        <v>75443.967741935485</v>
      </c>
      <c r="AS25" s="201">
        <f t="shared" si="38"/>
        <v>0</v>
      </c>
      <c r="AT25" s="278"/>
      <c r="AU25" s="467"/>
      <c r="AV25" s="567">
        <f t="shared" si="41"/>
        <v>0.51649999999999996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245</v>
      </c>
      <c r="C26" s="207">
        <f t="shared" si="18"/>
        <v>5271.4516129032254</v>
      </c>
      <c r="D26">
        <f t="shared" si="19"/>
        <v>245</v>
      </c>
      <c r="E26" s="207">
        <f t="shared" si="18"/>
        <v>5271.4516129032254</v>
      </c>
      <c r="F26">
        <f t="shared" si="20"/>
        <v>245</v>
      </c>
      <c r="G26" s="207">
        <f t="shared" si="1"/>
        <v>5271.4516129032254</v>
      </c>
      <c r="H26" s="207">
        <f t="shared" si="21"/>
        <v>245</v>
      </c>
      <c r="I26" s="207">
        <f t="shared" si="2"/>
        <v>5271.4516129032254</v>
      </c>
      <c r="J26" s="207">
        <f t="shared" si="22"/>
        <v>245</v>
      </c>
      <c r="K26" s="207">
        <f t="shared" si="3"/>
        <v>5271.4516129032254</v>
      </c>
      <c r="L26" s="207">
        <f t="shared" si="23"/>
        <v>245</v>
      </c>
      <c r="M26" s="207">
        <f t="shared" si="4"/>
        <v>5271.4516129032254</v>
      </c>
      <c r="N26" s="207">
        <f t="shared" si="24"/>
        <v>245</v>
      </c>
      <c r="O26" s="207">
        <f t="shared" si="5"/>
        <v>5271.4516129032254</v>
      </c>
      <c r="P26" s="207">
        <f t="shared" si="25"/>
        <v>245</v>
      </c>
      <c r="Q26" s="207">
        <f t="shared" si="6"/>
        <v>5271.4516129032254</v>
      </c>
      <c r="R26" s="207">
        <f t="shared" si="26"/>
        <v>245</v>
      </c>
      <c r="S26" s="207">
        <f t="shared" si="7"/>
        <v>5271.4516129032254</v>
      </c>
      <c r="T26" s="207">
        <f t="shared" si="27"/>
        <v>245</v>
      </c>
      <c r="U26" s="207">
        <f t="shared" si="8"/>
        <v>5271.4516129032254</v>
      </c>
      <c r="V26" s="207">
        <f t="shared" si="28"/>
        <v>245</v>
      </c>
      <c r="W26" s="207">
        <f t="shared" si="9"/>
        <v>5271.4516129032254</v>
      </c>
      <c r="X26" s="35">
        <f t="shared" si="10"/>
        <v>0.79032258064516137</v>
      </c>
      <c r="Y26" s="36">
        <f t="shared" si="29"/>
        <v>57985.967741935492</v>
      </c>
      <c r="Z26" s="207">
        <f>'B5'!C25</f>
        <v>249.4</v>
      </c>
      <c r="AA26" s="207">
        <f t="shared" si="30"/>
        <v>2494</v>
      </c>
      <c r="AB26" s="207">
        <f t="shared" si="31"/>
        <v>249.4</v>
      </c>
      <c r="AC26" s="207">
        <f t="shared" si="30"/>
        <v>2494</v>
      </c>
      <c r="AD26" s="207">
        <f t="shared" si="32"/>
        <v>249.4</v>
      </c>
      <c r="AE26" s="207">
        <f t="shared" si="11"/>
        <v>2494</v>
      </c>
      <c r="AF26" s="207">
        <f t="shared" si="33"/>
        <v>249.4</v>
      </c>
      <c r="AG26" s="207">
        <f t="shared" si="12"/>
        <v>2494</v>
      </c>
      <c r="AH26" s="207">
        <f t="shared" si="34"/>
        <v>249.4</v>
      </c>
      <c r="AI26" s="207">
        <f t="shared" si="13"/>
        <v>2494</v>
      </c>
      <c r="AJ26" s="207">
        <f t="shared" si="35"/>
        <v>249.4</v>
      </c>
      <c r="AK26" s="207">
        <f t="shared" si="14"/>
        <v>2494</v>
      </c>
      <c r="AL26" s="207">
        <f t="shared" si="36"/>
        <v>249.4</v>
      </c>
      <c r="AM26" s="207">
        <f t="shared" si="15"/>
        <v>2494</v>
      </c>
      <c r="AN26" s="35">
        <f t="shared" si="16"/>
        <v>0.89071428571428568</v>
      </c>
      <c r="AO26" s="36">
        <f t="shared" si="17"/>
        <v>17458</v>
      </c>
      <c r="AQ26" s="227">
        <f t="shared" si="37"/>
        <v>0.81148722966478959</v>
      </c>
      <c r="AR26" s="38">
        <f t="shared" si="43"/>
        <v>75443.967741935485</v>
      </c>
      <c r="AS26" s="201">
        <f t="shared" si="38"/>
        <v>0</v>
      </c>
      <c r="AT26" s="278"/>
      <c r="AU26" s="467"/>
      <c r="AV26" s="567">
        <f t="shared" si="41"/>
        <v>0.51649999999999996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245</v>
      </c>
      <c r="C27" s="207">
        <f t="shared" si="18"/>
        <v>5271.4516129032254</v>
      </c>
      <c r="D27">
        <f t="shared" si="19"/>
        <v>245</v>
      </c>
      <c r="E27" s="207">
        <f t="shared" si="18"/>
        <v>5271.4516129032254</v>
      </c>
      <c r="F27">
        <f t="shared" si="20"/>
        <v>245</v>
      </c>
      <c r="G27" s="207">
        <f t="shared" si="1"/>
        <v>5271.4516129032254</v>
      </c>
      <c r="H27" s="207">
        <f t="shared" si="21"/>
        <v>245</v>
      </c>
      <c r="I27" s="207">
        <f t="shared" si="2"/>
        <v>5271.4516129032254</v>
      </c>
      <c r="J27" s="207">
        <f t="shared" si="22"/>
        <v>245</v>
      </c>
      <c r="K27" s="207">
        <f t="shared" si="3"/>
        <v>5271.4516129032254</v>
      </c>
      <c r="L27" s="207">
        <f t="shared" si="23"/>
        <v>245</v>
      </c>
      <c r="M27" s="207">
        <f t="shared" si="4"/>
        <v>5271.4516129032254</v>
      </c>
      <c r="N27" s="207">
        <f t="shared" si="24"/>
        <v>245</v>
      </c>
      <c r="O27" s="207">
        <f t="shared" si="5"/>
        <v>5271.4516129032254</v>
      </c>
      <c r="P27" s="207">
        <f t="shared" si="25"/>
        <v>245</v>
      </c>
      <c r="Q27" s="207">
        <f t="shared" si="6"/>
        <v>5271.4516129032254</v>
      </c>
      <c r="R27" s="207">
        <f t="shared" si="26"/>
        <v>245</v>
      </c>
      <c r="S27" s="207">
        <f t="shared" si="7"/>
        <v>5271.4516129032254</v>
      </c>
      <c r="T27" s="207">
        <f t="shared" si="27"/>
        <v>245</v>
      </c>
      <c r="U27" s="207">
        <f t="shared" si="8"/>
        <v>5271.4516129032254</v>
      </c>
      <c r="V27" s="207">
        <f t="shared" si="28"/>
        <v>245</v>
      </c>
      <c r="W27" s="207">
        <f t="shared" si="9"/>
        <v>5271.4516129032254</v>
      </c>
      <c r="X27" s="35">
        <f t="shared" si="10"/>
        <v>0.79032258064516137</v>
      </c>
      <c r="Y27" s="36">
        <f t="shared" si="29"/>
        <v>57985.967741935492</v>
      </c>
      <c r="Z27" s="207">
        <f>'B5'!C26</f>
        <v>249.4</v>
      </c>
      <c r="AA27" s="207">
        <f t="shared" si="30"/>
        <v>2494</v>
      </c>
      <c r="AB27" s="207">
        <f t="shared" si="31"/>
        <v>249.4</v>
      </c>
      <c r="AC27" s="207">
        <f t="shared" si="30"/>
        <v>2494</v>
      </c>
      <c r="AD27" s="207">
        <f t="shared" si="32"/>
        <v>249.4</v>
      </c>
      <c r="AE27" s="207">
        <f t="shared" si="11"/>
        <v>2494</v>
      </c>
      <c r="AF27" s="207">
        <f t="shared" si="33"/>
        <v>249.4</v>
      </c>
      <c r="AG27" s="207">
        <f t="shared" si="12"/>
        <v>2494</v>
      </c>
      <c r="AH27" s="207">
        <f t="shared" si="34"/>
        <v>249.4</v>
      </c>
      <c r="AI27" s="207">
        <f t="shared" si="13"/>
        <v>2494</v>
      </c>
      <c r="AJ27" s="207">
        <f t="shared" si="35"/>
        <v>249.4</v>
      </c>
      <c r="AK27" s="207">
        <f t="shared" si="14"/>
        <v>2494</v>
      </c>
      <c r="AL27" s="207">
        <f t="shared" si="36"/>
        <v>249.4</v>
      </c>
      <c r="AM27" s="207">
        <f t="shared" si="15"/>
        <v>2494</v>
      </c>
      <c r="AN27" s="35">
        <f t="shared" si="16"/>
        <v>0.89071428571428568</v>
      </c>
      <c r="AO27" s="36">
        <f t="shared" si="17"/>
        <v>17458</v>
      </c>
      <c r="AQ27" s="227">
        <f t="shared" si="37"/>
        <v>0.81148722966478959</v>
      </c>
      <c r="AR27" s="38">
        <f t="shared" si="43"/>
        <v>75443.967741935485</v>
      </c>
      <c r="AS27" s="201">
        <f t="shared" si="38"/>
        <v>0</v>
      </c>
      <c r="AT27" s="278"/>
      <c r="AU27" s="467"/>
      <c r="AV27" s="567">
        <f t="shared" si="41"/>
        <v>0.51649999999999996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245</v>
      </c>
      <c r="C28" s="207">
        <f t="shared" si="18"/>
        <v>5271.4516129032254</v>
      </c>
      <c r="D28">
        <f t="shared" si="19"/>
        <v>245</v>
      </c>
      <c r="E28" s="207">
        <f t="shared" si="18"/>
        <v>5271.4516129032254</v>
      </c>
      <c r="F28">
        <f t="shared" si="20"/>
        <v>245</v>
      </c>
      <c r="G28" s="207">
        <f t="shared" si="1"/>
        <v>5271.4516129032254</v>
      </c>
      <c r="H28" s="207">
        <f t="shared" si="21"/>
        <v>245</v>
      </c>
      <c r="I28" s="207">
        <f t="shared" si="2"/>
        <v>5271.4516129032254</v>
      </c>
      <c r="J28" s="207">
        <f t="shared" si="22"/>
        <v>245</v>
      </c>
      <c r="K28" s="207">
        <f t="shared" si="3"/>
        <v>5271.4516129032254</v>
      </c>
      <c r="L28" s="207">
        <f t="shared" si="23"/>
        <v>245</v>
      </c>
      <c r="M28" s="207">
        <f t="shared" si="4"/>
        <v>5271.4516129032254</v>
      </c>
      <c r="N28" s="207">
        <f t="shared" si="24"/>
        <v>245</v>
      </c>
      <c r="O28" s="207">
        <f t="shared" si="5"/>
        <v>5271.4516129032254</v>
      </c>
      <c r="P28" s="207">
        <f t="shared" si="25"/>
        <v>245</v>
      </c>
      <c r="Q28" s="207">
        <f t="shared" si="6"/>
        <v>5271.4516129032254</v>
      </c>
      <c r="R28" s="207">
        <f t="shared" si="26"/>
        <v>245</v>
      </c>
      <c r="S28" s="207">
        <f t="shared" si="7"/>
        <v>5271.4516129032254</v>
      </c>
      <c r="T28" s="207">
        <f t="shared" si="27"/>
        <v>245</v>
      </c>
      <c r="U28" s="207">
        <f t="shared" si="8"/>
        <v>5271.4516129032254</v>
      </c>
      <c r="V28" s="207">
        <f t="shared" si="28"/>
        <v>245</v>
      </c>
      <c r="W28" s="207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7">
        <f>'B5'!C27</f>
        <v>249.4</v>
      </c>
      <c r="AA28" s="207">
        <f t="shared" si="30"/>
        <v>2494</v>
      </c>
      <c r="AB28" s="207">
        <f t="shared" si="31"/>
        <v>249.4</v>
      </c>
      <c r="AC28" s="207">
        <f t="shared" si="30"/>
        <v>2494</v>
      </c>
      <c r="AD28" s="207">
        <f t="shared" si="32"/>
        <v>249.4</v>
      </c>
      <c r="AE28" s="207">
        <f t="shared" si="11"/>
        <v>2494</v>
      </c>
      <c r="AF28" s="207">
        <f t="shared" si="33"/>
        <v>249.4</v>
      </c>
      <c r="AG28" s="207">
        <f t="shared" si="12"/>
        <v>2494</v>
      </c>
      <c r="AH28" s="207">
        <f t="shared" si="34"/>
        <v>249.4</v>
      </c>
      <c r="AI28" s="207">
        <f t="shared" si="13"/>
        <v>2494</v>
      </c>
      <c r="AJ28" s="207">
        <f t="shared" si="35"/>
        <v>249.4</v>
      </c>
      <c r="AK28" s="207">
        <f t="shared" si="14"/>
        <v>2494</v>
      </c>
      <c r="AL28" s="207">
        <f t="shared" si="36"/>
        <v>249.4</v>
      </c>
      <c r="AM28" s="207">
        <f t="shared" si="15"/>
        <v>2494</v>
      </c>
      <c r="AN28" s="35">
        <f t="shared" si="16"/>
        <v>0.89071428571428568</v>
      </c>
      <c r="AO28" s="36">
        <f t="shared" si="17"/>
        <v>17458</v>
      </c>
      <c r="AQ28" s="227">
        <f t="shared" si="37"/>
        <v>0.81148722966478959</v>
      </c>
      <c r="AR28" s="38">
        <f t="shared" si="43"/>
        <v>75443.967741935485</v>
      </c>
      <c r="AS28" s="201">
        <f t="shared" si="38"/>
        <v>0</v>
      </c>
      <c r="AT28" s="374"/>
      <c r="AU28" s="467"/>
      <c r="AV28" s="567">
        <f t="shared" si="41"/>
        <v>0.51649999999999996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245</v>
      </c>
      <c r="C29" s="207">
        <f t="shared" si="18"/>
        <v>5271.4516129032254</v>
      </c>
      <c r="D29">
        <f t="shared" si="19"/>
        <v>245</v>
      </c>
      <c r="E29" s="207">
        <f t="shared" si="18"/>
        <v>5271.4516129032254</v>
      </c>
      <c r="F29">
        <f t="shared" si="20"/>
        <v>245</v>
      </c>
      <c r="G29" s="207">
        <f t="shared" si="1"/>
        <v>5271.4516129032254</v>
      </c>
      <c r="H29" s="207">
        <f t="shared" si="21"/>
        <v>245</v>
      </c>
      <c r="I29" s="207">
        <f t="shared" si="2"/>
        <v>5271.4516129032254</v>
      </c>
      <c r="J29" s="207">
        <f t="shared" si="22"/>
        <v>245</v>
      </c>
      <c r="K29" s="207">
        <f t="shared" si="3"/>
        <v>5271.4516129032254</v>
      </c>
      <c r="L29" s="207">
        <f t="shared" si="23"/>
        <v>245</v>
      </c>
      <c r="M29" s="207">
        <f t="shared" si="4"/>
        <v>5271.4516129032254</v>
      </c>
      <c r="N29" s="207">
        <f t="shared" si="24"/>
        <v>245</v>
      </c>
      <c r="O29" s="207">
        <f t="shared" si="5"/>
        <v>5271.4516129032254</v>
      </c>
      <c r="P29" s="207">
        <f t="shared" si="25"/>
        <v>245</v>
      </c>
      <c r="Q29" s="207">
        <f t="shared" si="6"/>
        <v>5271.4516129032254</v>
      </c>
      <c r="R29" s="207">
        <f t="shared" si="26"/>
        <v>245</v>
      </c>
      <c r="S29" s="207">
        <f t="shared" si="7"/>
        <v>5271.4516129032254</v>
      </c>
      <c r="T29" s="207">
        <f t="shared" si="27"/>
        <v>245</v>
      </c>
      <c r="U29" s="207">
        <f t="shared" si="8"/>
        <v>5271.4516129032254</v>
      </c>
      <c r="V29" s="207">
        <f t="shared" si="28"/>
        <v>245</v>
      </c>
      <c r="W29" s="207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7">
        <f>'B5'!C28</f>
        <v>249.4</v>
      </c>
      <c r="AA29" s="207">
        <f t="shared" si="30"/>
        <v>2494</v>
      </c>
      <c r="AB29" s="207">
        <f t="shared" si="31"/>
        <v>249.4</v>
      </c>
      <c r="AC29" s="207">
        <f t="shared" si="30"/>
        <v>2494</v>
      </c>
      <c r="AD29" s="207">
        <f t="shared" si="32"/>
        <v>249.4</v>
      </c>
      <c r="AE29" s="207">
        <f t="shared" si="11"/>
        <v>2494</v>
      </c>
      <c r="AF29" s="207">
        <f t="shared" si="33"/>
        <v>249.4</v>
      </c>
      <c r="AG29" s="207">
        <f t="shared" si="12"/>
        <v>2494</v>
      </c>
      <c r="AH29" s="207">
        <f t="shared" si="34"/>
        <v>249.4</v>
      </c>
      <c r="AI29" s="207">
        <f t="shared" si="13"/>
        <v>2494</v>
      </c>
      <c r="AJ29" s="207">
        <f t="shared" si="35"/>
        <v>249.4</v>
      </c>
      <c r="AK29" s="207">
        <f t="shared" si="14"/>
        <v>2494</v>
      </c>
      <c r="AL29" s="207">
        <f t="shared" si="36"/>
        <v>249.4</v>
      </c>
      <c r="AM29" s="207">
        <f t="shared" si="15"/>
        <v>2494</v>
      </c>
      <c r="AN29" s="35">
        <f t="shared" si="16"/>
        <v>0.89071428571428568</v>
      </c>
      <c r="AO29" s="36">
        <f t="shared" si="17"/>
        <v>17458</v>
      </c>
      <c r="AQ29" s="227">
        <f t="shared" si="37"/>
        <v>0.81148722966478959</v>
      </c>
      <c r="AR29" s="38">
        <f t="shared" ref="AR29:AR35" si="44">SUM(AO29+Y29)</f>
        <v>75443.967741935485</v>
      </c>
      <c r="AS29" s="201">
        <f t="shared" si="38"/>
        <v>0</v>
      </c>
      <c r="AT29" s="374"/>
      <c r="AU29" s="467"/>
      <c r="AV29" s="567">
        <f t="shared" si="41"/>
        <v>0.51649999999999996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245</v>
      </c>
      <c r="C30" s="207">
        <f t="shared" si="18"/>
        <v>5271.4516129032254</v>
      </c>
      <c r="D30">
        <f t="shared" ref="D30:D35" si="45">SUM(B30)</f>
        <v>245</v>
      </c>
      <c r="E30" s="207">
        <f t="shared" si="18"/>
        <v>5271.4516129032254</v>
      </c>
      <c r="F30">
        <f t="shared" ref="F30:F35" si="46">SUM(D30)</f>
        <v>245</v>
      </c>
      <c r="G30" s="207">
        <f t="shared" si="1"/>
        <v>5271.4516129032254</v>
      </c>
      <c r="H30" s="207">
        <f t="shared" ref="H30:H35" si="47">SUM(F30)</f>
        <v>245</v>
      </c>
      <c r="I30" s="207">
        <f t="shared" si="2"/>
        <v>5271.4516129032254</v>
      </c>
      <c r="J30" s="207">
        <f t="shared" ref="J30:J35" si="48">SUM(H30)</f>
        <v>245</v>
      </c>
      <c r="K30" s="207">
        <f t="shared" si="3"/>
        <v>5271.4516129032254</v>
      </c>
      <c r="L30" s="207">
        <f t="shared" ref="L30:L35" si="49">SUM(J30)</f>
        <v>245</v>
      </c>
      <c r="M30" s="207">
        <f t="shared" si="4"/>
        <v>5271.4516129032254</v>
      </c>
      <c r="N30" s="207">
        <f t="shared" ref="N30:N35" si="50">SUM(L30)</f>
        <v>245</v>
      </c>
      <c r="O30" s="207">
        <f t="shared" si="5"/>
        <v>5271.4516129032254</v>
      </c>
      <c r="P30" s="207">
        <f t="shared" ref="P30:P35" si="51">SUM(N30)</f>
        <v>245</v>
      </c>
      <c r="Q30" s="207">
        <f t="shared" si="6"/>
        <v>5271.4516129032254</v>
      </c>
      <c r="R30" s="207">
        <f t="shared" ref="R30:R35" si="52">SUM(P30)</f>
        <v>245</v>
      </c>
      <c r="S30" s="207">
        <f t="shared" si="7"/>
        <v>5271.4516129032254</v>
      </c>
      <c r="T30" s="207">
        <f t="shared" ref="T30:T35" si="53">SUM(R30)</f>
        <v>245</v>
      </c>
      <c r="U30" s="207">
        <f t="shared" si="8"/>
        <v>5271.4516129032254</v>
      </c>
      <c r="V30" s="207">
        <f t="shared" ref="V30:V35" si="54">SUM(T30)</f>
        <v>245</v>
      </c>
      <c r="W30" s="207">
        <f t="shared" si="9"/>
        <v>5271.4516129032254</v>
      </c>
      <c r="X30" s="35">
        <f t="shared" ref="X30:X35" si="55">SUM(Y30/73370)</f>
        <v>0.79032258064516137</v>
      </c>
      <c r="Y30" s="36">
        <f t="shared" ref="Y30:Y35" si="56">SUM(C30+E30+G30+I30+K30+M30+O30+Q30+S30+U30+W30)</f>
        <v>57985.967741935492</v>
      </c>
      <c r="Z30" s="207">
        <f>'B5'!C29</f>
        <v>249.4</v>
      </c>
      <c r="AA30" s="207">
        <f t="shared" si="30"/>
        <v>2494</v>
      </c>
      <c r="AB30" s="207">
        <f t="shared" ref="AB30:AB35" si="57">SUM(Z30)</f>
        <v>249.4</v>
      </c>
      <c r="AC30" s="207">
        <f t="shared" si="30"/>
        <v>2494</v>
      </c>
      <c r="AD30" s="207">
        <f t="shared" ref="AD30:AD35" si="58">SUM(AB30)</f>
        <v>249.4</v>
      </c>
      <c r="AE30" s="207">
        <f t="shared" si="11"/>
        <v>2494</v>
      </c>
      <c r="AF30" s="207">
        <f t="shared" ref="AF30:AF35" si="59">SUM(AD30)</f>
        <v>249.4</v>
      </c>
      <c r="AG30" s="207">
        <f t="shared" si="12"/>
        <v>2494</v>
      </c>
      <c r="AH30" s="207">
        <f t="shared" ref="AH30:AH35" si="60">SUM(AF30)</f>
        <v>249.4</v>
      </c>
      <c r="AI30" s="207">
        <f t="shared" si="13"/>
        <v>2494</v>
      </c>
      <c r="AJ30" s="207">
        <f t="shared" ref="AJ30:AJ35" si="61">SUM(AH30)</f>
        <v>249.4</v>
      </c>
      <c r="AK30" s="207">
        <f t="shared" si="14"/>
        <v>2494</v>
      </c>
      <c r="AL30" s="207">
        <f t="shared" ref="AL30:AL35" si="62">SUM(AJ30)</f>
        <v>249.4</v>
      </c>
      <c r="AM30" s="207">
        <f t="shared" si="15"/>
        <v>2494</v>
      </c>
      <c r="AN30" s="35">
        <f t="shared" ref="AN30:AN35" si="63">SUM(AO30/19600)</f>
        <v>0.89071428571428568</v>
      </c>
      <c r="AO30" s="36">
        <f t="shared" ref="AO30:AO35" si="64">SUM(AA30+AC30+AE30+AG30+AI30+AK30+AM30)</f>
        <v>17458</v>
      </c>
      <c r="AQ30" s="227">
        <f t="shared" si="37"/>
        <v>0.81148722966478959</v>
      </c>
      <c r="AR30" s="38">
        <f t="shared" si="44"/>
        <v>75443.967741935485</v>
      </c>
      <c r="AS30" s="201">
        <f t="shared" si="38"/>
        <v>0</v>
      </c>
      <c r="AT30" s="374"/>
      <c r="AU30" s="467"/>
      <c r="AV30" s="567">
        <f t="shared" si="41"/>
        <v>0.51649999999999996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245</v>
      </c>
      <c r="C31" s="207">
        <f t="shared" si="18"/>
        <v>5271.4516129032254</v>
      </c>
      <c r="D31">
        <f t="shared" si="45"/>
        <v>245</v>
      </c>
      <c r="E31" s="207">
        <f t="shared" si="18"/>
        <v>5271.4516129032254</v>
      </c>
      <c r="F31">
        <f t="shared" si="46"/>
        <v>245</v>
      </c>
      <c r="G31" s="207">
        <f t="shared" si="1"/>
        <v>5271.4516129032254</v>
      </c>
      <c r="H31" s="207">
        <f t="shared" si="47"/>
        <v>245</v>
      </c>
      <c r="I31" s="207">
        <f t="shared" si="2"/>
        <v>5271.4516129032254</v>
      </c>
      <c r="J31" s="207">
        <f t="shared" si="48"/>
        <v>245</v>
      </c>
      <c r="K31" s="207">
        <f t="shared" si="3"/>
        <v>5271.4516129032254</v>
      </c>
      <c r="L31" s="207">
        <f t="shared" si="49"/>
        <v>245</v>
      </c>
      <c r="M31" s="207">
        <f t="shared" si="4"/>
        <v>5271.4516129032254</v>
      </c>
      <c r="N31" s="207">
        <f t="shared" si="50"/>
        <v>245</v>
      </c>
      <c r="O31" s="207">
        <f t="shared" si="5"/>
        <v>5271.4516129032254</v>
      </c>
      <c r="P31" s="207">
        <f t="shared" si="51"/>
        <v>245</v>
      </c>
      <c r="Q31" s="207">
        <f t="shared" si="6"/>
        <v>5271.4516129032254</v>
      </c>
      <c r="R31" s="207">
        <f t="shared" si="52"/>
        <v>245</v>
      </c>
      <c r="S31" s="207">
        <f t="shared" si="7"/>
        <v>5271.4516129032254</v>
      </c>
      <c r="T31" s="207">
        <f t="shared" si="53"/>
        <v>245</v>
      </c>
      <c r="U31" s="207">
        <f t="shared" si="8"/>
        <v>5271.4516129032254</v>
      </c>
      <c r="V31" s="207">
        <f t="shared" si="54"/>
        <v>245</v>
      </c>
      <c r="W31" s="207">
        <f t="shared" si="9"/>
        <v>5271.4516129032254</v>
      </c>
      <c r="X31" s="35">
        <f t="shared" si="55"/>
        <v>0.79032258064516137</v>
      </c>
      <c r="Y31" s="36">
        <f t="shared" si="56"/>
        <v>57985.967741935492</v>
      </c>
      <c r="Z31" s="207">
        <f>'B5'!C30</f>
        <v>249.4</v>
      </c>
      <c r="AA31" s="207">
        <f t="shared" si="30"/>
        <v>2494</v>
      </c>
      <c r="AB31" s="207">
        <f t="shared" si="57"/>
        <v>249.4</v>
      </c>
      <c r="AC31" s="207">
        <f t="shared" si="30"/>
        <v>2494</v>
      </c>
      <c r="AD31" s="207">
        <f t="shared" si="58"/>
        <v>249.4</v>
      </c>
      <c r="AE31" s="207">
        <f t="shared" si="11"/>
        <v>2494</v>
      </c>
      <c r="AF31" s="207">
        <f t="shared" si="59"/>
        <v>249.4</v>
      </c>
      <c r="AG31" s="207">
        <f t="shared" si="12"/>
        <v>2494</v>
      </c>
      <c r="AH31" s="207">
        <f t="shared" si="60"/>
        <v>249.4</v>
      </c>
      <c r="AI31" s="207">
        <f t="shared" si="13"/>
        <v>2494</v>
      </c>
      <c r="AJ31" s="207">
        <f t="shared" si="61"/>
        <v>249.4</v>
      </c>
      <c r="AK31" s="207">
        <f t="shared" si="14"/>
        <v>2494</v>
      </c>
      <c r="AL31" s="207">
        <f t="shared" si="62"/>
        <v>249.4</v>
      </c>
      <c r="AM31" s="207">
        <f t="shared" si="15"/>
        <v>2494</v>
      </c>
      <c r="AN31" s="35">
        <f t="shared" si="63"/>
        <v>0.89071428571428568</v>
      </c>
      <c r="AO31" s="36">
        <f t="shared" si="64"/>
        <v>17458</v>
      </c>
      <c r="AQ31" s="227">
        <f t="shared" si="37"/>
        <v>0.81148722966478959</v>
      </c>
      <c r="AR31" s="38">
        <f t="shared" si="44"/>
        <v>75443.967741935485</v>
      </c>
      <c r="AS31" s="201">
        <f>SUM(AR31-AR30-AT31)</f>
        <v>0</v>
      </c>
      <c r="AT31" s="374"/>
      <c r="AU31" s="467"/>
      <c r="AV31" s="567">
        <f t="shared" si="41"/>
        <v>0.51649999999999996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245</v>
      </c>
      <c r="C32" s="207">
        <f t="shared" si="18"/>
        <v>5271.4516129032254</v>
      </c>
      <c r="D32">
        <f t="shared" si="45"/>
        <v>245</v>
      </c>
      <c r="E32" s="207">
        <f t="shared" si="18"/>
        <v>5271.4516129032254</v>
      </c>
      <c r="F32">
        <f t="shared" si="46"/>
        <v>245</v>
      </c>
      <c r="G32" s="207">
        <f t="shared" si="1"/>
        <v>5271.4516129032254</v>
      </c>
      <c r="H32" s="207">
        <f t="shared" si="47"/>
        <v>245</v>
      </c>
      <c r="I32" s="207">
        <f t="shared" si="2"/>
        <v>5271.4516129032254</v>
      </c>
      <c r="J32" s="207">
        <f t="shared" si="48"/>
        <v>245</v>
      </c>
      <c r="K32" s="207">
        <f t="shared" si="3"/>
        <v>5271.4516129032254</v>
      </c>
      <c r="L32" s="207">
        <f t="shared" si="49"/>
        <v>245</v>
      </c>
      <c r="M32" s="207">
        <f t="shared" si="4"/>
        <v>5271.4516129032254</v>
      </c>
      <c r="N32" s="207">
        <f t="shared" si="50"/>
        <v>245</v>
      </c>
      <c r="O32" s="207">
        <f t="shared" si="5"/>
        <v>5271.4516129032254</v>
      </c>
      <c r="P32" s="207">
        <f t="shared" si="51"/>
        <v>245</v>
      </c>
      <c r="Q32" s="207">
        <f t="shared" si="6"/>
        <v>5271.4516129032254</v>
      </c>
      <c r="R32" s="207">
        <f t="shared" si="52"/>
        <v>245</v>
      </c>
      <c r="S32" s="207">
        <f t="shared" si="7"/>
        <v>5271.4516129032254</v>
      </c>
      <c r="T32" s="207">
        <f t="shared" si="53"/>
        <v>245</v>
      </c>
      <c r="U32" s="207">
        <f t="shared" si="8"/>
        <v>5271.4516129032254</v>
      </c>
      <c r="V32" s="207">
        <f t="shared" si="54"/>
        <v>245</v>
      </c>
      <c r="W32" s="207">
        <f t="shared" si="9"/>
        <v>5271.4516129032254</v>
      </c>
      <c r="X32" s="35">
        <f t="shared" si="55"/>
        <v>0.79032258064516137</v>
      </c>
      <c r="Y32" s="36">
        <f t="shared" si="56"/>
        <v>57985.967741935492</v>
      </c>
      <c r="Z32" s="207">
        <f>'B5'!C31</f>
        <v>249.4</v>
      </c>
      <c r="AA32" s="207">
        <f t="shared" si="30"/>
        <v>2494</v>
      </c>
      <c r="AB32" s="207">
        <f t="shared" si="57"/>
        <v>249.4</v>
      </c>
      <c r="AC32" s="207">
        <f t="shared" si="30"/>
        <v>2494</v>
      </c>
      <c r="AD32" s="207">
        <f t="shared" si="58"/>
        <v>249.4</v>
      </c>
      <c r="AE32" s="207">
        <f t="shared" si="11"/>
        <v>2494</v>
      </c>
      <c r="AF32" s="207">
        <f t="shared" si="59"/>
        <v>249.4</v>
      </c>
      <c r="AG32" s="207">
        <f t="shared" si="12"/>
        <v>2494</v>
      </c>
      <c r="AH32" s="207">
        <f t="shared" si="60"/>
        <v>249.4</v>
      </c>
      <c r="AI32" s="207">
        <f t="shared" si="13"/>
        <v>2494</v>
      </c>
      <c r="AJ32" s="207">
        <f t="shared" si="61"/>
        <v>249.4</v>
      </c>
      <c r="AK32" s="207">
        <f t="shared" si="14"/>
        <v>2494</v>
      </c>
      <c r="AL32" s="207">
        <f t="shared" si="62"/>
        <v>249.4</v>
      </c>
      <c r="AM32" s="207">
        <f t="shared" si="15"/>
        <v>2494</v>
      </c>
      <c r="AN32" s="35">
        <f t="shared" si="63"/>
        <v>0.89071428571428568</v>
      </c>
      <c r="AO32" s="36">
        <f t="shared" si="64"/>
        <v>17458</v>
      </c>
      <c r="AQ32" s="227">
        <f t="shared" si="37"/>
        <v>0.81148722966478959</v>
      </c>
      <c r="AR32" s="38">
        <f t="shared" si="44"/>
        <v>75443.967741935485</v>
      </c>
      <c r="AS32" s="201">
        <f t="shared" si="38"/>
        <v>0</v>
      </c>
      <c r="AT32" s="374"/>
      <c r="AU32" s="467"/>
      <c r="AV32" s="567">
        <f>IF(AT32&gt;0,AU32,AV31)</f>
        <v>0.51649999999999996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245</v>
      </c>
      <c r="C33" s="207">
        <f t="shared" si="18"/>
        <v>5271.4516129032254</v>
      </c>
      <c r="D33">
        <f t="shared" si="45"/>
        <v>245</v>
      </c>
      <c r="E33" s="207">
        <f t="shared" si="18"/>
        <v>5271.4516129032254</v>
      </c>
      <c r="F33">
        <f t="shared" si="46"/>
        <v>245</v>
      </c>
      <c r="G33" s="207">
        <f t="shared" si="1"/>
        <v>5271.4516129032254</v>
      </c>
      <c r="H33" s="207">
        <f t="shared" si="47"/>
        <v>245</v>
      </c>
      <c r="I33" s="207">
        <f t="shared" si="2"/>
        <v>5271.4516129032254</v>
      </c>
      <c r="J33" s="207">
        <f t="shared" si="48"/>
        <v>245</v>
      </c>
      <c r="K33" s="207">
        <f t="shared" si="3"/>
        <v>5271.4516129032254</v>
      </c>
      <c r="L33" s="207">
        <f t="shared" si="49"/>
        <v>245</v>
      </c>
      <c r="M33" s="207">
        <f t="shared" si="4"/>
        <v>5271.4516129032254</v>
      </c>
      <c r="N33" s="207">
        <f t="shared" si="50"/>
        <v>245</v>
      </c>
      <c r="O33" s="207">
        <f t="shared" si="5"/>
        <v>5271.4516129032254</v>
      </c>
      <c r="P33" s="207">
        <f t="shared" si="51"/>
        <v>245</v>
      </c>
      <c r="Q33" s="207">
        <f t="shared" si="6"/>
        <v>5271.4516129032254</v>
      </c>
      <c r="R33" s="207">
        <f t="shared" si="52"/>
        <v>245</v>
      </c>
      <c r="S33" s="207">
        <f t="shared" si="7"/>
        <v>5271.4516129032254</v>
      </c>
      <c r="T33" s="207">
        <f t="shared" si="53"/>
        <v>245</v>
      </c>
      <c r="U33" s="207">
        <f t="shared" si="8"/>
        <v>5271.4516129032254</v>
      </c>
      <c r="V33" s="207">
        <f t="shared" si="54"/>
        <v>245</v>
      </c>
      <c r="W33" s="207">
        <f t="shared" si="9"/>
        <v>5271.4516129032254</v>
      </c>
      <c r="X33" s="35">
        <f t="shared" si="55"/>
        <v>0.79032258064516137</v>
      </c>
      <c r="Y33" s="36">
        <f t="shared" si="56"/>
        <v>57985.967741935492</v>
      </c>
      <c r="Z33" s="207">
        <f>'B5'!C32</f>
        <v>249.4</v>
      </c>
      <c r="AA33" s="207">
        <f t="shared" si="30"/>
        <v>2494</v>
      </c>
      <c r="AB33" s="207">
        <f t="shared" si="57"/>
        <v>249.4</v>
      </c>
      <c r="AC33" s="207">
        <f t="shared" si="30"/>
        <v>2494</v>
      </c>
      <c r="AD33" s="207">
        <f t="shared" si="58"/>
        <v>249.4</v>
      </c>
      <c r="AE33" s="207">
        <f t="shared" si="11"/>
        <v>2494</v>
      </c>
      <c r="AF33" s="207">
        <f t="shared" si="59"/>
        <v>249.4</v>
      </c>
      <c r="AG33" s="207">
        <f t="shared" si="12"/>
        <v>2494</v>
      </c>
      <c r="AH33" s="207">
        <f t="shared" si="60"/>
        <v>249.4</v>
      </c>
      <c r="AI33" s="207">
        <f t="shared" si="13"/>
        <v>2494</v>
      </c>
      <c r="AJ33" s="207">
        <f t="shared" si="61"/>
        <v>249.4</v>
      </c>
      <c r="AK33" s="207">
        <f t="shared" si="14"/>
        <v>2494</v>
      </c>
      <c r="AL33" s="207">
        <f t="shared" si="62"/>
        <v>249.4</v>
      </c>
      <c r="AM33" s="207">
        <f t="shared" si="15"/>
        <v>2494</v>
      </c>
      <c r="AN33" s="35">
        <f t="shared" si="63"/>
        <v>0.89071428571428568</v>
      </c>
      <c r="AO33" s="36">
        <f t="shared" si="64"/>
        <v>17458</v>
      </c>
      <c r="AQ33" s="227">
        <f t="shared" si="37"/>
        <v>0.81148722966478959</v>
      </c>
      <c r="AR33" s="38">
        <f t="shared" si="44"/>
        <v>75443.967741935485</v>
      </c>
      <c r="AS33" s="201">
        <f t="shared" si="38"/>
        <v>0</v>
      </c>
      <c r="AT33" s="374"/>
      <c r="AU33" s="467"/>
      <c r="AV33" s="567">
        <f>IF(AT33&gt;0,AU33,AV32)</f>
        <v>0.51649999999999996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245</v>
      </c>
      <c r="C34" s="207">
        <f t="shared" si="18"/>
        <v>5271.4516129032254</v>
      </c>
      <c r="D34">
        <f t="shared" si="45"/>
        <v>245</v>
      </c>
      <c r="E34" s="207">
        <f t="shared" si="18"/>
        <v>5271.4516129032254</v>
      </c>
      <c r="F34">
        <f t="shared" si="46"/>
        <v>245</v>
      </c>
      <c r="G34" s="207">
        <f t="shared" si="1"/>
        <v>5271.4516129032254</v>
      </c>
      <c r="H34" s="207">
        <f t="shared" si="47"/>
        <v>245</v>
      </c>
      <c r="I34" s="207">
        <f t="shared" si="2"/>
        <v>5271.4516129032254</v>
      </c>
      <c r="J34" s="207">
        <f t="shared" si="48"/>
        <v>245</v>
      </c>
      <c r="K34" s="207">
        <f t="shared" si="3"/>
        <v>5271.4516129032254</v>
      </c>
      <c r="L34" s="207">
        <f t="shared" si="49"/>
        <v>245</v>
      </c>
      <c r="M34" s="207">
        <f t="shared" si="4"/>
        <v>5271.4516129032254</v>
      </c>
      <c r="N34" s="207">
        <f t="shared" si="50"/>
        <v>245</v>
      </c>
      <c r="O34" s="207">
        <f t="shared" si="5"/>
        <v>5271.4516129032254</v>
      </c>
      <c r="P34" s="207">
        <f t="shared" si="51"/>
        <v>245</v>
      </c>
      <c r="Q34" s="207">
        <f t="shared" si="6"/>
        <v>5271.4516129032254</v>
      </c>
      <c r="R34" s="207">
        <f t="shared" si="52"/>
        <v>245</v>
      </c>
      <c r="S34" s="207">
        <f t="shared" si="7"/>
        <v>5271.4516129032254</v>
      </c>
      <c r="T34" s="207">
        <f t="shared" si="53"/>
        <v>245</v>
      </c>
      <c r="U34" s="207">
        <f t="shared" si="8"/>
        <v>5271.4516129032254</v>
      </c>
      <c r="V34" s="207">
        <f t="shared" si="54"/>
        <v>245</v>
      </c>
      <c r="W34" s="207">
        <f t="shared" si="9"/>
        <v>5271.4516129032254</v>
      </c>
      <c r="X34" s="35">
        <f t="shared" si="55"/>
        <v>0.79032258064516137</v>
      </c>
      <c r="Y34" s="36">
        <f t="shared" si="56"/>
        <v>57985.967741935492</v>
      </c>
      <c r="Z34" s="207">
        <f>'B5'!C33</f>
        <v>249.4</v>
      </c>
      <c r="AA34" s="207">
        <f t="shared" si="30"/>
        <v>2494</v>
      </c>
      <c r="AB34" s="207">
        <f t="shared" si="57"/>
        <v>249.4</v>
      </c>
      <c r="AC34" s="207">
        <f t="shared" si="30"/>
        <v>2494</v>
      </c>
      <c r="AD34" s="207">
        <f t="shared" si="58"/>
        <v>249.4</v>
      </c>
      <c r="AE34" s="207">
        <f t="shared" si="11"/>
        <v>2494</v>
      </c>
      <c r="AF34" s="207">
        <f t="shared" si="59"/>
        <v>249.4</v>
      </c>
      <c r="AG34" s="207">
        <f t="shared" si="12"/>
        <v>2494</v>
      </c>
      <c r="AH34" s="207">
        <f t="shared" si="60"/>
        <v>249.4</v>
      </c>
      <c r="AI34" s="207">
        <f t="shared" si="13"/>
        <v>2494</v>
      </c>
      <c r="AJ34" s="207">
        <f t="shared" si="61"/>
        <v>249.4</v>
      </c>
      <c r="AK34" s="207">
        <f t="shared" si="14"/>
        <v>2494</v>
      </c>
      <c r="AL34" s="207">
        <f t="shared" si="62"/>
        <v>249.4</v>
      </c>
      <c r="AM34" s="207">
        <f t="shared" si="15"/>
        <v>2494</v>
      </c>
      <c r="AN34" s="35">
        <f t="shared" si="63"/>
        <v>0.89071428571428568</v>
      </c>
      <c r="AO34" s="36">
        <f t="shared" si="64"/>
        <v>17458</v>
      </c>
      <c r="AQ34" s="227">
        <f>SUM(AR34/92970)</f>
        <v>0.81148722966478959</v>
      </c>
      <c r="AR34" s="38">
        <f t="shared" si="44"/>
        <v>75443.967741935485</v>
      </c>
      <c r="AS34" s="201">
        <f t="shared" si="38"/>
        <v>0</v>
      </c>
      <c r="AT34" s="374"/>
      <c r="AU34" s="467"/>
      <c r="AV34" s="567">
        <f t="shared" si="41"/>
        <v>0.51649999999999996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245</v>
      </c>
      <c r="C35" s="207">
        <f t="shared" si="18"/>
        <v>5271.4516129032254</v>
      </c>
      <c r="D35">
        <f t="shared" si="45"/>
        <v>245</v>
      </c>
      <c r="E35" s="207">
        <f t="shared" si="18"/>
        <v>5271.4516129032254</v>
      </c>
      <c r="F35">
        <f t="shared" si="46"/>
        <v>245</v>
      </c>
      <c r="G35" s="207">
        <f t="shared" si="1"/>
        <v>5271.4516129032254</v>
      </c>
      <c r="H35" s="207">
        <f t="shared" si="47"/>
        <v>245</v>
      </c>
      <c r="I35" s="207">
        <f t="shared" si="2"/>
        <v>5271.4516129032254</v>
      </c>
      <c r="J35" s="207">
        <f t="shared" si="48"/>
        <v>245</v>
      </c>
      <c r="K35" s="207">
        <f t="shared" si="3"/>
        <v>5271.4516129032254</v>
      </c>
      <c r="L35" s="207">
        <f t="shared" si="49"/>
        <v>245</v>
      </c>
      <c r="M35" s="207">
        <f t="shared" si="4"/>
        <v>5271.4516129032254</v>
      </c>
      <c r="N35" s="207">
        <f t="shared" si="50"/>
        <v>245</v>
      </c>
      <c r="O35" s="207">
        <f t="shared" si="5"/>
        <v>5271.4516129032254</v>
      </c>
      <c r="P35" s="207">
        <f t="shared" si="51"/>
        <v>245</v>
      </c>
      <c r="Q35" s="207">
        <f t="shared" si="6"/>
        <v>5271.4516129032254</v>
      </c>
      <c r="R35" s="207">
        <f t="shared" si="52"/>
        <v>245</v>
      </c>
      <c r="S35" s="207">
        <f t="shared" si="7"/>
        <v>5271.4516129032254</v>
      </c>
      <c r="T35" s="207">
        <f t="shared" si="53"/>
        <v>245</v>
      </c>
      <c r="U35" s="207">
        <f t="shared" si="8"/>
        <v>5271.4516129032254</v>
      </c>
      <c r="V35" s="207">
        <f t="shared" si="54"/>
        <v>245</v>
      </c>
      <c r="W35" s="207">
        <f t="shared" si="9"/>
        <v>5271.4516129032254</v>
      </c>
      <c r="X35" s="35">
        <f t="shared" si="55"/>
        <v>0.79032258064516137</v>
      </c>
      <c r="Y35" s="36">
        <f t="shared" si="56"/>
        <v>57985.967741935492</v>
      </c>
      <c r="Z35" s="207">
        <f>'B5'!C34</f>
        <v>249.4</v>
      </c>
      <c r="AA35" s="207">
        <f t="shared" si="30"/>
        <v>2494</v>
      </c>
      <c r="AB35" s="207">
        <f t="shared" si="57"/>
        <v>249.4</v>
      </c>
      <c r="AC35" s="207">
        <f t="shared" si="30"/>
        <v>2494</v>
      </c>
      <c r="AD35" s="207">
        <f t="shared" si="58"/>
        <v>249.4</v>
      </c>
      <c r="AE35" s="207">
        <f t="shared" si="11"/>
        <v>2494</v>
      </c>
      <c r="AF35" s="207">
        <f t="shared" si="59"/>
        <v>249.4</v>
      </c>
      <c r="AG35" s="207">
        <f t="shared" si="12"/>
        <v>2494</v>
      </c>
      <c r="AH35" s="207">
        <f t="shared" si="60"/>
        <v>249.4</v>
      </c>
      <c r="AI35" s="207">
        <f t="shared" si="13"/>
        <v>2494</v>
      </c>
      <c r="AJ35" s="207">
        <f t="shared" si="61"/>
        <v>249.4</v>
      </c>
      <c r="AK35" s="207">
        <f t="shared" si="14"/>
        <v>2494</v>
      </c>
      <c r="AL35" s="207">
        <f t="shared" si="62"/>
        <v>249.4</v>
      </c>
      <c r="AM35" s="207">
        <f t="shared" si="15"/>
        <v>2494</v>
      </c>
      <c r="AN35" s="35">
        <f t="shared" si="63"/>
        <v>0.89071428571428568</v>
      </c>
      <c r="AO35" s="36">
        <f t="shared" si="64"/>
        <v>17458</v>
      </c>
      <c r="AQ35" s="227">
        <f>SUM(AR35/92970)</f>
        <v>0.81148722966478959</v>
      </c>
      <c r="AR35" s="38">
        <f t="shared" si="44"/>
        <v>75443.967741935485</v>
      </c>
      <c r="AS35" s="201">
        <f t="shared" si="38"/>
        <v>0</v>
      </c>
      <c r="AT35" s="374"/>
      <c r="AU35" s="467"/>
      <c r="AV35" s="567">
        <f>IF(AT35&gt;0,AU35,AV34)</f>
        <v>0.51649999999999996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245</v>
      </c>
      <c r="C36" s="207">
        <f>B36*$B$4</f>
        <v>5271.4516129032254</v>
      </c>
      <c r="D36">
        <f>SUM(B36)</f>
        <v>245</v>
      </c>
      <c r="E36" s="207">
        <f>D36*$B$4</f>
        <v>5271.4516129032254</v>
      </c>
      <c r="F36">
        <f>SUM(D36)</f>
        <v>245</v>
      </c>
      <c r="G36" s="207">
        <f>F36*$B$4</f>
        <v>5271.4516129032254</v>
      </c>
      <c r="H36" s="207">
        <f>SUM(F36)</f>
        <v>245</v>
      </c>
      <c r="I36" s="207">
        <f>H36*$B$4</f>
        <v>5271.4516129032254</v>
      </c>
      <c r="J36" s="207">
        <f>SUM(H36)</f>
        <v>245</v>
      </c>
      <c r="K36" s="207">
        <f>J36*$B$4</f>
        <v>5271.4516129032254</v>
      </c>
      <c r="L36" s="207">
        <f>SUM(J36)</f>
        <v>245</v>
      </c>
      <c r="M36" s="207">
        <f>L36*$B$4</f>
        <v>5271.4516129032254</v>
      </c>
      <c r="N36" s="207">
        <f>SUM(L36)</f>
        <v>245</v>
      </c>
      <c r="O36" s="207">
        <f>N36*$B$4</f>
        <v>5271.4516129032254</v>
      </c>
      <c r="P36" s="207">
        <f>SUM(N36)</f>
        <v>245</v>
      </c>
      <c r="Q36" s="207">
        <f>P36*$B$4</f>
        <v>5271.4516129032254</v>
      </c>
      <c r="R36" s="207">
        <f>SUM(P36)</f>
        <v>245</v>
      </c>
      <c r="S36" s="207">
        <f>R36*$B$4</f>
        <v>5271.4516129032254</v>
      </c>
      <c r="T36" s="207">
        <f>SUM(R36)</f>
        <v>245</v>
      </c>
      <c r="U36" s="207">
        <f>T36*$B$4</f>
        <v>5271.4516129032254</v>
      </c>
      <c r="V36" s="207">
        <f>SUM(T36)</f>
        <v>245</v>
      </c>
      <c r="W36" s="207">
        <f>V36*$B$4</f>
        <v>5271.4516129032254</v>
      </c>
      <c r="X36" s="35">
        <f>SUM(Y36/73370)</f>
        <v>0.79032258064516137</v>
      </c>
      <c r="Y36" s="36">
        <f>SUM(C36+E36+G36+I36+K36+M36+O36+Q36+S36+U36+W36)</f>
        <v>57985.967741935492</v>
      </c>
      <c r="Z36" s="207">
        <f>'B5'!C35</f>
        <v>249.4</v>
      </c>
      <c r="AA36" s="207">
        <f>SUM(Z36*$Z$4)</f>
        <v>2494</v>
      </c>
      <c r="AB36" s="207">
        <f>SUM(Z36)</f>
        <v>249.4</v>
      </c>
      <c r="AC36" s="207">
        <f>SUM(AB36*$Z$4)</f>
        <v>2494</v>
      </c>
      <c r="AD36" s="207">
        <f>SUM(AB36)</f>
        <v>249.4</v>
      </c>
      <c r="AE36" s="207">
        <f>SUM(AD36*$Z$4)</f>
        <v>2494</v>
      </c>
      <c r="AF36" s="207">
        <f>SUM(AD36)</f>
        <v>249.4</v>
      </c>
      <c r="AG36" s="207">
        <f>SUM(AF36*$Z$4)</f>
        <v>2494</v>
      </c>
      <c r="AH36" s="207">
        <f>SUM(AF36)</f>
        <v>249.4</v>
      </c>
      <c r="AI36" s="207">
        <f>SUM(AH36*$Z$4)</f>
        <v>2494</v>
      </c>
      <c r="AJ36" s="207">
        <f>SUM(AH36)</f>
        <v>249.4</v>
      </c>
      <c r="AK36" s="207">
        <f>SUM(AJ36*$Z$4)</f>
        <v>2494</v>
      </c>
      <c r="AL36" s="207">
        <f>SUM(AJ36)</f>
        <v>249.4</v>
      </c>
      <c r="AM36" s="207">
        <f>SUM(AL36*$Z$4)</f>
        <v>2494</v>
      </c>
      <c r="AN36" s="35">
        <f>SUM(AO36/19600)</f>
        <v>0.89071428571428568</v>
      </c>
      <c r="AO36" s="36">
        <f>SUM(AA36+AC36+AE36+AG36+AI36+AK36+AM36)</f>
        <v>17458</v>
      </c>
      <c r="AP36" s="259"/>
      <c r="AQ36" s="227">
        <f>SUM(AR36/92970)</f>
        <v>0.81148722966478959</v>
      </c>
      <c r="AR36" s="38">
        <f>SUM(AO36+Y36)</f>
        <v>75443.967741935485</v>
      </c>
      <c r="AS36" s="201">
        <f>SUM(AR36-AR35-AT36)</f>
        <v>0</v>
      </c>
      <c r="AT36" s="374"/>
      <c r="AU36" s="467"/>
      <c r="AV36" s="567">
        <f>IF(AT36&gt;0,AU36,AV35)</f>
        <v>0.51649999999999996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2</v>
      </c>
      <c r="AT37" s="207">
        <f>SUM(AT6:AT36)</f>
        <v>28867</v>
      </c>
      <c r="AU37">
        <f>SUM(AU6:AU36)/AS37</f>
        <v>0.52825</v>
      </c>
      <c r="AX37" s="207">
        <f>SUM(AX6:AX36)</f>
        <v>-12740.438709677401</v>
      </c>
      <c r="AY37" s="207">
        <f>SUM(AY6:AY36)</f>
        <v>-28153.638709677412</v>
      </c>
    </row>
    <row r="38" spans="1:60">
      <c r="AS38" s="210"/>
      <c r="AT38">
        <f>+AT37*AU37</f>
        <v>15248.992749999999</v>
      </c>
    </row>
    <row r="40" spans="1:60">
      <c r="AS40" s="166">
        <f>SUM(AS6:AS36)/'EDl log'!A34</f>
        <v>-1481.7704584040744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2" activePane="bottomLeft" state="frozen"/>
      <selection pane="bottomLeft" activeCell="AH21" sqref="AH2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1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v>10945</v>
      </c>
      <c r="S9" s="299">
        <f t="shared" si="5"/>
        <v>5</v>
      </c>
      <c r="T9" s="277">
        <v>190428</v>
      </c>
      <c r="U9" s="299">
        <f>T9-T8</f>
        <v>1301</v>
      </c>
      <c r="V9" s="299">
        <f t="shared" si="16"/>
        <v>260.2</v>
      </c>
      <c r="W9" s="200"/>
      <c r="X9" s="300">
        <f>X8</f>
        <v>11169</v>
      </c>
      <c r="Y9" s="299" t="str">
        <f t="shared" si="6"/>
        <v>ok</v>
      </c>
      <c r="Z9" s="299">
        <f t="shared" si="7"/>
        <v>5</v>
      </c>
      <c r="AA9" s="299">
        <f t="shared" si="18"/>
        <v>1301</v>
      </c>
      <c r="AB9" s="299">
        <f t="shared" si="19"/>
        <v>260.2</v>
      </c>
      <c r="AC9" s="299">
        <f t="shared" si="20"/>
        <v>260.2</v>
      </c>
      <c r="AD9" s="74">
        <f>ELEC!Q9</f>
        <v>2748.9999999997963</v>
      </c>
      <c r="AE9" s="74">
        <f t="shared" si="22"/>
        <v>549.79999999995925</v>
      </c>
      <c r="AF9" s="424">
        <f t="shared" si="23"/>
        <v>0.34362499999997453</v>
      </c>
      <c r="AG9" s="425">
        <f t="shared" si="24"/>
        <v>109.95999999999185</v>
      </c>
      <c r="AH9" s="425">
        <f t="shared" si="21"/>
        <v>150.24000000000814</v>
      </c>
      <c r="AI9" s="74">
        <f t="shared" si="25"/>
        <v>707.54852320669863</v>
      </c>
      <c r="AJ9" s="301">
        <v>0.25738396624472576</v>
      </c>
      <c r="AK9" s="301">
        <f t="shared" ref="AK9:AK16" si="30">IF(Z9&gt;0,AI9/Z9,0)</f>
        <v>141.50970464133974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v>10948</v>
      </c>
      <c r="S10" s="299">
        <f t="shared" si="5"/>
        <v>3</v>
      </c>
      <c r="T10" s="277">
        <v>191262</v>
      </c>
      <c r="U10" s="299">
        <f t="shared" si="15"/>
        <v>834</v>
      </c>
      <c r="V10" s="299">
        <f t="shared" si="16"/>
        <v>278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3</v>
      </c>
      <c r="AA10" s="299">
        <f t="shared" si="18"/>
        <v>834</v>
      </c>
      <c r="AB10" s="299">
        <f t="shared" si="19"/>
        <v>278</v>
      </c>
      <c r="AC10" s="299">
        <f t="shared" si="20"/>
        <v>278</v>
      </c>
      <c r="AD10" s="74">
        <f>ELEC!Q10</f>
        <v>1436.9999999998981</v>
      </c>
      <c r="AE10" s="74">
        <f t="shared" si="22"/>
        <v>478.99999999996606</v>
      </c>
      <c r="AF10" s="424">
        <f t="shared" si="23"/>
        <v>0.2993749999999788</v>
      </c>
      <c r="AG10" s="425">
        <f t="shared" si="24"/>
        <v>95.799999999993219</v>
      </c>
      <c r="AH10" s="425">
        <f t="shared" si="21"/>
        <v>182.20000000000678</v>
      </c>
      <c r="AI10" s="74">
        <f t="shared" si="25"/>
        <v>369.86075949364471</v>
      </c>
      <c r="AJ10" s="301">
        <f t="shared" si="8"/>
        <v>0.25738396624472576</v>
      </c>
      <c r="AK10" s="301">
        <f t="shared" si="30"/>
        <v>123.2869198312149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v>10951</v>
      </c>
      <c r="S11" s="299">
        <f t="shared" si="5"/>
        <v>3</v>
      </c>
      <c r="T11" s="277">
        <v>191835</v>
      </c>
      <c r="U11" s="299">
        <f t="shared" si="15"/>
        <v>573</v>
      </c>
      <c r="V11" s="299">
        <f t="shared" si="16"/>
        <v>191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3</v>
      </c>
      <c r="AA11" s="299">
        <f t="shared" si="18"/>
        <v>573</v>
      </c>
      <c r="AB11" s="299">
        <f t="shared" si="19"/>
        <v>191</v>
      </c>
      <c r="AC11" s="299">
        <f t="shared" si="20"/>
        <v>191</v>
      </c>
      <c r="AD11" s="74">
        <f>ELEC!Q11</f>
        <v>2090.0000000001455</v>
      </c>
      <c r="AE11" s="74">
        <f t="shared" si="22"/>
        <v>696.66666666671517</v>
      </c>
      <c r="AF11" s="424">
        <f t="shared" si="23"/>
        <v>0.43541666666669698</v>
      </c>
      <c r="AG11" s="425">
        <f t="shared" si="24"/>
        <v>139.33333333334303</v>
      </c>
      <c r="AH11" s="425">
        <f t="shared" si="21"/>
        <v>51.666666666656965</v>
      </c>
      <c r="AI11" s="74">
        <f t="shared" si="25"/>
        <v>537.93248945151424</v>
      </c>
      <c r="AJ11" s="301">
        <f t="shared" si="8"/>
        <v>0.25738396624472576</v>
      </c>
      <c r="AK11" s="301">
        <f t="shared" si="30"/>
        <v>179.31082981717142</v>
      </c>
    </row>
    <row r="12" spans="1:37">
      <c r="A12" s="4">
        <f>ELEC!C12</f>
        <v>43871</v>
      </c>
      <c r="B12" s="277">
        <v>8505</v>
      </c>
      <c r="C12" s="299">
        <f t="shared" si="10"/>
        <v>0</v>
      </c>
      <c r="D12" s="277"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v>10954.58</v>
      </c>
      <c r="S12" s="299">
        <f t="shared" si="5"/>
        <v>3.5799999999999272</v>
      </c>
      <c r="T12" s="277">
        <v>192680.6</v>
      </c>
      <c r="U12" s="299">
        <f t="shared" si="15"/>
        <v>845.60000000000582</v>
      </c>
      <c r="V12" s="299">
        <f t="shared" si="16"/>
        <v>236.20111731844219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3.5799999999999272</v>
      </c>
      <c r="AA12" s="299">
        <f t="shared" si="18"/>
        <v>845.60000000000582</v>
      </c>
      <c r="AB12" s="299">
        <f t="shared" si="19"/>
        <v>236.20111731844219</v>
      </c>
      <c r="AC12" s="299">
        <f t="shared" si="20"/>
        <v>236.20111731844219</v>
      </c>
      <c r="AD12" s="74">
        <f>ELEC!Q12</f>
        <v>1590.0000000001455</v>
      </c>
      <c r="AE12" s="74">
        <f t="shared" si="22"/>
        <v>444.13407821234017</v>
      </c>
      <c r="AF12" s="424">
        <f t="shared" si="23"/>
        <v>0.27758379888271262</v>
      </c>
      <c r="AG12" s="425">
        <f t="shared" si="24"/>
        <v>88.826815642468034</v>
      </c>
      <c r="AH12" s="425">
        <f t="shared" si="21"/>
        <v>147.37430167597415</v>
      </c>
      <c r="AI12" s="74">
        <f t="shared" si="25"/>
        <v>409.2405063291514</v>
      </c>
      <c r="AJ12" s="301">
        <f t="shared" si="8"/>
        <v>0.25738396624472576</v>
      </c>
      <c r="AK12" s="301">
        <f t="shared" si="30"/>
        <v>114.31299059473736</v>
      </c>
    </row>
    <row r="13" spans="1:37">
      <c r="A13" s="4">
        <f>ELEC!C13</f>
        <v>43872</v>
      </c>
      <c r="B13" s="277">
        <v>8505</v>
      </c>
      <c r="C13" s="299">
        <f t="shared" si="10"/>
        <v>0</v>
      </c>
      <c r="D13" s="277">
        <v>123673.4</v>
      </c>
      <c r="E13" s="299">
        <f t="shared" si="11"/>
        <v>0.39999999999417923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v>10689.42</v>
      </c>
      <c r="K13" s="299">
        <f t="shared" si="2"/>
        <v>0.42000000000007276</v>
      </c>
      <c r="L13" s="277">
        <v>237068.2</v>
      </c>
      <c r="M13" s="299">
        <f t="shared" si="3"/>
        <v>0.20000000001164153</v>
      </c>
      <c r="N13" s="299">
        <f t="shared" si="13"/>
        <v>0.47619047621811161</v>
      </c>
      <c r="O13" s="200"/>
      <c r="P13" s="300">
        <f t="shared" si="14"/>
        <v>10873</v>
      </c>
      <c r="Q13" s="299" t="str">
        <f t="shared" si="4"/>
        <v>ok</v>
      </c>
      <c r="R13" s="277">
        <v>10958.04</v>
      </c>
      <c r="S13" s="299">
        <f t="shared" si="5"/>
        <v>3.4600000000009459</v>
      </c>
      <c r="T13" s="277">
        <v>193505</v>
      </c>
      <c r="U13" s="299">
        <f t="shared" si="15"/>
        <v>824.39999999999418</v>
      </c>
      <c r="V13" s="299">
        <f t="shared" si="16"/>
        <v>238.2658959536904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3.8800000000010186</v>
      </c>
      <c r="AA13" s="299">
        <f t="shared" si="18"/>
        <v>825</v>
      </c>
      <c r="AB13" s="299">
        <f t="shared" si="19"/>
        <v>238.74208642990851</v>
      </c>
      <c r="AC13" s="299">
        <f t="shared" si="20"/>
        <v>212.62886597932561</v>
      </c>
      <c r="AD13" s="74">
        <f>ELEC!Q13</f>
        <v>1650.9999999998399</v>
      </c>
      <c r="AE13" s="74">
        <f t="shared" si="22"/>
        <v>425.51546391737281</v>
      </c>
      <c r="AF13" s="424">
        <f t="shared" si="23"/>
        <v>0.26594716494835802</v>
      </c>
      <c r="AG13" s="425">
        <f t="shared" si="24"/>
        <v>85.103092783474565</v>
      </c>
      <c r="AH13" s="425">
        <f t="shared" si="21"/>
        <v>127.52577319585104</v>
      </c>
      <c r="AI13" s="74">
        <f t="shared" si="25"/>
        <v>424.94092827000105</v>
      </c>
      <c r="AJ13" s="301">
        <f t="shared" si="8"/>
        <v>0.25738396624472576</v>
      </c>
      <c r="AK13" s="301">
        <f t="shared" si="30"/>
        <v>109.52085780151791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123673.4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10689.42</v>
      </c>
      <c r="K14" s="299">
        <f t="shared" si="2"/>
        <v>0</v>
      </c>
      <c r="L14" s="277">
        <f t="shared" si="29"/>
        <v>237068.2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v>10961.53</v>
      </c>
      <c r="S14" s="299">
        <f t="shared" si="5"/>
        <v>3.4899999999997817</v>
      </c>
      <c r="T14" s="277">
        <v>194583.1</v>
      </c>
      <c r="U14" s="299">
        <f t="shared" si="15"/>
        <v>1078.1000000000058</v>
      </c>
      <c r="V14" s="299">
        <f t="shared" si="16"/>
        <v>308.91117478512126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3.4899999999997817</v>
      </c>
      <c r="AA14" s="299">
        <f t="shared" si="18"/>
        <v>1078.1000000000058</v>
      </c>
      <c r="AB14" s="299">
        <f t="shared" si="19"/>
        <v>308.91117478512126</v>
      </c>
      <c r="AC14" s="299">
        <f t="shared" si="20"/>
        <v>308.91117478512126</v>
      </c>
      <c r="AD14" s="74">
        <f>ELEC!Q14</f>
        <v>1709.9999999991269</v>
      </c>
      <c r="AE14" s="74">
        <f t="shared" si="22"/>
        <v>489.97134670465152</v>
      </c>
      <c r="AF14" s="424">
        <f t="shared" si="23"/>
        <v>0.30623209169040722</v>
      </c>
      <c r="AG14" s="425">
        <f t="shared" si="24"/>
        <v>97.994269340930316</v>
      </c>
      <c r="AH14" s="425">
        <f t="shared" si="21"/>
        <v>210.91690544419095</v>
      </c>
      <c r="AI14" s="74">
        <f t="shared" si="25"/>
        <v>440.12658227825631</v>
      </c>
      <c r="AJ14" s="301">
        <f t="shared" si="8"/>
        <v>0.25738396624472576</v>
      </c>
      <c r="AK14" s="301">
        <f t="shared" si="30"/>
        <v>126.11076856111285</v>
      </c>
    </row>
    <row r="15" spans="1:37">
      <c r="A15" s="4">
        <f>ELEC!C15</f>
        <v>43874</v>
      </c>
      <c r="B15" s="277">
        <v>8505.41</v>
      </c>
      <c r="C15" s="299">
        <f t="shared" si="10"/>
        <v>0.40999999999985448</v>
      </c>
      <c r="D15" s="277">
        <v>123673</v>
      </c>
      <c r="E15" s="299">
        <f t="shared" si="11"/>
        <v>-0.39999999999417923</v>
      </c>
      <c r="F15" s="299">
        <f t="shared" si="0"/>
        <v>-0.97560975608371026</v>
      </c>
      <c r="G15" s="200"/>
      <c r="H15" s="300">
        <f t="shared" si="12"/>
        <v>8497</v>
      </c>
      <c r="I15" s="299" t="str">
        <f t="shared" si="1"/>
        <v>oil change</v>
      </c>
      <c r="J15" s="277">
        <v>10689.42</v>
      </c>
      <c r="K15" s="299">
        <f t="shared" si="2"/>
        <v>0</v>
      </c>
      <c r="L15" s="277">
        <v>237068</v>
      </c>
      <c r="M15" s="299">
        <f t="shared" si="3"/>
        <v>-0.20000000001164153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v>10965</v>
      </c>
      <c r="S15" s="299">
        <f t="shared" si="5"/>
        <v>3.4699999999993452</v>
      </c>
      <c r="T15" s="277">
        <v>195298</v>
      </c>
      <c r="U15" s="299">
        <f t="shared" si="15"/>
        <v>714.89999999999418</v>
      </c>
      <c r="V15" s="299">
        <f t="shared" si="16"/>
        <v>206.02305475508044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3.8799999999991996</v>
      </c>
      <c r="AA15" s="299">
        <f t="shared" si="18"/>
        <v>714.29999999998836</v>
      </c>
      <c r="AB15" s="299">
        <f t="shared" si="19"/>
        <v>205.04744499899672</v>
      </c>
      <c r="AC15" s="299">
        <f t="shared" si="20"/>
        <v>184.09793814436486</v>
      </c>
      <c r="AD15" s="74">
        <f>ELEC!Q15</f>
        <v>2113.0000000011933</v>
      </c>
      <c r="AE15" s="74">
        <f t="shared" si="22"/>
        <v>544.58762886639931</v>
      </c>
      <c r="AF15" s="424">
        <f t="shared" si="23"/>
        <v>0.34036726804149958</v>
      </c>
      <c r="AG15" s="425">
        <f t="shared" si="24"/>
        <v>108.91752577327986</v>
      </c>
      <c r="AH15" s="425">
        <f t="shared" si="21"/>
        <v>75.180412371084998</v>
      </c>
      <c r="AI15" s="74">
        <f t="shared" si="25"/>
        <v>543.85232067541267</v>
      </c>
      <c r="AJ15" s="301">
        <f t="shared" si="8"/>
        <v>0.25738396624472576</v>
      </c>
      <c r="AK15" s="301">
        <f t="shared" si="30"/>
        <v>140.16812388544454</v>
      </c>
    </row>
    <row r="16" spans="1:37">
      <c r="A16" s="4">
        <f>ELEC!C16</f>
        <v>43875</v>
      </c>
      <c r="B16" s="277">
        <f t="shared" si="26"/>
        <v>8505.41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10689.42</v>
      </c>
      <c r="K16" s="299">
        <f t="shared" si="2"/>
        <v>0</v>
      </c>
      <c r="L16" s="277">
        <f t="shared" si="29"/>
        <v>237068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v>10968</v>
      </c>
      <c r="S16" s="555">
        <f t="shared" si="5"/>
        <v>3</v>
      </c>
      <c r="T16" s="277">
        <v>195896.8</v>
      </c>
      <c r="U16" s="299">
        <f t="shared" si="15"/>
        <v>598.79999999998836</v>
      </c>
      <c r="V16" s="299">
        <f t="shared" si="16"/>
        <v>199.59999999999613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3</v>
      </c>
      <c r="AA16" s="299">
        <f t="shared" si="18"/>
        <v>598.79999999998836</v>
      </c>
      <c r="AB16" s="299">
        <f t="shared" si="19"/>
        <v>199.59999999999613</v>
      </c>
      <c r="AC16" s="299">
        <f t="shared" si="20"/>
        <v>199.59999999999613</v>
      </c>
      <c r="AD16" s="74">
        <f>ELEC!Q16</f>
        <v>2096.9999999997526</v>
      </c>
      <c r="AE16" s="74">
        <f t="shared" si="22"/>
        <v>698.99999999991758</v>
      </c>
      <c r="AF16" s="424">
        <f t="shared" si="23"/>
        <v>0.4368749999999485</v>
      </c>
      <c r="AG16" s="425">
        <f t="shared" si="24"/>
        <v>139.79999999998353</v>
      </c>
      <c r="AH16" s="425">
        <f t="shared" si="21"/>
        <v>59.800000000012602</v>
      </c>
      <c r="AI16" s="74">
        <f t="shared" si="25"/>
        <v>539.73417721512624</v>
      </c>
      <c r="AJ16" s="301">
        <f t="shared" si="8"/>
        <v>0.25738396624472576</v>
      </c>
      <c r="AK16" s="301">
        <f t="shared" si="30"/>
        <v>179.91139240504208</v>
      </c>
    </row>
    <row r="17" spans="1:37">
      <c r="A17" s="4">
        <f>ELEC!C17</f>
        <v>43876</v>
      </c>
      <c r="B17" s="277">
        <f t="shared" si="26"/>
        <v>8505.41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10689.42</v>
      </c>
      <c r="K17" s="299">
        <f t="shared" si="2"/>
        <v>0</v>
      </c>
      <c r="L17" s="277">
        <f t="shared" si="29"/>
        <v>237068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v>10972.18</v>
      </c>
      <c r="S17" s="556">
        <f t="shared" si="5"/>
        <v>4.180000000000291</v>
      </c>
      <c r="T17" s="277">
        <v>196777.7</v>
      </c>
      <c r="U17" s="299">
        <f t="shared" si="15"/>
        <v>880.90000000002328</v>
      </c>
      <c r="V17" s="299">
        <f t="shared" si="16"/>
        <v>210.74162679424927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4.180000000000291</v>
      </c>
      <c r="AA17" s="299">
        <f t="shared" si="18"/>
        <v>880.90000000002328</v>
      </c>
      <c r="AB17" s="299">
        <f t="shared" si="19"/>
        <v>210.74162679424927</v>
      </c>
      <c r="AC17" s="299">
        <f t="shared" si="20"/>
        <v>210.74162679424927</v>
      </c>
      <c r="AD17" s="74">
        <f>ELEC!Q17</f>
        <v>2494.0000000005966</v>
      </c>
      <c r="AE17" s="74">
        <f t="shared" si="22"/>
        <v>596.65071770345048</v>
      </c>
      <c r="AF17" s="424">
        <f t="shared" si="23"/>
        <v>0.37290669856465652</v>
      </c>
      <c r="AG17" s="425">
        <f t="shared" si="24"/>
        <v>119.33014354069009</v>
      </c>
      <c r="AH17" s="425">
        <f t="shared" si="21"/>
        <v>91.411483253559183</v>
      </c>
      <c r="AI17" s="74">
        <f t="shared" si="25"/>
        <v>641.91561181449958</v>
      </c>
      <c r="AJ17" s="301">
        <f t="shared" si="8"/>
        <v>0.25738396624472576</v>
      </c>
      <c r="AK17" s="301">
        <f t="shared" ref="AK17:AK32" si="31">IF(Z17&gt;0,AI17/Z17,0)</f>
        <v>153.5683281852763</v>
      </c>
    </row>
    <row r="18" spans="1:37">
      <c r="A18" s="4">
        <f>ELEC!C18</f>
        <v>43877</v>
      </c>
      <c r="B18" s="277">
        <f t="shared" si="26"/>
        <v>8505.41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10689.42</v>
      </c>
      <c r="K18" s="299">
        <f t="shared" si="2"/>
        <v>0</v>
      </c>
      <c r="L18" s="277">
        <f t="shared" si="29"/>
        <v>237068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v>10974</v>
      </c>
      <c r="S18" s="299">
        <f t="shared" si="5"/>
        <v>1.819999999999709</v>
      </c>
      <c r="T18" s="277">
        <v>197351.6</v>
      </c>
      <c r="U18" s="299">
        <f t="shared" si="15"/>
        <v>573.89999999999418</v>
      </c>
      <c r="V18" s="299">
        <f t="shared" si="16"/>
        <v>315.32967032971754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1.819999999999709</v>
      </c>
      <c r="AA18" s="299">
        <f t="shared" si="18"/>
        <v>573.89999999999418</v>
      </c>
      <c r="AB18" s="299">
        <f t="shared" si="19"/>
        <v>315.32967032971754</v>
      </c>
      <c r="AC18" s="299">
        <f t="shared" si="20"/>
        <v>315.32967032971754</v>
      </c>
      <c r="AD18" s="74">
        <f>ELEC!Q18</f>
        <v>875</v>
      </c>
      <c r="AE18" s="74">
        <f t="shared" si="22"/>
        <v>480.76923076930763</v>
      </c>
      <c r="AF18" s="424">
        <f t="shared" si="23"/>
        <v>0.30048076923081729</v>
      </c>
      <c r="AG18" s="425">
        <f t="shared" si="24"/>
        <v>96.153846153861537</v>
      </c>
      <c r="AH18" s="425">
        <f t="shared" si="21"/>
        <v>219.17582417585601</v>
      </c>
      <c r="AI18" s="74">
        <f t="shared" si="25"/>
        <v>225.21097046413504</v>
      </c>
      <c r="AJ18" s="301">
        <f t="shared" si="8"/>
        <v>0.25738396624472576</v>
      </c>
      <c r="AK18" s="301">
        <f t="shared" si="31"/>
        <v>123.74229146383026</v>
      </c>
    </row>
    <row r="19" spans="1:37">
      <c r="A19" s="4">
        <f>ELEC!C19</f>
        <v>43878</v>
      </c>
      <c r="B19" s="277">
        <v>8505</v>
      </c>
      <c r="C19" s="299">
        <f t="shared" si="10"/>
        <v>-0.40999999999985448</v>
      </c>
      <c r="D19" s="277">
        <v>123673.7</v>
      </c>
      <c r="E19" s="299">
        <f t="shared" si="11"/>
        <v>0.69999999999708962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v>10689</v>
      </c>
      <c r="K19" s="299">
        <v>0</v>
      </c>
      <c r="L19" s="277">
        <v>237068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2">IF(J19-P19&lt;=0,"ok","oil change")</f>
        <v>ok</v>
      </c>
      <c r="R19" s="277">
        <v>10977</v>
      </c>
      <c r="S19" s="299">
        <f t="shared" si="5"/>
        <v>3</v>
      </c>
      <c r="T19" s="277">
        <v>198004.2</v>
      </c>
      <c r="U19" s="299">
        <f t="shared" si="15"/>
        <v>652.60000000000582</v>
      </c>
      <c r="V19" s="299">
        <f t="shared" si="16"/>
        <v>217.53333333333526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2.5900000000001455</v>
      </c>
      <c r="AA19" s="299">
        <f t="shared" si="18"/>
        <v>653.30000000000291</v>
      </c>
      <c r="AB19" s="299">
        <f t="shared" si="19"/>
        <v>217.53333333333526</v>
      </c>
      <c r="AC19" s="299">
        <f t="shared" si="20"/>
        <v>252.23938223936918</v>
      </c>
      <c r="AD19" s="74">
        <f>ELEC!Q19</f>
        <v>2218.9999999991414</v>
      </c>
      <c r="AE19" s="74">
        <f t="shared" si="22"/>
        <v>856.75675675637717</v>
      </c>
      <c r="AF19" s="424">
        <f t="shared" si="23"/>
        <v>0.53547297297273577</v>
      </c>
      <c r="AG19" s="425">
        <f t="shared" si="24"/>
        <v>171.35135135127544</v>
      </c>
      <c r="AH19" s="425">
        <f t="shared" si="21"/>
        <v>80.888030888093738</v>
      </c>
      <c r="AI19" s="74">
        <f t="shared" si="25"/>
        <v>571.13502109682543</v>
      </c>
      <c r="AJ19" s="301">
        <f t="shared" si="8"/>
        <v>0.25738396624472576</v>
      </c>
      <c r="AK19" s="301">
        <f t="shared" si="31"/>
        <v>220.51545216092407</v>
      </c>
    </row>
    <row r="20" spans="1:37">
      <c r="A20" s="4">
        <f>ELEC!C20</f>
        <v>43879</v>
      </c>
      <c r="B20" s="277">
        <v>8505</v>
      </c>
      <c r="C20" s="299">
        <f>B20-B19</f>
        <v>0</v>
      </c>
      <c r="D20" s="277">
        <v>123674</v>
      </c>
      <c r="E20" s="299">
        <f t="shared" si="11"/>
        <v>0.30000000000291038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v>10689</v>
      </c>
      <c r="K20" s="299">
        <f t="shared" si="2"/>
        <v>0</v>
      </c>
      <c r="L20" s="277">
        <v>237068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2"/>
        <v>ok</v>
      </c>
      <c r="R20" s="277">
        <v>10980</v>
      </c>
      <c r="S20" s="299">
        <f t="shared" si="5"/>
        <v>3</v>
      </c>
      <c r="T20" s="277">
        <v>198620</v>
      </c>
      <c r="U20" s="299">
        <f t="shared" si="15"/>
        <v>615.79999999998836</v>
      </c>
      <c r="V20" s="299">
        <f t="shared" si="16"/>
        <v>205.26666666666279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3</v>
      </c>
      <c r="AA20" s="299">
        <f t="shared" si="18"/>
        <v>616.09999999999127</v>
      </c>
      <c r="AB20" s="299">
        <f t="shared" si="19"/>
        <v>205.26666666666279</v>
      </c>
      <c r="AC20" s="299">
        <f t="shared" si="20"/>
        <v>205.36666666666375</v>
      </c>
      <c r="AD20" s="74">
        <f>ELEC!Q20</f>
        <v>2263.0000000008295</v>
      </c>
      <c r="AE20" s="74">
        <f t="shared" si="22"/>
        <v>754.33333333360986</v>
      </c>
      <c r="AF20" s="424">
        <f t="shared" si="23"/>
        <v>0.47145833333350617</v>
      </c>
      <c r="AG20" s="425">
        <f t="shared" si="24"/>
        <v>150.86666666672198</v>
      </c>
      <c r="AH20" s="425">
        <f t="shared" si="21"/>
        <v>54.499999999941764</v>
      </c>
      <c r="AI20" s="74">
        <f>AD20*AJ20</f>
        <v>582.45991561202788</v>
      </c>
      <c r="AJ20" s="301">
        <f t="shared" si="8"/>
        <v>0.25738396624472576</v>
      </c>
      <c r="AK20" s="301">
        <f t="shared" si="31"/>
        <v>194.15330520400929</v>
      </c>
    </row>
    <row r="21" spans="1:37">
      <c r="A21" s="4">
        <f>ELEC!C21</f>
        <v>43880</v>
      </c>
      <c r="B21" s="277">
        <v>8505</v>
      </c>
      <c r="C21" s="299">
        <f t="shared" si="10"/>
        <v>0</v>
      </c>
      <c r="D21" s="277">
        <v>123673.9</v>
      </c>
      <c r="E21" s="299">
        <f t="shared" si="11"/>
        <v>-0.10000000000582077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v>10689</v>
      </c>
      <c r="K21" s="299">
        <f t="shared" si="2"/>
        <v>0</v>
      </c>
      <c r="L21" s="277">
        <v>237068.7</v>
      </c>
      <c r="M21" s="299">
        <f t="shared" si="3"/>
        <v>0.70000000001164153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2"/>
        <v>ok</v>
      </c>
      <c r="R21" s="277">
        <v>10984</v>
      </c>
      <c r="S21" s="299">
        <f t="shared" si="5"/>
        <v>4</v>
      </c>
      <c r="T21" s="277">
        <v>199438.6</v>
      </c>
      <c r="U21" s="299">
        <f t="shared" si="15"/>
        <v>818.60000000000582</v>
      </c>
      <c r="V21" s="299">
        <f t="shared" si="16"/>
        <v>204.65000000000146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4</v>
      </c>
      <c r="AA21" s="299">
        <f t="shared" si="18"/>
        <v>819.20000000001164</v>
      </c>
      <c r="AB21" s="299">
        <f t="shared" si="19"/>
        <v>204.65000000000146</v>
      </c>
      <c r="AC21" s="299">
        <f t="shared" si="20"/>
        <v>204.80000000000291</v>
      </c>
      <c r="AD21" s="74">
        <f>ELEC!Q21</f>
        <v>2612.9999999993743</v>
      </c>
      <c r="AE21" s="74">
        <f t="shared" si="22"/>
        <v>653.24999999984357</v>
      </c>
      <c r="AF21" s="424">
        <f t="shared" si="23"/>
        <v>0.40828124999990223</v>
      </c>
      <c r="AG21" s="425">
        <f t="shared" si="24"/>
        <v>130.64999999996871</v>
      </c>
      <c r="AH21" s="425">
        <f t="shared" si="21"/>
        <v>74.150000000034197</v>
      </c>
      <c r="AI21" s="74">
        <f t="shared" si="25"/>
        <v>672.54430379730741</v>
      </c>
      <c r="AJ21" s="301">
        <f t="shared" si="8"/>
        <v>0.25738396624472576</v>
      </c>
      <c r="AK21" s="301">
        <f t="shared" si="31"/>
        <v>168.13607594932685</v>
      </c>
    </row>
    <row r="22" spans="1:37">
      <c r="A22" s="4">
        <f>ELEC!C22</f>
        <v>43881</v>
      </c>
      <c r="B22" s="277">
        <f t="shared" si="26"/>
        <v>8505</v>
      </c>
      <c r="C22" s="299">
        <f t="shared" si="10"/>
        <v>0</v>
      </c>
      <c r="D22" s="277">
        <f t="shared" si="27"/>
        <v>123673.9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f t="shared" si="28"/>
        <v>10689</v>
      </c>
      <c r="K22" s="299">
        <f t="shared" si="2"/>
        <v>0</v>
      </c>
      <c r="L22" s="277">
        <f t="shared" si="29"/>
        <v>237068.7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2"/>
        <v>ok</v>
      </c>
      <c r="R22" s="277">
        <f t="shared" ref="R22:R33" si="33">R21</f>
        <v>10984</v>
      </c>
      <c r="S22" s="299">
        <f t="shared" si="5"/>
        <v>0</v>
      </c>
      <c r="T22" s="277">
        <f t="shared" ref="T22:T33" si="34">T21</f>
        <v>199438.6</v>
      </c>
      <c r="U22" s="299">
        <f t="shared" si="15"/>
        <v>0</v>
      </c>
      <c r="V22" s="299">
        <f t="shared" si="16"/>
        <v>0</v>
      </c>
      <c r="W22" s="200"/>
      <c r="X22" s="300">
        <f t="shared" si="17"/>
        <v>11349</v>
      </c>
      <c r="Y22" s="299" t="str">
        <f t="shared" ref="Y22:Y32" si="35">IF(R22-X22&lt;=0,"ok","oil change")</f>
        <v>ok</v>
      </c>
      <c r="Z22" s="299">
        <f t="shared" si="7"/>
        <v>0</v>
      </c>
      <c r="AA22" s="299">
        <f t="shared" si="18"/>
        <v>0</v>
      </c>
      <c r="AB22" s="299">
        <f t="shared" si="19"/>
        <v>0</v>
      </c>
      <c r="AC22" s="299">
        <f t="shared" si="20"/>
        <v>0</v>
      </c>
      <c r="AD22" s="74">
        <f>ELEC!Q22</f>
        <v>0</v>
      </c>
      <c r="AE22" s="74" t="e">
        <f t="shared" si="22"/>
        <v>#DIV/0!</v>
      </c>
      <c r="AF22" s="424" t="e">
        <f t="shared" si="23"/>
        <v>#DIV/0!</v>
      </c>
      <c r="AG22" s="425" t="e">
        <f t="shared" si="24"/>
        <v>#DIV/0!</v>
      </c>
      <c r="AH22" s="425" t="e">
        <f t="shared" si="21"/>
        <v>#DIV/0!</v>
      </c>
      <c r="AI22" s="74">
        <f t="shared" si="25"/>
        <v>0</v>
      </c>
      <c r="AJ22" s="301">
        <f t="shared" si="8"/>
        <v>0.25738396624472576</v>
      </c>
      <c r="AK22" s="301">
        <f t="shared" si="31"/>
        <v>0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123673.9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237068.7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2"/>
        <v>ok</v>
      </c>
      <c r="R23" s="277">
        <f t="shared" si="33"/>
        <v>10984</v>
      </c>
      <c r="S23" s="299">
        <f t="shared" si="5"/>
        <v>0</v>
      </c>
      <c r="T23" s="277">
        <f t="shared" si="34"/>
        <v>199438.6</v>
      </c>
      <c r="U23" s="299">
        <f t="shared" si="15"/>
        <v>0</v>
      </c>
      <c r="V23" s="299">
        <f t="shared" si="16"/>
        <v>0</v>
      </c>
      <c r="W23" s="200"/>
      <c r="X23" s="300">
        <f t="shared" si="17"/>
        <v>11349</v>
      </c>
      <c r="Y23" s="299" t="str">
        <f t="shared" si="35"/>
        <v>ok</v>
      </c>
      <c r="Z23" s="299">
        <f t="shared" si="7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4" t="e">
        <f t="shared" si="23"/>
        <v>#DIV/0!</v>
      </c>
      <c r="AG23" s="425" t="e">
        <f t="shared" si="24"/>
        <v>#DIV/0!</v>
      </c>
      <c r="AH23" s="425" t="e">
        <f t="shared" si="21"/>
        <v>#DIV/0!</v>
      </c>
      <c r="AI23" s="74">
        <f t="shared" si="25"/>
        <v>0</v>
      </c>
      <c r="AJ23" s="301">
        <f t="shared" si="8"/>
        <v>0.25738396624472576</v>
      </c>
      <c r="AK23" s="301">
        <f t="shared" si="31"/>
        <v>0</v>
      </c>
    </row>
    <row r="24" spans="1:37">
      <c r="A24" s="4">
        <f>ELEC!C24</f>
        <v>43883</v>
      </c>
      <c r="B24" s="277">
        <f t="shared" si="26"/>
        <v>8505</v>
      </c>
      <c r="C24" s="299">
        <f t="shared" si="10"/>
        <v>0</v>
      </c>
      <c r="D24" s="277">
        <f t="shared" si="27"/>
        <v>123673.9</v>
      </c>
      <c r="E24" s="299">
        <f t="shared" si="11"/>
        <v>0</v>
      </c>
      <c r="F24" s="299">
        <f t="shared" si="0"/>
        <v>0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f t="shared" si="29"/>
        <v>237068.7</v>
      </c>
      <c r="M24" s="299">
        <f t="shared" si="3"/>
        <v>0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2"/>
        <v>ok</v>
      </c>
      <c r="R24" s="277">
        <f t="shared" si="33"/>
        <v>10984</v>
      </c>
      <c r="S24" s="299">
        <f t="shared" si="5"/>
        <v>0</v>
      </c>
      <c r="T24" s="277">
        <f t="shared" si="34"/>
        <v>199438.6</v>
      </c>
      <c r="U24" s="299">
        <f t="shared" si="15"/>
        <v>0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5"/>
        <v>ok</v>
      </c>
      <c r="Z24" s="299">
        <f t="shared" si="7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4" t="e">
        <f t="shared" si="23"/>
        <v>#DIV/0!</v>
      </c>
      <c r="AG24" s="425" t="e">
        <f t="shared" si="24"/>
        <v>#DIV/0!</v>
      </c>
      <c r="AH24" s="425" t="e">
        <f t="shared" si="21"/>
        <v>#DIV/0!</v>
      </c>
      <c r="AI24" s="74">
        <f t="shared" si="25"/>
        <v>0</v>
      </c>
      <c r="AJ24" s="301">
        <f t="shared" si="8"/>
        <v>0.25738396624472576</v>
      </c>
      <c r="AK24" s="301">
        <f t="shared" si="31"/>
        <v>0</v>
      </c>
    </row>
    <row r="25" spans="1:37">
      <c r="A25" s="4">
        <f>ELEC!C25</f>
        <v>43884</v>
      </c>
      <c r="B25" s="277">
        <f t="shared" si="26"/>
        <v>8505</v>
      </c>
      <c r="C25" s="299">
        <f t="shared" si="10"/>
        <v>0</v>
      </c>
      <c r="D25" s="277">
        <f t="shared" si="27"/>
        <v>123673.9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</v>
      </c>
      <c r="K25" s="299">
        <f t="shared" si="2"/>
        <v>0</v>
      </c>
      <c r="L25" s="277">
        <f t="shared" si="29"/>
        <v>237068.7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2"/>
        <v>ok</v>
      </c>
      <c r="R25" s="277">
        <f t="shared" si="33"/>
        <v>10984</v>
      </c>
      <c r="S25" s="299">
        <f t="shared" si="5"/>
        <v>0</v>
      </c>
      <c r="T25" s="277">
        <f t="shared" si="34"/>
        <v>199438.6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5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1"/>
        <v>0</v>
      </c>
    </row>
    <row r="26" spans="1:37">
      <c r="A26" s="4">
        <f>ELEC!C26</f>
        <v>43885</v>
      </c>
      <c r="B26" s="277">
        <f t="shared" si="26"/>
        <v>8505</v>
      </c>
      <c r="C26" s="299">
        <f t="shared" si="10"/>
        <v>0</v>
      </c>
      <c r="D26" s="277">
        <f t="shared" si="27"/>
        <v>123673.9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237068.7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2"/>
        <v>ok</v>
      </c>
      <c r="R26" s="277">
        <f t="shared" si="33"/>
        <v>10984</v>
      </c>
      <c r="S26" s="299">
        <f t="shared" si="5"/>
        <v>0</v>
      </c>
      <c r="T26" s="277">
        <f t="shared" si="34"/>
        <v>199438.6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5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1"/>
        <v>0</v>
      </c>
    </row>
    <row r="27" spans="1:37">
      <c r="A27" s="4">
        <f>ELEC!C27</f>
        <v>43886</v>
      </c>
      <c r="B27" s="277">
        <f t="shared" si="26"/>
        <v>8505</v>
      </c>
      <c r="C27" s="299">
        <f t="shared" si="10"/>
        <v>0</v>
      </c>
      <c r="D27" s="277">
        <f t="shared" si="27"/>
        <v>123673.9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237068.7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2"/>
        <v>ok</v>
      </c>
      <c r="R27" s="277">
        <f t="shared" si="33"/>
        <v>10984</v>
      </c>
      <c r="S27" s="299">
        <f t="shared" si="5"/>
        <v>0</v>
      </c>
      <c r="T27" s="277">
        <f t="shared" si="34"/>
        <v>199438.6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5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1"/>
        <v>0</v>
      </c>
    </row>
    <row r="28" spans="1:37">
      <c r="A28" s="4">
        <f>ELEC!C28</f>
        <v>43887</v>
      </c>
      <c r="B28" s="277">
        <f t="shared" si="26"/>
        <v>8505</v>
      </c>
      <c r="C28" s="299">
        <f t="shared" si="10"/>
        <v>0</v>
      </c>
      <c r="D28" s="277">
        <f t="shared" si="27"/>
        <v>123673.9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237068.7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2"/>
        <v>ok</v>
      </c>
      <c r="R28" s="277">
        <f t="shared" si="33"/>
        <v>10984</v>
      </c>
      <c r="S28" s="299">
        <f t="shared" si="5"/>
        <v>0</v>
      </c>
      <c r="T28" s="277">
        <f t="shared" si="34"/>
        <v>199438.6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5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1"/>
        <v>0</v>
      </c>
    </row>
    <row r="29" spans="1:37">
      <c r="A29" s="4">
        <f>ELEC!C29</f>
        <v>43888</v>
      </c>
      <c r="B29" s="277">
        <f t="shared" si="26"/>
        <v>8505</v>
      </c>
      <c r="C29" s="299">
        <f t="shared" si="10"/>
        <v>0</v>
      </c>
      <c r="D29" s="277">
        <f t="shared" si="27"/>
        <v>123673.9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237068.7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2"/>
        <v>ok</v>
      </c>
      <c r="R29" s="277">
        <f t="shared" si="33"/>
        <v>10984</v>
      </c>
      <c r="S29" s="299">
        <f t="shared" si="5"/>
        <v>0</v>
      </c>
      <c r="T29" s="277">
        <f t="shared" si="34"/>
        <v>199438.6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5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1"/>
        <v>0</v>
      </c>
    </row>
    <row r="30" spans="1:37">
      <c r="A30" s="4">
        <f>ELEC!C30</f>
        <v>43889</v>
      </c>
      <c r="B30" s="277">
        <f t="shared" si="26"/>
        <v>8505</v>
      </c>
      <c r="C30" s="299">
        <f t="shared" si="10"/>
        <v>0</v>
      </c>
      <c r="D30" s="277">
        <f t="shared" si="27"/>
        <v>123673.9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237068.7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2"/>
        <v>ok</v>
      </c>
      <c r="R30" s="277">
        <f t="shared" si="33"/>
        <v>10984</v>
      </c>
      <c r="S30" s="299">
        <f t="shared" si="5"/>
        <v>0</v>
      </c>
      <c r="T30" s="277">
        <f t="shared" si="34"/>
        <v>199438.6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5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1"/>
        <v>0</v>
      </c>
    </row>
    <row r="31" spans="1:37">
      <c r="A31" s="4">
        <f>ELEC!C31</f>
        <v>43890</v>
      </c>
      <c r="B31" s="277">
        <f t="shared" si="26"/>
        <v>8505</v>
      </c>
      <c r="C31" s="299">
        <f t="shared" si="10"/>
        <v>0</v>
      </c>
      <c r="D31" s="277">
        <f t="shared" si="27"/>
        <v>123673.9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237068.7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2"/>
        <v>ok</v>
      </c>
      <c r="R31" s="277">
        <f t="shared" si="33"/>
        <v>10984</v>
      </c>
      <c r="S31" s="299">
        <f t="shared" si="5"/>
        <v>0</v>
      </c>
      <c r="T31" s="277">
        <f t="shared" si="34"/>
        <v>199438.6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5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1"/>
        <v>0</v>
      </c>
    </row>
    <row r="32" spans="1:37">
      <c r="A32" s="4"/>
      <c r="B32" s="277">
        <f t="shared" si="26"/>
        <v>8505</v>
      </c>
      <c r="C32" s="299">
        <f t="shared" si="10"/>
        <v>0</v>
      </c>
      <c r="D32" s="277">
        <f t="shared" si="27"/>
        <v>123673.9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237068.7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2"/>
        <v>ok</v>
      </c>
      <c r="R32" s="277">
        <f t="shared" si="33"/>
        <v>10984</v>
      </c>
      <c r="S32" s="299">
        <f t="shared" si="5"/>
        <v>0</v>
      </c>
      <c r="T32" s="277">
        <f t="shared" si="34"/>
        <v>199438.6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5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1"/>
        <v>0</v>
      </c>
    </row>
    <row r="33" spans="1:37">
      <c r="A33" s="4"/>
      <c r="B33" s="277">
        <f t="shared" si="26"/>
        <v>8505</v>
      </c>
      <c r="C33" s="299">
        <f>B33-B32</f>
        <v>0</v>
      </c>
      <c r="D33" s="277">
        <f t="shared" si="27"/>
        <v>123673.9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237068.7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3"/>
        <v>10984</v>
      </c>
      <c r="S33" s="299">
        <f>R33-R32</f>
        <v>0</v>
      </c>
      <c r="T33" s="277">
        <f t="shared" si="34"/>
        <v>199438.6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69.420000000000073</v>
      </c>
      <c r="V34" s="40"/>
      <c r="X34">
        <v>341</v>
      </c>
      <c r="Z34" s="443">
        <f>SUM(Z3:Z33)</f>
        <v>69.420000000000073</v>
      </c>
    </row>
    <row r="35" spans="1:37">
      <c r="C35" s="40">
        <f>SUM(C3:C33)</f>
        <v>0</v>
      </c>
      <c r="K35" s="40">
        <f>SUM(K3:K33)</f>
        <v>0.42000000000007276</v>
      </c>
      <c r="S35" s="40">
        <f>SUM(S3:S33)</f>
        <v>69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13334</v>
      </c>
      <c r="E6" s="3">
        <f>ELEC!Q24</f>
        <v>0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1</v>
      </c>
      <c r="B8" s="3">
        <f>ELEC!AF9</f>
        <v>332</v>
      </c>
      <c r="C8" s="3">
        <f>ELEC!N9</f>
        <v>12629</v>
      </c>
      <c r="D8" s="3">
        <f t="shared" si="0"/>
        <v>9880.0000000002037</v>
      </c>
      <c r="E8" s="3">
        <f>ELEC!Q9</f>
        <v>2748.9999999997963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214.19999999999993</v>
      </c>
      <c r="J8" s="9">
        <f>'B5'!A10</f>
        <v>43867</v>
      </c>
    </row>
    <row r="9" spans="1:10">
      <c r="A9" s="3">
        <f>ELEC!T10+ELEC!X10+ELEC!AB10</f>
        <v>2</v>
      </c>
      <c r="B9" s="3">
        <f>ELEC!AF10</f>
        <v>412</v>
      </c>
      <c r="C9" s="3">
        <f>ELEC!N10</f>
        <v>12830</v>
      </c>
      <c r="D9" s="3">
        <f t="shared" si="0"/>
        <v>11393.000000000102</v>
      </c>
      <c r="E9" s="3">
        <f>ELEC!Q10</f>
        <v>1436.9999999998981</v>
      </c>
      <c r="F9" s="3">
        <f>GEN!Z9</f>
        <v>5</v>
      </c>
      <c r="G9" s="3">
        <f>WATER!C12+WATER!H12</f>
        <v>334</v>
      </c>
      <c r="H9" s="3">
        <f>WATER!L12</f>
        <v>1</v>
      </c>
      <c r="I9" s="15">
        <f>WATER!BC12+WATER!BD12+WATER!BE13-Sheet1!G9</f>
        <v>-359.69999999999993</v>
      </c>
      <c r="J9" s="9">
        <f>'B5'!A11</f>
        <v>43868</v>
      </c>
    </row>
    <row r="10" spans="1:10">
      <c r="A10" s="3">
        <f>ELEC!T11+ELEC!X11+ELEC!AB11</f>
        <v>4</v>
      </c>
      <c r="B10" s="3">
        <f>ELEC!AF11</f>
        <v>608</v>
      </c>
      <c r="C10" s="3">
        <f>ELEC!N11</f>
        <v>10890</v>
      </c>
      <c r="D10" s="3">
        <f t="shared" si="0"/>
        <v>8799.9999999998545</v>
      </c>
      <c r="E10" s="3">
        <f>ELEC!Q11</f>
        <v>2090.0000000001455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44.80000000000004</v>
      </c>
      <c r="J10" s="9">
        <f>'B5'!A12</f>
        <v>43869</v>
      </c>
    </row>
    <row r="11" spans="1:10">
      <c r="A11" s="3">
        <f>ELEC!T12+ELEC!X12+ELEC!AB12</f>
        <v>1</v>
      </c>
      <c r="B11" s="3">
        <f>ELEC!AF12</f>
        <v>21</v>
      </c>
      <c r="C11" s="3">
        <f>ELEC!N12</f>
        <v>10518</v>
      </c>
      <c r="D11" s="3">
        <f t="shared" si="0"/>
        <v>8927.9999999998545</v>
      </c>
      <c r="E11" s="3">
        <f>ELEC!Q12</f>
        <v>1590.0000000001455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66.700000000000017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5</v>
      </c>
      <c r="C12" s="3">
        <f>ELEC!N13</f>
        <v>10923</v>
      </c>
      <c r="D12" s="3">
        <f t="shared" si="0"/>
        <v>9272.0000000001601</v>
      </c>
      <c r="E12" s="3">
        <f>ELEC!Q13</f>
        <v>1650.9999999998399</v>
      </c>
      <c r="F12" s="3">
        <f>GEN!Z12</f>
        <v>3.5799999999999272</v>
      </c>
      <c r="G12" s="3">
        <f>WATER!C15+WATER!H15</f>
        <v>324</v>
      </c>
      <c r="H12" s="3">
        <f>WATER!L15</f>
        <v>1</v>
      </c>
      <c r="I12" s="15">
        <f>WATER!BC15+WATER!BD15+WATER!BE16-Sheet1!G12</f>
        <v>-352.20000000000005</v>
      </c>
      <c r="J12" s="9">
        <f>'B5'!A14</f>
        <v>43871</v>
      </c>
    </row>
    <row r="13" spans="1:10">
      <c r="A13" s="3">
        <f>ELEC!T14+ELEC!X14+ELEC!AB14</f>
        <v>1</v>
      </c>
      <c r="B13" s="3">
        <f>ELEC!AF14</f>
        <v>298</v>
      </c>
      <c r="C13" s="3">
        <f>ELEC!N14</f>
        <v>11363.399999999907</v>
      </c>
      <c r="D13" s="3">
        <f t="shared" si="0"/>
        <v>9653.40000000078</v>
      </c>
      <c r="E13" s="3">
        <f>ELEC!Q14</f>
        <v>1709.9999999991269</v>
      </c>
      <c r="F13" s="3">
        <f>GEN!Z13</f>
        <v>3.8800000000010186</v>
      </c>
      <c r="G13" s="3">
        <f>WATER!C16+WATER!H16</f>
        <v>141</v>
      </c>
      <c r="H13" s="3">
        <f>WATER!L16</f>
        <v>0</v>
      </c>
      <c r="I13" s="15">
        <f>WATER!BC16+WATER!BD16+WATER!BE17-Sheet1!G13</f>
        <v>-250.5</v>
      </c>
      <c r="J13" s="9">
        <f>'B5'!A15</f>
        <v>43872</v>
      </c>
    </row>
    <row r="14" spans="1:10">
      <c r="A14" s="3">
        <f>ELEC!T15+ELEC!X15+ELEC!AB15</f>
        <v>2</v>
      </c>
      <c r="B14" s="3">
        <f>ELEC!AF15</f>
        <v>306</v>
      </c>
      <c r="C14" s="3">
        <f>ELEC!N15</f>
        <v>11590.600000000093</v>
      </c>
      <c r="D14" s="3">
        <f t="shared" si="0"/>
        <v>9477.5999999988999</v>
      </c>
      <c r="E14" s="3">
        <f>ELEC!Q15</f>
        <v>2113.0000000011933</v>
      </c>
      <c r="F14" s="3">
        <f>GEN!Z14</f>
        <v>3.4899999999997817</v>
      </c>
      <c r="G14" s="3">
        <f>WATER!C17+WATER!H17</f>
        <v>0</v>
      </c>
      <c r="H14" s="3">
        <f>WATER!L17</f>
        <v>0</v>
      </c>
      <c r="I14" s="15">
        <f>WATER!BC17+WATER!BD17+WATER!BE18-Sheet1!G14</f>
        <v>-123.19999999999995</v>
      </c>
      <c r="J14" s="9">
        <f>'B5'!A16</f>
        <v>43873</v>
      </c>
    </row>
    <row r="15" spans="1:10">
      <c r="A15" s="3">
        <f>ELEC!T16+ELEC!X16+ELEC!AB16</f>
        <v>6</v>
      </c>
      <c r="B15" s="3">
        <f>ELEC!AF16</f>
        <v>1201</v>
      </c>
      <c r="C15" s="3">
        <f>ELEC!N16</f>
        <v>13973</v>
      </c>
      <c r="D15" s="3">
        <f t="shared" si="0"/>
        <v>11876.000000000247</v>
      </c>
      <c r="E15" s="3">
        <f>ELEC!Q16</f>
        <v>2096.9999999997526</v>
      </c>
      <c r="F15" s="3">
        <f>GEN!Z15</f>
        <v>3.8799999999991996</v>
      </c>
      <c r="G15" s="3">
        <f>WATER!C18+WATER!H18</f>
        <v>0</v>
      </c>
      <c r="H15" s="3">
        <f>WATER!L18</f>
        <v>2</v>
      </c>
      <c r="I15" s="15">
        <f>WATER!BC18+WATER!BD18+WATER!BE19-Sheet1!G15</f>
        <v>-138.90000000000003</v>
      </c>
      <c r="J15" s="9">
        <f>'B5'!A17</f>
        <v>43874</v>
      </c>
    </row>
    <row r="16" spans="1:10">
      <c r="A16" s="3">
        <f>ELEC!T17+ELEC!X17+ELEC!AB17</f>
        <v>5</v>
      </c>
      <c r="B16" s="3">
        <f>ELEC!AF17</f>
        <v>1059</v>
      </c>
      <c r="C16" s="3">
        <f>ELEC!N17</f>
        <v>13170.799999999814</v>
      </c>
      <c r="D16" s="3">
        <f t="shared" si="0"/>
        <v>10676.799999999217</v>
      </c>
      <c r="E16" s="3">
        <f>ELEC!Q17</f>
        <v>2494.0000000005966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-147.50000000000003</v>
      </c>
      <c r="J16" s="9">
        <f>'B5'!A18</f>
        <v>43875</v>
      </c>
    </row>
    <row r="17" spans="1:10">
      <c r="A17" s="3">
        <f>ELEC!T18+ELEC!X18+ELEC!AB18</f>
        <v>3</v>
      </c>
      <c r="B17" s="3">
        <f>ELEC!AF18</f>
        <v>634</v>
      </c>
      <c r="C17" s="3">
        <f>ELEC!N18</f>
        <v>13465.200000000186</v>
      </c>
      <c r="D17" s="3">
        <f t="shared" si="0"/>
        <v>12590.200000000186</v>
      </c>
      <c r="E17" s="3">
        <f>ELEC!Q18</f>
        <v>875</v>
      </c>
      <c r="F17" s="3">
        <f>GEN!Z17</f>
        <v>4.180000000000291</v>
      </c>
      <c r="G17" s="3">
        <f>WATER!C20+WATER!H20</f>
        <v>0</v>
      </c>
      <c r="H17" s="3">
        <f>WATER!L20</f>
        <v>1</v>
      </c>
      <c r="I17" s="15">
        <f>WATER!BC20+WATER!BD20+WATER!BE21-Sheet1!G17</f>
        <v>-112.49999999999997</v>
      </c>
      <c r="J17" s="9">
        <f>'B5'!A19</f>
        <v>43876</v>
      </c>
    </row>
    <row r="18" spans="1:10">
      <c r="A18" s="3">
        <f>ELEC!T19+ELEC!X19+ELEC!AB19</f>
        <v>4</v>
      </c>
      <c r="B18" s="3">
        <f>ELEC!AF19</f>
        <v>929</v>
      </c>
      <c r="C18" s="3">
        <f>ELEC!N19</f>
        <v>13492</v>
      </c>
      <c r="D18" s="3">
        <f t="shared" si="0"/>
        <v>11273.000000000859</v>
      </c>
      <c r="E18" s="3">
        <f>ELEC!Q19</f>
        <v>2218.9999999991414</v>
      </c>
      <c r="F18" s="3">
        <f>GEN!Z18</f>
        <v>1.819999999999709</v>
      </c>
      <c r="G18" s="3">
        <f>WATER!C21+WATER!H21</f>
        <v>0</v>
      </c>
      <c r="H18" s="3">
        <f>WATER!L21</f>
        <v>1</v>
      </c>
      <c r="I18" s="15">
        <f>WATER!BC21+WATER!BD21+WATER!BE22-Sheet1!G18</f>
        <v>-5.0000000000000071</v>
      </c>
      <c r="J18" s="9">
        <f>'B5'!A20</f>
        <v>43877</v>
      </c>
    </row>
    <row r="19" spans="1:10">
      <c r="A19" s="3">
        <f>ELEC!T20+ELEC!X20+ELEC!AB20</f>
        <v>4</v>
      </c>
      <c r="B19" s="3">
        <f>ELEC!AF20</f>
        <v>801</v>
      </c>
      <c r="C19" s="3">
        <f>ELEC!N20</f>
        <v>11885</v>
      </c>
      <c r="D19" s="3">
        <f t="shared" si="0"/>
        <v>9621.9999999991705</v>
      </c>
      <c r="E19" s="3">
        <f>ELEC!Q20</f>
        <v>2263.0000000008295</v>
      </c>
      <c r="F19" s="3">
        <f>GEN!Z19</f>
        <v>2.5900000000001455</v>
      </c>
      <c r="G19" s="3">
        <f>WATER!C22+WATER!H22</f>
        <v>239</v>
      </c>
      <c r="H19" s="3">
        <f>WATER!L22</f>
        <v>0</v>
      </c>
      <c r="I19" s="15">
        <f>WATER!BC22+WATER!BD22+WATER!BE23-Sheet1!G19</f>
        <v>-307.89999999999998</v>
      </c>
      <c r="J19" s="9">
        <f>'B5'!A21</f>
        <v>43878</v>
      </c>
    </row>
    <row r="20" spans="1:10">
      <c r="A20" s="3">
        <f>ELEC!T21+ELEC!X21+ELEC!AB21</f>
        <v>2</v>
      </c>
      <c r="B20" s="3">
        <f>ELEC!AF21</f>
        <v>450</v>
      </c>
      <c r="C20" s="3">
        <f>ELEC!N21</f>
        <v>12076</v>
      </c>
      <c r="D20" s="3">
        <f t="shared" si="0"/>
        <v>9463.0000000006257</v>
      </c>
      <c r="E20" s="3">
        <f>ELEC!Q21</f>
        <v>2612.9999999993743</v>
      </c>
      <c r="F20" s="3">
        <f>GEN!Z20</f>
        <v>3</v>
      </c>
      <c r="G20" s="3">
        <f>WATER!C23+WATER!H23</f>
        <v>0</v>
      </c>
      <c r="H20" s="3">
        <f>WATER!L23</f>
        <v>1</v>
      </c>
      <c r="I20" s="15">
        <f>WATER!BC23+WATER!BD23+WATER!BE24-Sheet1!G20</f>
        <v>-37.200000000000031</v>
      </c>
      <c r="J20" s="9">
        <f>'B5'!A22</f>
        <v>43879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4</v>
      </c>
      <c r="G21" s="3">
        <f>WATER!C24+WATER!H24</f>
        <v>113</v>
      </c>
      <c r="H21" s="3">
        <f>WATER!L24</f>
        <v>1</v>
      </c>
      <c r="I21" s="15">
        <f>WATER!BC24+WATER!BD24+WATER!BE25-Sheet1!G21</f>
        <v>-132.80000000000004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13334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554</v>
      </c>
      <c r="C11" s="77">
        <f>'B5'!AH11</f>
        <v>352.90000000000873</v>
      </c>
      <c r="D11" s="77">
        <f>GEN!AI9</f>
        <v>707.54852320669863</v>
      </c>
      <c r="E11" s="248">
        <f t="shared" si="0"/>
        <v>1614.4485232067073</v>
      </c>
      <c r="F11" s="76">
        <f>WATER!L11</f>
        <v>0</v>
      </c>
      <c r="G11" s="79">
        <f>WATER!BG11</f>
        <v>-26.30000000000004</v>
      </c>
      <c r="H11" s="80">
        <f>ELEC!AF9</f>
        <v>332</v>
      </c>
      <c r="I11" s="80">
        <f>ELEC!Q9</f>
        <v>2748.9999999997963</v>
      </c>
      <c r="J11" s="80">
        <f>ELEC!R9</f>
        <v>9880.0000000002037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580</v>
      </c>
      <c r="C12" s="77">
        <f>'B5'!AH12</f>
        <v>89.799999999988358</v>
      </c>
      <c r="D12" s="77">
        <f>GEN!AI10</f>
        <v>369.86075949364471</v>
      </c>
      <c r="E12" s="248">
        <f t="shared" si="0"/>
        <v>1039.6607594936331</v>
      </c>
      <c r="F12" s="76">
        <f>WATER!L12</f>
        <v>1</v>
      </c>
      <c r="G12" s="79">
        <f>WATER!BG12</f>
        <v>137.89999999999998</v>
      </c>
      <c r="H12" s="80">
        <f>ELEC!AF10</f>
        <v>412</v>
      </c>
      <c r="I12" s="80">
        <f>ELEC!Q10</f>
        <v>1436.9999999998981</v>
      </c>
      <c r="J12" s="80">
        <f>ELEC!R10</f>
        <v>11393.000000000102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828</v>
      </c>
      <c r="C13" s="77">
        <f>'B5'!AH13</f>
        <v>0</v>
      </c>
      <c r="D13" s="77">
        <f>GEN!AI11</f>
        <v>537.93248945151424</v>
      </c>
      <c r="E13" s="248">
        <f t="shared" si="0"/>
        <v>1365.9324894515144</v>
      </c>
      <c r="F13" s="76">
        <f>WATER!L13</f>
        <v>1</v>
      </c>
      <c r="G13" s="79">
        <f>WATER!BG13</f>
        <v>-78.999999999999943</v>
      </c>
      <c r="H13" s="80">
        <f>ELEC!AF11</f>
        <v>608</v>
      </c>
      <c r="I13" s="80">
        <f>ELEC!Q11</f>
        <v>2090.0000000001455</v>
      </c>
      <c r="J13" s="80">
        <f>ELEC!R11</f>
        <v>8799.9999999998545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1099</v>
      </c>
      <c r="C14" s="77">
        <f>'B5'!AH14</f>
        <v>-0.40000000002328306</v>
      </c>
      <c r="D14" s="77">
        <f>GEN!AI12</f>
        <v>409.2405063291514</v>
      </c>
      <c r="E14" s="248">
        <f t="shared" si="0"/>
        <v>1507.8405063291282</v>
      </c>
      <c r="F14" s="76">
        <f>WATER!L14</f>
        <v>0</v>
      </c>
      <c r="G14" s="79">
        <f>WATER!BG14</f>
        <v>111.19999999999999</v>
      </c>
      <c r="H14" s="80">
        <f>ELEC!AF12</f>
        <v>21</v>
      </c>
      <c r="I14" s="80">
        <f>ELEC!Q12</f>
        <v>1590.0000000001455</v>
      </c>
      <c r="J14" s="80">
        <f>ELEC!R12</f>
        <v>8927.9999999998545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1004</v>
      </c>
      <c r="C15" s="77">
        <f>'B5'!AH15</f>
        <v>464.10000000003492</v>
      </c>
      <c r="D15" s="77">
        <f>GEN!AI13</f>
        <v>424.94092827000105</v>
      </c>
      <c r="E15" s="248">
        <f t="shared" si="0"/>
        <v>1893.0409282700359</v>
      </c>
      <c r="F15" s="76">
        <f>WATER!L15</f>
        <v>1</v>
      </c>
      <c r="G15" s="79">
        <f>WATER!BG15</f>
        <v>-49.899999999999977</v>
      </c>
      <c r="H15" s="80">
        <f>ELEC!AF13</f>
        <v>5</v>
      </c>
      <c r="I15" s="80">
        <f>ELEC!Q13</f>
        <v>1650.9999999998399</v>
      </c>
      <c r="J15" s="80">
        <f>ELEC!R13</f>
        <v>9272.0000000001601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880</v>
      </c>
      <c r="C16" s="77">
        <f>'B5'!AH16</f>
        <v>0</v>
      </c>
      <c r="D16" s="77">
        <f>GEN!AI14</f>
        <v>440.12658227825631</v>
      </c>
      <c r="E16" s="248">
        <f t="shared" si="0"/>
        <v>1320.1265822782564</v>
      </c>
      <c r="F16" s="76">
        <f>WATER!L16</f>
        <v>0</v>
      </c>
      <c r="G16" s="79">
        <f>WATER!BG16</f>
        <v>21.699999999999932</v>
      </c>
      <c r="H16" s="80">
        <f>ELEC!AF14</f>
        <v>298</v>
      </c>
      <c r="I16" s="80">
        <f>ELEC!Q14</f>
        <v>1709.9999999991269</v>
      </c>
      <c r="J16" s="80">
        <f>ELEC!R14</f>
        <v>9653.40000000078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735</v>
      </c>
      <c r="C17" s="77">
        <f>'B5'!AH17</f>
        <v>0</v>
      </c>
      <c r="D17" s="77">
        <f>GEN!AI15</f>
        <v>543.85232067541267</v>
      </c>
      <c r="E17" s="248">
        <f t="shared" si="0"/>
        <v>1278.8523206754126</v>
      </c>
      <c r="F17" s="76">
        <f>WATER!L17</f>
        <v>0</v>
      </c>
      <c r="G17" s="79">
        <f>WATER!BG17</f>
        <v>-55.599999999999952</v>
      </c>
      <c r="H17" s="80">
        <f>ELEC!AF15</f>
        <v>306</v>
      </c>
      <c r="I17" s="80">
        <f>ELEC!Q15</f>
        <v>2113.0000000011933</v>
      </c>
      <c r="J17" s="80">
        <f>ELEC!R15</f>
        <v>9477.5999999988999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745</v>
      </c>
      <c r="C18" s="77">
        <f>'B5'!AH18</f>
        <v>442.10000000000582</v>
      </c>
      <c r="D18" s="77">
        <f>GEN!AI16</f>
        <v>539.73417721512624</v>
      </c>
      <c r="E18" s="248">
        <f t="shared" si="0"/>
        <v>1726.8341772151321</v>
      </c>
      <c r="F18" s="76">
        <f>WATER!L18</f>
        <v>2</v>
      </c>
      <c r="G18" s="79">
        <f>WATER!BG18</f>
        <v>-67.599999999999994</v>
      </c>
      <c r="H18" s="80">
        <f>ELEC!AF16</f>
        <v>1201</v>
      </c>
      <c r="I18" s="80">
        <f>ELEC!Q16</f>
        <v>2096.9999999997526</v>
      </c>
      <c r="J18" s="80">
        <f>ELEC!R16</f>
        <v>11876.000000000247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719</v>
      </c>
      <c r="C19" s="77">
        <f>'B5'!AH19</f>
        <v>27</v>
      </c>
      <c r="D19" s="77">
        <f>GEN!AI17</f>
        <v>641.91561181449958</v>
      </c>
      <c r="E19" s="248">
        <f t="shared" si="0"/>
        <v>1387.9156118144997</v>
      </c>
      <c r="F19" s="76">
        <f>WATER!L19</f>
        <v>0</v>
      </c>
      <c r="G19" s="79">
        <f>WATER!BG19</f>
        <v>-82.100000000000023</v>
      </c>
      <c r="H19" s="80">
        <f>ELEC!AF17</f>
        <v>1059</v>
      </c>
      <c r="I19" s="80">
        <f>ELEC!Q17</f>
        <v>2494.0000000005966</v>
      </c>
      <c r="J19" s="80">
        <f>ELEC!R17</f>
        <v>10676.799999999217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644</v>
      </c>
      <c r="C20" s="77">
        <f>'B5'!AH20</f>
        <v>0</v>
      </c>
      <c r="D20" s="77">
        <f>GEN!AI18</f>
        <v>225.21097046413504</v>
      </c>
      <c r="E20" s="248">
        <f t="shared" si="0"/>
        <v>869.21097046413502</v>
      </c>
      <c r="F20" s="76">
        <f>WATER!L20</f>
        <v>1</v>
      </c>
      <c r="G20" s="79">
        <f>WATER!BG20</f>
        <v>-66.300000000000011</v>
      </c>
      <c r="H20" s="80">
        <f>ELEC!AF18</f>
        <v>634</v>
      </c>
      <c r="I20" s="80">
        <f>ELEC!Q18</f>
        <v>875</v>
      </c>
      <c r="J20" s="80">
        <f>ELEC!R18</f>
        <v>12590.200000000186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630</v>
      </c>
      <c r="C21" s="77">
        <f>'B5'!AH21</f>
        <v>0</v>
      </c>
      <c r="D21" s="77">
        <f>GEN!AI19</f>
        <v>571.13502109682543</v>
      </c>
      <c r="E21" s="248">
        <f t="shared" si="0"/>
        <v>1201.1350210968253</v>
      </c>
      <c r="F21" s="76">
        <f>WATER!L21</f>
        <v>1</v>
      </c>
      <c r="G21" s="79">
        <f>WATER!BG21</f>
        <v>-65.999999999999972</v>
      </c>
      <c r="H21" s="80">
        <f>ELEC!AF19</f>
        <v>929</v>
      </c>
      <c r="I21" s="80">
        <f>ELEC!Q19</f>
        <v>2218.9999999991414</v>
      </c>
      <c r="J21" s="80">
        <f>ELEC!R19</f>
        <v>11273.000000000859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570</v>
      </c>
      <c r="C22" s="77">
        <f>'B5'!AH22</f>
        <v>552</v>
      </c>
      <c r="D22" s="77">
        <f>GEN!AI20</f>
        <v>582.45991561202788</v>
      </c>
      <c r="E22" s="248">
        <f t="shared" si="0"/>
        <v>1704.459915612028</v>
      </c>
      <c r="F22" s="76">
        <f>WATER!L22</f>
        <v>0</v>
      </c>
      <c r="G22" s="79">
        <f>WATER!BG22</f>
        <v>31.299999999999955</v>
      </c>
      <c r="H22" s="80">
        <f>ELEC!AF20</f>
        <v>801</v>
      </c>
      <c r="I22" s="80">
        <f>ELEC!Q20</f>
        <v>2263.0000000008295</v>
      </c>
      <c r="J22" s="80">
        <f>ELEC!R20</f>
        <v>9621.9999999991705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499</v>
      </c>
      <c r="C23" s="77">
        <f>'B5'!AH23</f>
        <v>0</v>
      </c>
      <c r="D23" s="77">
        <f>GEN!AI21</f>
        <v>672.54430379730741</v>
      </c>
      <c r="E23" s="248">
        <f t="shared" si="0"/>
        <v>1171.5443037973073</v>
      </c>
      <c r="F23" s="76">
        <f>WATER!L23</f>
        <v>1</v>
      </c>
      <c r="G23" s="79">
        <f>WATER!BG23</f>
        <v>-51.59999999999998</v>
      </c>
      <c r="H23" s="80">
        <f>ELEC!AF21</f>
        <v>450</v>
      </c>
      <c r="I23" s="80">
        <f>ELEC!Q21</f>
        <v>2612.9999999993743</v>
      </c>
      <c r="J23" s="80">
        <f>ELEC!R21</f>
        <v>9463.0000000006257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1</v>
      </c>
      <c r="G24" s="79">
        <f>WATER!BG24</f>
        <v>-16.200000000000045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8</v>
      </c>
      <c r="E13">
        <f t="shared" si="0"/>
        <v>720</v>
      </c>
      <c r="F13">
        <f>'B5'!AM12</f>
        <v>1</v>
      </c>
      <c r="G13">
        <f t="shared" si="1"/>
        <v>107</v>
      </c>
    </row>
    <row r="14" spans="3:21">
      <c r="C14" s="100">
        <v>42438</v>
      </c>
      <c r="D14">
        <f>'B5'!AL13</f>
        <v>10</v>
      </c>
      <c r="E14">
        <f t="shared" si="0"/>
        <v>900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14</v>
      </c>
      <c r="E16">
        <f t="shared" si="0"/>
        <v>1260</v>
      </c>
      <c r="F16">
        <f>'B5'!AM15</f>
        <v>9</v>
      </c>
      <c r="G16">
        <f t="shared" si="1"/>
        <v>963</v>
      </c>
    </row>
    <row r="17" spans="3:7">
      <c r="C17" s="100">
        <v>42441</v>
      </c>
      <c r="D17">
        <f>'B5'!AL16</f>
        <v>12</v>
      </c>
      <c r="E17">
        <f t="shared" si="0"/>
        <v>1080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9</v>
      </c>
      <c r="E19">
        <f t="shared" si="0"/>
        <v>810</v>
      </c>
      <c r="F19">
        <f>'B5'!AM18</f>
        <v>9</v>
      </c>
      <c r="G19">
        <f t="shared" si="1"/>
        <v>963</v>
      </c>
    </row>
    <row r="20" spans="3:7">
      <c r="C20" s="100">
        <v>42444</v>
      </c>
      <c r="D20">
        <f>'B5'!AL19</f>
        <v>15</v>
      </c>
      <c r="E20">
        <f t="shared" si="0"/>
        <v>1350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10</v>
      </c>
      <c r="G23">
        <f t="shared" si="1"/>
        <v>1070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F1" zoomScale="80" zoomScaleNormal="80" workbookViewId="0">
      <selection activeCell="U22" sqref="U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108.41734805954376</v>
      </c>
      <c r="P4" s="313">
        <f>SUM(L4:O4)</f>
        <v>501.77854208939448</v>
      </c>
      <c r="Q4" s="313">
        <f>SUM(-tanks!AX6*tanks!$AU$37)</f>
        <v>617.02667258065037</v>
      </c>
      <c r="R4" s="313">
        <f>SUM(P4:Q4)</f>
        <v>1118.8052146700447</v>
      </c>
      <c r="S4" s="316">
        <f>SUM(ELEC!N3)</f>
        <v>11338</v>
      </c>
      <c r="T4" s="352">
        <f>IF(S4&gt;0,R4/S4,0)</f>
        <v>9.8677475275184751E-2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108.41734805954376</v>
      </c>
      <c r="P5" s="313">
        <f t="shared" ref="P5:P32" si="9">SUM(L5:O5)</f>
        <v>633.25980245423705</v>
      </c>
      <c r="Q5" s="313">
        <f>SUM(-tanks!AX7*tanks!$AU$37)</f>
        <v>452.91473387096181</v>
      </c>
      <c r="R5" s="313">
        <f t="shared" ref="R5:R32" si="10">SUM(P5:Q5)</f>
        <v>1086.1745363251989</v>
      </c>
      <c r="S5" s="316">
        <f>SUM(ELEC!N4)</f>
        <v>13781</v>
      </c>
      <c r="T5" s="352">
        <f>IF(S5&gt;0,R5/S5,0)</f>
        <v>7.8816815639300403E-2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108.41734805954376</v>
      </c>
      <c r="P6" s="313">
        <f t="shared" si="9"/>
        <v>434.31850892189863</v>
      </c>
      <c r="Q6" s="313">
        <f>SUM(-tanks!AX8*tanks!$AU$37)</f>
        <v>568.60489193548699</v>
      </c>
      <c r="R6" s="313">
        <f t="shared" si="10"/>
        <v>1002.9234008573856</v>
      </c>
      <c r="S6" s="316">
        <f>SUM(ELEC!N5)</f>
        <v>10327</v>
      </c>
      <c r="T6" s="352">
        <f t="shared" ref="T6:T32" si="12">IF(S6&gt;0,R6/S6,0)</f>
        <v>9.711662640238071E-2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108.41734805954376</v>
      </c>
      <c r="P7" s="313">
        <f t="shared" si="9"/>
        <v>526.65681737961006</v>
      </c>
      <c r="Q7" s="313">
        <f>SUM(-tanks!AX9*tanks!$AU$37)</f>
        <v>428.42949435483507</v>
      </c>
      <c r="R7" s="313">
        <f t="shared" si="10"/>
        <v>955.08631173444519</v>
      </c>
      <c r="S7" s="316">
        <f>SUM(ELEC!N6)</f>
        <v>12214</v>
      </c>
      <c r="T7" s="352">
        <f t="shared" si="12"/>
        <v>7.8196030107617914E-2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108.41734805954376</v>
      </c>
      <c r="P8" s="313">
        <f t="shared" si="9"/>
        <v>553.41369963499983</v>
      </c>
      <c r="Q8" s="313">
        <f>SUM(-tanks!AX10*tanks!$AU$37)</f>
        <v>621.07886129032363</v>
      </c>
      <c r="R8" s="313">
        <f t="shared" si="10"/>
        <v>1174.4925609253235</v>
      </c>
      <c r="S8" s="316">
        <f>SUM(ELEC!N7)</f>
        <v>13334</v>
      </c>
      <c r="T8" s="352">
        <f>IF(S8&gt;0,R8/S8,0)</f>
        <v>8.8082537942502134E-2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108.41734805954376</v>
      </c>
      <c r="P9" s="313">
        <f t="shared" si="9"/>
        <v>600.36826016567977</v>
      </c>
      <c r="Q9" s="313">
        <f>SUM(-tanks!AX11*tanks!$AU$37)</f>
        <v>381.41865241935648</v>
      </c>
      <c r="R9" s="313">
        <f>SUM(P9:Q9)</f>
        <v>981.78691258503625</v>
      </c>
      <c r="S9" s="316">
        <f>SUM(ELEC!N8)</f>
        <v>11008</v>
      </c>
      <c r="T9" s="352">
        <f t="shared" si="12"/>
        <v>8.9188491332216235E-2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v>49462368</v>
      </c>
      <c r="C10" s="271">
        <f t="shared" si="4"/>
        <v>5109</v>
      </c>
      <c r="D10" s="325">
        <f t="shared" si="5"/>
        <v>5109</v>
      </c>
      <c r="E10" s="325">
        <f t="shared" si="11"/>
        <v>49462368</v>
      </c>
      <c r="F10" s="568">
        <v>7949814</v>
      </c>
      <c r="G10" s="161">
        <f t="shared" si="0"/>
        <v>714</v>
      </c>
      <c r="H10" s="568">
        <v>24357534</v>
      </c>
      <c r="I10" s="162">
        <f t="shared" si="1"/>
        <v>2329</v>
      </c>
      <c r="J10" s="568">
        <v>17155019</v>
      </c>
      <c r="K10" s="163">
        <f t="shared" si="2"/>
        <v>2066</v>
      </c>
      <c r="L10" s="312">
        <f t="shared" si="6"/>
        <v>151.56218905472636</v>
      </c>
      <c r="M10" s="312">
        <f t="shared" si="7"/>
        <v>173.0334991708126</v>
      </c>
      <c r="N10" s="312">
        <f t="shared" si="8"/>
        <v>109.63847429519072</v>
      </c>
      <c r="O10" s="312">
        <f t="shared" si="3"/>
        <v>108.41734805954376</v>
      </c>
      <c r="P10" s="313">
        <f t="shared" si="9"/>
        <v>542.65151058027345</v>
      </c>
      <c r="Q10" s="313">
        <f>SUM(-tanks!AX12*tanks!$AU$37)</f>
        <v>-409.04953548386794</v>
      </c>
      <c r="R10" s="313">
        <f t="shared" si="10"/>
        <v>133.60197509640551</v>
      </c>
      <c r="S10" s="316">
        <f>SUM(ELEC!N9)</f>
        <v>12629</v>
      </c>
      <c r="T10" s="352">
        <f t="shared" si="12"/>
        <v>1.0578982904141698E-2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v>49468292</v>
      </c>
      <c r="C11" s="271">
        <f t="shared" si="4"/>
        <v>5924</v>
      </c>
      <c r="D11" s="325">
        <f>SUM(G11+I11+K11)</f>
        <v>5925</v>
      </c>
      <c r="E11" s="325">
        <f t="shared" si="11"/>
        <v>49468293</v>
      </c>
      <c r="F11" s="568">
        <v>7950977</v>
      </c>
      <c r="G11" s="161">
        <f t="shared" si="0"/>
        <v>1163</v>
      </c>
      <c r="H11" s="568">
        <v>24360747</v>
      </c>
      <c r="I11" s="162">
        <f t="shared" si="1"/>
        <v>3213</v>
      </c>
      <c r="J11" s="568">
        <v>17156568</v>
      </c>
      <c r="K11" s="163">
        <f t="shared" si="2"/>
        <v>1549</v>
      </c>
      <c r="L11" s="312">
        <f t="shared" si="6"/>
        <v>246.87230514096186</v>
      </c>
      <c r="M11" s="312">
        <f t="shared" si="7"/>
        <v>238.71044776119402</v>
      </c>
      <c r="N11" s="312">
        <f t="shared" si="8"/>
        <v>82.20232172470979</v>
      </c>
      <c r="O11" s="312">
        <f t="shared" si="3"/>
        <v>108.41734805954376</v>
      </c>
      <c r="P11" s="313">
        <f t="shared" si="9"/>
        <v>676.20242268640948</v>
      </c>
      <c r="Q11" s="313">
        <f>SUM(-tanks!AX13*tanks!$AU$37)</f>
        <v>353.35153709676945</v>
      </c>
      <c r="R11" s="313">
        <f t="shared" si="10"/>
        <v>1029.5539597831789</v>
      </c>
      <c r="S11" s="316">
        <f>SUM(ELEC!N10)</f>
        <v>12830</v>
      </c>
      <c r="T11" s="352">
        <f t="shared" si="12"/>
        <v>8.0245826951144114E-2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v>49472520</v>
      </c>
      <c r="C12" s="271">
        <f t="shared" si="4"/>
        <v>4228</v>
      </c>
      <c r="D12" s="325">
        <f t="shared" si="5"/>
        <v>4230</v>
      </c>
      <c r="E12" s="325">
        <f t="shared" si="11"/>
        <v>49472522</v>
      </c>
      <c r="F12" s="568">
        <v>7951674</v>
      </c>
      <c r="G12" s="161">
        <f t="shared" si="0"/>
        <v>697</v>
      </c>
      <c r="H12" s="568">
        <v>24362916</v>
      </c>
      <c r="I12" s="162">
        <f t="shared" si="1"/>
        <v>2169</v>
      </c>
      <c r="J12" s="568">
        <v>17157932</v>
      </c>
      <c r="K12" s="163">
        <f t="shared" si="2"/>
        <v>1364</v>
      </c>
      <c r="L12" s="312">
        <f t="shared" si="6"/>
        <v>147.95356550580431</v>
      </c>
      <c r="M12" s="312">
        <f t="shared" si="7"/>
        <v>161.14626865671642</v>
      </c>
      <c r="N12" s="312">
        <f t="shared" si="8"/>
        <v>72.384742951907128</v>
      </c>
      <c r="O12" s="312">
        <f t="shared" si="3"/>
        <v>108.41734805954376</v>
      </c>
      <c r="P12" s="313">
        <f t="shared" si="9"/>
        <v>489.90192517397162</v>
      </c>
      <c r="Q12" s="313">
        <f>SUM(-tanks!AX14*tanks!$AU$37)</f>
        <v>512.43658064516035</v>
      </c>
      <c r="R12" s="313">
        <f t="shared" si="10"/>
        <v>1002.338505819132</v>
      </c>
      <c r="S12" s="316">
        <f>SUM(ELEC!N11)</f>
        <v>10890</v>
      </c>
      <c r="T12" s="352">
        <f t="shared" si="12"/>
        <v>9.2042103381003854E-2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v>49477474</v>
      </c>
      <c r="C13" s="271">
        <f t="shared" si="4"/>
        <v>4954</v>
      </c>
      <c r="D13" s="325">
        <f t="shared" si="5"/>
        <v>4954</v>
      </c>
      <c r="E13" s="325">
        <f t="shared" si="11"/>
        <v>49477474</v>
      </c>
      <c r="F13" s="568">
        <v>7952563</v>
      </c>
      <c r="G13" s="161">
        <f t="shared" si="0"/>
        <v>889</v>
      </c>
      <c r="H13" s="568">
        <v>24365031</v>
      </c>
      <c r="I13" s="162">
        <f t="shared" si="1"/>
        <v>2115</v>
      </c>
      <c r="J13" s="568">
        <v>17159882</v>
      </c>
      <c r="K13" s="163">
        <f t="shared" si="2"/>
        <v>1950</v>
      </c>
      <c r="L13" s="312">
        <f t="shared" si="6"/>
        <v>188.70978441127696</v>
      </c>
      <c r="M13" s="312">
        <f t="shared" si="7"/>
        <v>157.13432835820896</v>
      </c>
      <c r="N13" s="312">
        <f t="shared" si="8"/>
        <v>103.48258706467662</v>
      </c>
      <c r="O13" s="312">
        <f t="shared" si="3"/>
        <v>108.41734805954376</v>
      </c>
      <c r="P13" s="313">
        <f t="shared" si="9"/>
        <v>557.74404789370635</v>
      </c>
      <c r="Q13" s="313">
        <f>SUM(-tanks!AX15*tanks!$AU$37)</f>
        <v>401.36264596776198</v>
      </c>
      <c r="R13" s="313">
        <f t="shared" si="10"/>
        <v>959.10669386146833</v>
      </c>
      <c r="S13" s="316">
        <f>SUM(ELEC!N12)</f>
        <v>10518</v>
      </c>
      <c r="T13" s="352">
        <f t="shared" si="12"/>
        <v>9.1187173784128953E-2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v>49482284</v>
      </c>
      <c r="C14" s="271">
        <f t="shared" si="4"/>
        <v>4810</v>
      </c>
      <c r="D14" s="325">
        <f t="shared" si="5"/>
        <v>4809</v>
      </c>
      <c r="E14" s="325">
        <f t="shared" si="11"/>
        <v>49482283</v>
      </c>
      <c r="F14" s="568">
        <v>7953523</v>
      </c>
      <c r="G14" s="161">
        <f t="shared" si="0"/>
        <v>960</v>
      </c>
      <c r="H14" s="568">
        <v>24367192</v>
      </c>
      <c r="I14" s="162">
        <f t="shared" si="1"/>
        <v>2161</v>
      </c>
      <c r="J14" s="568">
        <v>17161570</v>
      </c>
      <c r="K14" s="163">
        <f t="shared" si="2"/>
        <v>1688</v>
      </c>
      <c r="L14" s="312">
        <f t="shared" si="6"/>
        <v>203.78109452736319</v>
      </c>
      <c r="M14" s="312">
        <f t="shared" si="7"/>
        <v>160.5519071310116</v>
      </c>
      <c r="N14" s="312">
        <f t="shared" si="8"/>
        <v>89.578772802653404</v>
      </c>
      <c r="O14" s="312">
        <f t="shared" si="3"/>
        <v>108.41734805954376</v>
      </c>
      <c r="P14" s="313">
        <f t="shared" si="9"/>
        <v>562.3291225205719</v>
      </c>
      <c r="Q14" s="313">
        <f>SUM(-tanks!AX16*tanks!$AU$37)</f>
        <v>208.99274032255246</v>
      </c>
      <c r="R14" s="313">
        <f>SUM(P14:Q14)</f>
        <v>771.32186284312434</v>
      </c>
      <c r="S14" s="316">
        <f>SUM(ELEC!N13)</f>
        <v>10923</v>
      </c>
      <c r="T14" s="352">
        <f t="shared" si="12"/>
        <v>7.0614470643882113E-2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v>49487286</v>
      </c>
      <c r="C15" s="271">
        <f t="shared" si="4"/>
        <v>5002</v>
      </c>
      <c r="D15" s="325">
        <f t="shared" si="5"/>
        <v>5003</v>
      </c>
      <c r="E15" s="325">
        <f t="shared" si="11"/>
        <v>49487287</v>
      </c>
      <c r="F15" s="568">
        <v>7954266</v>
      </c>
      <c r="G15" s="161">
        <f t="shared" si="0"/>
        <v>743</v>
      </c>
      <c r="H15" s="568">
        <v>24369776</v>
      </c>
      <c r="I15" s="162">
        <f t="shared" si="1"/>
        <v>2584</v>
      </c>
      <c r="J15" s="568">
        <v>17163246</v>
      </c>
      <c r="K15" s="163">
        <f t="shared" si="2"/>
        <v>1676</v>
      </c>
      <c r="L15" s="312">
        <f t="shared" si="6"/>
        <v>157.71807628524047</v>
      </c>
      <c r="M15" s="312">
        <f t="shared" si="7"/>
        <v>191.9787728026534</v>
      </c>
      <c r="N15" s="312">
        <f t="shared" si="8"/>
        <v>88.941956882255383</v>
      </c>
      <c r="O15" s="312">
        <f t="shared" si="3"/>
        <v>108.41734805954376</v>
      </c>
      <c r="P15" s="313">
        <f t="shared" si="9"/>
        <v>547.05615402969295</v>
      </c>
      <c r="Q15" s="313">
        <f>SUM(-tanks!AX17*tanks!$AU$37)</f>
        <v>628.4811774193588</v>
      </c>
      <c r="R15" s="313">
        <f t="shared" si="10"/>
        <v>1175.5373314490516</v>
      </c>
      <c r="S15" s="316">
        <f>SUM(ELEC!N14)</f>
        <v>11363.399999999907</v>
      </c>
      <c r="T15" s="352">
        <f t="shared" si="12"/>
        <v>0.10344943691580524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v>49492195</v>
      </c>
      <c r="C16" s="271">
        <f t="shared" si="4"/>
        <v>4909</v>
      </c>
      <c r="D16" s="325">
        <f t="shared" si="5"/>
        <v>4907</v>
      </c>
      <c r="E16" s="325">
        <f t="shared" si="11"/>
        <v>49492193</v>
      </c>
      <c r="F16" s="568">
        <v>7954905</v>
      </c>
      <c r="G16" s="161">
        <f t="shared" si="0"/>
        <v>639</v>
      </c>
      <c r="H16" s="568">
        <v>24372318</v>
      </c>
      <c r="I16" s="162">
        <f t="shared" si="1"/>
        <v>2542</v>
      </c>
      <c r="J16" s="568">
        <v>17164972</v>
      </c>
      <c r="K16" s="163">
        <f t="shared" si="2"/>
        <v>1726</v>
      </c>
      <c r="L16" s="312">
        <f t="shared" si="6"/>
        <v>135.64179104477611</v>
      </c>
      <c r="M16" s="312">
        <f t="shared" si="7"/>
        <v>188.85837479270316</v>
      </c>
      <c r="N16" s="312">
        <f t="shared" si="8"/>
        <v>91.595356550580433</v>
      </c>
      <c r="O16" s="312">
        <f t="shared" si="3"/>
        <v>108.41734805954376</v>
      </c>
      <c r="P16" s="313">
        <f t="shared" si="9"/>
        <v>524.5128704476034</v>
      </c>
      <c r="Q16" s="313">
        <f>SUM(-tanks!AX18*tanks!$AU$37)</f>
        <v>278.23438709677868</v>
      </c>
      <c r="R16" s="313">
        <f t="shared" si="10"/>
        <v>802.74725754438214</v>
      </c>
      <c r="S16" s="316">
        <f>SUM(ELEC!N15)</f>
        <v>11590.600000000093</v>
      </c>
      <c r="T16" s="352">
        <f t="shared" si="12"/>
        <v>6.9258473033697629E-2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v>49498330</v>
      </c>
      <c r="C17" s="271">
        <f t="shared" si="4"/>
        <v>6135</v>
      </c>
      <c r="D17" s="325">
        <f t="shared" si="5"/>
        <v>6135</v>
      </c>
      <c r="E17" s="325">
        <f t="shared" si="11"/>
        <v>49498330</v>
      </c>
      <c r="F17" s="568">
        <v>7956142</v>
      </c>
      <c r="G17" s="161">
        <f t="shared" si="0"/>
        <v>1237</v>
      </c>
      <c r="H17" s="568">
        <v>24375191</v>
      </c>
      <c r="I17" s="162">
        <f t="shared" si="1"/>
        <v>2873</v>
      </c>
      <c r="J17" s="568">
        <v>17166997</v>
      </c>
      <c r="K17" s="163">
        <f t="shared" si="2"/>
        <v>2025</v>
      </c>
      <c r="L17" s="312">
        <f t="shared" si="6"/>
        <v>262.58043117744609</v>
      </c>
      <c r="M17" s="312">
        <f t="shared" si="7"/>
        <v>213.45008291873964</v>
      </c>
      <c r="N17" s="312">
        <f t="shared" si="8"/>
        <v>107.46268656716418</v>
      </c>
      <c r="O17" s="312">
        <f t="shared" si="3"/>
        <v>108.41734805954376</v>
      </c>
      <c r="P17" s="313">
        <f t="shared" si="9"/>
        <v>691.91054872289362</v>
      </c>
      <c r="Q17" s="313">
        <f>SUM(-tanks!AX19*tanks!$AU$37)</f>
        <v>319.92353629032061</v>
      </c>
      <c r="R17" s="313">
        <f t="shared" si="10"/>
        <v>1011.8340850132142</v>
      </c>
      <c r="S17" s="316">
        <f>SUM(ELEC!N16)</f>
        <v>13973</v>
      </c>
      <c r="T17" s="352">
        <f t="shared" si="12"/>
        <v>7.2413517856810578E-2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v>49503848</v>
      </c>
      <c r="C18" s="271">
        <f t="shared" si="4"/>
        <v>5518</v>
      </c>
      <c r="D18" s="325">
        <f t="shared" si="5"/>
        <v>5519</v>
      </c>
      <c r="E18" s="325">
        <f t="shared" si="11"/>
        <v>49503849</v>
      </c>
      <c r="F18" s="568">
        <v>7957060</v>
      </c>
      <c r="G18" s="161">
        <f t="shared" si="0"/>
        <v>918</v>
      </c>
      <c r="H18" s="568">
        <v>24377592</v>
      </c>
      <c r="I18" s="162">
        <f t="shared" si="1"/>
        <v>2401</v>
      </c>
      <c r="J18" s="568">
        <v>17169197</v>
      </c>
      <c r="K18" s="163">
        <f t="shared" si="2"/>
        <v>2200</v>
      </c>
      <c r="L18" s="312">
        <f t="shared" si="6"/>
        <v>194.86567164179104</v>
      </c>
      <c r="M18" s="312">
        <f t="shared" si="7"/>
        <v>178.38275290215589</v>
      </c>
      <c r="N18" s="312">
        <f t="shared" si="8"/>
        <v>116.74958540630182</v>
      </c>
      <c r="O18" s="312">
        <f t="shared" si="3"/>
        <v>108.41734805954376</v>
      </c>
      <c r="P18" s="313">
        <f t="shared" si="9"/>
        <v>598.4153580097925</v>
      </c>
      <c r="Q18" s="313">
        <f>SUM(-tanks!AX20*tanks!$AU$37)</f>
        <v>752.44441209676177</v>
      </c>
      <c r="R18" s="313">
        <f t="shared" si="10"/>
        <v>1350.8597701065542</v>
      </c>
      <c r="S18" s="316">
        <f>SUM(ELEC!N17)</f>
        <v>13170.799999999814</v>
      </c>
      <c r="T18" s="352">
        <f t="shared" si="12"/>
        <v>0.10256474702421821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v>49510352</v>
      </c>
      <c r="C19" s="271">
        <f t="shared" si="4"/>
        <v>6504</v>
      </c>
      <c r="D19" s="325">
        <f t="shared" si="5"/>
        <v>6503</v>
      </c>
      <c r="E19" s="325">
        <f t="shared" si="11"/>
        <v>49510351</v>
      </c>
      <c r="F19" s="568">
        <v>7958267</v>
      </c>
      <c r="G19" s="161">
        <f>F19-F18</f>
        <v>1207</v>
      </c>
      <c r="H19" s="568">
        <v>24380984</v>
      </c>
      <c r="I19" s="162">
        <f t="shared" si="1"/>
        <v>3392</v>
      </c>
      <c r="J19" s="568">
        <v>17171101</v>
      </c>
      <c r="K19" s="163">
        <f t="shared" si="2"/>
        <v>1904</v>
      </c>
      <c r="L19" s="312">
        <f t="shared" si="6"/>
        <v>256.21227197346599</v>
      </c>
      <c r="M19" s="312">
        <f t="shared" si="7"/>
        <v>252.00928689883915</v>
      </c>
      <c r="N19" s="312">
        <f t="shared" si="8"/>
        <v>101.04145936981757</v>
      </c>
      <c r="O19" s="312">
        <f t="shared" si="3"/>
        <v>108.41734805954376</v>
      </c>
      <c r="P19" s="313">
        <f t="shared" si="9"/>
        <v>717.68036630166648</v>
      </c>
      <c r="Q19" s="313">
        <f>SUM(-tanks!AX21*tanks!$AU$37)</f>
        <v>279.11366774193817</v>
      </c>
      <c r="R19" s="313">
        <f t="shared" si="10"/>
        <v>996.7940340436046</v>
      </c>
      <c r="S19" s="316">
        <f>SUM(ELEC!N18)</f>
        <v>13465.200000000186</v>
      </c>
      <c r="T19" s="352">
        <f t="shared" si="12"/>
        <v>7.4027421356057901E-2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v>49516213</v>
      </c>
      <c r="C20" s="271">
        <f t="shared" si="4"/>
        <v>5861</v>
      </c>
      <c r="D20" s="325">
        <f t="shared" si="5"/>
        <v>5861</v>
      </c>
      <c r="E20" s="325">
        <f t="shared" si="11"/>
        <v>49516213</v>
      </c>
      <c r="F20" s="568">
        <v>7958922</v>
      </c>
      <c r="G20" s="161">
        <f t="shared" si="0"/>
        <v>655</v>
      </c>
      <c r="H20" s="568">
        <v>24384084</v>
      </c>
      <c r="I20" s="162">
        <f t="shared" si="1"/>
        <v>3100</v>
      </c>
      <c r="J20" s="568">
        <v>17173207</v>
      </c>
      <c r="K20" s="163">
        <f t="shared" si="2"/>
        <v>2106</v>
      </c>
      <c r="L20" s="312">
        <f t="shared" si="6"/>
        <v>139.03814262023218</v>
      </c>
      <c r="M20" s="312">
        <f t="shared" si="7"/>
        <v>230.31509121061359</v>
      </c>
      <c r="N20" s="312">
        <f t="shared" si="8"/>
        <v>111.76119402985074</v>
      </c>
      <c r="O20" s="312">
        <f t="shared" si="3"/>
        <v>108.41734805954376</v>
      </c>
      <c r="P20" s="313">
        <f t="shared" si="9"/>
        <v>589.53177592024019</v>
      </c>
      <c r="Q20" s="313">
        <f>SUM(-tanks!AX22*tanks!$AU$37)</f>
        <v>382.30134112902977</v>
      </c>
      <c r="R20" s="313">
        <f t="shared" si="10"/>
        <v>971.83311704926996</v>
      </c>
      <c r="S20" s="316">
        <f>SUM(ELEC!N19)</f>
        <v>13492</v>
      </c>
      <c r="T20" s="352">
        <f t="shared" si="12"/>
        <v>7.20303229357597E-2</v>
      </c>
      <c r="AB20" s="271"/>
    </row>
    <row r="21" spans="1:32">
      <c r="A21" s="164">
        <f>ELEC!C20</f>
        <v>43879</v>
      </c>
      <c r="B21" s="568">
        <v>49521193</v>
      </c>
      <c r="C21" s="271">
        <f t="shared" si="4"/>
        <v>4980</v>
      </c>
      <c r="D21" s="325">
        <f t="shared" si="5"/>
        <v>4980</v>
      </c>
      <c r="E21" s="325">
        <f t="shared" si="11"/>
        <v>49521193</v>
      </c>
      <c r="F21" s="568">
        <v>7960053</v>
      </c>
      <c r="G21" s="161">
        <f t="shared" si="0"/>
        <v>1131</v>
      </c>
      <c r="H21" s="568">
        <v>24386402</v>
      </c>
      <c r="I21" s="162">
        <f t="shared" si="1"/>
        <v>2318</v>
      </c>
      <c r="J21" s="568">
        <v>17174738</v>
      </c>
      <c r="K21" s="163">
        <f t="shared" si="2"/>
        <v>1531</v>
      </c>
      <c r="L21" s="312">
        <f t="shared" si="6"/>
        <v>240.07960199004975</v>
      </c>
      <c r="M21" s="312">
        <f t="shared" si="7"/>
        <v>172.2162520729685</v>
      </c>
      <c r="N21" s="312">
        <f t="shared" si="8"/>
        <v>81.247097844112773</v>
      </c>
      <c r="O21" s="312">
        <f t="shared" si="3"/>
        <v>108.41734805954376</v>
      </c>
      <c r="P21" s="313">
        <f t="shared" si="9"/>
        <v>601.96029996667482</v>
      </c>
      <c r="Q21" s="313">
        <f>SUM(-tanks!AX23*tanks!$AU$37)</f>
        <v>-817.32884838708082</v>
      </c>
      <c r="R21" s="313">
        <f t="shared" si="10"/>
        <v>-215.368548420406</v>
      </c>
      <c r="S21" s="316">
        <f>SUM(ELEC!N20)</f>
        <v>11885</v>
      </c>
      <c r="T21" s="352">
        <f t="shared" si="12"/>
        <v>-1.8121038992040893E-2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v>49526042</v>
      </c>
      <c r="C22" s="271">
        <f t="shared" si="4"/>
        <v>4849</v>
      </c>
      <c r="D22" s="325">
        <f t="shared" si="5"/>
        <v>4849</v>
      </c>
      <c r="E22" s="325">
        <f t="shared" si="11"/>
        <v>49526042</v>
      </c>
      <c r="F22" s="568">
        <v>7960782</v>
      </c>
      <c r="G22" s="161">
        <f t="shared" si="0"/>
        <v>729</v>
      </c>
      <c r="H22" s="568">
        <v>24388662</v>
      </c>
      <c r="I22" s="162">
        <f t="shared" si="1"/>
        <v>2260</v>
      </c>
      <c r="J22" s="568">
        <v>17176598</v>
      </c>
      <c r="K22" s="163">
        <f t="shared" si="2"/>
        <v>1860</v>
      </c>
      <c r="L22" s="312">
        <f t="shared" si="6"/>
        <v>154.74626865671641</v>
      </c>
      <c r="M22" s="312">
        <f t="shared" si="7"/>
        <v>167.90713101160861</v>
      </c>
      <c r="N22" s="312">
        <f t="shared" si="8"/>
        <v>98.706467661691548</v>
      </c>
      <c r="O22" s="312">
        <f t="shared" si="3"/>
        <v>108.41734805954376</v>
      </c>
      <c r="P22" s="313">
        <f t="shared" si="9"/>
        <v>529.7772153895603</v>
      </c>
      <c r="Q22" s="313">
        <f>SUM(-tanks!AX24*tanks!$AU$37)</f>
        <v>770.39979999998923</v>
      </c>
      <c r="R22" s="313">
        <f t="shared" si="10"/>
        <v>1300.1770153895495</v>
      </c>
      <c r="S22" s="316">
        <f>SUM(ELEC!N21)</f>
        <v>12076</v>
      </c>
      <c r="T22" s="352">
        <f t="shared" si="12"/>
        <v>0.10766619869075435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f t="shared" ref="B23:B32" si="13">B22</f>
        <v>49526042</v>
      </c>
      <c r="C23" s="271">
        <f t="shared" si="4"/>
        <v>0</v>
      </c>
      <c r="D23" s="325">
        <f t="shared" si="5"/>
        <v>0</v>
      </c>
      <c r="E23" s="325">
        <f t="shared" si="11"/>
        <v>49526042</v>
      </c>
      <c r="F23" s="568">
        <f t="shared" ref="F23:F32" si="14">F22</f>
        <v>7960782</v>
      </c>
      <c r="G23" s="161">
        <f t="shared" si="0"/>
        <v>0</v>
      </c>
      <c r="H23" s="568">
        <f t="shared" ref="H23:H32" si="15">H22</f>
        <v>24388662</v>
      </c>
      <c r="I23" s="162">
        <f t="shared" si="1"/>
        <v>0</v>
      </c>
      <c r="J23" s="568">
        <f t="shared" ref="J23:J32" si="16">J22</f>
        <v>17176598</v>
      </c>
      <c r="K23" s="163">
        <f t="shared" si="2"/>
        <v>0</v>
      </c>
      <c r="L23" s="312">
        <f t="shared" si="6"/>
        <v>0</v>
      </c>
      <c r="M23" s="312">
        <f t="shared" si="7"/>
        <v>0</v>
      </c>
      <c r="N23" s="312">
        <f t="shared" si="8"/>
        <v>0</v>
      </c>
      <c r="O23" s="312">
        <f t="shared" si="3"/>
        <v>108.41734805954376</v>
      </c>
      <c r="P23" s="313">
        <f t="shared" si="9"/>
        <v>108.41734805954376</v>
      </c>
      <c r="Q23" s="313">
        <f>SUM(-tanks!AX25*tanks!$AU$37)</f>
        <v>0</v>
      </c>
      <c r="R23" s="313">
        <f t="shared" si="10"/>
        <v>108.41734805954376</v>
      </c>
      <c r="S23" s="316">
        <f>SUM(ELEC!N22)</f>
        <v>0</v>
      </c>
      <c r="T23" s="352">
        <f t="shared" si="12"/>
        <v>0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f t="shared" si="13"/>
        <v>49526042</v>
      </c>
      <c r="C24" s="271">
        <f t="shared" si="4"/>
        <v>0</v>
      </c>
      <c r="D24" s="325">
        <f t="shared" si="5"/>
        <v>0</v>
      </c>
      <c r="E24" s="325">
        <f t="shared" si="11"/>
        <v>49526042</v>
      </c>
      <c r="F24" s="568">
        <f t="shared" si="14"/>
        <v>7960782</v>
      </c>
      <c r="G24" s="161">
        <f t="shared" si="0"/>
        <v>0</v>
      </c>
      <c r="H24" s="568">
        <f t="shared" si="15"/>
        <v>24388662</v>
      </c>
      <c r="I24" s="162">
        <f t="shared" si="1"/>
        <v>0</v>
      </c>
      <c r="J24" s="568">
        <f t="shared" si="16"/>
        <v>17176598</v>
      </c>
      <c r="K24" s="163">
        <f t="shared" si="2"/>
        <v>0</v>
      </c>
      <c r="L24" s="312">
        <f t="shared" si="6"/>
        <v>0</v>
      </c>
      <c r="M24" s="312">
        <f t="shared" si="7"/>
        <v>0</v>
      </c>
      <c r="N24" s="312">
        <f t="shared" si="8"/>
        <v>0</v>
      </c>
      <c r="O24" s="312">
        <f t="shared" si="3"/>
        <v>108.41734805954376</v>
      </c>
      <c r="P24" s="313">
        <f t="shared" si="9"/>
        <v>108.41734805954376</v>
      </c>
      <c r="Q24" s="313">
        <f>SUM(-tanks!AX26*tanks!$AU$37)</f>
        <v>0</v>
      </c>
      <c r="R24" s="313">
        <f t="shared" si="10"/>
        <v>108.41734805954376</v>
      </c>
      <c r="S24" s="316">
        <f>SUM(ELEC!N23)</f>
        <v>0</v>
      </c>
      <c r="T24" s="352">
        <f t="shared" si="12"/>
        <v>0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f t="shared" si="13"/>
        <v>49526042</v>
      </c>
      <c r="C25" s="271">
        <f t="shared" si="4"/>
        <v>0</v>
      </c>
      <c r="D25" s="325">
        <f t="shared" si="5"/>
        <v>0</v>
      </c>
      <c r="E25" s="325">
        <f t="shared" si="11"/>
        <v>49526042</v>
      </c>
      <c r="F25" s="568">
        <f t="shared" si="14"/>
        <v>7960782</v>
      </c>
      <c r="G25" s="161">
        <f t="shared" si="0"/>
        <v>0</v>
      </c>
      <c r="H25" s="568">
        <f t="shared" si="15"/>
        <v>24388662</v>
      </c>
      <c r="I25" s="162">
        <f t="shared" si="1"/>
        <v>0</v>
      </c>
      <c r="J25" s="568">
        <f t="shared" si="16"/>
        <v>17176598</v>
      </c>
      <c r="K25" s="163">
        <f t="shared" si="2"/>
        <v>0</v>
      </c>
      <c r="L25" s="312">
        <f t="shared" si="6"/>
        <v>0</v>
      </c>
      <c r="M25" s="312">
        <f t="shared" si="7"/>
        <v>0</v>
      </c>
      <c r="N25" s="312">
        <f t="shared" si="8"/>
        <v>0</v>
      </c>
      <c r="O25" s="312">
        <f t="shared" si="3"/>
        <v>108.41734805954376</v>
      </c>
      <c r="P25" s="313">
        <f t="shared" si="9"/>
        <v>108.41734805954376</v>
      </c>
      <c r="Q25" s="313">
        <f>SUM(-tanks!AX27*tanks!$AU$37)</f>
        <v>0</v>
      </c>
      <c r="R25" s="313">
        <f t="shared" si="10"/>
        <v>108.41734805954376</v>
      </c>
      <c r="S25" s="316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si="13"/>
        <v>49526042</v>
      </c>
      <c r="C26" s="271">
        <f t="shared" si="4"/>
        <v>0</v>
      </c>
      <c r="D26" s="325">
        <f t="shared" si="5"/>
        <v>0</v>
      </c>
      <c r="E26" s="325">
        <f t="shared" si="11"/>
        <v>49526042</v>
      </c>
      <c r="F26" s="568">
        <f t="shared" si="14"/>
        <v>7960782</v>
      </c>
      <c r="G26" s="161">
        <f t="shared" si="0"/>
        <v>0</v>
      </c>
      <c r="H26" s="568">
        <f t="shared" si="15"/>
        <v>24388662</v>
      </c>
      <c r="I26" s="162">
        <f t="shared" si="1"/>
        <v>0</v>
      </c>
      <c r="J26" s="568">
        <f t="shared" si="16"/>
        <v>17176598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108.41734805954376</v>
      </c>
      <c r="P26" s="313">
        <f t="shared" si="9"/>
        <v>108.41734805954376</v>
      </c>
      <c r="Q26" s="313">
        <f>SUM(-tanks!AX28*tanks!$AU$37)</f>
        <v>0</v>
      </c>
      <c r="R26" s="313">
        <f t="shared" si="10"/>
        <v>108.41734805954376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17176598</v>
      </c>
      <c r="X26" s="173" t="s">
        <v>199</v>
      </c>
      <c r="Y26" s="173">
        <v>80</v>
      </c>
      <c r="Z26" s="173">
        <v>1</v>
      </c>
      <c r="AA26" s="200">
        <f>(W26-V26)*Z26</f>
        <v>34865</v>
      </c>
      <c r="AB26" s="200">
        <f>AA26*Y26</f>
        <v>2789200</v>
      </c>
      <c r="AC26" s="255">
        <f>AC9</f>
        <v>1033333</v>
      </c>
      <c r="AD26" s="216">
        <f>SUM(K35)</f>
        <v>0.35299894702737727</v>
      </c>
    </row>
    <row r="27" spans="1:32">
      <c r="A27" s="164">
        <f>ELEC!C26</f>
        <v>43885</v>
      </c>
      <c r="B27" s="568">
        <f t="shared" si="13"/>
        <v>49526042</v>
      </c>
      <c r="C27" s="271">
        <f t="shared" si="4"/>
        <v>0</v>
      </c>
      <c r="D27" s="325">
        <f t="shared" si="5"/>
        <v>0</v>
      </c>
      <c r="E27" s="325">
        <f t="shared" si="11"/>
        <v>49526042</v>
      </c>
      <c r="F27" s="568">
        <f t="shared" si="14"/>
        <v>7960782</v>
      </c>
      <c r="G27" s="161">
        <f t="shared" si="0"/>
        <v>0</v>
      </c>
      <c r="H27" s="568">
        <f t="shared" si="15"/>
        <v>24388662</v>
      </c>
      <c r="I27" s="162">
        <f t="shared" si="1"/>
        <v>0</v>
      </c>
      <c r="J27" s="568">
        <f t="shared" si="16"/>
        <v>17176598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108.41734805954376</v>
      </c>
      <c r="P27" s="313">
        <f t="shared" si="9"/>
        <v>108.41734805954376</v>
      </c>
      <c r="Q27" s="313">
        <f>SUM(-tanks!AX29*tanks!$AU$37)</f>
        <v>0</v>
      </c>
      <c r="R27" s="313">
        <f t="shared" si="10"/>
        <v>108.41734805954376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24388662</v>
      </c>
      <c r="X27" s="173" t="s">
        <v>213</v>
      </c>
      <c r="Y27" s="173">
        <v>112</v>
      </c>
      <c r="Z27" s="173">
        <v>1</v>
      </c>
      <c r="AA27" s="200">
        <f>(W27-V27)*Z27</f>
        <v>47803</v>
      </c>
      <c r="AB27" s="200">
        <f>SUM(AA27*Y27)</f>
        <v>5353936</v>
      </c>
      <c r="AC27" s="255">
        <f>AC10</f>
        <v>6200000</v>
      </c>
      <c r="AD27" s="216">
        <f>SUM(I35)</f>
        <v>0.48399279118742911</v>
      </c>
    </row>
    <row r="28" spans="1:32">
      <c r="A28" s="164">
        <f>ELEC!C27</f>
        <v>43886</v>
      </c>
      <c r="B28" s="568">
        <f t="shared" si="13"/>
        <v>49526042</v>
      </c>
      <c r="C28" s="271">
        <f t="shared" si="4"/>
        <v>0</v>
      </c>
      <c r="D28" s="325">
        <f t="shared" si="5"/>
        <v>0</v>
      </c>
      <c r="E28" s="325">
        <f t="shared" si="11"/>
        <v>49526042</v>
      </c>
      <c r="F28" s="568">
        <f t="shared" si="14"/>
        <v>7960782</v>
      </c>
      <c r="G28" s="161">
        <f t="shared" si="0"/>
        <v>0</v>
      </c>
      <c r="H28" s="568">
        <f t="shared" si="15"/>
        <v>24388662</v>
      </c>
      <c r="I28" s="162">
        <f t="shared" si="1"/>
        <v>0</v>
      </c>
      <c r="J28" s="568">
        <f t="shared" si="16"/>
        <v>17176598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108.41734805954376</v>
      </c>
      <c r="P28" s="313">
        <f t="shared" si="9"/>
        <v>108.41734805954376</v>
      </c>
      <c r="Q28" s="313">
        <f>SUM(-tanks!AX30*tanks!$AU$37)</f>
        <v>0</v>
      </c>
      <c r="R28" s="313">
        <f t="shared" si="10"/>
        <v>108.41734805954376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7960782</v>
      </c>
      <c r="X28" s="173" t="s">
        <v>197</v>
      </c>
      <c r="Y28" s="173">
        <v>320</v>
      </c>
      <c r="Z28" s="173">
        <v>1</v>
      </c>
      <c r="AA28" s="200">
        <f>(W28-V28)*Z28</f>
        <v>16101</v>
      </c>
      <c r="AB28" s="200">
        <f>SUM(AA28*Y28)</f>
        <v>5152320</v>
      </c>
      <c r="AC28" s="255">
        <f>AC11</f>
        <v>1000</v>
      </c>
      <c r="AD28" s="216">
        <f>SUM(G35)</f>
        <v>0.16301838652195044</v>
      </c>
      <c r="AE28" s="40">
        <f>SUM(AB28*5%)</f>
        <v>257616</v>
      </c>
      <c r="AF28" s="83">
        <f>SUM(AE28/7)*31</f>
        <v>1140870.8571428573</v>
      </c>
    </row>
    <row r="29" spans="1:32">
      <c r="A29" s="164">
        <f>ELEC!C28</f>
        <v>43887</v>
      </c>
      <c r="B29" s="568">
        <f t="shared" si="13"/>
        <v>49526042</v>
      </c>
      <c r="C29" s="271">
        <f t="shared" si="4"/>
        <v>0</v>
      </c>
      <c r="D29" s="325">
        <f t="shared" si="5"/>
        <v>0</v>
      </c>
      <c r="E29" s="325">
        <f t="shared" si="11"/>
        <v>49526042</v>
      </c>
      <c r="F29" s="568">
        <f t="shared" si="14"/>
        <v>7960782</v>
      </c>
      <c r="G29" s="161">
        <f t="shared" si="0"/>
        <v>0</v>
      </c>
      <c r="H29" s="568">
        <f t="shared" si="15"/>
        <v>24388662</v>
      </c>
      <c r="I29" s="162">
        <f t="shared" si="1"/>
        <v>0</v>
      </c>
      <c r="J29" s="568">
        <f t="shared" si="16"/>
        <v>17176598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108.41734805954376</v>
      </c>
      <c r="P29" s="313">
        <f t="shared" si="9"/>
        <v>108.41734805954376</v>
      </c>
      <c r="Q29" s="313">
        <f>SUM(-tanks!AX31*tanks!$AU$37)</f>
        <v>0</v>
      </c>
      <c r="R29" s="313">
        <f t="shared" si="10"/>
        <v>108.41734805954376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98769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49526042</v>
      </c>
      <c r="C30" s="271">
        <f t="shared" si="4"/>
        <v>0</v>
      </c>
      <c r="D30" s="325">
        <f t="shared" si="5"/>
        <v>0</v>
      </c>
      <c r="E30" s="325">
        <f t="shared" si="11"/>
        <v>49526042</v>
      </c>
      <c r="F30" s="568">
        <f t="shared" si="14"/>
        <v>7960782</v>
      </c>
      <c r="G30" s="161">
        <f t="shared" si="0"/>
        <v>0</v>
      </c>
      <c r="H30" s="568">
        <f t="shared" si="15"/>
        <v>24388662</v>
      </c>
      <c r="I30" s="162">
        <f t="shared" si="1"/>
        <v>0</v>
      </c>
      <c r="J30" s="568">
        <f t="shared" si="16"/>
        <v>17176598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108.41734805954376</v>
      </c>
      <c r="P30" s="313">
        <f t="shared" si="9"/>
        <v>108.41734805954376</v>
      </c>
      <c r="Q30" s="313">
        <f>SUM(-tanks!AX32*tanks!$AU$37)</f>
        <v>0</v>
      </c>
      <c r="R30" s="313">
        <f t="shared" si="10"/>
        <v>108.41734805954376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0.19376842105263156</v>
      </c>
      <c r="X30" s="221"/>
      <c r="Y30" s="222" t="s">
        <v>332</v>
      </c>
      <c r="Z30" s="3"/>
      <c r="AA30" s="297"/>
      <c r="AB30" s="200">
        <f>SUM(AB26:AB29)</f>
        <v>13295456</v>
      </c>
      <c r="AC30" s="255">
        <f>SUM(AC26:AC29)/A36*A34</f>
        <v>4739735.4137931038</v>
      </c>
    </row>
    <row r="31" spans="1:32">
      <c r="A31" s="164">
        <f>ELEC!C30</f>
        <v>43889</v>
      </c>
      <c r="B31" s="568">
        <f t="shared" si="13"/>
        <v>49526042</v>
      </c>
      <c r="C31" s="271">
        <f t="shared" si="4"/>
        <v>0</v>
      </c>
      <c r="D31" s="325">
        <f t="shared" si="5"/>
        <v>0</v>
      </c>
      <c r="E31" s="325">
        <f t="shared" si="11"/>
        <v>49526042</v>
      </c>
      <c r="F31" s="568">
        <f t="shared" si="14"/>
        <v>7960782</v>
      </c>
      <c r="G31" s="161">
        <f t="shared" si="0"/>
        <v>0</v>
      </c>
      <c r="H31" s="568">
        <f t="shared" si="15"/>
        <v>24388662</v>
      </c>
      <c r="I31" s="162">
        <f t="shared" si="1"/>
        <v>0</v>
      </c>
      <c r="J31" s="568">
        <f t="shared" si="16"/>
        <v>17176598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108.41734805954376</v>
      </c>
      <c r="P31" s="313">
        <f t="shared" si="9"/>
        <v>108.41734805954376</v>
      </c>
      <c r="Q31" s="313">
        <f>SUM(-tanks!AX33*tanks!$AU$37)</f>
        <v>0</v>
      </c>
      <c r="R31" s="313">
        <f t="shared" si="10"/>
        <v>108.41734805954376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69.420000000000073</v>
      </c>
      <c r="X31" s="226">
        <f>SUM(W31/A34)</f>
        <v>3.6536842105263196</v>
      </c>
      <c r="Y31" s="267">
        <f>SUM(X31/2)</f>
        <v>1.8268421052631598</v>
      </c>
      <c r="Z31" s="3"/>
      <c r="AA31" s="3"/>
      <c r="AB31" s="200">
        <f>SUM(AB30+AC31)</f>
        <v>18035191.413793102</v>
      </c>
      <c r="AC31" s="255">
        <f>SUM(AC30)</f>
        <v>4739735.4137931038</v>
      </c>
    </row>
    <row r="32" spans="1:32">
      <c r="A32" s="164">
        <f>ELEC!C31</f>
        <v>43890</v>
      </c>
      <c r="B32" s="568">
        <f t="shared" si="13"/>
        <v>49526042</v>
      </c>
      <c r="C32" s="271">
        <f t="shared" si="4"/>
        <v>0</v>
      </c>
      <c r="D32" s="325">
        <f t="shared" si="5"/>
        <v>0</v>
      </c>
      <c r="E32" s="325">
        <f t="shared" si="11"/>
        <v>49526042</v>
      </c>
      <c r="F32" s="568">
        <f t="shared" si="14"/>
        <v>7960782</v>
      </c>
      <c r="G32" s="161">
        <f t="shared" si="0"/>
        <v>0</v>
      </c>
      <c r="H32" s="568">
        <f t="shared" si="15"/>
        <v>24388662</v>
      </c>
      <c r="I32" s="162">
        <f t="shared" si="1"/>
        <v>0</v>
      </c>
      <c r="J32" s="568">
        <f t="shared" si="16"/>
        <v>17176598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108.41734805954376</v>
      </c>
      <c r="P32" s="313">
        <f t="shared" si="9"/>
        <v>108.41734805954376</v>
      </c>
      <c r="Q32" s="313">
        <f>SUM(-tanks!AX34*tanks!$AU$37)</f>
        <v>0</v>
      </c>
      <c r="R32" s="313">
        <f t="shared" si="10"/>
        <v>108.41734805954376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1835</v>
      </c>
      <c r="L33" s="314">
        <f t="shared" ref="L33:S33" si="17">SUM(L4:L32)</f>
        <v>3417.7910447761192</v>
      </c>
      <c r="M33" s="314">
        <f t="shared" si="17"/>
        <v>3551.5330016583748</v>
      </c>
      <c r="N33" s="314">
        <f t="shared" si="17"/>
        <v>1850.2155887230515</v>
      </c>
      <c r="O33" s="314">
        <f t="shared" si="17"/>
        <v>3144.1030937267669</v>
      </c>
      <c r="P33" s="317">
        <f t="shared" si="17"/>
        <v>11963.642728884315</v>
      </c>
      <c r="Q33" s="317">
        <f t="shared" si="17"/>
        <v>6730.1367483870872</v>
      </c>
      <c r="R33" s="317">
        <f t="shared" si="17"/>
        <v>18693.779477271419</v>
      </c>
      <c r="S33" s="317">
        <f t="shared" si="17"/>
        <v>230808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1983871.0555172411</v>
      </c>
      <c r="AC33" s="290"/>
    </row>
    <row r="34" spans="1:29" ht="15.75" thickBot="1">
      <c r="A34" s="284">
        <f>A36-COUNTIF(C4:C32,0)</f>
        <v>19</v>
      </c>
      <c r="C34" s="177">
        <f>SUM(C4:C32)/A34</f>
        <v>5198.3157894736842</v>
      </c>
      <c r="D34" s="177"/>
      <c r="E34" s="177"/>
      <c r="G34" s="177">
        <f>SUM(G4:G32)/A34</f>
        <v>847.42105263157896</v>
      </c>
      <c r="I34" s="177">
        <f>SUM(I4:I32)/A34</f>
        <v>2515.9473684210525</v>
      </c>
      <c r="K34" s="177"/>
      <c r="L34" s="177">
        <f>SUM(L33*1507.5)</f>
        <v>5152320</v>
      </c>
      <c r="M34" s="177">
        <f>SUM(M33*1507.5)</f>
        <v>5353936</v>
      </c>
      <c r="N34" s="177">
        <f>SUM(N33*1507.5)</f>
        <v>2789200</v>
      </c>
      <c r="O34" s="177">
        <f>SUM(O33*1507.5)</f>
        <v>4739735.413793101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20019062.469310343</v>
      </c>
      <c r="AC34" s="290"/>
    </row>
    <row r="35" spans="1:29" ht="15.75" thickBot="1">
      <c r="A35" s="214"/>
      <c r="C35" s="216">
        <f>SUM(G35:K35)</f>
        <v>1.0000101247367568</v>
      </c>
      <c r="G35" s="229">
        <f>IF(C34&gt;0,G34/C34,0)</f>
        <v>0.16301838652195044</v>
      </c>
      <c r="H35" s="216"/>
      <c r="I35" s="229">
        <f>SUM(I34/C34)</f>
        <v>0.48399279118742911</v>
      </c>
      <c r="J35" s="216"/>
      <c r="K35" s="229">
        <f>SUM(K33/C34)</f>
        <v>0.35299894702737727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11963.642728884313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3159.8236091954027</v>
      </c>
      <c r="Z37" s="40"/>
      <c r="AA37" s="304" t="s">
        <v>215</v>
      </c>
      <c r="AB37" s="305">
        <f>SUM(AB35)</f>
        <v>11963.642728884313</v>
      </c>
    </row>
    <row r="38" spans="1:29">
      <c r="V38" s="221"/>
      <c r="W38" s="83">
        <f>AB30/1500</f>
        <v>8863.637333333334</v>
      </c>
      <c r="Z38" s="310">
        <f>SUM(AB37)</f>
        <v>11963.642728884313</v>
      </c>
      <c r="AA38" s="305"/>
      <c r="AB38" s="305"/>
    </row>
    <row r="39" spans="1:29">
      <c r="V39" s="17"/>
      <c r="W39" s="83">
        <f>SUM(W37:W38)</f>
        <v>12023.460942528736</v>
      </c>
      <c r="Y39" s="83"/>
      <c r="Z39" s="310">
        <f>SUM(-tanks!AX37)*tanks!AU37</f>
        <v>6730.1367483870872</v>
      </c>
      <c r="AA39" s="102">
        <f>SUM(AB31/A34)</f>
        <v>949220.60072595277</v>
      </c>
      <c r="AB39" s="367">
        <f>SUM(AA39*A36)</f>
        <v>27527397.421052631</v>
      </c>
    </row>
    <row r="40" spans="1:29" ht="18.75">
      <c r="W40" s="83">
        <f>AB30/1500</f>
        <v>8863.637333333334</v>
      </c>
      <c r="Z40" s="286">
        <f>SUM(Z38:Z39)</f>
        <v>18693.779477271401</v>
      </c>
      <c r="AA40" s="305">
        <f>SUM(AA39/1507.5)</f>
        <v>629.66540678338492</v>
      </c>
      <c r="AB40" s="366">
        <f>SUM(AB39/1507.5)</f>
        <v>18260.296796718165</v>
      </c>
    </row>
    <row r="41" spans="1:29">
      <c r="W41" s="83">
        <f>SUM(W39:W40)</f>
        <v>20887.09827586207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A10" sqref="A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411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20</v>
      </c>
      <c r="C14" s="279">
        <f>'General information '!C10</f>
        <v>15</v>
      </c>
      <c r="D14" s="120">
        <f t="shared" si="0"/>
        <v>-0.80000000000000071</v>
      </c>
      <c r="E14" s="464">
        <v>5</v>
      </c>
      <c r="F14" s="279">
        <f>'General information '!B10</f>
        <v>20</v>
      </c>
      <c r="G14" s="279">
        <f>'General information '!C10</f>
        <v>15</v>
      </c>
      <c r="H14" s="120">
        <f t="shared" si="1"/>
        <v>-0.80000000000000071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22</v>
      </c>
      <c r="C15" s="279">
        <f>'General information '!C11</f>
        <v>16</v>
      </c>
      <c r="D15" s="120">
        <f t="shared" si="0"/>
        <v>0.69999999999999929</v>
      </c>
      <c r="E15" s="464">
        <v>6</v>
      </c>
      <c r="F15" s="279">
        <f>'General information '!B11</f>
        <v>22</v>
      </c>
      <c r="G15" s="279">
        <f>'General information '!C11</f>
        <v>16</v>
      </c>
      <c r="H15" s="120">
        <f t="shared" si="1"/>
        <v>0.69999999999999929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10</v>
      </c>
      <c r="D16" s="120">
        <f t="shared" si="0"/>
        <v>-5.3000000000000007</v>
      </c>
      <c r="E16" s="464">
        <v>7</v>
      </c>
      <c r="F16" s="279">
        <f>'General information '!B12</f>
        <v>16</v>
      </c>
      <c r="G16" s="279">
        <f>'General information '!C12</f>
        <v>10</v>
      </c>
      <c r="H16" s="120">
        <f t="shared" si="1"/>
        <v>-5.3000000000000007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9</v>
      </c>
      <c r="D17" s="120">
        <f t="shared" si="0"/>
        <v>-6.8000000000000007</v>
      </c>
      <c r="E17" s="464">
        <v>8</v>
      </c>
      <c r="F17" s="279">
        <f>'General information '!B13</f>
        <v>14</v>
      </c>
      <c r="G17" s="279">
        <f>'General information '!C13</f>
        <v>9</v>
      </c>
      <c r="H17" s="120">
        <f t="shared" si="1"/>
        <v>-6.8000000000000007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9</v>
      </c>
      <c r="C18" s="279">
        <f>'General information '!C14</f>
        <v>8</v>
      </c>
      <c r="D18" s="120">
        <f t="shared" si="0"/>
        <v>-9.8000000000000007</v>
      </c>
      <c r="E18" s="464">
        <v>9</v>
      </c>
      <c r="F18" s="279">
        <f>'General information '!B14</f>
        <v>9</v>
      </c>
      <c r="G18" s="279">
        <f>'General information '!C14</f>
        <v>8</v>
      </c>
      <c r="H18" s="120">
        <f t="shared" si="1"/>
        <v>-9.8000000000000007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10</v>
      </c>
      <c r="C19" s="279">
        <f>'General information '!C15</f>
        <v>7</v>
      </c>
      <c r="D19" s="120">
        <f t="shared" si="0"/>
        <v>-9.8000000000000007</v>
      </c>
      <c r="E19" s="464">
        <v>10</v>
      </c>
      <c r="F19" s="279">
        <f>'General information '!B15</f>
        <v>10</v>
      </c>
      <c r="G19" s="279">
        <f>'General information '!C15</f>
        <v>7</v>
      </c>
      <c r="H19" s="120">
        <f t="shared" si="1"/>
        <v>-9.8000000000000007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14</v>
      </c>
      <c r="C20" s="279">
        <f>'General information '!C16</f>
        <v>8</v>
      </c>
      <c r="D20" s="120">
        <f t="shared" si="0"/>
        <v>-7.3000000000000007</v>
      </c>
      <c r="E20" s="464">
        <v>11</v>
      </c>
      <c r="F20" s="279">
        <f>'General information '!B16</f>
        <v>14</v>
      </c>
      <c r="G20" s="279">
        <f>'General information '!C16</f>
        <v>8</v>
      </c>
      <c r="H20" s="120">
        <f t="shared" si="1"/>
        <v>-7.3000000000000007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13</v>
      </c>
      <c r="D21" s="120">
        <f t="shared" si="0"/>
        <v>-3.8000000000000007</v>
      </c>
      <c r="E21" s="464">
        <v>12</v>
      </c>
      <c r="F21" s="279">
        <f>'General information '!B17</f>
        <v>16</v>
      </c>
      <c r="G21" s="279">
        <f>'General information '!C17</f>
        <v>13</v>
      </c>
      <c r="H21" s="120">
        <f t="shared" si="1"/>
        <v>-3.8000000000000007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14</v>
      </c>
      <c r="D22" s="120">
        <f t="shared" si="0"/>
        <v>-2.8000000000000007</v>
      </c>
      <c r="E22" s="464">
        <v>13</v>
      </c>
      <c r="F22" s="279">
        <f>'General information '!B18</f>
        <v>17</v>
      </c>
      <c r="G22" s="279">
        <f>'General information '!C18</f>
        <v>14</v>
      </c>
      <c r="H22" s="120">
        <f t="shared" si="1"/>
        <v>-2.8000000000000007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17</v>
      </c>
      <c r="C23" s="279">
        <f>'General information '!C19</f>
        <v>11</v>
      </c>
      <c r="D23" s="120">
        <f t="shared" si="0"/>
        <v>-4.3000000000000007</v>
      </c>
      <c r="E23" s="464">
        <v>14</v>
      </c>
      <c r="F23" s="279">
        <f>'General information '!B19</f>
        <v>17</v>
      </c>
      <c r="G23" s="279">
        <f>'General information '!C19</f>
        <v>11</v>
      </c>
      <c r="H23" s="120">
        <f t="shared" si="1"/>
        <v>-4.3000000000000007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12</v>
      </c>
      <c r="D24" s="120">
        <f t="shared" si="0"/>
        <v>-3.8000000000000007</v>
      </c>
      <c r="E24" s="464">
        <v>15</v>
      </c>
      <c r="F24" s="279">
        <f>'General information '!B20</f>
        <v>17</v>
      </c>
      <c r="G24" s="279">
        <f>'General information '!C20</f>
        <v>12</v>
      </c>
      <c r="H24" s="120">
        <f t="shared" si="1"/>
        <v>-3.8000000000000007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17</v>
      </c>
      <c r="C25" s="279">
        <f>'General information '!C21</f>
        <v>11</v>
      </c>
      <c r="D25" s="120">
        <f t="shared" si="0"/>
        <v>-4.3000000000000007</v>
      </c>
      <c r="E25" s="464">
        <v>16</v>
      </c>
      <c r="F25" s="279">
        <f>'General information '!B21</f>
        <v>17</v>
      </c>
      <c r="G25" s="279">
        <f>'General information '!C21</f>
        <v>11</v>
      </c>
      <c r="H25" s="120">
        <f t="shared" si="1"/>
        <v>-4.3000000000000007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 ht="15.75" customHeight="1">
      <c r="A26" s="118">
        <v>17</v>
      </c>
      <c r="B26" s="279">
        <f>'General information '!B22</f>
        <v>16</v>
      </c>
      <c r="C26" s="279">
        <f>'General information '!C22</f>
        <v>12</v>
      </c>
      <c r="D26" s="120">
        <f t="shared" si="0"/>
        <v>-4.3000000000000007</v>
      </c>
      <c r="E26" s="464">
        <v>17</v>
      </c>
      <c r="F26" s="279">
        <f>'General information '!B22</f>
        <v>16</v>
      </c>
      <c r="G26" s="279">
        <f>'General information '!C22</f>
        <v>12</v>
      </c>
      <c r="H26" s="120">
        <f t="shared" si="1"/>
        <v>-4.3000000000000007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17</v>
      </c>
      <c r="C27" s="279">
        <f>'General information '!C23</f>
        <v>11</v>
      </c>
      <c r="D27" s="120">
        <f t="shared" si="0"/>
        <v>-4.3000000000000007</v>
      </c>
      <c r="E27" s="464">
        <v>18</v>
      </c>
      <c r="F27" s="279">
        <f>'General information '!B23</f>
        <v>17</v>
      </c>
      <c r="G27" s="279">
        <f>'General information '!C23</f>
        <v>11</v>
      </c>
      <c r="H27" s="120">
        <f t="shared" si="1"/>
        <v>-4.3000000000000007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17</v>
      </c>
      <c r="C28" s="279">
        <f>'General information '!C24</f>
        <v>14</v>
      </c>
      <c r="D28" s="120">
        <f t="shared" si="0"/>
        <v>-2.8000000000000007</v>
      </c>
      <c r="E28" s="464">
        <v>19</v>
      </c>
      <c r="F28" s="279">
        <f>'General information '!B24</f>
        <v>17</v>
      </c>
      <c r="G28" s="279">
        <f>'General information '!C24</f>
        <v>14</v>
      </c>
      <c r="H28" s="120">
        <f t="shared" si="1"/>
        <v>-2.8000000000000007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464">
        <v>20</v>
      </c>
      <c r="F29" s="279">
        <f>'General information '!B25</f>
        <v>0</v>
      </c>
      <c r="G29" s="279">
        <f>'General information '!C25</f>
        <v>0</v>
      </c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4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4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-306.50000000000006</v>
      </c>
      <c r="C43" s="120">
        <f>SUMIF(D10:D40,"&gt;0")</f>
        <v>0.69999999999999929</v>
      </c>
      <c r="D43" s="131"/>
      <c r="E43" s="130"/>
      <c r="F43" s="120">
        <f>SUMIF(H10:H40,"&lt;0")</f>
        <v>-306.50000000000006</v>
      </c>
      <c r="G43" s="120">
        <f>SUMIF(H10:H40,"&gt;0")</f>
        <v>0.69999999999999929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-5096.5000000000009</v>
      </c>
      <c r="O86" s="143">
        <f>C43+G43+K43+O43+S43+W43+C81+G81+K81+O81+S81+W81</f>
        <v>1.3999999999999986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43862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19</v>
      </c>
      <c r="G4" s="199">
        <v>29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32</v>
      </c>
      <c r="C6" s="345">
        <f>WATER!E4</f>
        <v>1.66</v>
      </c>
      <c r="D6" s="188">
        <f>SUM(C6*B6)*D4</f>
        <v>80078.399999999994</v>
      </c>
      <c r="E6" s="466">
        <f>SUM(D6/D4)/F4</f>
        <v>2.7957894736842106</v>
      </c>
      <c r="F6" s="189">
        <f>SUM(E6*F4)</f>
        <v>53.120000000000005</v>
      </c>
      <c r="G6" s="190">
        <f>SUM(B6*C6)</f>
        <v>53.12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1908</v>
      </c>
      <c r="C7" s="188">
        <v>7500</v>
      </c>
      <c r="D7" s="191">
        <f>SUM(C7)*D4</f>
        <v>11306250</v>
      </c>
      <c r="E7" s="189">
        <f>SUM(I7/G4)</f>
        <v>237.93103448275863</v>
      </c>
      <c r="F7" s="189">
        <v>7500</v>
      </c>
      <c r="G7" s="554">
        <v>7500</v>
      </c>
      <c r="H7" s="360">
        <v>4400</v>
      </c>
      <c r="I7" s="189">
        <v>6900</v>
      </c>
      <c r="J7" s="286"/>
      <c r="K7" s="286"/>
    </row>
    <row r="8" spans="1:11">
      <c r="A8" s="194" t="s">
        <v>219</v>
      </c>
      <c r="B8" s="370">
        <f>tanks!AT37</f>
        <v>28867</v>
      </c>
      <c r="C8" s="534">
        <f>SUM(tanks!AU37)</f>
        <v>0.52825</v>
      </c>
      <c r="D8" s="195">
        <f>SUM(B8*C8)*D4</f>
        <v>22987856.570625</v>
      </c>
      <c r="E8" s="196">
        <f>SUM(D8/D4/F4)</f>
        <v>802.5785657894736</v>
      </c>
      <c r="F8" s="196">
        <f>SUM(E8*F4)</f>
        <v>15248.992749999998</v>
      </c>
      <c r="G8" s="554">
        <f>E8*$G$4</f>
        <v>23274.778407894733</v>
      </c>
      <c r="H8" s="360">
        <v>36000</v>
      </c>
      <c r="I8" s="196">
        <v>30000</v>
      </c>
      <c r="J8" s="286"/>
      <c r="K8" s="286"/>
    </row>
    <row r="9" spans="1:11">
      <c r="A9" s="2" t="s">
        <v>220</v>
      </c>
      <c r="B9" s="371">
        <f>'B5'!AV36</f>
        <v>3900.1</v>
      </c>
      <c r="C9" s="368">
        <v>0.7</v>
      </c>
      <c r="D9" s="192">
        <f>SUM(B9*C9)*D4</f>
        <v>4115580.5249999994</v>
      </c>
      <c r="E9" s="193">
        <f>SUM(C9*B9)/F4</f>
        <v>143.68789473684208</v>
      </c>
      <c r="F9" s="193">
        <f>SUM(E9*F4)</f>
        <v>2730.0699999999997</v>
      </c>
      <c r="G9" s="554">
        <f>E9*$G$4</f>
        <v>4166.9489473684207</v>
      </c>
      <c r="H9" s="360">
        <v>3400</v>
      </c>
      <c r="I9" s="193">
        <v>5000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18035191.413793102</v>
      </c>
      <c r="E10" s="186">
        <f>SUM(D10/D4/F4)</f>
        <v>629.66540678338492</v>
      </c>
      <c r="F10" s="186">
        <f>SUM(E10*F4)</f>
        <v>11963.642728884313</v>
      </c>
      <c r="G10" s="554">
        <f>E10*$G$4</f>
        <v>18260.296796718161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66800</v>
      </c>
      <c r="J11" s="286"/>
      <c r="K11" s="286"/>
    </row>
    <row r="12" spans="1:11" ht="42.75" customHeight="1">
      <c r="E12" s="453">
        <f>SUM(E6:E11)</f>
        <v>1816.6586912661435</v>
      </c>
      <c r="F12" s="184">
        <f>SUM(F6:F10)</f>
        <v>37495.825478884311</v>
      </c>
      <c r="G12" s="183">
        <f>SUM(G6:G10)</f>
        <v>53255.144151981316</v>
      </c>
      <c r="H12" s="183">
        <f>SUM(H6:H10)</f>
        <v>68700</v>
      </c>
      <c r="I12" s="225">
        <f>SUM(I6:I10)</f>
        <v>66800</v>
      </c>
      <c r="J12" s="286"/>
    </row>
    <row r="13" spans="1:11" ht="45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6">
        <f>B14-C14</f>
        <v>151</v>
      </c>
      <c r="F14" s="171"/>
      <c r="G14" s="444"/>
      <c r="H14" s="445">
        <f>SUM(G12-H12)</f>
        <v>-15444.855848018684</v>
      </c>
      <c r="I14" s="445">
        <f>SUM(G12-I12)</f>
        <v>-13544.855848018684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6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13.763157894736842</v>
      </c>
      <c r="C16" s="171">
        <f>'[9]Utility Cost '!C15</f>
        <v>14.785714285714286</v>
      </c>
      <c r="D16" s="457"/>
      <c r="E16" s="577">
        <f>B16-C16</f>
        <v>-1.022556390977444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0.19376842105263156</v>
      </c>
      <c r="C17" s="553">
        <f>'[9]Utility Cost '!C16</f>
        <v>0.58866785714285708</v>
      </c>
      <c r="D17" s="509">
        <f>'[10]Other Fuel Calculation 2020'!$C$62</f>
        <v>0.35189999999999999</v>
      </c>
      <c r="E17" s="578">
        <f>B17-C17</f>
        <v>-0.39489943609022549</v>
      </c>
      <c r="F17" s="509">
        <f>B17-D17</f>
        <v>-0.15813157894736843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69.420000000000073</v>
      </c>
      <c r="C18" s="171">
        <f>'[9]Utility Cost '!C17</f>
        <v>165</v>
      </c>
      <c r="D18" s="580">
        <f>'[11]Other Fuel Calculation 2020'!$C$60</f>
        <v>149.33333333333334</v>
      </c>
      <c r="E18" s="579">
        <f>B18-C18</f>
        <v>-95.579999999999927</v>
      </c>
      <c r="F18" s="575">
        <f>B18-D18</f>
        <v>-79.91333333333327</v>
      </c>
    </row>
    <row r="19" spans="1:10">
      <c r="A19" s="452" t="s">
        <v>414</v>
      </c>
      <c r="B19" s="462">
        <f>SUM(B18/F4)</f>
        <v>3.6536842105263196</v>
      </c>
      <c r="C19" s="456">
        <f>C18/G4</f>
        <v>5.6896551724137927</v>
      </c>
      <c r="D19" s="456"/>
      <c r="E19" s="576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4" activePane="bottomLeft" state="frozen"/>
      <selection pane="bottomLeft" activeCell="H25" sqref="H25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57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>H10</f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ref="M11:M35" si="5">H11</f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>
        <v>1.5</v>
      </c>
      <c r="C12" s="552">
        <v>8</v>
      </c>
      <c r="D12" s="552">
        <v>17</v>
      </c>
      <c r="E12" s="552">
        <v>2</v>
      </c>
      <c r="F12" s="552">
        <v>8.1</v>
      </c>
      <c r="G12" s="552">
        <v>16</v>
      </c>
      <c r="H12" s="428">
        <v>5903</v>
      </c>
      <c r="I12" s="247">
        <f t="shared" si="4"/>
        <v>1</v>
      </c>
      <c r="J12" s="523">
        <v>0.29166666666666669</v>
      </c>
      <c r="L12" s="100">
        <f t="shared" si="0"/>
        <v>43868</v>
      </c>
      <c r="M12" s="3">
        <f t="shared" si="5"/>
        <v>5903</v>
      </c>
      <c r="N12" s="3">
        <v>0</v>
      </c>
      <c r="O12" s="3">
        <f t="shared" si="3"/>
        <v>5903</v>
      </c>
      <c r="P12" s="468"/>
      <c r="Q12" s="377"/>
      <c r="R12" s="377"/>
    </row>
    <row r="13" spans="1:18" ht="15.75" thickBot="1">
      <c r="A13" s="245">
        <f>ELEC!C10</f>
        <v>43869</v>
      </c>
      <c r="B13" s="552">
        <v>1.5</v>
      </c>
      <c r="C13" s="552">
        <v>8</v>
      </c>
      <c r="D13" s="552">
        <v>17</v>
      </c>
      <c r="E13" s="552">
        <v>2</v>
      </c>
      <c r="F13" s="552">
        <v>8</v>
      </c>
      <c r="G13" s="552">
        <v>16</v>
      </c>
      <c r="H13" s="428">
        <v>5904</v>
      </c>
      <c r="I13" s="247">
        <f>M13-M12</f>
        <v>1</v>
      </c>
      <c r="J13" s="523">
        <v>0.29166666666666669</v>
      </c>
      <c r="L13" s="100">
        <f t="shared" si="0"/>
        <v>43869</v>
      </c>
      <c r="M13" s="3">
        <f t="shared" si="5"/>
        <v>5904</v>
      </c>
      <c r="N13" s="3">
        <v>0</v>
      </c>
      <c r="O13" s="3">
        <f t="shared" si="3"/>
        <v>5904</v>
      </c>
    </row>
    <row r="14" spans="1:18" ht="15.75" thickBot="1">
      <c r="A14" s="245">
        <f>ELEC!C11</f>
        <v>43870</v>
      </c>
      <c r="B14" s="552">
        <v>1.5</v>
      </c>
      <c r="C14" s="552">
        <v>8</v>
      </c>
      <c r="D14" s="552">
        <v>17</v>
      </c>
      <c r="E14" s="552">
        <v>2</v>
      </c>
      <c r="F14" s="552">
        <v>8</v>
      </c>
      <c r="G14" s="552">
        <v>16</v>
      </c>
      <c r="H14" s="428">
        <v>5904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5"/>
        <v>5904</v>
      </c>
      <c r="N14" s="3">
        <v>0</v>
      </c>
      <c r="O14" s="3">
        <v>312</v>
      </c>
    </row>
    <row r="15" spans="1:18" ht="15.75" thickBot="1">
      <c r="A15" s="245">
        <f>ELEC!C12</f>
        <v>43871</v>
      </c>
      <c r="B15" s="552">
        <v>1.5</v>
      </c>
      <c r="C15" s="552">
        <v>8</v>
      </c>
      <c r="D15" s="552">
        <v>17</v>
      </c>
      <c r="E15" s="552">
        <v>1.5</v>
      </c>
      <c r="F15" s="552">
        <v>8</v>
      </c>
      <c r="G15" s="552">
        <v>16</v>
      </c>
      <c r="H15" s="428">
        <v>5905</v>
      </c>
      <c r="I15" s="247">
        <f>M15-M14</f>
        <v>1</v>
      </c>
      <c r="J15" s="523">
        <v>0.29166666666666669</v>
      </c>
      <c r="L15" s="100">
        <f t="shared" si="0"/>
        <v>43871</v>
      </c>
      <c r="M15" s="3">
        <f t="shared" si="5"/>
        <v>5905</v>
      </c>
      <c r="N15" s="3">
        <v>0</v>
      </c>
      <c r="O15" s="3">
        <f t="shared" si="3"/>
        <v>5905</v>
      </c>
    </row>
    <row r="16" spans="1:18" ht="15.75" thickBot="1">
      <c r="A16" s="245">
        <f>ELEC!C13</f>
        <v>43872</v>
      </c>
      <c r="B16" s="552">
        <v>2.5</v>
      </c>
      <c r="C16" s="552">
        <v>8</v>
      </c>
      <c r="D16" s="552">
        <v>17</v>
      </c>
      <c r="E16" s="552">
        <v>2</v>
      </c>
      <c r="F16" s="552">
        <v>8</v>
      </c>
      <c r="G16" s="552">
        <v>16</v>
      </c>
      <c r="H16" s="428">
        <v>5905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5"/>
        <v>5905</v>
      </c>
      <c r="N16" s="3">
        <v>0</v>
      </c>
      <c r="O16" s="3">
        <f t="shared" si="3"/>
        <v>5905</v>
      </c>
    </row>
    <row r="17" spans="1:17" ht="15.75" thickBot="1">
      <c r="A17" s="245">
        <f>ELEC!C14</f>
        <v>43873</v>
      </c>
      <c r="B17" s="552">
        <v>1.5</v>
      </c>
      <c r="C17" s="552">
        <v>7.8</v>
      </c>
      <c r="D17" s="552">
        <v>17</v>
      </c>
      <c r="E17" s="552">
        <v>2</v>
      </c>
      <c r="F17" s="552">
        <v>8</v>
      </c>
      <c r="G17" s="552">
        <v>16</v>
      </c>
      <c r="H17" s="428">
        <f t="shared" ref="H17:H36" si="6">H16</f>
        <v>5905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v>5905</v>
      </c>
      <c r="N17" s="3">
        <v>0</v>
      </c>
      <c r="O17" s="3">
        <f t="shared" si="3"/>
        <v>5905</v>
      </c>
    </row>
    <row r="18" spans="1:17" ht="15.75" thickBot="1">
      <c r="A18" s="245">
        <f>ELEC!C15</f>
        <v>43874</v>
      </c>
      <c r="B18" s="552">
        <v>2</v>
      </c>
      <c r="C18" s="552">
        <v>7.8</v>
      </c>
      <c r="D18" s="552">
        <v>17</v>
      </c>
      <c r="E18" s="552">
        <v>2</v>
      </c>
      <c r="F18" s="552">
        <v>8</v>
      </c>
      <c r="G18" s="552">
        <v>16</v>
      </c>
      <c r="H18" s="428">
        <v>5907</v>
      </c>
      <c r="I18" s="247">
        <f t="shared" si="4"/>
        <v>2</v>
      </c>
      <c r="J18" s="523">
        <v>0.29166666666666669</v>
      </c>
      <c r="L18" s="100">
        <f t="shared" si="0"/>
        <v>43874</v>
      </c>
      <c r="M18" s="3">
        <f t="shared" si="5"/>
        <v>5907</v>
      </c>
      <c r="N18" s="3">
        <v>0</v>
      </c>
      <c r="O18" s="3">
        <f t="shared" si="3"/>
        <v>5907</v>
      </c>
    </row>
    <row r="19" spans="1:17" ht="15.75" thickBot="1">
      <c r="A19" s="245">
        <f>ELEC!C16</f>
        <v>43875</v>
      </c>
      <c r="B19" s="552">
        <v>2.5</v>
      </c>
      <c r="C19" s="552">
        <v>7.8</v>
      </c>
      <c r="D19" s="552">
        <v>17</v>
      </c>
      <c r="E19" s="552">
        <v>2</v>
      </c>
      <c r="F19" s="552">
        <v>8</v>
      </c>
      <c r="G19" s="565">
        <v>16</v>
      </c>
      <c r="H19" s="428">
        <f t="shared" si="6"/>
        <v>5907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5"/>
        <v>5907</v>
      </c>
      <c r="N19" s="3">
        <v>0</v>
      </c>
      <c r="O19" s="3">
        <f t="shared" si="3"/>
        <v>5907</v>
      </c>
    </row>
    <row r="20" spans="1:17" ht="15.75" thickBot="1">
      <c r="A20" s="245">
        <f>ELEC!C17</f>
        <v>43876</v>
      </c>
      <c r="B20" s="552">
        <v>2</v>
      </c>
      <c r="C20" s="552">
        <v>7.8</v>
      </c>
      <c r="D20" s="552">
        <v>17</v>
      </c>
      <c r="E20" s="552">
        <v>2</v>
      </c>
      <c r="F20" s="552">
        <v>8</v>
      </c>
      <c r="G20" s="552">
        <v>16</v>
      </c>
      <c r="H20" s="428">
        <v>5908</v>
      </c>
      <c r="I20" s="247">
        <f t="shared" si="4"/>
        <v>1</v>
      </c>
      <c r="J20" s="523">
        <v>0.29166666666666669</v>
      </c>
      <c r="L20" s="100">
        <f t="shared" si="0"/>
        <v>43876</v>
      </c>
      <c r="M20" s="3">
        <f t="shared" si="5"/>
        <v>5908</v>
      </c>
      <c r="N20" s="3">
        <v>0</v>
      </c>
      <c r="O20" s="3">
        <f t="shared" si="3"/>
        <v>5908</v>
      </c>
    </row>
    <row r="21" spans="1:17" ht="15.75" thickBot="1">
      <c r="A21" s="245">
        <f>ELEC!C18</f>
        <v>43877</v>
      </c>
      <c r="B21" s="552">
        <v>4</v>
      </c>
      <c r="C21" s="552">
        <v>7.8</v>
      </c>
      <c r="D21" s="552">
        <v>17</v>
      </c>
      <c r="E21" s="552">
        <v>2</v>
      </c>
      <c r="F21" s="552">
        <v>8</v>
      </c>
      <c r="G21" s="552">
        <v>16</v>
      </c>
      <c r="H21" s="428">
        <v>5909</v>
      </c>
      <c r="I21" s="247">
        <f t="shared" si="4"/>
        <v>1</v>
      </c>
      <c r="J21" s="523">
        <v>0.29166666666666669</v>
      </c>
      <c r="L21" s="100">
        <f t="shared" si="0"/>
        <v>43877</v>
      </c>
      <c r="M21" s="3">
        <f t="shared" si="5"/>
        <v>5909</v>
      </c>
      <c r="N21" s="3">
        <v>0</v>
      </c>
      <c r="O21" s="3">
        <f t="shared" si="3"/>
        <v>5909</v>
      </c>
    </row>
    <row r="22" spans="1:17" ht="15.75" thickBot="1">
      <c r="A22" s="245">
        <f>ELEC!C19</f>
        <v>43878</v>
      </c>
      <c r="B22" s="552">
        <v>4</v>
      </c>
      <c r="C22" s="552">
        <v>7.8</v>
      </c>
      <c r="D22" s="552">
        <v>17</v>
      </c>
      <c r="E22" s="552">
        <v>2</v>
      </c>
      <c r="F22" s="552">
        <v>8</v>
      </c>
      <c r="G22" s="552">
        <v>16</v>
      </c>
      <c r="H22" s="428">
        <f t="shared" si="6"/>
        <v>5909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5"/>
        <v>5909</v>
      </c>
      <c r="N22" s="3">
        <v>0</v>
      </c>
      <c r="O22" s="3">
        <f t="shared" si="3"/>
        <v>5909</v>
      </c>
    </row>
    <row r="23" spans="1:17" ht="15.75" thickBot="1">
      <c r="A23" s="245">
        <f>ELEC!C20</f>
        <v>43879</v>
      </c>
      <c r="B23" s="552">
        <v>2</v>
      </c>
      <c r="C23" s="552">
        <v>7.8</v>
      </c>
      <c r="D23" s="552">
        <v>17</v>
      </c>
      <c r="E23" s="552">
        <v>2</v>
      </c>
      <c r="F23" s="552">
        <v>8</v>
      </c>
      <c r="G23" s="552">
        <v>16</v>
      </c>
      <c r="H23" s="428">
        <v>5910</v>
      </c>
      <c r="I23" s="247">
        <f t="shared" si="4"/>
        <v>1</v>
      </c>
      <c r="J23" s="523">
        <v>0.29166666666666669</v>
      </c>
      <c r="L23" s="100">
        <f t="shared" si="0"/>
        <v>43879</v>
      </c>
      <c r="M23" s="3">
        <f t="shared" si="5"/>
        <v>5910</v>
      </c>
      <c r="N23" s="3">
        <v>0</v>
      </c>
      <c r="O23" s="3">
        <f t="shared" si="3"/>
        <v>5910</v>
      </c>
    </row>
    <row r="24" spans="1:17" ht="15.75" thickBot="1">
      <c r="A24" s="245">
        <f>ELEC!C21</f>
        <v>43880</v>
      </c>
      <c r="B24" s="552">
        <v>2.5</v>
      </c>
      <c r="C24" s="552">
        <v>7.8</v>
      </c>
      <c r="D24" s="552">
        <v>17</v>
      </c>
      <c r="E24" s="552">
        <v>2</v>
      </c>
      <c r="F24" s="552">
        <v>8</v>
      </c>
      <c r="G24" s="552">
        <v>16</v>
      </c>
      <c r="H24" s="428">
        <v>5911</v>
      </c>
      <c r="I24" s="247">
        <f t="shared" si="4"/>
        <v>1</v>
      </c>
      <c r="J24" s="523">
        <v>0.29166666666666702</v>
      </c>
      <c r="L24" s="100">
        <f t="shared" si="0"/>
        <v>43880</v>
      </c>
      <c r="M24" s="3">
        <f t="shared" si="5"/>
        <v>5911</v>
      </c>
      <c r="N24" s="3">
        <v>0</v>
      </c>
      <c r="O24" s="3">
        <f t="shared" si="3"/>
        <v>5911</v>
      </c>
    </row>
    <row r="25" spans="1:17" ht="15.75" thickBot="1">
      <c r="A25" s="245">
        <f>ELEC!C22</f>
        <v>43881</v>
      </c>
      <c r="B25" s="552"/>
      <c r="C25" s="552"/>
      <c r="D25" s="552"/>
      <c r="E25" s="552"/>
      <c r="F25" s="552"/>
      <c r="G25" s="552"/>
      <c r="H25" s="428">
        <f t="shared" si="6"/>
        <v>5911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5"/>
        <v>5911</v>
      </c>
      <c r="N25" s="3">
        <v>0</v>
      </c>
      <c r="O25" s="3">
        <f t="shared" si="3"/>
        <v>5911</v>
      </c>
    </row>
    <row r="26" spans="1:17" ht="15.75" thickBot="1">
      <c r="A26" s="245">
        <f>ELEC!C23</f>
        <v>43882</v>
      </c>
      <c r="B26" s="552"/>
      <c r="C26" s="552"/>
      <c r="D26" s="552"/>
      <c r="E26" s="552"/>
      <c r="F26" s="552"/>
      <c r="G26" s="552"/>
      <c r="H26" s="428">
        <f t="shared" si="6"/>
        <v>5911</v>
      </c>
      <c r="I26" s="247">
        <f t="shared" si="4"/>
        <v>0</v>
      </c>
      <c r="J26" s="523">
        <v>0.29166666666666702</v>
      </c>
      <c r="L26" s="100">
        <f t="shared" si="0"/>
        <v>43882</v>
      </c>
      <c r="M26" s="3">
        <f t="shared" si="5"/>
        <v>5911</v>
      </c>
      <c r="N26" s="3">
        <v>0</v>
      </c>
      <c r="O26" s="3">
        <f t="shared" si="3"/>
        <v>5911</v>
      </c>
    </row>
    <row r="27" spans="1:17" ht="15.75" thickBot="1">
      <c r="A27" s="245">
        <f>ELEC!C24</f>
        <v>43883</v>
      </c>
      <c r="B27" s="552"/>
      <c r="C27" s="552"/>
      <c r="D27" s="552"/>
      <c r="E27" s="552"/>
      <c r="F27" s="552"/>
      <c r="G27" s="552"/>
      <c r="H27" s="428">
        <f t="shared" si="6"/>
        <v>5911</v>
      </c>
      <c r="I27" s="247">
        <f t="shared" si="4"/>
        <v>0</v>
      </c>
      <c r="J27" s="523">
        <v>0.29166666666666702</v>
      </c>
      <c r="L27" s="100">
        <f t="shared" si="0"/>
        <v>43883</v>
      </c>
      <c r="M27" s="3">
        <f t="shared" si="5"/>
        <v>5911</v>
      </c>
      <c r="N27" s="3">
        <v>0</v>
      </c>
      <c r="O27" s="3">
        <f t="shared" si="3"/>
        <v>5911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6"/>
        <v>5911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5"/>
        <v>5911</v>
      </c>
      <c r="N28" s="3">
        <v>0</v>
      </c>
      <c r="O28" s="3">
        <f t="shared" si="3"/>
        <v>5911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6"/>
        <v>5911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5"/>
        <v>5911</v>
      </c>
      <c r="N29" s="3">
        <v>0</v>
      </c>
      <c r="O29" s="3">
        <f t="shared" si="3"/>
        <v>5911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6"/>
        <v>5911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5"/>
        <v>5911</v>
      </c>
      <c r="N30" s="3">
        <v>0</v>
      </c>
      <c r="O30" s="3">
        <f>SUM(M30:N30)</f>
        <v>5911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6"/>
        <v>5911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5"/>
        <v>5911</v>
      </c>
      <c r="N31" s="3">
        <v>0</v>
      </c>
      <c r="O31" s="3">
        <f t="shared" si="3"/>
        <v>5911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6"/>
        <v>5911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5"/>
        <v>5911</v>
      </c>
      <c r="N32" s="3">
        <v>0</v>
      </c>
      <c r="O32" s="3">
        <f t="shared" si="3"/>
        <v>5911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6"/>
        <v>5911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5"/>
        <v>5911</v>
      </c>
      <c r="N33" s="3">
        <v>0</v>
      </c>
      <c r="O33" s="3">
        <f t="shared" si="3"/>
        <v>5911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6"/>
        <v>5911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5"/>
        <v>5911</v>
      </c>
      <c r="N34" s="3">
        <v>0</v>
      </c>
      <c r="O34" s="3">
        <f t="shared" si="3"/>
        <v>5911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6"/>
        <v>5911</v>
      </c>
      <c r="I35" s="247">
        <f t="shared" si="4"/>
        <v>0</v>
      </c>
      <c r="J35" s="525">
        <v>0.29166666666666702</v>
      </c>
      <c r="L35" s="100"/>
      <c r="M35" s="3">
        <f t="shared" si="5"/>
        <v>5911</v>
      </c>
      <c r="N35" s="3">
        <v>0</v>
      </c>
      <c r="O35" s="3">
        <f t="shared" si="3"/>
        <v>5911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 t="shared" si="6"/>
        <v>5911</v>
      </c>
      <c r="I36" s="247">
        <f t="shared" si="4"/>
        <v>0</v>
      </c>
      <c r="J36" s="525">
        <v>0.33333333333333398</v>
      </c>
      <c r="L36" s="100"/>
      <c r="M36" s="3">
        <f t="shared" si="1"/>
        <v>5911</v>
      </c>
      <c r="N36" s="3">
        <v>0</v>
      </c>
      <c r="O36" s="3">
        <f t="shared" si="3"/>
        <v>5911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Sheet3</vt:lpstr>
      <vt:lpstr>Swimming Pool quality check </vt:lpstr>
      <vt:lpstr>Sheet2</vt:lpstr>
      <vt:lpstr>Sheet6</vt:lpstr>
      <vt:lpstr>Sheet7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2019-11-26T05:48:35Z</cp:lastPrinted>
  <dcterms:created xsi:type="dcterms:W3CDTF">2015-01-02T09:20:21Z</dcterms:created>
  <dcterms:modified xsi:type="dcterms:W3CDTF">2020-02-20T13:33:51Z</dcterms:modified>
</cp:coreProperties>
</file>