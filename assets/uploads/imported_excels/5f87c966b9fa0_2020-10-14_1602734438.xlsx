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0" i="23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5" i="23" l="1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<sst xmlns="http://schemas.openxmlformats.org/spreadsheetml/2006/main" count="539" uniqueCount="327">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</sst>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6442624"/>
        <c:axId val="964444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6445952"/>
        <c:axId val="96447488"/>
      </c:lineChart>
      <c:catAx>
        <c:axId val="964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4416"/>
        <c:crosses val="autoZero"/>
        <c:auto val="1"/>
        <c:lblAlgn val="ctr"/>
        <c:lblOffset val="100"/>
      </c:catAx>
      <c:valAx>
        <c:axId val="964444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2624"/>
        <c:crosses val="autoZero"/>
        <c:crossBetween val="between"/>
        <c:majorUnit val="200"/>
      </c:valAx>
      <c:catAx>
        <c:axId val="96445952"/>
        <c:scaling>
          <c:orientation val="minMax"/>
        </c:scaling>
        <c:delete val="1"/>
        <c:axPos val="b"/>
        <c:tickLblPos val="none"/>
        <c:crossAx val="96447488"/>
        <c:crosses val="autoZero"/>
        <c:auto val="1"/>
        <c:lblAlgn val="ctr"/>
        <c:lblOffset val="100"/>
      </c:catAx>
      <c:valAx>
        <c:axId val="964474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5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8132352"/>
        <c:axId val="981338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8135424"/>
        <c:axId val="98141312"/>
      </c:lineChart>
      <c:catAx>
        <c:axId val="981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33888"/>
        <c:crosses val="autoZero"/>
        <c:auto val="1"/>
        <c:lblAlgn val="ctr"/>
        <c:lblOffset val="100"/>
      </c:catAx>
      <c:valAx>
        <c:axId val="9813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32352"/>
        <c:crosses val="autoZero"/>
        <c:crossBetween val="between"/>
        <c:majorUnit val="200"/>
      </c:valAx>
      <c:catAx>
        <c:axId val="98135424"/>
        <c:scaling>
          <c:orientation val="minMax"/>
        </c:scaling>
        <c:delete val="1"/>
        <c:axPos val="b"/>
        <c:tickLblPos val="none"/>
        <c:crossAx val="98141312"/>
        <c:crosses val="autoZero"/>
        <c:auto val="1"/>
        <c:lblAlgn val="ctr"/>
        <c:lblOffset val="100"/>
      </c:catAx>
      <c:valAx>
        <c:axId val="98141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35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8891264"/>
        <c:axId val="98892800"/>
      </c:lineChart>
      <c:catAx>
        <c:axId val="9889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2800"/>
        <c:crosses val="autoZero"/>
        <c:auto val="1"/>
        <c:lblAlgn val="ctr"/>
        <c:lblOffset val="200"/>
        <c:tickLblSkip val="1"/>
      </c:catAx>
      <c:valAx>
        <c:axId val="98892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8200576"/>
        <c:axId val="98697984"/>
      </c:lineChart>
      <c:catAx>
        <c:axId val="9820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7984"/>
        <c:crosses val="autoZero"/>
        <c:auto val="1"/>
        <c:lblAlgn val="ctr"/>
        <c:lblOffset val="100"/>
      </c:catAx>
      <c:valAx>
        <c:axId val="986979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0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8743040"/>
        <c:axId val="98744960"/>
      </c:lineChart>
      <c:catAx>
        <c:axId val="98743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4960"/>
        <c:crosses val="autoZero"/>
        <c:auto val="1"/>
        <c:lblAlgn val="ctr"/>
        <c:lblOffset val="100"/>
      </c:catAx>
      <c:valAx>
        <c:axId val="98744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3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9580928"/>
        <c:axId val="99591296"/>
      </c:lineChart>
      <c:catAx>
        <c:axId val="9958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1296"/>
        <c:crosses val="autoZero"/>
        <c:auto val="1"/>
        <c:lblAlgn val="ctr"/>
        <c:lblOffset val="100"/>
      </c:catAx>
      <c:valAx>
        <c:axId val="99591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0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-319839.12400000007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9608064"/>
        <c:axId val="99609600"/>
      </c:lineChart>
      <c:catAx>
        <c:axId val="996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9600"/>
        <c:crosses val="autoZero"/>
        <c:auto val="1"/>
        <c:lblAlgn val="ctr"/>
        <c:lblOffset val="100"/>
      </c:catAx>
      <c:valAx>
        <c:axId val="99609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9782656"/>
        <c:axId val="99784192"/>
      </c:lineChart>
      <c:catAx>
        <c:axId val="997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4192"/>
        <c:crosses val="autoZero"/>
        <c:auto val="1"/>
        <c:lblAlgn val="ctr"/>
        <c:lblOffset val="100"/>
      </c:catAx>
      <c:valAx>
        <c:axId val="9978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0803712"/>
        <c:axId val="100805248"/>
      </c:lineChart>
      <c:catAx>
        <c:axId val="10080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05248"/>
        <c:crosses val="autoZero"/>
        <c:auto val="1"/>
        <c:lblAlgn val="ctr"/>
        <c:lblOffset val="100"/>
      </c:catAx>
      <c:valAx>
        <c:axId val="10080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95"/>
          <c:y val="7.471324705111344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00829824"/>
        <c:axId val="100839808"/>
      </c:lineChart>
      <c:catAx>
        <c:axId val="1008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39808"/>
        <c:crosses val="autoZero"/>
        <c:auto val="1"/>
        <c:lblAlgn val="ctr"/>
        <c:lblOffset val="200"/>
        <c:tickLblSkip val="1"/>
      </c:catAx>
      <c:valAx>
        <c:axId val="100839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00631296"/>
        <c:axId val="100632832"/>
      </c:lineChart>
      <c:catAx>
        <c:axId val="10063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2832"/>
        <c:crosses val="autoZero"/>
        <c:auto val="1"/>
        <c:lblAlgn val="ctr"/>
        <c:lblOffset val="100"/>
      </c:catAx>
      <c:valAx>
        <c:axId val="10063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00649216"/>
        <c:axId val="101343616"/>
      </c:lineChart>
      <c:catAx>
        <c:axId val="10064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3616"/>
        <c:crosses val="autoZero"/>
        <c:auto val="1"/>
        <c:lblAlgn val="ctr"/>
        <c:lblOffset val="100"/>
      </c:catAx>
      <c:valAx>
        <c:axId val="101343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9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01524224"/>
        <c:axId val="101526144"/>
      </c:lineChart>
      <c:catAx>
        <c:axId val="101524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6144"/>
        <c:crosses val="autoZero"/>
        <c:auto val="1"/>
        <c:lblAlgn val="ctr"/>
        <c:lblOffset val="100"/>
      </c:catAx>
      <c:valAx>
        <c:axId val="101526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42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01567488"/>
        <c:axId val="101569280"/>
      </c:lineChart>
      <c:catAx>
        <c:axId val="10156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69280"/>
        <c:crosses val="autoZero"/>
        <c:auto val="1"/>
        <c:lblAlgn val="ctr"/>
        <c:lblOffset val="100"/>
      </c:catAx>
      <c:valAx>
        <c:axId val="10156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6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01127680"/>
        <c:axId val="101129216"/>
      </c:lineChart>
      <c:catAx>
        <c:axId val="10112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29216"/>
        <c:crosses val="autoZero"/>
        <c:auto val="1"/>
        <c:lblAlgn val="ctr"/>
        <c:lblOffset val="100"/>
      </c:catAx>
      <c:valAx>
        <c:axId val="10112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2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01976704"/>
        <c:axId val="101978496"/>
      </c:lineChart>
      <c:catAx>
        <c:axId val="1019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78496"/>
        <c:crosses val="autoZero"/>
        <c:auto val="1"/>
        <c:lblAlgn val="ctr"/>
        <c:lblOffset val="100"/>
      </c:catAx>
      <c:valAx>
        <c:axId val="10197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85"/>
          <c:y val="7.471324705111387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02531840"/>
        <c:axId val="10253337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02555648"/>
        <c:axId val="102557184"/>
      </c:lineChart>
      <c:catAx>
        <c:axId val="102531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3376"/>
        <c:crosses val="autoZero"/>
        <c:lblAlgn val="ctr"/>
        <c:lblOffset val="100"/>
        <c:tickMarkSkip val="1"/>
      </c:catAx>
      <c:valAx>
        <c:axId val="102533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31840"/>
        <c:crosses val="autoZero"/>
        <c:crossBetween val="between"/>
      </c:valAx>
      <c:catAx>
        <c:axId val="102555648"/>
        <c:scaling>
          <c:orientation val="minMax"/>
        </c:scaling>
        <c:delete val="1"/>
        <c:axPos val="b"/>
        <c:numFmt formatCode="[$-409]d\-mmm\-yy;@" sourceLinked="1"/>
        <c:tickLblPos val="none"/>
        <c:crossAx val="102557184"/>
        <c:crosses val="autoZero"/>
        <c:lblAlgn val="ctr"/>
        <c:lblOffset val="100"/>
      </c:catAx>
      <c:valAx>
        <c:axId val="1025571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5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02381056"/>
        <c:axId val="102382592"/>
      </c:lineChart>
      <c:catAx>
        <c:axId val="10238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2592"/>
        <c:crosses val="autoZero"/>
        <c:auto val="1"/>
        <c:lblAlgn val="ctr"/>
        <c:lblOffset val="100"/>
      </c:catAx>
      <c:valAx>
        <c:axId val="1023825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2419456"/>
        <c:axId val="102564608"/>
      </c:lineChart>
      <c:catAx>
        <c:axId val="1024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64608"/>
        <c:crosses val="autoZero"/>
        <c:auto val="1"/>
        <c:lblAlgn val="ctr"/>
        <c:lblOffset val="100"/>
      </c:catAx>
      <c:valAx>
        <c:axId val="1025646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2620160"/>
        <c:axId val="102626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2627584"/>
        <c:axId val="138149888"/>
      </c:lineChart>
      <c:catAx>
        <c:axId val="102620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6048"/>
        <c:crosses val="autoZero"/>
        <c:lblAlgn val="ctr"/>
        <c:lblOffset val="100"/>
        <c:tickMarkSkip val="1"/>
      </c:catAx>
      <c:valAx>
        <c:axId val="1026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0160"/>
        <c:crosses val="autoZero"/>
        <c:crossBetween val="between"/>
      </c:valAx>
      <c:catAx>
        <c:axId val="102627584"/>
        <c:scaling>
          <c:orientation val="minMax"/>
        </c:scaling>
        <c:delete val="1"/>
        <c:axPos val="b"/>
        <c:numFmt formatCode="General" sourceLinked="1"/>
        <c:tickLblPos val="none"/>
        <c:crossAx val="138149888"/>
        <c:crosses val="autoZero"/>
        <c:lblAlgn val="ctr"/>
        <c:lblOffset val="100"/>
      </c:catAx>
      <c:valAx>
        <c:axId val="138149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27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8203136"/>
        <c:axId val="138204672"/>
      </c:lineChart>
      <c:catAx>
        <c:axId val="1382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04672"/>
        <c:crosses val="autoZero"/>
        <c:auto val="1"/>
        <c:lblAlgn val="ctr"/>
        <c:lblOffset val="100"/>
      </c:catAx>
      <c:valAx>
        <c:axId val="13820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9159040"/>
        <c:axId val="139160576"/>
      </c:lineChart>
      <c:catAx>
        <c:axId val="13915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60576"/>
        <c:crosses val="autoZero"/>
        <c:auto val="1"/>
        <c:lblAlgn val="ctr"/>
        <c:lblOffset val="100"/>
      </c:catAx>
      <c:valAx>
        <c:axId val="13916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8632832"/>
        <c:axId val="986343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8652544"/>
        <c:axId val="98654080"/>
      </c:lineChart>
      <c:catAx>
        <c:axId val="98632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34368"/>
        <c:crosses val="autoZero"/>
        <c:lblAlgn val="ctr"/>
        <c:lblOffset val="100"/>
        <c:tickMarkSkip val="1"/>
      </c:catAx>
      <c:valAx>
        <c:axId val="98634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32832"/>
        <c:crosses val="autoZero"/>
        <c:crossBetween val="between"/>
      </c:valAx>
      <c:catAx>
        <c:axId val="98652544"/>
        <c:scaling>
          <c:orientation val="minMax"/>
        </c:scaling>
        <c:delete val="1"/>
        <c:axPos val="b"/>
        <c:numFmt formatCode="[$-409]d\-mmm\-yy;@" sourceLinked="1"/>
        <c:tickLblPos val="none"/>
        <c:crossAx val="98654080"/>
        <c:crosses val="autoZero"/>
        <c:lblAlgn val="ctr"/>
        <c:lblOffset val="100"/>
      </c:catAx>
      <c:valAx>
        <c:axId val="986540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52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8683904"/>
        <c:axId val="986897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8691328"/>
        <c:axId val="142213120"/>
      </c:lineChart>
      <c:catAx>
        <c:axId val="98683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89792"/>
        <c:crosses val="autoZero"/>
        <c:lblAlgn val="ctr"/>
        <c:lblOffset val="100"/>
        <c:tickMarkSkip val="1"/>
      </c:catAx>
      <c:valAx>
        <c:axId val="9868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83904"/>
        <c:crosses val="autoZero"/>
        <c:crossBetween val="between"/>
      </c:valAx>
      <c:catAx>
        <c:axId val="98691328"/>
        <c:scaling>
          <c:orientation val="minMax"/>
        </c:scaling>
        <c:delete val="1"/>
        <c:axPos val="b"/>
        <c:numFmt formatCode="General" sourceLinked="1"/>
        <c:tickLblPos val="none"/>
        <c:crossAx val="142213120"/>
        <c:crosses val="autoZero"/>
        <c:lblAlgn val="ctr"/>
        <c:lblOffset val="100"/>
      </c:catAx>
      <c:valAx>
        <c:axId val="142213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1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2436608"/>
        <c:axId val="1424465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2448128"/>
        <c:axId val="142449664"/>
      </c:lineChart>
      <c:catAx>
        <c:axId val="142436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6592"/>
        <c:crosses val="autoZero"/>
        <c:lblAlgn val="ctr"/>
        <c:lblOffset val="100"/>
        <c:tickMarkSkip val="1"/>
      </c:catAx>
      <c:valAx>
        <c:axId val="142446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6608"/>
        <c:crosses val="autoZero"/>
        <c:crossBetween val="between"/>
      </c:valAx>
      <c:catAx>
        <c:axId val="142448128"/>
        <c:scaling>
          <c:orientation val="minMax"/>
        </c:scaling>
        <c:delete val="1"/>
        <c:axPos val="b"/>
        <c:numFmt formatCode="[$-409]d\-mmm\-yy;@" sourceLinked="1"/>
        <c:tickLblPos val="none"/>
        <c:crossAx val="142449664"/>
        <c:crosses val="autoZero"/>
        <c:lblAlgn val="ctr"/>
        <c:lblOffset val="100"/>
      </c:catAx>
      <c:valAx>
        <c:axId val="142449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48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3676160"/>
        <c:axId val="1436776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3679488"/>
        <c:axId val="143681024"/>
      </c:lineChart>
      <c:catAx>
        <c:axId val="143676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7696"/>
        <c:crosses val="autoZero"/>
        <c:lblAlgn val="ctr"/>
        <c:lblOffset val="100"/>
        <c:tickMarkSkip val="1"/>
      </c:catAx>
      <c:valAx>
        <c:axId val="14367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6160"/>
        <c:crosses val="autoZero"/>
        <c:crossBetween val="between"/>
      </c:valAx>
      <c:catAx>
        <c:axId val="143679488"/>
        <c:scaling>
          <c:orientation val="minMax"/>
        </c:scaling>
        <c:delete val="1"/>
        <c:axPos val="b"/>
        <c:numFmt formatCode="General" sourceLinked="1"/>
        <c:tickLblPos val="none"/>
        <c:crossAx val="143681024"/>
        <c:crosses val="autoZero"/>
        <c:lblAlgn val="ctr"/>
        <c:lblOffset val="100"/>
      </c:catAx>
      <c:valAx>
        <c:axId val="143681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79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42542720"/>
        <c:axId val="142561280"/>
      </c:lineChart>
      <c:catAx>
        <c:axId val="14254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61280"/>
        <c:crosses val="autoZero"/>
        <c:auto val="1"/>
        <c:lblAlgn val="ctr"/>
        <c:lblOffset val="100"/>
      </c:catAx>
      <c:valAx>
        <c:axId val="142561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42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42594432"/>
        <c:axId val="142596352"/>
      </c:lineChart>
      <c:catAx>
        <c:axId val="142594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96352"/>
        <c:crosses val="autoZero"/>
        <c:auto val="1"/>
        <c:lblAlgn val="ctr"/>
        <c:lblOffset val="100"/>
      </c:catAx>
      <c:valAx>
        <c:axId val="142596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94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6319104"/>
        <c:axId val="176320896"/>
      </c:lineChart>
      <c:catAx>
        <c:axId val="17631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20896"/>
        <c:crosses val="autoZero"/>
        <c:auto val="1"/>
        <c:lblAlgn val="ctr"/>
        <c:lblOffset val="200"/>
        <c:tickLblSkip val="1"/>
      </c:catAx>
      <c:valAx>
        <c:axId val="176320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1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6353664"/>
        <c:axId val="176355200"/>
      </c:lineChart>
      <c:catAx>
        <c:axId val="17635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55200"/>
        <c:crosses val="autoZero"/>
        <c:auto val="1"/>
        <c:lblAlgn val="ctr"/>
        <c:lblOffset val="100"/>
      </c:catAx>
      <c:valAx>
        <c:axId val="176355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5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-319839.12400000007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5863680"/>
        <c:axId val="175865216"/>
      </c:lineChart>
      <c:catAx>
        <c:axId val="17586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65216"/>
        <c:crosses val="autoZero"/>
        <c:auto val="1"/>
        <c:lblAlgn val="ctr"/>
        <c:lblOffset val="100"/>
      </c:catAx>
      <c:valAx>
        <c:axId val="17586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6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7347968"/>
        <c:axId val="177370624"/>
      </c:lineChart>
      <c:catAx>
        <c:axId val="177347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70624"/>
        <c:crosses val="autoZero"/>
        <c:auto val="1"/>
        <c:lblAlgn val="ctr"/>
        <c:lblOffset val="100"/>
      </c:catAx>
      <c:valAx>
        <c:axId val="177370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479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7399680"/>
        <c:axId val="177618944"/>
      </c:lineChart>
      <c:catAx>
        <c:axId val="177399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18944"/>
        <c:crosses val="autoZero"/>
        <c:auto val="1"/>
        <c:lblAlgn val="ctr"/>
        <c:lblOffset val="100"/>
      </c:catAx>
      <c:valAx>
        <c:axId val="177618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9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7648000"/>
        <c:axId val="177649536"/>
      </c:lineChart>
      <c:catAx>
        <c:axId val="17764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49536"/>
        <c:crosses val="autoZero"/>
        <c:auto val="1"/>
        <c:lblAlgn val="ctr"/>
        <c:lblOffset val="200"/>
        <c:tickLblSkip val="1"/>
      </c:catAx>
      <c:valAx>
        <c:axId val="177649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4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8210688"/>
        <c:axId val="178212224"/>
      </c:lineChart>
      <c:catAx>
        <c:axId val="1782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12224"/>
        <c:crosses val="autoZero"/>
        <c:auto val="1"/>
        <c:lblAlgn val="ctr"/>
        <c:lblOffset val="100"/>
      </c:catAx>
      <c:valAx>
        <c:axId val="1782122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-319839.12400000007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7343872"/>
        <c:axId val="178246784"/>
      </c:lineChart>
      <c:catAx>
        <c:axId val="17734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46784"/>
        <c:crosses val="autoZero"/>
        <c:auto val="1"/>
        <c:lblAlgn val="ctr"/>
        <c:lblOffset val="100"/>
      </c:catAx>
      <c:valAx>
        <c:axId val="17824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4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9115136"/>
        <c:axId val="179117056"/>
      </c:lineChart>
      <c:catAx>
        <c:axId val="179115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17056"/>
        <c:crosses val="autoZero"/>
        <c:auto val="1"/>
        <c:lblAlgn val="ctr"/>
        <c:lblOffset val="100"/>
      </c:catAx>
      <c:valAx>
        <c:axId val="179117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15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9129728"/>
        <c:axId val="179152384"/>
      </c:lineChart>
      <c:catAx>
        <c:axId val="179129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52384"/>
        <c:crosses val="autoZero"/>
        <c:auto val="1"/>
        <c:lblAlgn val="ctr"/>
        <c:lblOffset val="100"/>
      </c:catAx>
      <c:valAx>
        <c:axId val="179152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29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9509120"/>
        <c:axId val="179510656"/>
      </c:lineChart>
      <c:catAx>
        <c:axId val="1795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10656"/>
        <c:crosses val="autoZero"/>
        <c:auto val="1"/>
        <c:lblAlgn val="ctr"/>
        <c:lblOffset val="200"/>
        <c:tickLblSkip val="1"/>
      </c:catAx>
      <c:valAx>
        <c:axId val="179510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9555712"/>
        <c:axId val="179561600"/>
      </c:lineChart>
      <c:catAx>
        <c:axId val="1795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61600"/>
        <c:crosses val="autoZero"/>
        <c:auto val="1"/>
        <c:lblAlgn val="ctr"/>
        <c:lblOffset val="100"/>
      </c:catAx>
      <c:valAx>
        <c:axId val="17956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9319936"/>
        <c:axId val="179321472"/>
      </c:lineChart>
      <c:catAx>
        <c:axId val="17931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21472"/>
        <c:crosses val="autoZero"/>
        <c:auto val="1"/>
        <c:lblAlgn val="ctr"/>
        <c:lblOffset val="100"/>
      </c:catAx>
      <c:valAx>
        <c:axId val="17932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1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9362432"/>
        <c:axId val="180040448"/>
      </c:lineChart>
      <c:catAx>
        <c:axId val="179362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40448"/>
        <c:crosses val="autoZero"/>
        <c:auto val="1"/>
        <c:lblAlgn val="ctr"/>
        <c:lblOffset val="100"/>
      </c:catAx>
      <c:valAx>
        <c:axId val="180040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6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80085888"/>
        <c:axId val="180087808"/>
      </c:lineChart>
      <c:catAx>
        <c:axId val="18008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87808"/>
        <c:crosses val="autoZero"/>
        <c:auto val="1"/>
        <c:lblAlgn val="ctr"/>
        <c:lblOffset val="100"/>
      </c:catAx>
      <c:valAx>
        <c:axId val="180087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85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9850624"/>
        <c:axId val="179864704"/>
      </c:lineChart>
      <c:catAx>
        <c:axId val="1798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64704"/>
        <c:crosses val="autoZero"/>
        <c:auto val="1"/>
        <c:lblAlgn val="ctr"/>
        <c:lblOffset val="200"/>
        <c:tickLblSkip val="1"/>
      </c:catAx>
      <c:valAx>
        <c:axId val="179864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5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80561024"/>
        <c:axId val="180562560"/>
      </c:lineChart>
      <c:catAx>
        <c:axId val="1805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62560"/>
        <c:crosses val="autoZero"/>
        <c:auto val="1"/>
        <c:lblAlgn val="ctr"/>
        <c:lblOffset val="100"/>
      </c:catAx>
      <c:valAx>
        <c:axId val="18056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80574848"/>
        <c:axId val="180593024"/>
      </c:lineChart>
      <c:catAx>
        <c:axId val="1805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93024"/>
        <c:crosses val="autoZero"/>
        <c:auto val="1"/>
        <c:lblAlgn val="ctr"/>
        <c:lblOffset val="100"/>
      </c:catAx>
      <c:valAx>
        <c:axId val="18059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63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 t="str">
        <f>IF('Utility summery'!M20&lt;0,"0",'Utility summery'!M20)</f>
        <v>0</v>
      </c>
      <c r="H16" s="432">
        <v>0</v>
      </c>
      <c r="I16" s="426" t="str">
        <f>IF('UTILITY REPORT 1'!G17&lt;0,"0",'UTILITY REPORT 1'!G17)</f>
        <v>0</v>
      </c>
      <c r="J16" s="432">
        <v>0</v>
      </c>
      <c r="K16" s="425">
        <f>'UTILITY REPORT 1'!C17</f>
        <v>3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2">
        <v>0</v>
      </c>
      <c r="I17" s="426">
        <f>IF('UTILITY REPORT 1'!G18&lt;0,"0",'UTILITY REPORT 1'!G18)</f>
        <v>0</v>
      </c>
      <c r="J17" s="432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2">
        <v>0</v>
      </c>
      <c r="I18" s="426">
        <f>IF('UTILITY REPORT 1'!G19&lt;0,"0",'UTILITY REPORT 1'!G19)</f>
        <v>0</v>
      </c>
      <c r="J18" s="432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2">
        <v>0</v>
      </c>
      <c r="I19" s="426">
        <f>IF('UTILITY REPORT 1'!G20&lt;0,"0",'UTILITY REPORT 1'!G20)</f>
        <v>0</v>
      </c>
      <c r="J19" s="432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2">
        <v>0</v>
      </c>
      <c r="I20" s="426">
        <f>IF('UTILITY REPORT 1'!G21&lt;0,"0",'UTILITY REPORT 1'!G21)</f>
        <v>0</v>
      </c>
      <c r="J20" s="432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63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0</v>
      </c>
      <c r="G16" s="467">
        <f>'UTILITY REPORT 1'!F17</f>
        <v>0</v>
      </c>
      <c r="H16" s="466" t="str">
        <f>IF('Kit report'!F18&lt;0,"0",'Kit report'!F18)</f>
        <v>0</v>
      </c>
      <c r="I16" s="466" t="str">
        <f>IF('Kit report'!X18&lt;0,"0",'Kit report'!X18)</f>
        <v>0</v>
      </c>
      <c r="J16" s="466" t="str">
        <f>IF('Utility summery'!H20&lt;0,"0",'Utility summery'!H20)</f>
        <v>0</v>
      </c>
      <c r="K16" s="467" t="str">
        <f>IF('UTILITY REPORT 1'!H17&lt;0,"0",'UTILITY REPORT 1'!H17)</f>
        <v>0</v>
      </c>
      <c r="L16" s="466" t="str">
        <f>'Water-Meter'!K20</f>
        <v>0</v>
      </c>
      <c r="M16" s="467" t="str">
        <f>'Water-Meter'!H20</f>
        <v>0</v>
      </c>
      <c r="N16" s="467" t="str">
        <f>'Water-Meter'!Q20</f>
        <v>0</v>
      </c>
      <c r="O16" s="466" t="e">
        <f>K16*E16+H16*I16+#REF!*#REF!+J16*L16</f>
        <v>#REF!</v>
      </c>
      <c r="P16" s="472" t="str">
        <f>'Water-Meter'!E20</f>
        <v>0</v>
      </c>
      <c r="Q16" s="243" t="str">
        <f>IF('Water-Meter'!U20&lt;0,"0",'Water-Meter'!U20)</f>
        <v>0</v>
      </c>
      <c r="R16" s="243" t="str">
        <f>IF('Water-Meter'!X20&lt;0,"0",'Water-Meter'!X20)</f>
        <v>0</v>
      </c>
      <c r="S16" s="243" t="str">
        <f>IF('Water-Meter'!AA20&lt;0,"0",'Water-Meter'!AA20)</f>
        <v>0</v>
      </c>
      <c r="T16" s="243" t="str">
        <f>IF('Water-Meter'!AD20&lt;0,"0",'Water-Meter'!AD20)</f>
        <v>0</v>
      </c>
      <c r="U16" s="243" t="str">
        <f>IF('Water-Meter'!AG20&lt;0,"0",'Water-Meter'!AG20)</f>
        <v>0</v>
      </c>
      <c r="V16" s="243" t="str">
        <f>IF('Water-Meter'!AJ20&lt;0,"0",'Water-Meter'!AJ20)</f>
        <v>0</v>
      </c>
      <c r="W16" s="31">
        <f>'Water-Meter'!AN20</f>
        <v>0</v>
      </c>
      <c r="X16" s="483">
        <f>Total!K16</f>
        <v>3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0</v>
      </c>
      <c r="F17" s="466">
        <f>'UTILITY REPORT 1'!E18</f>
        <v>0</v>
      </c>
      <c r="G17" s="467">
        <f>'UTILITY REPORT 1'!F18</f>
        <v>0</v>
      </c>
      <c r="H17" s="466">
        <f>IF('Kit report'!F19&lt;0,"0",'Kit report'!F19)</f>
        <v>0</v>
      </c>
      <c r="I17" s="466">
        <f>IF('Kit report'!X19&lt;0,"0",'Kit report'!X19)</f>
        <v>0</v>
      </c>
      <c r="J17" s="466">
        <f>IF('Utility summery'!H21&lt;0,"0",'Utility summery'!H21)</f>
        <v>0</v>
      </c>
      <c r="K17" s="467">
        <f>IF('UTILITY REPORT 1'!H18&lt;0,"0",'UTILITY REPORT 1'!H18)</f>
        <v>0</v>
      </c>
      <c r="L17" s="466">
        <f>'Water-Meter'!K21</f>
        <v>0</v>
      </c>
      <c r="M17" s="467">
        <f>'Water-Meter'!H21</f>
        <v>0</v>
      </c>
      <c r="N17" s="467">
        <f>'Water-Meter'!Q21</f>
        <v>0</v>
      </c>
      <c r="O17" s="466" t="e">
        <f>K17*E17+H17*I17+#REF!*#REF!+J17*L17</f>
        <v>#REF!</v>
      </c>
      <c r="P17" s="472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3">
        <f>Total!K17</f>
        <v>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0</v>
      </c>
      <c r="F18" s="466">
        <f>'UTILITY REPORT 1'!E19</f>
        <v>0</v>
      </c>
      <c r="G18" s="467">
        <f>'UTILITY REPORT 1'!F19</f>
        <v>0</v>
      </c>
      <c r="H18" s="466">
        <f>IF('Kit report'!F20&lt;0,"0",'Kit report'!F20)</f>
        <v>0</v>
      </c>
      <c r="I18" s="466">
        <f>IF('Kit report'!X20&lt;0,"0",'Kit report'!X20)</f>
        <v>0</v>
      </c>
      <c r="J18" s="466">
        <f>IF('Utility summery'!H22&lt;0,"0",'Utility summery'!H22)</f>
        <v>0</v>
      </c>
      <c r="K18" s="467">
        <f>IF('UTILITY REPORT 1'!H19&lt;0,"0",'UTILITY REPORT 1'!H19)</f>
        <v>0</v>
      </c>
      <c r="L18" s="466">
        <f>'Water-Meter'!K22</f>
        <v>0</v>
      </c>
      <c r="M18" s="467">
        <f>'Water-Meter'!H22</f>
        <v>0</v>
      </c>
      <c r="N18" s="467">
        <f>'Water-Meter'!Q22</f>
        <v>0</v>
      </c>
      <c r="O18" s="466" t="e">
        <f>K18*E18+H18*I18+#REF!*#REF!+J18*L18</f>
        <v>#REF!</v>
      </c>
      <c r="P18" s="472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3">
        <f>Total!K18</f>
        <v>0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0</v>
      </c>
      <c r="F19" s="466">
        <f>'UTILITY REPORT 1'!E20</f>
        <v>0</v>
      </c>
      <c r="G19" s="467">
        <f>'UTILITY REPORT 1'!F20</f>
        <v>0</v>
      </c>
      <c r="H19" s="466">
        <f>IF('Kit report'!F21&lt;0,"0",'Kit report'!F21)</f>
        <v>0</v>
      </c>
      <c r="I19" s="466">
        <f>IF('Kit report'!X21&lt;0,"0",'Kit report'!X21)</f>
        <v>0</v>
      </c>
      <c r="J19" s="466">
        <f>IF('Utility summery'!H23&lt;0,"0",'Utility summery'!H23)</f>
        <v>0</v>
      </c>
      <c r="K19" s="467">
        <f>IF('UTILITY REPORT 1'!H20&lt;0,"0",'UTILITY REPORT 1'!H20)</f>
        <v>0</v>
      </c>
      <c r="L19" s="466">
        <f>'Water-Meter'!K23</f>
        <v>0</v>
      </c>
      <c r="M19" s="467">
        <f>'Water-Meter'!H23</f>
        <v>0</v>
      </c>
      <c r="N19" s="467">
        <f>'Water-Meter'!Q23</f>
        <v>0</v>
      </c>
      <c r="O19" s="466" t="e">
        <f>K19*E19+H19*I19+#REF!*#REF!+J19*L19</f>
        <v>#REF!</v>
      </c>
      <c r="P19" s="472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3">
        <f>Total!K19</f>
        <v>0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>
        <f>IF('Kit report'!F22&lt;0,"0",'Kit report'!F22)</f>
        <v>0</v>
      </c>
      <c r="I20" s="466">
        <f>IF('Kit report'!X22&lt;0,"0",'Kit report'!X22)</f>
        <v>0</v>
      </c>
      <c r="J20" s="466">
        <f>IF('Utility summery'!H24&lt;0,"0",'Utility summery'!H24)</f>
        <v>0</v>
      </c>
      <c r="K20" s="467">
        <f>IF('UTILITY REPORT 1'!H21&lt;0,"0",'UTILITY REPORT 1'!H21)</f>
        <v>0</v>
      </c>
      <c r="L20" s="466">
        <f>'Water-Meter'!K24</f>
        <v>0</v>
      </c>
      <c r="M20" s="467">
        <f>'Water-Meter'!H24</f>
        <v>0</v>
      </c>
      <c r="N20" s="467">
        <f>'Water-Meter'!Q24</f>
        <v>0</v>
      </c>
      <c r="O20" s="466" t="e">
        <f>K20*E20+H20*I20+#REF!*#REF!+J20*L20</f>
        <v>#REF!</v>
      </c>
      <c r="P20" s="472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3">
        <f>Total!K20</f>
        <v>0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315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63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1.2999999999999999E-2</v>
      </c>
      <c r="C17" s="413">
        <f>'Summery Report'!E19</f>
        <v>3</v>
      </c>
      <c r="D17" s="414">
        <v>1</v>
      </c>
      <c r="E17" s="413">
        <f>Gen!T25</f>
        <v>0</v>
      </c>
      <c r="F17" s="413">
        <f>Gen!U25</f>
        <v>0</v>
      </c>
      <c r="G17" s="413" t="str">
        <f>'Water-Meter'!E20</f>
        <v>0</v>
      </c>
      <c r="H17" s="413">
        <f>'Utility report '!AC20</f>
        <v>-39986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44121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44122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44123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63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3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-39986</v>
      </c>
      <c r="H20" s="154">
        <f>'Utility report '!AE20</f>
        <v>-206165</v>
      </c>
      <c r="I20" s="297" t="str">
        <f>'Water-Meter'!E20</f>
        <v>0</v>
      </c>
      <c r="J20" s="155">
        <f>'Lpg (2)'!B24</f>
        <v>68</v>
      </c>
      <c r="K20" s="155">
        <f>'Lpg (2)'!C25</f>
        <v>0</v>
      </c>
      <c r="L20" s="155">
        <f>'Lpg (2)'!D24</f>
        <v>85</v>
      </c>
      <c r="M20" s="459">
        <f>'Lpg (2)'!G24</f>
        <v>-319839.12400000007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0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9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9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9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9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46</v>
      </c>
      <c r="C39" s="463">
        <f>SUM(C7:C35)</f>
        <v>29615</v>
      </c>
      <c r="D39" s="463">
        <f>SUM(D7:D35)</f>
        <v>12595.769999999999</v>
      </c>
      <c r="E39" s="463">
        <f t="shared" ref="E39:S39" si="3">SUM(E7:E35)</f>
        <v>483</v>
      </c>
      <c r="F39" s="463">
        <f t="shared" si="3"/>
        <v>13078.769999999997</v>
      </c>
      <c r="G39" s="463">
        <f t="shared" si="3"/>
        <v>-39215</v>
      </c>
      <c r="H39" s="463">
        <f t="shared" si="3"/>
        <v>-205706</v>
      </c>
      <c r="I39" s="463">
        <f t="shared" si="3"/>
        <v>733</v>
      </c>
      <c r="J39" s="463">
        <f t="shared" si="3"/>
        <v>1093</v>
      </c>
      <c r="K39" s="463">
        <f t="shared" si="3"/>
        <v>850</v>
      </c>
      <c r="L39" s="463">
        <f t="shared" si="3"/>
        <v>935</v>
      </c>
      <c r="M39" s="463">
        <f t="shared" si="3"/>
        <v>-319017.42400000006</v>
      </c>
      <c r="N39" s="463">
        <f t="shared" si="3"/>
        <v>17634.077999999998</v>
      </c>
      <c r="O39" s="463">
        <f t="shared" si="3"/>
        <v>676.19999999999993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34" zoomScalePageLayoutView="85" workbookViewId="0">
      <pane xSplit="1" topLeftCell="B1" activePane="topRight" state="frozen"/>
      <selection pane="topRight" activeCell="AD23" sqref="AD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9" t="s">
        <v>314</v>
      </c>
      <c r="B1" s="860"/>
      <c r="C1" s="860"/>
      <c r="D1" s="860"/>
      <c r="E1" s="860"/>
      <c r="F1" s="860"/>
      <c r="G1" s="860"/>
      <c r="H1" s="860"/>
      <c r="I1" s="860"/>
      <c r="J1" s="861"/>
      <c r="K1" s="861"/>
      <c r="L1" s="861"/>
      <c r="M1" s="861"/>
      <c r="N1" s="861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2"/>
    </row>
    <row r="2" spans="1:37" ht="61.5" customHeight="1" thickBot="1">
      <c r="A2" s="138" t="s">
        <v>98</v>
      </c>
      <c r="B2" s="863" t="s">
        <v>99</v>
      </c>
      <c r="C2" s="864"/>
      <c r="D2" s="865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5" t="s">
        <v>104</v>
      </c>
      <c r="AB2" s="863" t="s">
        <v>164</v>
      </c>
      <c r="AC2" s="86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6">
        <f>SUM(D3/B3)</f>
        <v>1.3262195121951219</v>
      </c>
      <c r="G3" s="867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1103599.7999999998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0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/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8">
        <f>Gen!D23</f>
        <v>41113.81</v>
      </c>
      <c r="I18" s="778">
        <f>Gen!F23</f>
        <v>0</v>
      </c>
      <c r="J18" s="817">
        <f>Gen!T23</f>
        <v>995.96</v>
      </c>
      <c r="K18" s="822">
        <f>Gen!AK23</f>
        <v>71.09</v>
      </c>
      <c r="L18" s="813">
        <f t="shared" si="17"/>
        <v>1067.05</v>
      </c>
      <c r="M18" s="458">
        <f>'Water-Meter'!K58</f>
        <v>517.78614801070182</v>
      </c>
      <c r="N18" s="773">
        <f>'Water-Meter'!E18</f>
        <v>53</v>
      </c>
      <c r="O18" s="761"/>
      <c r="P18" s="771">
        <v>19032</v>
      </c>
      <c r="Q18" s="783"/>
      <c r="R18" s="435">
        <f t="shared" si="5"/>
        <v>0</v>
      </c>
      <c r="S18" s="755"/>
      <c r="T18" s="756">
        <v>17058</v>
      </c>
      <c r="U18" s="783">
        <f t="shared" si="6"/>
        <v>0</v>
      </c>
      <c r="V18" s="436">
        <f t="shared" si="19"/>
        <v>0</v>
      </c>
      <c r="W18" s="755"/>
      <c r="X18" s="762">
        <v>25254</v>
      </c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2</v>
      </c>
      <c r="C19" s="816">
        <f>Gen!C24</f>
        <v>1.2999999999999999E-2</v>
      </c>
      <c r="D19" s="778">
        <f>'Summery Report'!E18</f>
        <v>2</v>
      </c>
      <c r="E19" s="778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8">
        <f>Gen!D24</f>
        <v>40046.759999999995</v>
      </c>
      <c r="I19" s="778">
        <f>Gen!F24</f>
        <v>0</v>
      </c>
      <c r="J19" s="817">
        <f>Gen!T24</f>
        <v>974.17000000000007</v>
      </c>
      <c r="K19" s="822">
        <f>Gen!AK24</f>
        <v>58.87</v>
      </c>
      <c r="L19" s="813">
        <f t="shared" si="17"/>
        <v>1033.04</v>
      </c>
      <c r="M19" s="458">
        <f>'Water-Meter'!K59</f>
        <v>579.4304360893284</v>
      </c>
      <c r="N19" s="773">
        <f>'Water-Meter'!E19</f>
        <v>63</v>
      </c>
      <c r="O19" s="761"/>
      <c r="P19" s="771">
        <v>19032</v>
      </c>
      <c r="Q19" s="783"/>
      <c r="R19" s="435">
        <f t="shared" si="5"/>
        <v>0</v>
      </c>
      <c r="S19" s="755"/>
      <c r="T19" s="756">
        <v>17058</v>
      </c>
      <c r="U19" s="783">
        <f t="shared" si="6"/>
        <v>0</v>
      </c>
      <c r="V19" s="436">
        <f t="shared" si="19"/>
        <v>0</v>
      </c>
      <c r="W19" s="755"/>
      <c r="X19" s="762">
        <v>25254</v>
      </c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7">
        <f>'Lpg (2)'!B23*2000/85</f>
        <v>1623.5294117647059</v>
      </c>
      <c r="AG19" s="267">
        <f>'Lpg (2)'!C23*1000/85</f>
        <v>1000</v>
      </c>
      <c r="AH19" s="790">
        <f>'Lpg (2)'!D23*1000/85</f>
        <v>1000</v>
      </c>
      <c r="AI19" s="780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11">
        <f>Gen!B25</f>
        <v>44119</v>
      </c>
      <c r="B20" s="434">
        <f>'Summery Report'!E19</f>
        <v>3</v>
      </c>
      <c r="C20" s="816">
        <f>Gen!C25</f>
        <v>1.2999999999999999E-2</v>
      </c>
      <c r="D20" s="778">
        <f>'Summery Report'!E19</f>
        <v>3</v>
      </c>
      <c r="E20" s="778">
        <f t="shared" si="13"/>
        <v>1.3262195121951219</v>
      </c>
      <c r="F20" s="447">
        <f t="shared" si="14"/>
        <v>0</v>
      </c>
      <c r="G20" s="447">
        <f t="shared" si="0"/>
        <v>0</v>
      </c>
      <c r="H20" s="778">
        <f>Gen!D25</f>
        <v>39013.719999999994</v>
      </c>
      <c r="I20" s="778">
        <f>Gen!F25</f>
        <v>0</v>
      </c>
      <c r="J20" s="817">
        <f>Gen!T25</f>
        <v>0</v>
      </c>
      <c r="K20" s="822">
        <f>Gen!AK25</f>
        <v>0</v>
      </c>
      <c r="L20" s="813">
        <f t="shared" si="17"/>
        <v>0</v>
      </c>
      <c r="M20" s="458">
        <f>'Water-Meter'!K60</f>
        <v>611.01162357951932</v>
      </c>
      <c r="N20" s="773" t="str">
        <f>'Water-Meter'!E20</f>
        <v>0</v>
      </c>
      <c r="O20" s="761"/>
      <c r="P20" s="771"/>
      <c r="Q20" s="783">
        <f t="shared" si="2"/>
        <v>-19032</v>
      </c>
      <c r="R20" s="435">
        <f t="shared" si="5"/>
        <v>0</v>
      </c>
      <c r="S20" s="755"/>
      <c r="T20" s="756"/>
      <c r="U20" s="783">
        <f t="shared" si="6"/>
        <v>-17058</v>
      </c>
      <c r="V20" s="436">
        <f t="shared" si="19"/>
        <v>0</v>
      </c>
      <c r="W20" s="755"/>
      <c r="X20" s="762"/>
      <c r="Y20" s="783">
        <f t="shared" si="8"/>
        <v>-25254</v>
      </c>
      <c r="Z20" s="759">
        <f t="shared" si="9"/>
        <v>0</v>
      </c>
      <c r="AA20" s="769">
        <f t="shared" si="10"/>
        <v>0</v>
      </c>
      <c r="AB20" s="766"/>
      <c r="AC20" s="742">
        <f t="shared" si="11"/>
        <v>-39986</v>
      </c>
      <c r="AD20" s="745"/>
      <c r="AE20" s="179">
        <f t="shared" si="15"/>
        <v>-206165</v>
      </c>
      <c r="AF20" s="777">
        <f>'Lpg (2)'!B24*2000/85</f>
        <v>1600</v>
      </c>
      <c r="AG20" s="267">
        <f>'Lpg (2)'!C24*1000/85</f>
        <v>1000</v>
      </c>
      <c r="AH20" s="790">
        <f>'Lpg (2)'!D24*1000/85</f>
        <v>1000</v>
      </c>
      <c r="AI20" s="780">
        <f t="shared" si="18"/>
        <v>5200000</v>
      </c>
      <c r="AJ20" s="437">
        <f t="shared" si="4"/>
        <v>47058.823529411107</v>
      </c>
      <c r="AK20" s="133"/>
    </row>
    <row r="21" spans="1:37" ht="18.75">
      <c r="A21" s="811">
        <f>Gen!B26</f>
        <v>44120</v>
      </c>
      <c r="B21" s="434">
        <f>'Summery Report'!E20</f>
        <v>0</v>
      </c>
      <c r="C21" s="816">
        <f>Gen!C26</f>
        <v>0</v>
      </c>
      <c r="D21" s="778">
        <f>'Summery Report'!E20</f>
        <v>0</v>
      </c>
      <c r="E21" s="778">
        <f t="shared" si="13"/>
        <v>1.3262195121951219</v>
      </c>
      <c r="F21" s="447" t="e">
        <f t="shared" si="14"/>
        <v>#DIV/0!</v>
      </c>
      <c r="G21" s="447" t="e">
        <f t="shared" si="0"/>
        <v>#DIV/0!</v>
      </c>
      <c r="H21" s="778">
        <f>Gen!D26</f>
        <v>39013.719999999994</v>
      </c>
      <c r="I21" s="778">
        <f>Gen!F26</f>
        <v>0</v>
      </c>
      <c r="J21" s="817">
        <f>Gen!T26</f>
        <v>0</v>
      </c>
      <c r="K21" s="822">
        <f>Gen!AK26</f>
        <v>0</v>
      </c>
      <c r="L21" s="813">
        <f t="shared" si="17"/>
        <v>0</v>
      </c>
      <c r="M21" s="458">
        <f>'Water-Meter'!K61</f>
        <v>0</v>
      </c>
      <c r="N21" s="773">
        <f>'Water-Meter'!E21</f>
        <v>0</v>
      </c>
      <c r="O21" s="761"/>
      <c r="P21" s="771"/>
      <c r="Q21" s="783">
        <f t="shared" si="2"/>
        <v>0</v>
      </c>
      <c r="R21" s="435">
        <f t="shared" si="5"/>
        <v>0</v>
      </c>
      <c r="S21" s="755"/>
      <c r="T21" s="756"/>
      <c r="U21" s="783">
        <f>T22-T20</f>
        <v>0</v>
      </c>
      <c r="V21" s="436">
        <f t="shared" si="19"/>
        <v>0</v>
      </c>
      <c r="W21" s="755"/>
      <c r="X21" s="762"/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/>
      <c r="AC21" s="742">
        <f t="shared" si="11"/>
        <v>0</v>
      </c>
      <c r="AD21" s="745"/>
      <c r="AE21" s="179">
        <f t="shared" si="15"/>
        <v>0</v>
      </c>
      <c r="AF21" s="777">
        <f>'Lpg (2)'!B25*2000/85</f>
        <v>0</v>
      </c>
      <c r="AG21" s="267">
        <f>'Lpg (2)'!C25*1000/85</f>
        <v>0</v>
      </c>
      <c r="AH21" s="790">
        <f>'Lpg (2)'!D25*1000/85</f>
        <v>0</v>
      </c>
      <c r="AI21" s="780">
        <f t="shared" si="18"/>
        <v>0</v>
      </c>
      <c r="AJ21" s="437">
        <f t="shared" si="4"/>
        <v>5200000</v>
      </c>
      <c r="AK21" s="133"/>
    </row>
    <row r="22" spans="1:37" ht="18.75">
      <c r="A22" s="811">
        <f>Gen!B27</f>
        <v>44121</v>
      </c>
      <c r="B22" s="434">
        <f>'Summery Report'!E21</f>
        <v>0</v>
      </c>
      <c r="C22" s="816">
        <f>Gen!C27</f>
        <v>0</v>
      </c>
      <c r="D22" s="778">
        <f>'Summery Report'!E21</f>
        <v>0</v>
      </c>
      <c r="E22" s="778">
        <f t="shared" si="13"/>
        <v>1.3262195121951219</v>
      </c>
      <c r="F22" s="447" t="e">
        <f t="shared" si="14"/>
        <v>#DIV/0!</v>
      </c>
      <c r="G22" s="447" t="e">
        <f t="shared" si="0"/>
        <v>#DIV/0!</v>
      </c>
      <c r="H22" s="778">
        <f>Gen!D27</f>
        <v>39013.719999999994</v>
      </c>
      <c r="I22" s="778">
        <f>Gen!F27</f>
        <v>0</v>
      </c>
      <c r="J22" s="817">
        <f>Gen!T27</f>
        <v>0</v>
      </c>
      <c r="K22" s="822">
        <f>Gen!AK27</f>
        <v>0</v>
      </c>
      <c r="L22" s="813">
        <f t="shared" si="17"/>
        <v>0</v>
      </c>
      <c r="M22" s="458">
        <f>'Water-Meter'!K62</f>
        <v>0</v>
      </c>
      <c r="N22" s="773">
        <f>'Water-Meter'!E22</f>
        <v>0</v>
      </c>
      <c r="O22" s="761"/>
      <c r="P22" s="771"/>
      <c r="Q22" s="783">
        <f t="shared" si="2"/>
        <v>0</v>
      </c>
      <c r="R22" s="435">
        <f t="shared" si="5"/>
        <v>0</v>
      </c>
      <c r="S22" s="755"/>
      <c r="T22" s="756"/>
      <c r="U22" s="783">
        <f t="shared" ref="U22:U23" si="20">T23-T21</f>
        <v>0</v>
      </c>
      <c r="V22" s="436">
        <f t="shared" si="19"/>
        <v>0</v>
      </c>
      <c r="W22" s="755"/>
      <c r="X22" s="762"/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/>
      <c r="AC22" s="742">
        <f t="shared" si="11"/>
        <v>0</v>
      </c>
      <c r="AD22" s="745"/>
      <c r="AE22" s="179">
        <f t="shared" si="15"/>
        <v>0</v>
      </c>
      <c r="AF22" s="777">
        <f>'Lpg (2)'!B26*2000/85</f>
        <v>0</v>
      </c>
      <c r="AG22" s="267">
        <f>'Lpg (2)'!C26*1000/85</f>
        <v>0</v>
      </c>
      <c r="AH22" s="790">
        <f>'Lpg (2)'!D26*1000/85</f>
        <v>0</v>
      </c>
      <c r="AI22" s="780">
        <f t="shared" si="18"/>
        <v>0</v>
      </c>
      <c r="AJ22" s="437">
        <f t="shared" si="4"/>
        <v>0</v>
      </c>
      <c r="AK22" s="133"/>
    </row>
    <row r="23" spans="1:37" ht="18.75">
      <c r="A23" s="811">
        <f>Gen!B28</f>
        <v>44122</v>
      </c>
      <c r="B23" s="434">
        <f>'Summery Report'!E22</f>
        <v>0</v>
      </c>
      <c r="C23" s="816">
        <f>Gen!C28</f>
        <v>0</v>
      </c>
      <c r="D23" s="778">
        <f>'Summery Report'!E22</f>
        <v>0</v>
      </c>
      <c r="E23" s="778">
        <f t="shared" si="13"/>
        <v>1.3262195121951219</v>
      </c>
      <c r="F23" s="447" t="e">
        <f t="shared" si="14"/>
        <v>#DIV/0!</v>
      </c>
      <c r="G23" s="447" t="e">
        <f t="shared" si="0"/>
        <v>#DIV/0!</v>
      </c>
      <c r="H23" s="778">
        <f>Gen!D28</f>
        <v>39013.719999999994</v>
      </c>
      <c r="I23" s="778">
        <f>Gen!F28</f>
        <v>0</v>
      </c>
      <c r="J23" s="817">
        <f>Gen!T28</f>
        <v>0</v>
      </c>
      <c r="K23" s="822">
        <f>Gen!AK28</f>
        <v>0</v>
      </c>
      <c r="L23" s="813">
        <f t="shared" si="17"/>
        <v>0</v>
      </c>
      <c r="M23" s="458">
        <f>'Water-Meter'!K63</f>
        <v>0</v>
      </c>
      <c r="N23" s="773">
        <f>'Water-Meter'!E23</f>
        <v>0</v>
      </c>
      <c r="O23" s="761"/>
      <c r="P23" s="771"/>
      <c r="Q23" s="783">
        <f t="shared" si="2"/>
        <v>0</v>
      </c>
      <c r="R23" s="435">
        <f t="shared" si="5"/>
        <v>0</v>
      </c>
      <c r="S23" s="755"/>
      <c r="T23" s="756"/>
      <c r="U23" s="783">
        <f t="shared" si="20"/>
        <v>0</v>
      </c>
      <c r="V23" s="436">
        <f t="shared" si="19"/>
        <v>0</v>
      </c>
      <c r="W23" s="755"/>
      <c r="X23" s="762"/>
      <c r="Y23" s="783">
        <f t="shared" si="8"/>
        <v>0</v>
      </c>
      <c r="Z23" s="759">
        <f t="shared" si="9"/>
        <v>0</v>
      </c>
      <c r="AA23" s="769">
        <f t="shared" si="10"/>
        <v>0</v>
      </c>
      <c r="AB23" s="766"/>
      <c r="AC23" s="742">
        <f t="shared" si="11"/>
        <v>0</v>
      </c>
      <c r="AD23" s="746"/>
      <c r="AE23" s="179">
        <f t="shared" si="15"/>
        <v>0</v>
      </c>
      <c r="AF23" s="777">
        <f>'Lpg (2)'!B27*2000/85</f>
        <v>0</v>
      </c>
      <c r="AG23" s="267">
        <f>'Lpg (2)'!C27*1000/85</f>
        <v>0</v>
      </c>
      <c r="AH23" s="790">
        <f>'Lpg (2)'!D27*1000/85</f>
        <v>0</v>
      </c>
      <c r="AI23" s="780">
        <f t="shared" si="18"/>
        <v>0</v>
      </c>
      <c r="AJ23" s="437">
        <f t="shared" si="4"/>
        <v>0</v>
      </c>
      <c r="AK23" s="133"/>
    </row>
    <row r="24" spans="1:37" ht="18.75">
      <c r="A24" s="811">
        <f>Gen!B29</f>
        <v>44123</v>
      </c>
      <c r="B24" s="434">
        <f>'Summery Report'!E23</f>
        <v>0</v>
      </c>
      <c r="C24" s="816">
        <f>Gen!C29</f>
        <v>0</v>
      </c>
      <c r="D24" s="778">
        <f>'Summery Report'!E23</f>
        <v>0</v>
      </c>
      <c r="E24" s="778">
        <f t="shared" si="13"/>
        <v>1.3262195121951219</v>
      </c>
      <c r="F24" s="447" t="e">
        <f t="shared" si="14"/>
        <v>#DIV/0!</v>
      </c>
      <c r="G24" s="447" t="e">
        <f t="shared" si="0"/>
        <v>#DIV/0!</v>
      </c>
      <c r="H24" s="778">
        <f>Gen!D29</f>
        <v>39013.719999999994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0</v>
      </c>
      <c r="N24" s="773">
        <f>'Water-Meter'!E24</f>
        <v>0</v>
      </c>
      <c r="O24" s="761"/>
      <c r="P24" s="771"/>
      <c r="Q24" s="783">
        <f t="shared" si="2"/>
        <v>0</v>
      </c>
      <c r="R24" s="435">
        <f t="shared" si="5"/>
        <v>0</v>
      </c>
      <c r="S24" s="755"/>
      <c r="T24" s="756"/>
      <c r="U24" s="783">
        <f t="shared" si="6"/>
        <v>0</v>
      </c>
      <c r="V24" s="436">
        <f t="shared" si="19"/>
        <v>0</v>
      </c>
      <c r="W24" s="755"/>
      <c r="X24" s="762"/>
      <c r="Y24" s="783">
        <f t="shared" si="8"/>
        <v>0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0</v>
      </c>
      <c r="AD24" s="746"/>
      <c r="AE24" s="179">
        <f t="shared" si="15"/>
        <v>0</v>
      </c>
      <c r="AF24" s="777">
        <f>'Lpg (2)'!B28*2000/85</f>
        <v>0</v>
      </c>
      <c r="AG24" s="267">
        <f>'Lpg (2)'!C28*1000/85</f>
        <v>0</v>
      </c>
      <c r="AH24" s="790">
        <f>'Lpg (2)'!D28*1000/85</f>
        <v>0</v>
      </c>
      <c r="AI24" s="780">
        <f t="shared" si="18"/>
        <v>0</v>
      </c>
      <c r="AJ24" s="437">
        <f t="shared" si="4"/>
        <v>0</v>
      </c>
      <c r="AK24" s="133"/>
    </row>
    <row r="25" spans="1:37" ht="18.75">
      <c r="A25" s="811">
        <f>Gen!B30</f>
        <v>44124</v>
      </c>
      <c r="B25" s="434">
        <f>'Summery Report'!E24</f>
        <v>0</v>
      </c>
      <c r="C25" s="816">
        <f>Gen!C30</f>
        <v>0</v>
      </c>
      <c r="D25" s="778">
        <f>'Summery Report'!E24</f>
        <v>0</v>
      </c>
      <c r="E25" s="778">
        <f t="shared" si="13"/>
        <v>1.3262195121951219</v>
      </c>
      <c r="F25" s="447" t="e">
        <f t="shared" si="14"/>
        <v>#DIV/0!</v>
      </c>
      <c r="G25" s="447" t="e">
        <f t="shared" si="0"/>
        <v>#DIV/0!</v>
      </c>
      <c r="H25" s="778">
        <f>Gen!D30</f>
        <v>39013.719999999994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0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39013.719999999994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39013.719999999994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39013.719999999994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39013.719999999994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39013.719999999994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39013.719999999994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39013.719999999994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39013.719999999994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39013.719999999994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39013.719999999994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39013.719999999994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13506.81</v>
      </c>
      <c r="K37" s="828"/>
      <c r="L37" s="814">
        <f t="shared" si="17"/>
        <v>13506.81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0" sqref="W2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8" t="s">
        <v>150</v>
      </c>
      <c r="C1" s="869"/>
      <c r="D1" s="869"/>
      <c r="E1" s="869"/>
      <c r="F1" s="870"/>
      <c r="G1" s="158"/>
      <c r="H1" s="868" t="s">
        <v>151</v>
      </c>
      <c r="I1" s="869"/>
      <c r="J1" s="869"/>
      <c r="K1" s="869"/>
      <c r="L1" s="870"/>
      <c r="M1" s="868" t="s">
        <v>170</v>
      </c>
      <c r="N1" s="869"/>
      <c r="O1" s="869"/>
      <c r="P1" s="869"/>
      <c r="Q1" s="870"/>
      <c r="R1" s="158"/>
      <c r="T1" s="868" t="s">
        <v>166</v>
      </c>
      <c r="U1" s="869"/>
      <c r="V1" s="869"/>
      <c r="W1" s="869"/>
      <c r="X1" s="870"/>
      <c r="Y1" s="868" t="s">
        <v>169</v>
      </c>
      <c r="Z1" s="869"/>
      <c r="AA1" s="869"/>
      <c r="AB1" s="869"/>
      <c r="AC1" s="870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1" t="s">
        <v>156</v>
      </c>
      <c r="C3" s="872"/>
      <c r="D3" s="167"/>
      <c r="E3" s="669">
        <v>8844.6</v>
      </c>
      <c r="F3" s="607" t="s">
        <v>157</v>
      </c>
      <c r="G3" s="608"/>
      <c r="H3" s="871" t="s">
        <v>156</v>
      </c>
      <c r="I3" s="872"/>
      <c r="J3" s="635">
        <f>'Water-Meter'!G5</f>
        <v>38000</v>
      </c>
      <c r="K3" s="609">
        <f>'Water-Meter'!G5</f>
        <v>38000</v>
      </c>
      <c r="L3" s="242"/>
      <c r="M3" s="871" t="s">
        <v>156</v>
      </c>
      <c r="N3" s="872"/>
      <c r="O3" s="167">
        <f>'Water-Meter'!J5</f>
        <v>8050</v>
      </c>
      <c r="P3" s="610">
        <f>'Water-Meter'!J5</f>
        <v>8050</v>
      </c>
      <c r="Q3" s="166"/>
      <c r="R3" s="242"/>
      <c r="S3" s="670"/>
      <c r="T3" s="871" t="s">
        <v>156</v>
      </c>
      <c r="U3" s="872"/>
      <c r="V3" s="167"/>
      <c r="W3" s="671">
        <v>7829.2</v>
      </c>
      <c r="X3" s="611">
        <f t="shared" ref="X3:X35" si="0">(W3-V3)*200</f>
        <v>1565840</v>
      </c>
      <c r="Y3" s="871" t="s">
        <v>156</v>
      </c>
      <c r="Z3" s="872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1.2999999999999999E-2</v>
      </c>
      <c r="B18" s="615">
        <f>Gen!B25</f>
        <v>44119</v>
      </c>
      <c r="C18" s="599"/>
      <c r="D18" s="604">
        <f t="shared" si="1"/>
        <v>8869.7999999999993</v>
      </c>
      <c r="E18" s="600"/>
      <c r="F18" s="604">
        <f t="shared" ref="F18:F22" si="12">SUM(E18-D18)*120</f>
        <v>-1064376</v>
      </c>
      <c r="G18" s="599"/>
      <c r="H18" s="650">
        <f t="shared" si="6"/>
        <v>44119</v>
      </c>
      <c r="I18" s="599"/>
      <c r="J18" s="651">
        <f>'Water-Meter'!G20</f>
        <v>0</v>
      </c>
      <c r="K18" s="652">
        <f>'Water-Meter'!G20</f>
        <v>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0</v>
      </c>
      <c r="P18" s="603">
        <f>'Water-Meter'!J20</f>
        <v>0</v>
      </c>
      <c r="Q18" s="599">
        <f t="shared" si="8"/>
        <v>-8066</v>
      </c>
      <c r="R18" s="653">
        <f t="shared" si="4"/>
        <v>-4.9944272445820435</v>
      </c>
      <c r="S18" s="654">
        <f>Gen!T25</f>
        <v>0</v>
      </c>
      <c r="T18" s="650">
        <f t="shared" si="9"/>
        <v>44119</v>
      </c>
      <c r="U18" s="599"/>
      <c r="V18" s="604">
        <f t="shared" si="5"/>
        <v>7833.7</v>
      </c>
      <c r="W18" s="601"/>
      <c r="X18" s="604">
        <f t="shared" si="0"/>
        <v>-1566740</v>
      </c>
      <c r="Y18" s="650">
        <f t="shared" si="10"/>
        <v>44119</v>
      </c>
      <c r="Z18" s="599"/>
      <c r="AA18" s="599"/>
      <c r="AB18" s="603">
        <f>'Water-Meter'!P20</f>
        <v>0</v>
      </c>
      <c r="AC18" s="662">
        <f t="shared" si="11"/>
        <v>-20348</v>
      </c>
    </row>
    <row r="19" spans="1:29" ht="18.75">
      <c r="A19" s="673">
        <f>Gen!C26</f>
        <v>0</v>
      </c>
      <c r="B19" s="615">
        <f>Gen!B26</f>
        <v>44120</v>
      </c>
      <c r="C19" s="602"/>
      <c r="D19" s="604">
        <f t="shared" si="1"/>
        <v>0</v>
      </c>
      <c r="E19" s="600"/>
      <c r="F19" s="604">
        <f t="shared" si="12"/>
        <v>0</v>
      </c>
      <c r="G19" s="599"/>
      <c r="H19" s="650">
        <f t="shared" si="6"/>
        <v>44120</v>
      </c>
      <c r="I19" s="602"/>
      <c r="J19" s="651">
        <f>'Water-Meter'!G21</f>
        <v>0</v>
      </c>
      <c r="K19" s="652">
        <f>'Water-Meter'!G21</f>
        <v>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0</v>
      </c>
      <c r="P19" s="603">
        <f>'Water-Meter'!J21</f>
        <v>0</v>
      </c>
      <c r="Q19" s="599">
        <f t="shared" si="8"/>
        <v>0</v>
      </c>
      <c r="R19" s="653">
        <f t="shared" si="4"/>
        <v>0</v>
      </c>
      <c r="S19" s="654">
        <f>Gen!T26</f>
        <v>0</v>
      </c>
      <c r="T19" s="650">
        <f t="shared" si="9"/>
        <v>44120</v>
      </c>
      <c r="U19" s="602"/>
      <c r="V19" s="604">
        <f t="shared" si="5"/>
        <v>0</v>
      </c>
      <c r="W19" s="601"/>
      <c r="X19" s="604">
        <f t="shared" si="0"/>
        <v>0</v>
      </c>
      <c r="Y19" s="650">
        <f t="shared" si="10"/>
        <v>44120</v>
      </c>
      <c r="Z19" s="602"/>
      <c r="AA19" s="599"/>
      <c r="AB19" s="603">
        <f>'Water-Meter'!P21</f>
        <v>0</v>
      </c>
      <c r="AC19" s="662">
        <f t="shared" si="11"/>
        <v>0</v>
      </c>
    </row>
    <row r="20" spans="1:29" ht="18.75">
      <c r="A20" s="673">
        <f>Gen!C27</f>
        <v>0</v>
      </c>
      <c r="B20" s="615">
        <f>Gen!B27</f>
        <v>44121</v>
      </c>
      <c r="C20" s="602"/>
      <c r="D20" s="604">
        <f t="shared" si="1"/>
        <v>0</v>
      </c>
      <c r="E20" s="600"/>
      <c r="F20" s="604">
        <f t="shared" si="12"/>
        <v>0</v>
      </c>
      <c r="G20" s="599"/>
      <c r="H20" s="650">
        <f t="shared" si="6"/>
        <v>44121</v>
      </c>
      <c r="I20" s="602"/>
      <c r="J20" s="651">
        <f>'Water-Meter'!G22</f>
        <v>0</v>
      </c>
      <c r="K20" s="652">
        <f>'Water-Meter'!G22</f>
        <v>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0</v>
      </c>
      <c r="P20" s="603">
        <f>'Water-Meter'!J22</f>
        <v>0</v>
      </c>
      <c r="Q20" s="599">
        <f t="shared" si="8"/>
        <v>0</v>
      </c>
      <c r="R20" s="653">
        <f t="shared" si="4"/>
        <v>0</v>
      </c>
      <c r="S20" s="654">
        <f>Gen!T27</f>
        <v>0</v>
      </c>
      <c r="T20" s="650">
        <f t="shared" si="9"/>
        <v>44121</v>
      </c>
      <c r="U20" s="602"/>
      <c r="V20" s="604">
        <f t="shared" si="5"/>
        <v>0</v>
      </c>
      <c r="W20" s="601"/>
      <c r="X20" s="604">
        <f t="shared" si="0"/>
        <v>0</v>
      </c>
      <c r="Y20" s="650">
        <f t="shared" si="10"/>
        <v>44121</v>
      </c>
      <c r="Z20" s="602"/>
      <c r="AA20" s="599"/>
      <c r="AB20" s="603">
        <f>'Water-Meter'!P22</f>
        <v>0</v>
      </c>
      <c r="AC20" s="662">
        <f t="shared" si="11"/>
        <v>0</v>
      </c>
    </row>
    <row r="21" spans="1:29" ht="18.75">
      <c r="A21" s="673">
        <f>Gen!C28</f>
        <v>0</v>
      </c>
      <c r="B21" s="615">
        <f>Gen!B28</f>
        <v>44122</v>
      </c>
      <c r="C21" s="602"/>
      <c r="D21" s="604">
        <f t="shared" si="1"/>
        <v>0</v>
      </c>
      <c r="E21" s="600"/>
      <c r="F21" s="604">
        <f t="shared" si="12"/>
        <v>0</v>
      </c>
      <c r="G21" s="599"/>
      <c r="H21" s="650">
        <f t="shared" si="6"/>
        <v>44122</v>
      </c>
      <c r="I21" s="602"/>
      <c r="J21" s="651">
        <f>'Water-Meter'!G23</f>
        <v>0</v>
      </c>
      <c r="K21" s="652">
        <f>'Water-Meter'!G23</f>
        <v>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0</v>
      </c>
      <c r="P21" s="603">
        <f>'Water-Meter'!J23</f>
        <v>0</v>
      </c>
      <c r="Q21" s="599">
        <f t="shared" ref="Q21:Q35" si="13">N21-O20</f>
        <v>0</v>
      </c>
      <c r="R21" s="653">
        <f t="shared" ref="R21:R35" si="14">SUM(Q21/1615)</f>
        <v>0</v>
      </c>
      <c r="S21" s="654">
        <f>Gen!T28</f>
        <v>0</v>
      </c>
      <c r="T21" s="650">
        <f t="shared" si="9"/>
        <v>44122</v>
      </c>
      <c r="U21" s="602"/>
      <c r="V21" s="604">
        <f t="shared" si="5"/>
        <v>0</v>
      </c>
      <c r="W21" s="601"/>
      <c r="X21" s="604">
        <f t="shared" si="0"/>
        <v>0</v>
      </c>
      <c r="Y21" s="650">
        <f t="shared" si="10"/>
        <v>44122</v>
      </c>
      <c r="Z21" s="602"/>
      <c r="AA21" s="599"/>
      <c r="AB21" s="603">
        <f>'Water-Meter'!P23</f>
        <v>0</v>
      </c>
      <c r="AC21" s="662">
        <f t="shared" si="11"/>
        <v>0</v>
      </c>
    </row>
    <row r="22" spans="1:29" ht="18.75">
      <c r="A22" s="673">
        <f>Gen!C29</f>
        <v>0</v>
      </c>
      <c r="B22" s="615">
        <f>Gen!B29</f>
        <v>44123</v>
      </c>
      <c r="C22" s="599"/>
      <c r="D22" s="604">
        <f t="shared" si="1"/>
        <v>0</v>
      </c>
      <c r="E22" s="600"/>
      <c r="F22" s="604">
        <f t="shared" si="12"/>
        <v>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0</v>
      </c>
      <c r="R22" s="653">
        <f t="shared" si="14"/>
        <v>0</v>
      </c>
      <c r="S22" s="654">
        <f>Gen!T29</f>
        <v>0</v>
      </c>
      <c r="T22" s="650">
        <f t="shared" si="9"/>
        <v>44123</v>
      </c>
      <c r="U22" s="599"/>
      <c r="V22" s="604">
        <f t="shared" si="5"/>
        <v>0</v>
      </c>
      <c r="W22" s="601"/>
      <c r="X22" s="604">
        <f t="shared" si="0"/>
        <v>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6" sqref="E2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3" t="s">
        <v>319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63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-154738</v>
      </c>
      <c r="C19" s="88">
        <f>Gen!C25</f>
        <v>1.2999999999999999E-2</v>
      </c>
      <c r="D19" s="443">
        <f t="shared" si="0"/>
        <v>3</v>
      </c>
      <c r="E19" s="75">
        <v>3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 t="str">
        <f>'Water-Meter'!E20</f>
        <v>0</v>
      </c>
      <c r="L19" s="685">
        <f>'Lpg (2)'!G24</f>
        <v>-319839.12400000007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0</v>
      </c>
      <c r="C20" s="88">
        <f>Gen!C26</f>
        <v>0</v>
      </c>
      <c r="D20" s="443">
        <f t="shared" si="0"/>
        <v>0</v>
      </c>
      <c r="E20" s="75"/>
      <c r="F20" s="71">
        <f>Gen!U24</f>
        <v>2264</v>
      </c>
      <c r="G20" s="86">
        <f>Gen!T24</f>
        <v>974.17000000000007</v>
      </c>
      <c r="H20" s="86">
        <f>Gen!AK26</f>
        <v>0</v>
      </c>
      <c r="I20" s="86">
        <f t="shared" si="1"/>
        <v>974.17000000000007</v>
      </c>
      <c r="J20" s="456">
        <f>Gen!D26</f>
        <v>39013.719999999994</v>
      </c>
      <c r="K20" s="296">
        <f>'Water-Meter'!E21</f>
        <v>0</v>
      </c>
      <c r="L20" s="685">
        <f>'Lpg (2)'!G25</f>
        <v>0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0</v>
      </c>
      <c r="C21" s="88">
        <f>Gen!C27</f>
        <v>0</v>
      </c>
      <c r="D21" s="443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6">
        <f>Gen!D27</f>
        <v>39013.719999999994</v>
      </c>
      <c r="K21" s="296">
        <f>'Water-Meter'!E22</f>
        <v>0</v>
      </c>
      <c r="L21" s="685">
        <f>'Lpg (2)'!G26</f>
        <v>0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0</v>
      </c>
      <c r="C22" s="88">
        <f>Gen!C28</f>
        <v>0</v>
      </c>
      <c r="D22" s="443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6">
        <f>Gen!D28</f>
        <v>39013.719999999994</v>
      </c>
      <c r="K22" s="296">
        <f>'Water-Meter'!E23</f>
        <v>0</v>
      </c>
      <c r="L22" s="685">
        <f>'Lpg (2)'!G27</f>
        <v>0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0</v>
      </c>
      <c r="C23" s="88">
        <f>Gen!C29</f>
        <v>0</v>
      </c>
      <c r="D23" s="443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6">
        <f>Gen!D29</f>
        <v>39013.719999999994</v>
      </c>
      <c r="K23" s="296">
        <f>'Water-Meter'!E24</f>
        <v>0</v>
      </c>
      <c r="L23" s="685">
        <f>'Lpg (2)'!G28</f>
        <v>0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6">
        <f>Gen!D30</f>
        <v>39013.719999999994</v>
      </c>
      <c r="K24" s="296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39013.719999999994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39013.719999999994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39013.719999999994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39013.719999999994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39013.719999999994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39013.719999999994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39013.719999999994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39013.719999999994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39013.719999999994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39013.719999999994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39013.719999999994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39013.719999999994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abSelected="1" topLeftCell="A4" workbookViewId="0">
      <pane xSplit="1" topLeftCell="B1" activePane="topRight" state="frozen"/>
      <selection pane="topRight" activeCell="C23" sqref="C2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6">
        <f>A6</f>
        <v>44105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20"/>
    </row>
    <row r="2" spans="1:29" ht="12" customHeight="1" thickBot="1">
      <c r="A2" s="877"/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8" t="s">
        <v>298</v>
      </c>
      <c r="L3" s="879"/>
      <c r="M3" s="880"/>
      <c r="N3" s="878" t="s">
        <v>299</v>
      </c>
      <c r="O3" s="879"/>
      <c r="P3" s="880"/>
      <c r="Q3" s="878" t="s">
        <v>300</v>
      </c>
      <c r="R3" s="879"/>
      <c r="S3" s="880"/>
      <c r="T3" s="878" t="s">
        <v>301</v>
      </c>
      <c r="U3" s="879"/>
      <c r="V3" s="880"/>
      <c r="W3" s="878" t="s">
        <v>302</v>
      </c>
      <c r="X3" s="879"/>
      <c r="Y3" s="88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/>
      <c r="J20" s="712"/>
      <c r="K20" s="723">
        <f t="shared" si="0"/>
        <v>35260</v>
      </c>
      <c r="L20" s="307"/>
      <c r="M20" s="306">
        <f t="shared" si="1"/>
        <v>-35260</v>
      </c>
      <c r="N20" s="308">
        <f t="shared" si="2"/>
        <v>30171</v>
      </c>
      <c r="O20" s="307"/>
      <c r="P20" s="306">
        <f t="shared" si="3"/>
        <v>-30171</v>
      </c>
      <c r="Q20" s="306">
        <f t="shared" si="4"/>
        <v>35749</v>
      </c>
      <c r="R20" s="307"/>
      <c r="S20" s="306">
        <f t="shared" si="5"/>
        <v>-35749</v>
      </c>
      <c r="T20" s="306">
        <f t="shared" si="6"/>
        <v>32455</v>
      </c>
      <c r="U20" s="307"/>
      <c r="V20" s="306">
        <f t="shared" si="7"/>
        <v>-32455</v>
      </c>
      <c r="W20" s="308">
        <f t="shared" si="8"/>
        <v>21103</v>
      </c>
      <c r="X20" s="307"/>
      <c r="Y20" s="306">
        <f t="shared" si="9"/>
        <v>-21103</v>
      </c>
      <c r="Z20" s="309">
        <f t="shared" si="10"/>
        <v>-154738</v>
      </c>
      <c r="AA20" s="126"/>
      <c r="AB20" s="126"/>
      <c r="AC20" s="724">
        <f>Gen!T25</f>
        <v>0</v>
      </c>
    </row>
    <row r="21" spans="1:29" ht="20.100000000000001" customHeight="1">
      <c r="A21" s="717">
        <f>Gen!B26</f>
        <v>44120</v>
      </c>
      <c r="B21" s="711"/>
      <c r="C21" s="307"/>
      <c r="D21" s="307"/>
      <c r="E21" s="307"/>
      <c r="F21" s="307"/>
      <c r="G21" s="307"/>
      <c r="H21" s="307"/>
      <c r="I21" s="307"/>
      <c r="J21" s="712"/>
      <c r="K21" s="723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24">
        <f>Gen!T26</f>
        <v>0</v>
      </c>
    </row>
    <row r="22" spans="1:29" ht="18.75" customHeight="1">
      <c r="A22" s="717">
        <f>Gen!B27</f>
        <v>44121</v>
      </c>
      <c r="B22" s="711"/>
      <c r="C22" s="307"/>
      <c r="D22" s="307"/>
      <c r="E22" s="307"/>
      <c r="F22" s="307"/>
      <c r="G22" s="307"/>
      <c r="H22" s="307"/>
      <c r="I22" s="307"/>
      <c r="J22" s="712"/>
      <c r="K22" s="723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24">
        <f>Gen!T27</f>
        <v>0</v>
      </c>
    </row>
    <row r="23" spans="1:29" ht="20.100000000000001" customHeight="1">
      <c r="A23" s="717">
        <f>Gen!B28</f>
        <v>44122</v>
      </c>
      <c r="B23" s="711"/>
      <c r="C23" s="307"/>
      <c r="D23" s="307"/>
      <c r="E23" s="501"/>
      <c r="F23" s="307"/>
      <c r="G23" s="307"/>
      <c r="H23" s="307"/>
      <c r="I23" s="307"/>
      <c r="J23" s="712"/>
      <c r="K23" s="723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24">
        <f>Gen!T28</f>
        <v>0</v>
      </c>
    </row>
    <row r="24" spans="1:29" ht="20.100000000000001" customHeight="1">
      <c r="A24" s="717">
        <f>Gen!B29</f>
        <v>44123</v>
      </c>
      <c r="B24" s="711"/>
      <c r="C24" s="307"/>
      <c r="D24" s="307"/>
      <c r="E24" s="307"/>
      <c r="F24" s="307"/>
      <c r="G24" s="307"/>
      <c r="H24" s="307"/>
      <c r="I24" s="307"/>
      <c r="J24" s="712"/>
      <c r="K24" s="723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4" zoomScale="110" zoomScaleNormal="110" workbookViewId="0">
      <pane xSplit="2" topLeftCell="C1" activePane="topRight" state="frozen"/>
      <selection pane="topRight" activeCell="D25" sqref="D25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7"/>
      <c r="C1" s="887"/>
    </row>
    <row r="2" spans="2:47" ht="26.25">
      <c r="B2" s="887"/>
      <c r="C2" s="887"/>
      <c r="E2" s="888" t="s">
        <v>320</v>
      </c>
      <c r="F2" s="888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89"/>
      <c r="S2" s="889"/>
      <c r="T2" s="889"/>
      <c r="U2" s="889"/>
      <c r="V2" s="889"/>
      <c r="W2" s="889"/>
      <c r="X2" s="889"/>
      <c r="Y2" s="889"/>
      <c r="Z2" s="889"/>
      <c r="AA2" s="889"/>
      <c r="AB2" s="889"/>
      <c r="AC2" s="889"/>
      <c r="AD2" s="889"/>
      <c r="AE2" s="889"/>
      <c r="AF2" s="889"/>
      <c r="AG2" s="889"/>
      <c r="AH2" s="889"/>
      <c r="AI2" s="889"/>
      <c r="AJ2" s="889"/>
      <c r="AK2" s="889"/>
      <c r="AL2" s="889"/>
      <c r="AM2" s="889"/>
      <c r="AN2" s="889"/>
      <c r="AO2" s="889"/>
      <c r="AP2" s="889"/>
      <c r="AQ2" s="889"/>
      <c r="AR2" s="889"/>
      <c r="AS2" s="889"/>
      <c r="AT2" s="889"/>
      <c r="AU2" s="889"/>
    </row>
    <row r="3" spans="2:47" ht="12.75" customHeight="1">
      <c r="B3" s="887"/>
      <c r="C3" s="887"/>
      <c r="I3" s="905"/>
      <c r="J3" s="905"/>
      <c r="K3" s="905"/>
      <c r="L3" s="182"/>
      <c r="R3" s="182"/>
    </row>
    <row r="4" spans="2:47">
      <c r="B4" s="887"/>
      <c r="C4" s="887"/>
      <c r="I4" s="905"/>
      <c r="J4" s="905"/>
      <c r="K4" s="905"/>
      <c r="L4" s="182"/>
      <c r="R4" s="182"/>
    </row>
    <row r="5" spans="2:47" ht="12" thickBot="1">
      <c r="B5" s="887"/>
      <c r="C5" s="887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7"/>
      <c r="C6" s="887"/>
      <c r="D6" s="187"/>
      <c r="G6" s="896" t="s">
        <v>57</v>
      </c>
      <c r="H6" s="897"/>
      <c r="I6" s="897"/>
      <c r="J6" s="897"/>
      <c r="K6" s="897"/>
      <c r="L6" s="897"/>
      <c r="M6" s="898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0" t="s">
        <v>201</v>
      </c>
      <c r="H7" s="891"/>
      <c r="I7" s="891"/>
      <c r="J7" s="891"/>
      <c r="K7" s="891"/>
      <c r="L7" s="891"/>
      <c r="M7" s="892"/>
      <c r="N7" s="893" t="s">
        <v>40</v>
      </c>
      <c r="O7" s="894"/>
      <c r="P7" s="894"/>
      <c r="Q7" s="894"/>
      <c r="R7" s="894"/>
      <c r="S7" s="895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6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6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1.2999999999999999E-2</v>
      </c>
      <c r="D25" s="733">
        <f t="shared" si="6"/>
        <v>39013.719999999994</v>
      </c>
      <c r="E25" s="737"/>
      <c r="F25" s="596"/>
      <c r="G25" s="594"/>
      <c r="H25" s="574"/>
      <c r="I25" s="220"/>
      <c r="J25" s="224"/>
      <c r="K25" s="205"/>
      <c r="L25" s="205"/>
      <c r="M25" s="537"/>
      <c r="N25" s="299"/>
      <c r="O25" s="207"/>
      <c r="P25" s="207"/>
      <c r="Q25" s="207"/>
      <c r="R25" s="207"/>
      <c r="S25" s="579"/>
      <c r="T25" s="587">
        <f t="shared" si="0"/>
        <v>0</v>
      </c>
      <c r="U25" s="219">
        <f t="shared" si="1"/>
        <v>0</v>
      </c>
      <c r="V25" s="588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/>
      <c r="D26" s="733">
        <f t="shared" si="6"/>
        <v>39013.719999999994</v>
      </c>
      <c r="E26" s="737"/>
      <c r="F26" s="596"/>
      <c r="G26" s="594"/>
      <c r="H26" s="574"/>
      <c r="I26" s="220"/>
      <c r="J26" s="224"/>
      <c r="K26" s="205"/>
      <c r="L26" s="205"/>
      <c r="M26" s="537"/>
      <c r="N26" s="299"/>
      <c r="O26" s="207"/>
      <c r="P26" s="207"/>
      <c r="Q26" s="207"/>
      <c r="R26" s="207"/>
      <c r="S26" s="579"/>
      <c r="T26" s="587">
        <f t="shared" si="0"/>
        <v>0</v>
      </c>
      <c r="U26" s="219">
        <f t="shared" si="1"/>
        <v>0</v>
      </c>
      <c r="V26" s="588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39013.719999999994</v>
      </c>
    </row>
    <row r="27" spans="2:47" ht="14.25">
      <c r="B27" s="598">
        <v>44121</v>
      </c>
      <c r="C27" s="592"/>
      <c r="D27" s="733">
        <f t="shared" si="6"/>
        <v>39013.719999999994</v>
      </c>
      <c r="E27" s="737"/>
      <c r="F27" s="596"/>
      <c r="G27" s="594"/>
      <c r="H27" s="574"/>
      <c r="I27" s="220"/>
      <c r="J27" s="224"/>
      <c r="K27" s="205"/>
      <c r="L27" s="205"/>
      <c r="M27" s="537"/>
      <c r="N27" s="299"/>
      <c r="O27" s="207"/>
      <c r="P27" s="207"/>
      <c r="Q27" s="207"/>
      <c r="R27" s="207"/>
      <c r="S27" s="579"/>
      <c r="T27" s="587">
        <f t="shared" si="0"/>
        <v>0</v>
      </c>
      <c r="U27" s="219">
        <f t="shared" si="1"/>
        <v>0</v>
      </c>
      <c r="V27" s="588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39013.719999999994</v>
      </c>
    </row>
    <row r="28" spans="2:47" ht="14.25">
      <c r="B28" s="598">
        <v>44122</v>
      </c>
      <c r="C28" s="592"/>
      <c r="D28" s="733">
        <f t="shared" si="6"/>
        <v>39013.719999999994</v>
      </c>
      <c r="E28" s="737"/>
      <c r="F28" s="596"/>
      <c r="G28" s="594"/>
      <c r="H28" s="574"/>
      <c r="I28" s="220"/>
      <c r="J28" s="206"/>
      <c r="K28" s="205"/>
      <c r="L28" s="205"/>
      <c r="M28" s="537"/>
      <c r="N28" s="299"/>
      <c r="O28" s="207"/>
      <c r="P28" s="207"/>
      <c r="Q28" s="207"/>
      <c r="R28" s="207"/>
      <c r="S28" s="579"/>
      <c r="T28" s="587">
        <f t="shared" si="0"/>
        <v>0</v>
      </c>
      <c r="U28" s="219">
        <f t="shared" si="1"/>
        <v>0</v>
      </c>
      <c r="V28" s="588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 t="shared" si="5"/>
        <v>39013.719999999994</v>
      </c>
    </row>
    <row r="29" spans="2:47" ht="14.25">
      <c r="B29" s="598">
        <v>44123</v>
      </c>
      <c r="C29" s="592"/>
      <c r="D29" s="733">
        <f t="shared" si="6"/>
        <v>39013.719999999994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39013.719999999994</v>
      </c>
    </row>
    <row r="30" spans="2:47" ht="14.25">
      <c r="B30" s="598">
        <v>44124</v>
      </c>
      <c r="C30" s="592"/>
      <c r="D30" s="733">
        <f t="shared" si="6"/>
        <v>39013.719999999994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39013.719999999994</v>
      </c>
    </row>
    <row r="31" spans="2:47" ht="14.25">
      <c r="B31" s="598">
        <v>44125</v>
      </c>
      <c r="C31" s="592"/>
      <c r="D31" s="733">
        <f t="shared" si="6"/>
        <v>39013.719999999994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39013.719999999994</v>
      </c>
    </row>
    <row r="32" spans="2:47" ht="14.25">
      <c r="B32" s="598">
        <v>44126</v>
      </c>
      <c r="C32" s="592"/>
      <c r="D32" s="733">
        <f t="shared" si="6"/>
        <v>39013.719999999994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39013.719999999994</v>
      </c>
    </row>
    <row r="33" spans="2:47" ht="14.25">
      <c r="B33" s="598">
        <v>44127</v>
      </c>
      <c r="C33" s="592"/>
      <c r="D33" s="733">
        <f t="shared" si="6"/>
        <v>39013.719999999994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39013.719999999994</v>
      </c>
    </row>
    <row r="34" spans="2:47" ht="14.25">
      <c r="B34" s="598">
        <v>44128</v>
      </c>
      <c r="C34" s="592"/>
      <c r="D34" s="733">
        <f t="shared" si="6"/>
        <v>39013.719999999994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39013.719999999994</v>
      </c>
    </row>
    <row r="35" spans="2:47" ht="14.25">
      <c r="B35" s="598">
        <v>44129</v>
      </c>
      <c r="C35" s="592"/>
      <c r="D35" s="733">
        <f t="shared" si="6"/>
        <v>39013.719999999994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39013.719999999994</v>
      </c>
    </row>
    <row r="36" spans="2:47" ht="14.25">
      <c r="B36" s="598">
        <v>44130</v>
      </c>
      <c r="C36" s="592"/>
      <c r="D36" s="733">
        <f t="shared" si="6"/>
        <v>39013.719999999994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39013.719999999994</v>
      </c>
    </row>
    <row r="37" spans="2:47" ht="14.25">
      <c r="B37" s="598">
        <v>44131</v>
      </c>
      <c r="C37" s="592"/>
      <c r="D37" s="733">
        <f t="shared" si="6"/>
        <v>39013.719999999994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39013.719999999994</v>
      </c>
    </row>
    <row r="38" spans="2:47" ht="14.25">
      <c r="B38" s="598">
        <v>44132</v>
      </c>
      <c r="C38" s="592"/>
      <c r="D38" s="733">
        <f t="shared" si="6"/>
        <v>39013.719999999994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39013.719999999994</v>
      </c>
    </row>
    <row r="39" spans="2:47" ht="14.25">
      <c r="B39" s="598">
        <v>44133</v>
      </c>
      <c r="C39" s="592"/>
      <c r="D39" s="733">
        <f t="shared" si="6"/>
        <v>39013.719999999994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39013.719999999994</v>
      </c>
    </row>
    <row r="40" spans="2:47" ht="14.25">
      <c r="B40" s="598">
        <v>44134</v>
      </c>
      <c r="C40" s="592"/>
      <c r="D40" s="733">
        <f t="shared" si="6"/>
        <v>39013.719999999994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39013.719999999994</v>
      </c>
    </row>
    <row r="41" spans="2:47" ht="14.25">
      <c r="B41" s="598">
        <v>44135</v>
      </c>
      <c r="C41" s="592"/>
      <c r="D41" s="733">
        <f t="shared" si="6"/>
        <v>39013.719999999994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39013.719999999994</v>
      </c>
    </row>
    <row r="42" spans="2:47" ht="14.25">
      <c r="B42" s="598">
        <v>44136</v>
      </c>
      <c r="C42" s="593"/>
      <c r="D42" s="733">
        <f t="shared" si="6"/>
        <v>39013.719999999994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39013.719999999994</v>
      </c>
    </row>
    <row r="43" spans="2:47" ht="14.25">
      <c r="B43" s="507" t="s">
        <v>25</v>
      </c>
      <c r="C43" s="479">
        <f>AVERAGE(C11:C42)</f>
        <v>3.3366666666666669E-2</v>
      </c>
      <c r="D43" s="732">
        <f t="shared" si="6"/>
        <v>39013.719999999994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39013.719999999994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3232.49</v>
      </c>
      <c r="I45" s="310">
        <f t="shared" si="8"/>
        <v>297.23</v>
      </c>
      <c r="J45" s="315">
        <f t="shared" si="8"/>
        <v>0</v>
      </c>
      <c r="K45" s="310">
        <f t="shared" si="8"/>
        <v>3305.6</v>
      </c>
      <c r="L45" s="315">
        <f t="shared" si="8"/>
        <v>3036.87</v>
      </c>
      <c r="M45" s="310">
        <f t="shared" si="8"/>
        <v>3634.62</v>
      </c>
      <c r="N45" s="315">
        <f t="shared" si="8"/>
        <v>7597</v>
      </c>
      <c r="O45" s="567">
        <f t="shared" si="8"/>
        <v>532</v>
      </c>
      <c r="P45" s="315">
        <f t="shared" si="8"/>
        <v>0</v>
      </c>
      <c r="Q45" s="310">
        <f>SUM(Q11:Q43)</f>
        <v>7910</v>
      </c>
      <c r="R45" s="315">
        <f>SUM(R11:R44)</f>
        <v>6931</v>
      </c>
      <c r="S45" s="310">
        <f>SUM(S11:S44)</f>
        <v>8859</v>
      </c>
      <c r="T45" s="564">
        <f t="shared" si="0"/>
        <v>13506.809999999998</v>
      </c>
      <c r="U45" s="310">
        <f>SUM(N45:S45)</f>
        <v>31829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47.58</v>
      </c>
      <c r="Y45" s="559">
        <f t="shared" si="9"/>
        <v>46.49</v>
      </c>
      <c r="Z45" s="235">
        <f t="shared" si="9"/>
        <v>71.09</v>
      </c>
      <c r="AA45" s="559">
        <f t="shared" si="9"/>
        <v>135.84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162</v>
      </c>
      <c r="AJ45" s="235">
        <f>SUM(AJ9:AJ39)</f>
        <v>20</v>
      </c>
      <c r="AK45" s="559">
        <f>SUM(AK9:AK44)</f>
        <v>483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13989.809999999998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844.17562499999997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31268265.149999995</v>
      </c>
      <c r="V47" s="320" t="s">
        <v>244</v>
      </c>
      <c r="AS47" s="534">
        <f>AS45*2143</f>
        <v>29980162.829999994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13660.229423328963</v>
      </c>
      <c r="V48" s="320" t="s">
        <v>245</v>
      </c>
      <c r="X48" s="192"/>
      <c r="Y48" s="192"/>
      <c r="Z48" s="192"/>
      <c r="AA48" s="192"/>
      <c r="AB48" s="192"/>
      <c r="AS48" s="319">
        <f>AS47/2289</f>
        <v>13097.493591087808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1" t="s">
        <v>241</v>
      </c>
      <c r="D50" s="882"/>
      <c r="E50" s="882"/>
      <c r="F50" s="882"/>
      <c r="G50" s="883"/>
      <c r="H50" s="538"/>
      <c r="I50" s="884" t="s">
        <v>213</v>
      </c>
      <c r="J50" s="885"/>
      <c r="K50" s="885"/>
      <c r="L50" s="885"/>
      <c r="M50" s="886"/>
      <c r="N50" s="538"/>
      <c r="O50" s="899" t="s">
        <v>309</v>
      </c>
      <c r="P50" s="900"/>
      <c r="Q50" s="900"/>
      <c r="R50" s="900"/>
      <c r="S50" s="901"/>
      <c r="U50" s="902" t="s">
        <v>226</v>
      </c>
      <c r="V50" s="903"/>
      <c r="W50" s="903"/>
      <c r="X50" s="903"/>
      <c r="Y50" s="903"/>
      <c r="Z50" s="904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44116</v>
      </c>
      <c r="D52" s="510" t="s">
        <v>325</v>
      </c>
      <c r="E52" s="512">
        <v>71</v>
      </c>
      <c r="F52" s="511" t="s">
        <v>326</v>
      </c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344"/>
      <c r="D53" s="304"/>
      <c r="E53" s="389"/>
      <c r="F53" s="304"/>
      <c r="G53" s="539"/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/>
      <c r="D54" s="304"/>
      <c r="E54" s="389"/>
      <c r="F54" s="304"/>
      <c r="G54" s="539"/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9" sqref="F2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7"/>
      <c r="D6" s="908"/>
      <c r="E6" s="909"/>
      <c r="F6" s="909"/>
      <c r="G6" s="49" t="s">
        <v>4</v>
      </c>
      <c r="H6" s="47" t="s">
        <v>14</v>
      </c>
      <c r="I6" s="42"/>
      <c r="J6" s="114"/>
    </row>
    <row r="7" spans="1:15" ht="18" customHeight="1">
      <c r="A7" s="91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/>
      <c r="G24" s="269">
        <f t="shared" si="0"/>
        <v>-319839.12400000007</v>
      </c>
      <c r="H24" s="112">
        <f>Gen!C25</f>
        <v>1.2999999999999999E-2</v>
      </c>
      <c r="I24" s="6">
        <f t="shared" si="2"/>
        <v>0</v>
      </c>
      <c r="J24" s="117" t="e">
        <f t="shared" si="1"/>
        <v>#DIV/0!</v>
      </c>
    </row>
    <row r="25" spans="1:14" ht="18.75">
      <c r="A25" s="95">
        <f>Gen!B26</f>
        <v>44120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44121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44122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44123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6" t="s">
        <v>6</v>
      </c>
      <c r="D42" s="906"/>
      <c r="E42" s="2">
        <f t="shared" ref="E42:F42" si="4">SUM(E10:E40)</f>
        <v>0</v>
      </c>
      <c r="F42" s="2">
        <f t="shared" si="4"/>
        <v>1016335.36</v>
      </c>
      <c r="G42" s="102">
        <f>SUM(G10:G40)</f>
        <v>-318961.50000000006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R1" activePane="topRight" state="frozen"/>
      <selection pane="topRight" activeCell="I66" sqref="I6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316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30"/>
      <c r="B2" s="30"/>
      <c r="C2" s="930" t="s">
        <v>52</v>
      </c>
      <c r="D2" s="930"/>
      <c r="E2" s="930"/>
      <c r="F2" s="930" t="s">
        <v>17</v>
      </c>
      <c r="G2" s="930"/>
      <c r="H2" s="930"/>
      <c r="I2" s="930" t="s">
        <v>131</v>
      </c>
      <c r="J2" s="930"/>
      <c r="K2" s="930"/>
      <c r="L2" s="930" t="s">
        <v>134</v>
      </c>
      <c r="M2" s="930"/>
      <c r="N2" s="930"/>
      <c r="O2" s="930" t="s">
        <v>132</v>
      </c>
      <c r="P2" s="930"/>
      <c r="Q2" s="930"/>
      <c r="R2" s="253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8" t="s">
        <v>7</v>
      </c>
      <c r="B3" s="30"/>
      <c r="C3" s="930" t="s">
        <v>133</v>
      </c>
      <c r="D3" s="930" t="s">
        <v>15</v>
      </c>
      <c r="E3" s="930" t="s">
        <v>16</v>
      </c>
      <c r="F3" s="930" t="s">
        <v>133</v>
      </c>
      <c r="G3" s="930" t="s">
        <v>15</v>
      </c>
      <c r="H3" s="930" t="s">
        <v>16</v>
      </c>
      <c r="I3" s="930" t="s">
        <v>133</v>
      </c>
      <c r="J3" s="930" t="s">
        <v>15</v>
      </c>
      <c r="K3" s="930" t="s">
        <v>16</v>
      </c>
      <c r="L3" s="930" t="s">
        <v>133</v>
      </c>
      <c r="M3" s="930" t="s">
        <v>15</v>
      </c>
      <c r="N3" s="930" t="s">
        <v>16</v>
      </c>
      <c r="O3" s="930" t="s">
        <v>133</v>
      </c>
      <c r="P3" s="930" t="s">
        <v>15</v>
      </c>
      <c r="Q3" s="930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29"/>
      <c r="B4" s="245"/>
      <c r="C4" s="930"/>
      <c r="D4" s="930"/>
      <c r="E4" s="930"/>
      <c r="F4" s="930"/>
      <c r="G4" s="930"/>
      <c r="H4" s="930"/>
      <c r="I4" s="930"/>
      <c r="J4" s="930"/>
      <c r="K4" s="930"/>
      <c r="L4" s="930"/>
      <c r="M4" s="930"/>
      <c r="N4" s="930"/>
      <c r="O4" s="930"/>
      <c r="P4" s="930"/>
      <c r="Q4" s="930"/>
      <c r="R4" s="947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12765</v>
      </c>
      <c r="N15" s="484">
        <f t="shared" si="14"/>
        <v>0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12765</v>
      </c>
      <c r="M16" s="1">
        <v>12765</v>
      </c>
      <c r="N16" s="484">
        <f t="shared" si="14"/>
        <v>0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12765</v>
      </c>
      <c r="M17" s="1">
        <v>12765</v>
      </c>
      <c r="N17" s="484">
        <f t="shared" si="14"/>
        <v>0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12765</v>
      </c>
      <c r="M18" s="1">
        <v>12765</v>
      </c>
      <c r="N18" s="484">
        <f t="shared" si="14"/>
        <v>0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242297</v>
      </c>
      <c r="E19" s="484">
        <f t="shared" si="28"/>
        <v>63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12765</v>
      </c>
      <c r="M19" s="1">
        <v>12765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242297</v>
      </c>
      <c r="D20" s="1"/>
      <c r="E20" s="484" t="str">
        <f t="shared" si="28"/>
        <v>0</v>
      </c>
      <c r="F20" s="96">
        <f t="shared" si="2"/>
        <v>38000</v>
      </c>
      <c r="G20" s="394"/>
      <c r="H20" s="484" t="str">
        <f t="shared" si="13"/>
        <v>0</v>
      </c>
      <c r="I20" s="96">
        <f t="shared" si="3"/>
        <v>8066</v>
      </c>
      <c r="J20" s="1"/>
      <c r="K20" s="484" t="str">
        <f t="shared" si="26"/>
        <v>0</v>
      </c>
      <c r="L20" s="96">
        <f t="shared" si="5"/>
        <v>12765</v>
      </c>
      <c r="M20" s="1"/>
      <c r="N20" s="484" t="str">
        <f t="shared" si="14"/>
        <v>0</v>
      </c>
      <c r="O20" s="96">
        <f t="shared" si="6"/>
        <v>20348</v>
      </c>
      <c r="P20" s="390"/>
      <c r="Q20" s="484" t="str">
        <f t="shared" si="7"/>
        <v>0</v>
      </c>
      <c r="R20" s="251"/>
      <c r="S20" s="246">
        <f t="shared" si="15"/>
        <v>60203</v>
      </c>
      <c r="T20" s="391"/>
      <c r="U20" s="485" t="str">
        <f t="shared" si="16"/>
        <v>0</v>
      </c>
      <c r="V20" s="246">
        <f t="shared" si="8"/>
        <v>73030</v>
      </c>
      <c r="W20" s="391"/>
      <c r="X20" s="485" t="str">
        <f t="shared" si="17"/>
        <v>0</v>
      </c>
      <c r="Y20" s="246">
        <f t="shared" si="9"/>
        <v>84577</v>
      </c>
      <c r="Z20" s="391"/>
      <c r="AA20" s="485" t="str">
        <f t="shared" si="18"/>
        <v>0</v>
      </c>
      <c r="AB20" s="630">
        <f t="shared" si="22"/>
        <v>15927</v>
      </c>
      <c r="AC20" s="634"/>
      <c r="AD20" s="633" t="str">
        <f t="shared" si="23"/>
        <v>0</v>
      </c>
      <c r="AE20" s="246">
        <f t="shared" si="27"/>
        <v>0</v>
      </c>
      <c r="AF20" s="392"/>
      <c r="AG20" s="485" t="str">
        <f t="shared" si="19"/>
        <v>0</v>
      </c>
      <c r="AH20" s="246">
        <f t="shared" si="11"/>
        <v>26246</v>
      </c>
      <c r="AI20" s="392"/>
      <c r="AJ20" s="485" t="str">
        <f t="shared" si="20"/>
        <v>0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44120</v>
      </c>
      <c r="B21" s="4"/>
      <c r="C21" s="96">
        <f t="shared" si="0"/>
        <v>0</v>
      </c>
      <c r="D21" s="1"/>
      <c r="E21" s="484">
        <f t="shared" si="28"/>
        <v>0</v>
      </c>
      <c r="F21" s="96">
        <f t="shared" si="2"/>
        <v>0</v>
      </c>
      <c r="G21" s="394"/>
      <c r="H21" s="484">
        <f t="shared" si="13"/>
        <v>0</v>
      </c>
      <c r="I21" s="96">
        <f t="shared" si="3"/>
        <v>0</v>
      </c>
      <c r="J21" s="1"/>
      <c r="K21" s="484">
        <f t="shared" si="26"/>
        <v>0</v>
      </c>
      <c r="L21" s="96">
        <f t="shared" si="5"/>
        <v>0</v>
      </c>
      <c r="M21" s="1"/>
      <c r="N21" s="484">
        <f t="shared" si="14"/>
        <v>0</v>
      </c>
      <c r="O21" s="96">
        <f t="shared" si="6"/>
        <v>0</v>
      </c>
      <c r="P21" s="390"/>
      <c r="Q21" s="484">
        <f t="shared" si="7"/>
        <v>0</v>
      </c>
      <c r="R21" s="251"/>
      <c r="S21" s="246">
        <f t="shared" si="15"/>
        <v>0</v>
      </c>
      <c r="T21" s="391"/>
      <c r="U21" s="485">
        <f t="shared" si="16"/>
        <v>0</v>
      </c>
      <c r="V21" s="246">
        <f t="shared" ref="V21:V37" si="30">W20</f>
        <v>0</v>
      </c>
      <c r="W21" s="391"/>
      <c r="X21" s="485">
        <f t="shared" si="17"/>
        <v>0</v>
      </c>
      <c r="Y21" s="246">
        <f t="shared" si="9"/>
        <v>0</v>
      </c>
      <c r="Z21" s="391"/>
      <c r="AA21" s="485">
        <f t="shared" si="18"/>
        <v>0</v>
      </c>
      <c r="AB21" s="630">
        <f t="shared" si="22"/>
        <v>0</v>
      </c>
      <c r="AC21" s="634"/>
      <c r="AD21" s="633">
        <f t="shared" si="23"/>
        <v>0</v>
      </c>
      <c r="AE21" s="246">
        <f t="shared" si="10"/>
        <v>0</v>
      </c>
      <c r="AF21" s="392"/>
      <c r="AG21" s="485">
        <f t="shared" si="19"/>
        <v>0</v>
      </c>
      <c r="AH21" s="246">
        <f t="shared" si="11"/>
        <v>0</v>
      </c>
      <c r="AI21" s="392"/>
      <c r="AJ21" s="485">
        <f t="shared" si="20"/>
        <v>0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44121</v>
      </c>
      <c r="B22" s="4"/>
      <c r="C22" s="96">
        <f t="shared" si="0"/>
        <v>0</v>
      </c>
      <c r="D22" s="1"/>
      <c r="E22" s="484">
        <f t="shared" si="28"/>
        <v>0</v>
      </c>
      <c r="F22" s="96">
        <f t="shared" si="2"/>
        <v>0</v>
      </c>
      <c r="G22" s="394"/>
      <c r="H22" s="484">
        <f t="shared" si="13"/>
        <v>0</v>
      </c>
      <c r="I22" s="96">
        <f t="shared" si="3"/>
        <v>0</v>
      </c>
      <c r="J22" s="1"/>
      <c r="K22" s="484">
        <f t="shared" si="26"/>
        <v>0</v>
      </c>
      <c r="L22" s="96">
        <f t="shared" si="5"/>
        <v>0</v>
      </c>
      <c r="M22" s="1"/>
      <c r="N22" s="484">
        <f t="shared" si="14"/>
        <v>0</v>
      </c>
      <c r="O22" s="96">
        <f t="shared" si="6"/>
        <v>0</v>
      </c>
      <c r="P22" s="390"/>
      <c r="Q22" s="484">
        <f t="shared" si="7"/>
        <v>0</v>
      </c>
      <c r="R22" s="251"/>
      <c r="S22" s="246">
        <f t="shared" si="15"/>
        <v>0</v>
      </c>
      <c r="T22" s="391"/>
      <c r="U22" s="485">
        <f t="shared" si="16"/>
        <v>0</v>
      </c>
      <c r="V22" s="246">
        <f t="shared" si="30"/>
        <v>0</v>
      </c>
      <c r="W22" s="391"/>
      <c r="X22" s="485">
        <f t="shared" si="17"/>
        <v>0</v>
      </c>
      <c r="Y22" s="246">
        <f t="shared" si="9"/>
        <v>0</v>
      </c>
      <c r="Z22" s="391"/>
      <c r="AA22" s="485">
        <f t="shared" si="18"/>
        <v>0</v>
      </c>
      <c r="AB22" s="630">
        <f t="shared" si="22"/>
        <v>0</v>
      </c>
      <c r="AC22" s="634"/>
      <c r="AD22" s="633">
        <f t="shared" si="23"/>
        <v>0</v>
      </c>
      <c r="AE22" s="246">
        <f t="shared" si="10"/>
        <v>0</v>
      </c>
      <c r="AF22" s="392"/>
      <c r="AG22" s="485">
        <f t="shared" si="19"/>
        <v>0</v>
      </c>
      <c r="AH22" s="246">
        <f t="shared" si="11"/>
        <v>0</v>
      </c>
      <c r="AI22" s="392"/>
      <c r="AJ22" s="485">
        <f t="shared" si="20"/>
        <v>0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44122</v>
      </c>
      <c r="B23" s="4"/>
      <c r="C23" s="96">
        <f t="shared" si="0"/>
        <v>0</v>
      </c>
      <c r="D23" s="1"/>
      <c r="E23" s="484">
        <f t="shared" si="28"/>
        <v>0</v>
      </c>
      <c r="F23" s="96">
        <f t="shared" si="2"/>
        <v>0</v>
      </c>
      <c r="G23" s="394"/>
      <c r="H23" s="484">
        <f t="shared" si="13"/>
        <v>0</v>
      </c>
      <c r="I23" s="96">
        <f t="shared" si="3"/>
        <v>0</v>
      </c>
      <c r="J23" s="1"/>
      <c r="K23" s="484">
        <f t="shared" si="26"/>
        <v>0</v>
      </c>
      <c r="L23" s="96">
        <f t="shared" si="5"/>
        <v>0</v>
      </c>
      <c r="M23" s="1"/>
      <c r="N23" s="484">
        <f t="shared" si="14"/>
        <v>0</v>
      </c>
      <c r="O23" s="96">
        <f t="shared" si="6"/>
        <v>0</v>
      </c>
      <c r="P23" s="390"/>
      <c r="Q23" s="484">
        <f t="shared" si="7"/>
        <v>0</v>
      </c>
      <c r="R23" s="251"/>
      <c r="S23" s="246">
        <f t="shared" si="15"/>
        <v>0</v>
      </c>
      <c r="T23" s="391"/>
      <c r="U23" s="485">
        <f t="shared" si="16"/>
        <v>0</v>
      </c>
      <c r="V23" s="246">
        <f t="shared" si="30"/>
        <v>0</v>
      </c>
      <c r="W23" s="391"/>
      <c r="X23" s="485">
        <f t="shared" si="17"/>
        <v>0</v>
      </c>
      <c r="Y23" s="246">
        <f t="shared" si="9"/>
        <v>0</v>
      </c>
      <c r="Z23" s="391"/>
      <c r="AA23" s="485">
        <f t="shared" si="18"/>
        <v>0</v>
      </c>
      <c r="AB23" s="630">
        <f t="shared" si="22"/>
        <v>0</v>
      </c>
      <c r="AC23" s="631"/>
      <c r="AD23" s="633">
        <f t="shared" si="23"/>
        <v>0</v>
      </c>
      <c r="AE23" s="246">
        <f t="shared" si="10"/>
        <v>0</v>
      </c>
      <c r="AF23" s="392"/>
      <c r="AG23" s="485">
        <f t="shared" si="19"/>
        <v>0</v>
      </c>
      <c r="AH23" s="246">
        <f t="shared" si="11"/>
        <v>0</v>
      </c>
      <c r="AI23" s="392"/>
      <c r="AJ23" s="485">
        <f t="shared" si="20"/>
        <v>0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44123</v>
      </c>
      <c r="B24" s="4"/>
      <c r="C24" s="96">
        <f t="shared" si="0"/>
        <v>0</v>
      </c>
      <c r="D24" s="1"/>
      <c r="E24" s="484">
        <f t="shared" si="28"/>
        <v>0</v>
      </c>
      <c r="F24" s="96">
        <f t="shared" si="2"/>
        <v>0</v>
      </c>
      <c r="G24" s="394"/>
      <c r="H24" s="484">
        <f t="shared" si="13"/>
        <v>0</v>
      </c>
      <c r="I24" s="96">
        <f t="shared" si="3"/>
        <v>0</v>
      </c>
      <c r="J24" s="1"/>
      <c r="K24" s="484">
        <f t="shared" si="26"/>
        <v>0</v>
      </c>
      <c r="L24" s="96">
        <f t="shared" si="5"/>
        <v>0</v>
      </c>
      <c r="M24" s="1"/>
      <c r="N24" s="484">
        <f t="shared" si="14"/>
        <v>0</v>
      </c>
      <c r="O24" s="96">
        <f t="shared" si="6"/>
        <v>0</v>
      </c>
      <c r="P24" s="390"/>
      <c r="Q24" s="484">
        <f t="shared" si="7"/>
        <v>0</v>
      </c>
      <c r="R24" s="251"/>
      <c r="S24" s="246">
        <f t="shared" si="15"/>
        <v>0</v>
      </c>
      <c r="T24" s="391"/>
      <c r="U24" s="485">
        <f t="shared" si="16"/>
        <v>0</v>
      </c>
      <c r="V24" s="246">
        <f t="shared" si="30"/>
        <v>0</v>
      </c>
      <c r="W24" s="391"/>
      <c r="X24" s="485">
        <f t="shared" si="17"/>
        <v>0</v>
      </c>
      <c r="Y24" s="246">
        <f t="shared" si="9"/>
        <v>0</v>
      </c>
      <c r="Z24" s="391"/>
      <c r="AA24" s="485">
        <f t="shared" si="18"/>
        <v>0</v>
      </c>
      <c r="AB24" s="630">
        <f t="shared" si="22"/>
        <v>0</v>
      </c>
      <c r="AC24" s="631"/>
      <c r="AD24" s="633">
        <f t="shared" si="23"/>
        <v>0</v>
      </c>
      <c r="AE24" s="246">
        <f t="shared" si="10"/>
        <v>0</v>
      </c>
      <c r="AF24" s="392"/>
      <c r="AG24" s="485">
        <f t="shared" si="19"/>
        <v>0</v>
      </c>
      <c r="AH24" s="246">
        <f t="shared" si="11"/>
        <v>0</v>
      </c>
      <c r="AI24" s="392"/>
      <c r="AJ24" s="485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616</v>
      </c>
    </row>
    <row r="38" spans="1:41" ht="18.75">
      <c r="A38" s="58"/>
      <c r="B38" s="22"/>
      <c r="C38" s="948" t="s">
        <v>6</v>
      </c>
      <c r="D38" s="948"/>
      <c r="E38" s="23">
        <f>SUM(E6:E36)</f>
        <v>769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16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769</v>
      </c>
      <c r="S38" s="248"/>
      <c r="T38" s="248"/>
      <c r="U38" s="258">
        <f>SUM(U6:U37)</f>
        <v>616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616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7"/>
      <c r="B42" s="278"/>
      <c r="C42" s="914" t="s">
        <v>222</v>
      </c>
      <c r="D42" s="915"/>
      <c r="E42" s="915"/>
      <c r="F42" s="915"/>
      <c r="G42" s="915"/>
      <c r="H42" s="915"/>
      <c r="I42" s="915"/>
      <c r="J42" s="915"/>
      <c r="K42" s="916"/>
      <c r="R42" s="20"/>
    </row>
    <row r="43" spans="1:41" ht="24.75" customHeight="1">
      <c r="A43" s="918"/>
      <c r="B43" s="20"/>
      <c r="C43" s="920" t="s">
        <v>216</v>
      </c>
      <c r="D43" s="921"/>
      <c r="E43" s="922" t="s">
        <v>237</v>
      </c>
      <c r="F43" s="923"/>
      <c r="G43" s="924" t="s">
        <v>217</v>
      </c>
      <c r="H43" s="925"/>
      <c r="I43" s="924" t="s">
        <v>238</v>
      </c>
      <c r="J43" s="925"/>
      <c r="K43" s="912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8"/>
      <c r="B44" s="20"/>
      <c r="C44" s="926" t="s">
        <v>218</v>
      </c>
      <c r="D44" s="927"/>
      <c r="E44" s="926" t="s">
        <v>219</v>
      </c>
      <c r="F44" s="927"/>
      <c r="G44" s="926" t="s">
        <v>220</v>
      </c>
      <c r="H44" s="927"/>
      <c r="I44" s="926" t="s">
        <v>221</v>
      </c>
      <c r="J44" s="927"/>
      <c r="K44" s="913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19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8"/>
        <v>217</v>
      </c>
      <c r="E60" s="6">
        <v>295</v>
      </c>
      <c r="F60" s="328">
        <f t="shared" si="49"/>
        <v>88.983606557377044</v>
      </c>
      <c r="G60" s="487">
        <v>265</v>
      </c>
      <c r="H60" s="328">
        <f t="shared" si="50"/>
        <v>101.0182767624021</v>
      </c>
      <c r="I60" s="6">
        <v>295</v>
      </c>
      <c r="J60" s="328">
        <f t="shared" si="51"/>
        <v>204.00974025974025</v>
      </c>
      <c r="K60" s="334">
        <f t="shared" si="52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7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7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44122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7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44123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7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3" t="s">
        <v>317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63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4.0568181818181817</v>
      </c>
      <c r="U18" s="123">
        <f t="shared" si="6"/>
        <v>79.937722222241263</v>
      </c>
      <c r="V18" s="18">
        <f t="shared" si="7"/>
        <v>3474122.8840404041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1.2999999999999999E-2</v>
      </c>
      <c r="D19" s="443">
        <f t="shared" si="2"/>
        <v>1.0009999999999999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 t="str">
        <f>'Water-Meter'!E20</f>
        <v>0</v>
      </c>
      <c r="L19" s="457">
        <f>'Lpg (2)'!G24</f>
        <v>-319839.12400000007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>
        <f t="shared" si="3"/>
        <v>317.39040031937765</v>
      </c>
      <c r="S19" s="447" t="e">
        <f t="shared" si="4"/>
        <v>#DIV/0!</v>
      </c>
      <c r="T19" s="77">
        <f t="shared" si="5"/>
        <v>0</v>
      </c>
      <c r="U19" s="123">
        <f t="shared" si="6"/>
        <v>-396366.28813888901</v>
      </c>
      <c r="V19" s="18">
        <f t="shared" si="7"/>
        <v>106882.85236111103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443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7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7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443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7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7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443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7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443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7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769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9" t="s">
        <v>180</v>
      </c>
      <c r="B1" s="950"/>
      <c r="C1" s="950"/>
      <c r="D1" s="950"/>
      <c r="E1" s="950"/>
      <c r="F1" s="950"/>
      <c r="G1" s="951"/>
    </row>
    <row r="2" spans="1:7" ht="13.5" thickBot="1">
      <c r="A2" s="302"/>
      <c r="B2" s="952" t="s">
        <v>175</v>
      </c>
      <c r="C2" s="953"/>
      <c r="D2" s="954"/>
      <c r="E2" s="952" t="s">
        <v>176</v>
      </c>
      <c r="F2" s="953"/>
      <c r="G2" s="95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C36" sqref="C3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9" t="s">
        <v>230</v>
      </c>
      <c r="B1" s="950"/>
      <c r="C1" s="950"/>
      <c r="D1" s="950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243"/>
      <c r="D36" s="399">
        <f t="shared" si="1"/>
        <v>-8454371</v>
      </c>
      <c r="E36" s="243"/>
      <c r="F36" s="498">
        <f t="shared" si="2"/>
        <v>-8454371</v>
      </c>
      <c r="G36" s="499">
        <f t="shared" si="3"/>
        <v>270861</v>
      </c>
      <c r="H36" s="243"/>
      <c r="I36" s="270">
        <f t="shared" si="4"/>
        <v>-270861</v>
      </c>
      <c r="J36" s="243"/>
      <c r="K36" s="277">
        <f t="shared" si="5"/>
        <v>-270861</v>
      </c>
      <c r="L36" s="500">
        <f t="shared" si="6"/>
        <v>-8725232</v>
      </c>
    </row>
    <row r="37" spans="1:12">
      <c r="A37" s="241">
        <v>44136</v>
      </c>
      <c r="B37" s="317">
        <f t="shared" si="0"/>
        <v>0</v>
      </c>
      <c r="C37" s="243"/>
      <c r="D37" s="399">
        <f t="shared" si="1"/>
        <v>0</v>
      </c>
      <c r="E37" s="243"/>
      <c r="F37" s="498">
        <f t="shared" si="2"/>
        <v>0</v>
      </c>
      <c r="G37" s="499">
        <f t="shared" si="3"/>
        <v>0</v>
      </c>
      <c r="H37" s="243"/>
      <c r="I37" s="270">
        <f t="shared" si="4"/>
        <v>0</v>
      </c>
      <c r="J37" s="243"/>
      <c r="K37" s="277">
        <f t="shared" si="5"/>
        <v>0</v>
      </c>
      <c r="L37" s="500">
        <f t="shared" si="6"/>
        <v>0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5"/>
      <c r="C76" s="956"/>
      <c r="D76" s="956"/>
      <c r="E76" s="957"/>
      <c r="H76" s="955"/>
      <c r="I76" s="956"/>
      <c r="J76" s="956"/>
      <c r="K76" s="956"/>
      <c r="L76" s="957"/>
    </row>
    <row r="77" spans="1:12">
      <c r="B77" s="958"/>
      <c r="C77" s="959"/>
      <c r="D77" s="959"/>
      <c r="E77" s="960"/>
      <c r="H77" s="958"/>
      <c r="I77" s="959"/>
      <c r="J77" s="959"/>
      <c r="K77" s="959"/>
      <c r="L77" s="960"/>
    </row>
    <row r="78" spans="1:12">
      <c r="B78" s="958"/>
      <c r="C78" s="959"/>
      <c r="D78" s="959"/>
      <c r="E78" s="960"/>
      <c r="H78" s="958"/>
      <c r="I78" s="959"/>
      <c r="J78" s="959"/>
      <c r="K78" s="959"/>
      <c r="L78" s="960"/>
    </row>
    <row r="79" spans="1:12">
      <c r="B79" s="958"/>
      <c r="C79" s="959"/>
      <c r="D79" s="959"/>
      <c r="E79" s="960"/>
      <c r="H79" s="958"/>
      <c r="I79" s="959"/>
      <c r="J79" s="959"/>
      <c r="K79" s="959"/>
      <c r="L79" s="960"/>
    </row>
    <row r="80" spans="1:12">
      <c r="B80" s="958"/>
      <c r="C80" s="959"/>
      <c r="D80" s="959"/>
      <c r="E80" s="960"/>
      <c r="H80" s="958"/>
      <c r="I80" s="959"/>
      <c r="J80" s="959"/>
      <c r="K80" s="959"/>
      <c r="L80" s="960"/>
    </row>
    <row r="81" spans="2:12">
      <c r="B81" s="958"/>
      <c r="C81" s="959"/>
      <c r="D81" s="959"/>
      <c r="E81" s="960"/>
      <c r="H81" s="958"/>
      <c r="I81" s="959"/>
      <c r="J81" s="959"/>
      <c r="K81" s="959"/>
      <c r="L81" s="960"/>
    </row>
    <row r="82" spans="2:12">
      <c r="B82" s="958"/>
      <c r="C82" s="959"/>
      <c r="D82" s="959"/>
      <c r="E82" s="960"/>
      <c r="H82" s="958"/>
      <c r="I82" s="959"/>
      <c r="J82" s="959"/>
      <c r="K82" s="959"/>
      <c r="L82" s="960"/>
    </row>
    <row r="83" spans="2:12">
      <c r="B83" s="958"/>
      <c r="C83" s="959"/>
      <c r="D83" s="959"/>
      <c r="E83" s="960"/>
      <c r="H83" s="958"/>
      <c r="I83" s="959"/>
      <c r="J83" s="959"/>
      <c r="K83" s="959"/>
      <c r="L83" s="960"/>
    </row>
    <row r="84" spans="2:12">
      <c r="B84" s="958"/>
      <c r="C84" s="959"/>
      <c r="D84" s="959"/>
      <c r="E84" s="960"/>
      <c r="H84" s="958"/>
      <c r="I84" s="959"/>
      <c r="J84" s="959"/>
      <c r="K84" s="959"/>
      <c r="L84" s="960"/>
    </row>
    <row r="85" spans="2:12">
      <c r="B85" s="958"/>
      <c r="C85" s="959"/>
      <c r="D85" s="959"/>
      <c r="E85" s="960"/>
      <c r="H85" s="958"/>
      <c r="I85" s="959"/>
      <c r="J85" s="959"/>
      <c r="K85" s="959"/>
      <c r="L85" s="960"/>
    </row>
    <row r="86" spans="2:12">
      <c r="B86" s="958"/>
      <c r="C86" s="959"/>
      <c r="D86" s="959"/>
      <c r="E86" s="960"/>
      <c r="H86" s="958"/>
      <c r="I86" s="959"/>
      <c r="J86" s="959"/>
      <c r="K86" s="959"/>
      <c r="L86" s="960"/>
    </row>
    <row r="87" spans="2:12">
      <c r="B87" s="958"/>
      <c r="C87" s="959"/>
      <c r="D87" s="959"/>
      <c r="E87" s="960"/>
      <c r="H87" s="958"/>
      <c r="I87" s="959"/>
      <c r="J87" s="959"/>
      <c r="K87" s="959"/>
      <c r="L87" s="960"/>
    </row>
    <row r="88" spans="2:12">
      <c r="B88" s="958"/>
      <c r="C88" s="959"/>
      <c r="D88" s="959"/>
      <c r="E88" s="960"/>
      <c r="H88" s="958"/>
      <c r="I88" s="959"/>
      <c r="J88" s="959"/>
      <c r="K88" s="959"/>
      <c r="L88" s="960"/>
    </row>
    <row r="89" spans="2:12">
      <c r="B89" s="958"/>
      <c r="C89" s="959"/>
      <c r="D89" s="959"/>
      <c r="E89" s="960"/>
      <c r="H89" s="958"/>
      <c r="I89" s="959"/>
      <c r="J89" s="959"/>
      <c r="K89" s="959"/>
      <c r="L89" s="960"/>
    </row>
    <row r="90" spans="2:12" ht="13.5" thickBot="1">
      <c r="B90" s="961"/>
      <c r="C90" s="962"/>
      <c r="D90" s="962"/>
      <c r="E90" s="963"/>
      <c r="H90" s="961"/>
      <c r="I90" s="962"/>
      <c r="J90" s="962"/>
      <c r="K90" s="962"/>
      <c r="L90" s="963"/>
    </row>
    <row r="91" spans="2:12">
      <c r="B91" s="964" t="s">
        <v>312</v>
      </c>
      <c r="C91" s="965"/>
      <c r="D91" s="965"/>
      <c r="E91" s="966"/>
      <c r="H91" s="964" t="s">
        <v>313</v>
      </c>
      <c r="I91" s="965"/>
      <c r="J91" s="965"/>
      <c r="K91" s="965"/>
      <c r="L91" s="966"/>
    </row>
    <row r="92" spans="2:12">
      <c r="B92" s="967"/>
      <c r="C92" s="968"/>
      <c r="D92" s="968"/>
      <c r="E92" s="969"/>
      <c r="H92" s="967"/>
      <c r="I92" s="968"/>
      <c r="J92" s="968"/>
      <c r="K92" s="968"/>
      <c r="L92" s="969"/>
    </row>
    <row r="93" spans="2:12" ht="13.5" thickBot="1">
      <c r="B93" s="970"/>
      <c r="C93" s="971"/>
      <c r="D93" s="971"/>
      <c r="E93" s="972"/>
      <c r="H93" s="970"/>
      <c r="I93" s="971"/>
      <c r="J93" s="971"/>
      <c r="K93" s="971"/>
      <c r="L93" s="97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F28" sqref="F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3" t="s">
        <v>254</v>
      </c>
      <c r="B1" s="973"/>
      <c r="C1" s="973"/>
      <c r="D1" s="973"/>
      <c r="E1" s="973"/>
      <c r="F1" s="973"/>
      <c r="G1" s="973"/>
      <c r="H1" s="973"/>
      <c r="I1" s="973"/>
      <c r="J1" s="973"/>
    </row>
    <row r="2" spans="1:10" ht="19.5" thickBot="1">
      <c r="A2" s="982">
        <f>A5</f>
        <v>44105</v>
      </c>
      <c r="B2" s="983"/>
      <c r="C2" s="983"/>
      <c r="D2" s="983"/>
      <c r="E2" s="983"/>
      <c r="F2" s="983"/>
      <c r="G2" s="983"/>
      <c r="H2" s="983"/>
      <c r="I2" s="983"/>
      <c r="J2" s="983"/>
    </row>
    <row r="3" spans="1:10" ht="15.75" thickBot="1">
      <c r="A3" s="974" t="s">
        <v>7</v>
      </c>
      <c r="B3" s="976" t="s">
        <v>255</v>
      </c>
      <c r="C3" s="449"/>
      <c r="D3" s="978" t="s">
        <v>256</v>
      </c>
      <c r="E3" s="979"/>
      <c r="F3" s="980" t="s">
        <v>257</v>
      </c>
      <c r="G3" s="981"/>
      <c r="H3" s="979"/>
      <c r="I3" s="980" t="s">
        <v>258</v>
      </c>
      <c r="J3" s="979"/>
    </row>
    <row r="4" spans="1:10" ht="30.75" thickBot="1">
      <c r="A4" s="975"/>
      <c r="B4" s="977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63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1.2999999999999999E-2</v>
      </c>
      <c r="C19" s="453">
        <f>Gen!AK25</f>
        <v>0</v>
      </c>
      <c r="D19" s="454">
        <f>Gen!T25</f>
        <v>0</v>
      </c>
      <c r="E19" s="402">
        <f>Gen!D25</f>
        <v>39013.719999999994</v>
      </c>
      <c r="F19" s="403" t="str">
        <f>'Water-Meter'!E20</f>
        <v>0</v>
      </c>
      <c r="G19" s="404">
        <f>'Water-Meter'!AN20</f>
        <v>0</v>
      </c>
      <c r="H19" s="402">
        <f>'Utility report '!AC20</f>
        <v>-39986</v>
      </c>
      <c r="I19" s="401">
        <f>'Kit report'!F18</f>
        <v>-1064376</v>
      </c>
      <c r="J19" s="402">
        <f>'Kit report'!X18</f>
        <v>-1566740</v>
      </c>
    </row>
    <row r="20" spans="1:10" ht="17.100000000000001" customHeight="1">
      <c r="A20" s="218">
        <f>Gen!B26</f>
        <v>44120</v>
      </c>
      <c r="B20" s="406">
        <f>Gen!C26</f>
        <v>0</v>
      </c>
      <c r="C20" s="453">
        <f>Gen!AK26</f>
        <v>0</v>
      </c>
      <c r="D20" s="454">
        <f>Gen!T26</f>
        <v>0</v>
      </c>
      <c r="E20" s="402">
        <f>Gen!D26</f>
        <v>39013.719999999994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44121</v>
      </c>
      <c r="B21" s="406">
        <f>Gen!C27</f>
        <v>0</v>
      </c>
      <c r="C21" s="453">
        <f>Gen!AK27</f>
        <v>0</v>
      </c>
      <c r="D21" s="454">
        <f>Gen!T27</f>
        <v>0</v>
      </c>
      <c r="E21" s="402">
        <f>Gen!D27</f>
        <v>39013.719999999994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44122</v>
      </c>
      <c r="B22" s="406">
        <f>Gen!C28</f>
        <v>0</v>
      </c>
      <c r="C22" s="453">
        <f>Gen!AK28</f>
        <v>0</v>
      </c>
      <c r="D22" s="454">
        <f>Gen!T28</f>
        <v>0</v>
      </c>
      <c r="E22" s="402">
        <f>Gen!D28</f>
        <v>39013.719999999994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44123</v>
      </c>
      <c r="B23" s="406">
        <f>Gen!C29</f>
        <v>0</v>
      </c>
      <c r="C23" s="453">
        <f>Gen!AK29</f>
        <v>0</v>
      </c>
      <c r="D23" s="454">
        <f>Gen!T29</f>
        <v>0</v>
      </c>
      <c r="E23" s="402">
        <f>Gen!D29</f>
        <v>39013.719999999994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39013.719999999994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39013.719999999994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39013.719999999994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39013.719999999994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39013.719999999994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39013.719999999994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39013.719999999994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39013.719999999994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39013.719999999994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39013.719999999994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39013.719999999994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39013.719999999994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39013.719999999994</v>
      </c>
      <c r="F36" s="403">
        <f>'Water-Meter'!E37</f>
        <v>0</v>
      </c>
      <c r="G36" s="404">
        <f>'Water-Meter'!AN37</f>
        <v>616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2020-10-15T03:53:26Z</dcterms:modified>
</cp:coreProperties>
</file>