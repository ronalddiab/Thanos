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<sst xmlns="http://schemas.openxmlformats.org/spreadsheetml/2006/main" count="129" uniqueCount="50">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</sst>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66140</v>
      </c>
      <c r="F2" s="11">
        <v>5.0000000000000001E-3</v>
      </c>
      <c r="G2" s="12">
        <f>Submetering!R2</f>
        <v>793.800477</v>
      </c>
      <c r="H2" s="11">
        <v>0.52800000000000002</v>
      </c>
      <c r="I2" s="12">
        <f>Hotel!B7</f>
        <v>185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69370</v>
      </c>
      <c r="F3" s="11">
        <v>5.0000000000000001E-3</v>
      </c>
      <c r="G3" s="12">
        <f>Submetering!R3</f>
        <v>1104.5826379999999</v>
      </c>
      <c r="H3" s="11">
        <v>0.52800000000000002</v>
      </c>
      <c r="I3" s="12">
        <f>Hotel!B8</f>
        <v>127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65470</v>
      </c>
      <c r="F4" s="11">
        <v>5.0000000000000001E-3</v>
      </c>
      <c r="G4" s="12">
        <f>Submetering!R4</f>
        <v>1028.8744379999998</v>
      </c>
      <c r="H4" s="11">
        <v>0.52800000000000002</v>
      </c>
      <c r="I4" s="12">
        <f>Hotel!B9</f>
        <v>109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67770</v>
      </c>
      <c r="F5" s="11">
        <v>5.0000000000000001E-3</v>
      </c>
      <c r="G5" s="12">
        <f>Submetering!R5</f>
        <v>929.69669599999986</v>
      </c>
      <c r="H5" s="11">
        <v>0.52800000000000002</v>
      </c>
      <c r="I5" s="12">
        <f>Hotel!B10</f>
        <v>105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62110</v>
      </c>
      <c r="F6" s="11">
        <v>5.0000000000000001E-3</v>
      </c>
      <c r="G6" s="12">
        <f>Submetering!R6</f>
        <v>796.45026400000006</v>
      </c>
      <c r="H6" s="11">
        <v>0.52800000000000002</v>
      </c>
      <c r="I6" s="12">
        <f>Hotel!B11</f>
        <v>97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65100</v>
      </c>
      <c r="F7" s="11">
        <v>5.0000000000000001E-3</v>
      </c>
      <c r="G7" s="12">
        <f>Submetering!R7</f>
        <v>854.36703699999987</v>
      </c>
      <c r="H7" s="11">
        <v>0.52800000000000002</v>
      </c>
      <c r="I7" s="12">
        <f>Hotel!B12</f>
        <v>101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64000</v>
      </c>
      <c r="F8" s="11">
        <v>5.0000000000000001E-3</v>
      </c>
      <c r="G8" s="12">
        <f>Submetering!R8</f>
        <v>801.37129700000003</v>
      </c>
      <c r="H8" s="11">
        <v>0.52800000000000002</v>
      </c>
      <c r="I8" s="12">
        <f>Hotel!B13</f>
        <v>129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64740</v>
      </c>
      <c r="F9" s="11">
        <v>5.0000000000000001E-3</v>
      </c>
      <c r="G9" s="12">
        <f>Submetering!R9</f>
        <v>683.26650500000005</v>
      </c>
      <c r="H9" s="11">
        <v>0.52800000000000002</v>
      </c>
      <c r="I9" s="12">
        <f>Hotel!B14</f>
        <v>69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63100</v>
      </c>
      <c r="F10" s="11">
        <v>5.0000000000000001E-3</v>
      </c>
      <c r="G10" s="12">
        <f>Submetering!R10</f>
        <v>688.56607900000006</v>
      </c>
      <c r="H10" s="11">
        <v>0.52800000000000002</v>
      </c>
      <c r="I10" s="12">
        <f>Hotel!B15</f>
        <v>113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66840</v>
      </c>
      <c r="F11" s="11">
        <v>5.0000000000000001E-3</v>
      </c>
      <c r="G11" s="12">
        <f>Submetering!R11</f>
        <v>796.45026400000006</v>
      </c>
      <c r="H11" s="11">
        <v>0.52800000000000002</v>
      </c>
      <c r="I11" s="12">
        <f>Hotel!B16</f>
        <v>164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63670</v>
      </c>
      <c r="F12" s="11">
        <v>5.0000000000000001E-3</v>
      </c>
      <c r="G12" s="12">
        <f>Submetering!R12</f>
        <v>966.4151730000001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67180</v>
      </c>
      <c r="F13" s="11">
        <v>5.0000000000000001E-3</v>
      </c>
      <c r="G13" s="12">
        <f>Submetering!R13</f>
        <v>1272.6548419999999</v>
      </c>
      <c r="H13" s="11">
        <v>0.52800000000000002</v>
      </c>
      <c r="I13" s="12">
        <f>Hotel!B18</f>
        <v>195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66790</v>
      </c>
      <c r="F14" s="11">
        <v>5.0000000000000001E-3</v>
      </c>
      <c r="G14" s="12">
        <f>Submetering!R14</f>
        <v>776.38759099999993</v>
      </c>
      <c r="H14" s="11">
        <v>0.52800000000000002</v>
      </c>
      <c r="I14" s="12">
        <f>Hotel!B19</f>
        <v>148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66050</v>
      </c>
      <c r="F15" s="11">
        <v>5.0000000000000001E-3</v>
      </c>
      <c r="G15" s="12">
        <f>Submetering!R15</f>
        <v>833.16874099999984</v>
      </c>
      <c r="H15" s="11">
        <v>0.52800000000000002</v>
      </c>
      <c r="I15" s="12">
        <f>Hotel!B20</f>
        <v>130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66430</v>
      </c>
      <c r="F16" s="11">
        <v>5.0000000000000001E-3</v>
      </c>
      <c r="G16" s="12">
        <f>Submetering!R16</f>
        <v>811.97044500000004</v>
      </c>
      <c r="H16" s="11">
        <v>0.52800000000000002</v>
      </c>
      <c r="I16" s="12">
        <f>Hotel!B21</f>
        <v>126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62860</v>
      </c>
      <c r="F17" s="11">
        <v>5.0000000000000001E-3</v>
      </c>
      <c r="G17" s="12">
        <f>Submetering!R17</f>
        <v>819.54126499999995</v>
      </c>
      <c r="H17" s="11">
        <v>0.52800000000000002</v>
      </c>
      <c r="I17" s="12">
        <f>Hotel!B22</f>
        <v>71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61460</v>
      </c>
      <c r="F18" s="11">
        <v>5.0000000000000001E-3</v>
      </c>
      <c r="G18" s="12">
        <f>Submetering!R18</f>
        <v>896.38508799999988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63810</v>
      </c>
      <c r="F19" s="11">
        <v>5.0000000000000001E-3</v>
      </c>
      <c r="G19" s="12">
        <f>Submetering!R19</f>
        <v>1026.224651</v>
      </c>
      <c r="H19" s="11">
        <v>0.52800000000000002</v>
      </c>
      <c r="I19" s="12">
        <f>Hotel!B24</f>
        <v>87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64240</v>
      </c>
      <c r="F20" s="11">
        <v>5.0000000000000001E-3</v>
      </c>
      <c r="G20" s="12">
        <f>Submetering!R20</f>
        <v>834.30436399999996</v>
      </c>
      <c r="H20" s="11">
        <v>0.52800000000000002</v>
      </c>
      <c r="I20" s="12">
        <f>Hotel!B25</f>
        <v>110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67770</v>
      </c>
      <c r="F21" s="11">
        <v>5.0000000000000001E-3</v>
      </c>
      <c r="G21" s="12">
        <f>Submetering!R21</f>
        <v>944.83833599999991</v>
      </c>
      <c r="H21" s="11">
        <v>0.52800000000000002</v>
      </c>
      <c r="I21" s="12">
        <f>Hotel!B26</f>
        <v>110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2022</v>
      </c>
      <c r="E2" s="4">
        <f>Hotel!Q7</f>
        <v>980</v>
      </c>
      <c r="F2" s="4">
        <f>Hotel!R7</f>
        <v>13460</v>
      </c>
      <c r="G2" s="4">
        <f>Hotel!S7</f>
        <v>3510</v>
      </c>
      <c r="H2" s="4">
        <f>Hotel!T7</f>
        <v>1610</v>
      </c>
      <c r="I2" s="4">
        <f>Hotel!U7</f>
        <v>4840</v>
      </c>
      <c r="J2" s="4">
        <f>Hotel!V7</f>
        <v>3990</v>
      </c>
      <c r="K2" s="4">
        <f>Hotel!W7</f>
        <v>3180</v>
      </c>
      <c r="L2" s="4">
        <f>Hotel!X7</f>
        <v>4290</v>
      </c>
      <c r="M2" s="4">
        <f>Hotel!Y7</f>
        <v>5220</v>
      </c>
      <c r="N2" s="4">
        <f>Hotel!Z7</f>
        <v>2760</v>
      </c>
      <c r="O2" s="4">
        <f>Hotel!AA7</f>
        <v>3220</v>
      </c>
      <c r="P2" s="4">
        <f>Hotel!AB7</f>
        <v>7180</v>
      </c>
      <c r="Q2" s="4">
        <f>Hotel!AC7</f>
        <v>11900</v>
      </c>
      <c r="R2" s="4">
        <f>Hotel!AV7*0.00378541*100</f>
        <v>793.800477</v>
      </c>
      <c r="S2" s="4">
        <f>Hotel!B7</f>
        <v>185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2022</v>
      </c>
      <c r="E3" s="4">
        <f>Hotel!Q8</f>
        <v>1030</v>
      </c>
      <c r="F3" s="4">
        <f>Hotel!R8</f>
        <v>14030</v>
      </c>
      <c r="G3" s="4">
        <f>Hotel!S8</f>
        <v>3650</v>
      </c>
      <c r="H3" s="4">
        <f>Hotel!T8</f>
        <v>1700</v>
      </c>
      <c r="I3" s="4">
        <f>Hotel!U8</f>
        <v>5000</v>
      </c>
      <c r="J3" s="4">
        <f>Hotel!V8</f>
        <v>4380</v>
      </c>
      <c r="K3" s="4">
        <f>Hotel!W8</f>
        <v>3510</v>
      </c>
      <c r="L3" s="4">
        <f>Hotel!X8</f>
        <v>4410</v>
      </c>
      <c r="M3" s="4">
        <f>Hotel!Y8</f>
        <v>5270</v>
      </c>
      <c r="N3" s="4">
        <f>Hotel!Z8</f>
        <v>2860</v>
      </c>
      <c r="O3" s="4">
        <f>Hotel!AA8</f>
        <v>3290</v>
      </c>
      <c r="P3" s="4">
        <f>Hotel!AB8</f>
        <v>7290</v>
      </c>
      <c r="Q3" s="4">
        <f>Hotel!AC8</f>
        <v>12950</v>
      </c>
      <c r="R3" s="4">
        <f>Hotel!AV8*0.00378541*100</f>
        <v>1104.5826379999999</v>
      </c>
      <c r="S3" s="4">
        <f>Hotel!B8</f>
        <v>127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2022</v>
      </c>
      <c r="E4" s="4">
        <f>Hotel!Q9</f>
        <v>1030</v>
      </c>
      <c r="F4" s="4">
        <f>Hotel!R9</f>
        <v>13810</v>
      </c>
      <c r="G4" s="4">
        <f>Hotel!S9</f>
        <v>3580</v>
      </c>
      <c r="H4" s="4">
        <f>Hotel!T9</f>
        <v>1690</v>
      </c>
      <c r="I4" s="4">
        <f>Hotel!U9</f>
        <v>4840</v>
      </c>
      <c r="J4" s="4">
        <f>Hotel!V9</f>
        <v>4160</v>
      </c>
      <c r="K4" s="4">
        <f>Hotel!W9</f>
        <v>3370</v>
      </c>
      <c r="L4" s="4">
        <f>Hotel!X9</f>
        <v>4150</v>
      </c>
      <c r="M4" s="4">
        <f>Hotel!Y9</f>
        <v>4930</v>
      </c>
      <c r="N4" s="4">
        <f>Hotel!Z9</f>
        <v>2700</v>
      </c>
      <c r="O4" s="4">
        <f>Hotel!AA9</f>
        <v>3270</v>
      </c>
      <c r="P4" s="4">
        <f>Hotel!AB9</f>
        <v>7280</v>
      </c>
      <c r="Q4" s="4">
        <f>Hotel!AC9</f>
        <v>10660</v>
      </c>
      <c r="R4" s="4">
        <f>Hotel!AV9*0.00378541*100</f>
        <v>1028.8744379999998</v>
      </c>
      <c r="S4" s="4">
        <f>Hotel!B9</f>
        <v>109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2022</v>
      </c>
      <c r="E5" s="4">
        <f>Hotel!Q10</f>
        <v>1070</v>
      </c>
      <c r="F5" s="4">
        <f>Hotel!R10</f>
        <v>14050</v>
      </c>
      <c r="G5" s="4">
        <f>Hotel!S10</f>
        <v>3620</v>
      </c>
      <c r="H5" s="4">
        <f>Hotel!T10</f>
        <v>1750</v>
      </c>
      <c r="I5" s="4">
        <f>Hotel!U10</f>
        <v>5060</v>
      </c>
      <c r="J5" s="4">
        <f>Hotel!V10</f>
        <v>4280</v>
      </c>
      <c r="K5" s="4">
        <f>Hotel!W10</f>
        <v>3570</v>
      </c>
      <c r="L5" s="4">
        <f>Hotel!X10</f>
        <v>4410</v>
      </c>
      <c r="M5" s="4">
        <f>Hotel!Y10</f>
        <v>5350</v>
      </c>
      <c r="N5" s="4">
        <f>Hotel!Z10</f>
        <v>2840</v>
      </c>
      <c r="O5" s="4">
        <f>Hotel!AA10</f>
        <v>3160</v>
      </c>
      <c r="P5" s="4">
        <f>Hotel!AB10</f>
        <v>7580</v>
      </c>
      <c r="Q5" s="4">
        <f>Hotel!AC10</f>
        <v>11030</v>
      </c>
      <c r="R5" s="4">
        <f>Hotel!AV10*0.00378541*100</f>
        <v>929.69669599999986</v>
      </c>
      <c r="S5" s="4">
        <f>Hotel!B10</f>
        <v>105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2022</v>
      </c>
      <c r="E6" s="4">
        <f>Hotel!Q11</f>
        <v>970</v>
      </c>
      <c r="F6" s="4">
        <f>Hotel!R11</f>
        <v>12850</v>
      </c>
      <c r="G6" s="4">
        <f>Hotel!S11</f>
        <v>3320</v>
      </c>
      <c r="H6" s="4">
        <f>Hotel!T11</f>
        <v>1580</v>
      </c>
      <c r="I6" s="4">
        <f>Hotel!U11</f>
        <v>4450</v>
      </c>
      <c r="J6" s="4">
        <f>Hotel!V11</f>
        <v>3850</v>
      </c>
      <c r="K6" s="4">
        <f>Hotel!W11</f>
        <v>2830</v>
      </c>
      <c r="L6" s="4">
        <f>Hotel!X11</f>
        <v>4260</v>
      </c>
      <c r="M6" s="4">
        <f>Hotel!Y11</f>
        <v>5070</v>
      </c>
      <c r="N6" s="4">
        <f>Hotel!Z11</f>
        <v>2460</v>
      </c>
      <c r="O6" s="4">
        <f>Hotel!AA11</f>
        <v>2900</v>
      </c>
      <c r="P6" s="4">
        <f>Hotel!AB11</f>
        <v>6790</v>
      </c>
      <c r="Q6" s="4">
        <f>Hotel!AC11</f>
        <v>10780</v>
      </c>
      <c r="R6" s="4">
        <f>Hotel!AV11*0.00378541*100</f>
        <v>796.45026400000006</v>
      </c>
      <c r="S6" s="4">
        <f>Hotel!B11</f>
        <v>97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2022</v>
      </c>
      <c r="E7" s="4">
        <f>Hotel!Q12</f>
        <v>1010</v>
      </c>
      <c r="F7" s="4">
        <f>Hotel!R12</f>
        <v>13400</v>
      </c>
      <c r="G7" s="4">
        <f>Hotel!S12</f>
        <v>3450</v>
      </c>
      <c r="H7" s="4">
        <f>Hotel!T12</f>
        <v>1660</v>
      </c>
      <c r="I7" s="4">
        <f>Hotel!U12</f>
        <v>4620</v>
      </c>
      <c r="J7" s="4">
        <f>Hotel!V12</f>
        <v>4050</v>
      </c>
      <c r="K7" s="4">
        <f>Hotel!W12</f>
        <v>3180</v>
      </c>
      <c r="L7" s="4">
        <f>Hotel!X12</f>
        <v>4260</v>
      </c>
      <c r="M7" s="4">
        <f>Hotel!Y12</f>
        <v>5340</v>
      </c>
      <c r="N7" s="4">
        <f>Hotel!Z12</f>
        <v>2600</v>
      </c>
      <c r="O7" s="4">
        <f>Hotel!AA12</f>
        <v>2950</v>
      </c>
      <c r="P7" s="4">
        <f>Hotel!AB12</f>
        <v>7240</v>
      </c>
      <c r="Q7" s="4">
        <f>Hotel!AC12</f>
        <v>11340</v>
      </c>
      <c r="R7" s="4">
        <f>Hotel!AV12*0.00378541*100</f>
        <v>854.36703699999987</v>
      </c>
      <c r="S7" s="4">
        <f>Hotel!B12</f>
        <v>101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2022</v>
      </c>
      <c r="E8" s="4">
        <f>Hotel!Q13</f>
        <v>1000</v>
      </c>
      <c r="F8" s="4">
        <f>Hotel!R13</f>
        <v>13260</v>
      </c>
      <c r="G8" s="4">
        <f>Hotel!S13</f>
        <v>3420</v>
      </c>
      <c r="H8" s="4">
        <f>Hotel!T13</f>
        <v>1640</v>
      </c>
      <c r="I8" s="4">
        <f>Hotel!U13</f>
        <v>4530</v>
      </c>
      <c r="J8" s="4">
        <f>Hotel!V13</f>
        <v>3990</v>
      </c>
      <c r="K8" s="4">
        <f>Hotel!W13</f>
        <v>3240</v>
      </c>
      <c r="L8" s="4">
        <f>Hotel!X13</f>
        <v>4400</v>
      </c>
      <c r="M8" s="4">
        <f>Hotel!Y13</f>
        <v>5360</v>
      </c>
      <c r="N8" s="4">
        <f>Hotel!Z13</f>
        <v>2630</v>
      </c>
      <c r="O8" s="4">
        <f>Hotel!AA13</f>
        <v>3080</v>
      </c>
      <c r="P8" s="4">
        <f>Hotel!AB13</f>
        <v>7140</v>
      </c>
      <c r="Q8" s="4">
        <f>Hotel!AC13</f>
        <v>10310</v>
      </c>
      <c r="R8" s="4">
        <f>Hotel!AV13*0.00378541*100</f>
        <v>801.37129700000003</v>
      </c>
      <c r="S8" s="4">
        <f>Hotel!B13</f>
        <v>129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2022</v>
      </c>
      <c r="E9" s="4">
        <f>Hotel!Q14</f>
        <v>1040</v>
      </c>
      <c r="F9" s="4">
        <f>Hotel!R14</f>
        <v>13620</v>
      </c>
      <c r="G9" s="4">
        <f>Hotel!S14</f>
        <v>3490</v>
      </c>
      <c r="H9" s="4">
        <f>Hotel!T14</f>
        <v>1700</v>
      </c>
      <c r="I9" s="4">
        <f>Hotel!U14</f>
        <v>4590</v>
      </c>
      <c r="J9" s="4">
        <f>Hotel!V14</f>
        <v>4110</v>
      </c>
      <c r="K9" s="4">
        <f>Hotel!W14</f>
        <v>3240</v>
      </c>
      <c r="L9" s="4">
        <f>Hotel!X14</f>
        <v>4450</v>
      </c>
      <c r="M9" s="4">
        <f>Hotel!Y14</f>
        <v>5520</v>
      </c>
      <c r="N9" s="4">
        <f>Hotel!Z14</f>
        <v>2670</v>
      </c>
      <c r="O9" s="4">
        <f>Hotel!AA14</f>
        <v>3140</v>
      </c>
      <c r="P9" s="4">
        <f>Hotel!AB14</f>
        <v>7310</v>
      </c>
      <c r="Q9" s="4">
        <f>Hotel!AC14</f>
        <v>9860</v>
      </c>
      <c r="R9" s="4">
        <f>Hotel!AV14*0.00378541*100</f>
        <v>683.26650500000005</v>
      </c>
      <c r="S9" s="4">
        <f>Hotel!B14</f>
        <v>69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2022</v>
      </c>
      <c r="E10" s="4">
        <f>Hotel!Q15</f>
        <v>1010</v>
      </c>
      <c r="F10" s="4">
        <f>Hotel!R15</f>
        <v>13290</v>
      </c>
      <c r="G10" s="4">
        <f>Hotel!S15</f>
        <v>3430</v>
      </c>
      <c r="H10" s="4">
        <f>Hotel!T15</f>
        <v>1660</v>
      </c>
      <c r="I10" s="4">
        <f>Hotel!U15</f>
        <v>4340</v>
      </c>
      <c r="J10" s="4">
        <f>Hotel!V15</f>
        <v>3990</v>
      </c>
      <c r="K10" s="4">
        <f>Hotel!W15</f>
        <v>2880</v>
      </c>
      <c r="L10" s="4">
        <f>Hotel!X15</f>
        <v>4150</v>
      </c>
      <c r="M10" s="4">
        <f>Hotel!Y15</f>
        <v>5080</v>
      </c>
      <c r="N10" s="4">
        <f>Hotel!Z15</f>
        <v>2510</v>
      </c>
      <c r="O10" s="4">
        <f>Hotel!AA15</f>
        <v>3150</v>
      </c>
      <c r="P10" s="4">
        <f>Hotel!AB15</f>
        <v>7090</v>
      </c>
      <c r="Q10" s="4">
        <f>Hotel!AC15</f>
        <v>10520</v>
      </c>
      <c r="R10" s="4">
        <f>Hotel!AV15*0.00378541*100</f>
        <v>688.56607900000006</v>
      </c>
      <c r="S10" s="4">
        <f>Hotel!B15</f>
        <v>113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2022</v>
      </c>
      <c r="E11" s="4">
        <f>Hotel!Q16</f>
        <v>1030</v>
      </c>
      <c r="F11" s="4">
        <f>Hotel!R16</f>
        <v>13780</v>
      </c>
      <c r="G11" s="4">
        <f>Hotel!S16</f>
        <v>3570</v>
      </c>
      <c r="H11" s="4">
        <f>Hotel!T16</f>
        <v>1680</v>
      </c>
      <c r="I11" s="4">
        <f>Hotel!U16</f>
        <v>4730</v>
      </c>
      <c r="J11" s="4">
        <f>Hotel!V16</f>
        <v>4220</v>
      </c>
      <c r="K11" s="4">
        <f>Hotel!W16</f>
        <v>3360</v>
      </c>
      <c r="L11" s="4">
        <f>Hotel!X16</f>
        <v>4170</v>
      </c>
      <c r="M11" s="4">
        <f>Hotel!Y16</f>
        <v>5370</v>
      </c>
      <c r="N11" s="4">
        <f>Hotel!Z16</f>
        <v>2770</v>
      </c>
      <c r="O11" s="4">
        <f>Hotel!AA16</f>
        <v>3340</v>
      </c>
      <c r="P11" s="4">
        <f>Hotel!AB16</f>
        <v>7200</v>
      </c>
      <c r="Q11" s="4">
        <f>Hotel!AC16</f>
        <v>11620</v>
      </c>
      <c r="R11" s="4">
        <f>Hotel!AV16*0.00378541*100</f>
        <v>796.45026400000006</v>
      </c>
      <c r="S11" s="4">
        <f>Hotel!B16</f>
        <v>164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2022</v>
      </c>
      <c r="E12" s="4">
        <f>Hotel!Q17</f>
        <v>1020</v>
      </c>
      <c r="F12" s="4">
        <f>Hotel!R17</f>
        <v>13310</v>
      </c>
      <c r="G12" s="4">
        <f>Hotel!S17</f>
        <v>3430</v>
      </c>
      <c r="H12" s="4">
        <f>Hotel!T17</f>
        <v>1610</v>
      </c>
      <c r="I12" s="4">
        <f>Hotel!U17</f>
        <v>4990</v>
      </c>
      <c r="J12" s="4">
        <f>Hotel!V17</f>
        <v>4240</v>
      </c>
      <c r="K12" s="4">
        <f>Hotel!W17</f>
        <v>3240</v>
      </c>
      <c r="L12" s="4">
        <f>Hotel!X17</f>
        <v>4480</v>
      </c>
      <c r="M12" s="4">
        <f>Hotel!Y17</f>
        <v>4510</v>
      </c>
      <c r="N12" s="4">
        <f>Hotel!Z17</f>
        <v>2960</v>
      </c>
      <c r="O12" s="4">
        <f>Hotel!AA17</f>
        <v>3340</v>
      </c>
      <c r="P12" s="4">
        <f>Hotel!AB17</f>
        <v>6820</v>
      </c>
      <c r="Q12" s="4">
        <f>Hotel!AC17</f>
        <v>9720</v>
      </c>
      <c r="R12" s="4">
        <f>Hotel!AV17*0.00378541*100</f>
        <v>966.4151730000001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2022</v>
      </c>
      <c r="E13" s="4">
        <f>Hotel!Q18</f>
        <v>1030</v>
      </c>
      <c r="F13" s="4">
        <f>Hotel!R18</f>
        <v>14030</v>
      </c>
      <c r="G13" s="4">
        <f>Hotel!S18</f>
        <v>3650</v>
      </c>
      <c r="H13" s="4">
        <f>Hotel!T18</f>
        <v>1710</v>
      </c>
      <c r="I13" s="4">
        <f>Hotel!U18</f>
        <v>5190</v>
      </c>
      <c r="J13" s="4">
        <f>Hotel!V18</f>
        <v>4440</v>
      </c>
      <c r="K13" s="4">
        <f>Hotel!W18</f>
        <v>3090</v>
      </c>
      <c r="L13" s="4">
        <f>Hotel!X18</f>
        <v>4530</v>
      </c>
      <c r="M13" s="4">
        <f>Hotel!Y18</f>
        <v>5730</v>
      </c>
      <c r="N13" s="4">
        <f>Hotel!Z18</f>
        <v>2970</v>
      </c>
      <c r="O13" s="4">
        <f>Hotel!AA18</f>
        <v>3510</v>
      </c>
      <c r="P13" s="4">
        <f>Hotel!AB18</f>
        <v>7330</v>
      </c>
      <c r="Q13" s="4">
        <f>Hotel!AC18</f>
        <v>9970</v>
      </c>
      <c r="R13" s="4">
        <f>Hotel!AV18*0.00378541*100</f>
        <v>1272.6548419999999</v>
      </c>
      <c r="S13" s="4">
        <f>Hotel!B18</f>
        <v>195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2022</v>
      </c>
      <c r="E14" s="4">
        <f>Hotel!Q19</f>
        <v>1020</v>
      </c>
      <c r="F14" s="4">
        <f>Hotel!R19</f>
        <v>13840</v>
      </c>
      <c r="G14" s="4">
        <f>Hotel!S19</f>
        <v>3610</v>
      </c>
      <c r="H14" s="4">
        <f>Hotel!T19</f>
        <v>1690</v>
      </c>
      <c r="I14" s="4">
        <f>Hotel!U19</f>
        <v>5050</v>
      </c>
      <c r="J14" s="4">
        <f>Hotel!V19</f>
        <v>4150</v>
      </c>
      <c r="K14" s="4">
        <f>Hotel!W19</f>
        <v>3150</v>
      </c>
      <c r="L14" s="4">
        <f>Hotel!X19</f>
        <v>4640</v>
      </c>
      <c r="M14" s="4">
        <f>Hotel!Y19</f>
        <v>5640</v>
      </c>
      <c r="N14" s="4">
        <f>Hotel!Z19</f>
        <v>2930</v>
      </c>
      <c r="O14" s="4">
        <f>Hotel!AA19</f>
        <v>3410</v>
      </c>
      <c r="P14" s="4">
        <f>Hotel!AB19</f>
        <v>7190</v>
      </c>
      <c r="Q14" s="4">
        <f>Hotel!AC19</f>
        <v>10470</v>
      </c>
      <c r="R14" s="4">
        <f>Hotel!AV19*0.00378541*100</f>
        <v>776.38759099999993</v>
      </c>
      <c r="S14" s="4">
        <f>Hotel!B19</f>
        <v>148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2022</v>
      </c>
      <c r="E15" s="4">
        <f>Hotel!Q20</f>
        <v>1020</v>
      </c>
      <c r="F15" s="4">
        <f>Hotel!R20</f>
        <v>13660</v>
      </c>
      <c r="G15" s="4">
        <f>Hotel!S20</f>
        <v>3570</v>
      </c>
      <c r="H15" s="4">
        <f>Hotel!T20</f>
        <v>1680</v>
      </c>
      <c r="I15" s="4">
        <f>Hotel!U20</f>
        <v>5030</v>
      </c>
      <c r="J15" s="4">
        <f>Hotel!V20</f>
        <v>4150</v>
      </c>
      <c r="K15" s="4">
        <f>Hotel!W20</f>
        <v>3270</v>
      </c>
      <c r="L15" s="4">
        <f>Hotel!X20</f>
        <v>4440</v>
      </c>
      <c r="M15" s="4">
        <f>Hotel!Y20</f>
        <v>5360</v>
      </c>
      <c r="N15" s="4">
        <f>Hotel!Z20</f>
        <v>2740</v>
      </c>
      <c r="O15" s="4">
        <f>Hotel!AA20</f>
        <v>3390</v>
      </c>
      <c r="P15" s="4">
        <f>Hotel!AB20</f>
        <v>7100</v>
      </c>
      <c r="Q15" s="4">
        <f>Hotel!AC20</f>
        <v>10640</v>
      </c>
      <c r="R15" s="4">
        <f>Hotel!AV20*0.00378541*100</f>
        <v>833.16874099999984</v>
      </c>
      <c r="S15" s="4">
        <f>Hotel!B20</f>
        <v>130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2022</v>
      </c>
      <c r="E16" s="4">
        <f>Hotel!Q21</f>
        <v>1030</v>
      </c>
      <c r="F16" s="4">
        <f>Hotel!R21</f>
        <v>13830</v>
      </c>
      <c r="G16" s="4">
        <f>Hotel!S21</f>
        <v>3590</v>
      </c>
      <c r="H16" s="4">
        <f>Hotel!T21</f>
        <v>1720</v>
      </c>
      <c r="I16" s="4">
        <f>Hotel!U21</f>
        <v>5110</v>
      </c>
      <c r="J16" s="4">
        <f>Hotel!V21</f>
        <v>3850</v>
      </c>
      <c r="K16" s="4">
        <f>Hotel!W21</f>
        <v>3080</v>
      </c>
      <c r="L16" s="4">
        <f>Hotel!X21</f>
        <v>4480</v>
      </c>
      <c r="M16" s="4">
        <f>Hotel!Y21</f>
        <v>5450</v>
      </c>
      <c r="N16" s="4">
        <f>Hotel!Z21</f>
        <v>2800</v>
      </c>
      <c r="O16" s="4">
        <f>Hotel!AA21</f>
        <v>3270</v>
      </c>
      <c r="P16" s="4">
        <f>Hotel!AB21</f>
        <v>7310</v>
      </c>
      <c r="Q16" s="4">
        <f>Hotel!AC21</f>
        <v>10910</v>
      </c>
      <c r="R16" s="4">
        <f>Hotel!AV21*0.00378541*100</f>
        <v>811.97044500000004</v>
      </c>
      <c r="S16" s="4">
        <f>Hotel!B21</f>
        <v>126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2022</v>
      </c>
      <c r="E17" s="4">
        <f>Hotel!Q22</f>
        <v>1010</v>
      </c>
      <c r="F17" s="4">
        <f>Hotel!R22</f>
        <v>13310</v>
      </c>
      <c r="G17" s="4">
        <f>Hotel!S22</f>
        <v>3440</v>
      </c>
      <c r="H17" s="4">
        <f>Hotel!T22</f>
        <v>1660</v>
      </c>
      <c r="I17" s="4">
        <f>Hotel!U22</f>
        <v>4810</v>
      </c>
      <c r="J17" s="4">
        <f>Hotel!V22</f>
        <v>3600</v>
      </c>
      <c r="K17" s="4">
        <f>Hotel!W22</f>
        <v>2880</v>
      </c>
      <c r="L17" s="4">
        <f>Hotel!X22</f>
        <v>4330</v>
      </c>
      <c r="M17" s="4">
        <f>Hotel!Y22</f>
        <v>5300</v>
      </c>
      <c r="N17" s="4">
        <f>Hotel!Z22</f>
        <v>2640</v>
      </c>
      <c r="O17" s="4">
        <f>Hotel!AA22</f>
        <v>3090</v>
      </c>
      <c r="P17" s="4">
        <f>Hotel!AB22</f>
        <v>7050</v>
      </c>
      <c r="Q17" s="4">
        <f>Hotel!AC22</f>
        <v>9740</v>
      </c>
      <c r="R17" s="4">
        <f>Hotel!AV22*0.00378541*100</f>
        <v>819.54126499999995</v>
      </c>
      <c r="S17" s="4">
        <f>Hotel!B22</f>
        <v>71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2022</v>
      </c>
      <c r="E18" s="4">
        <f>Hotel!Q23</f>
        <v>1000</v>
      </c>
      <c r="F18" s="4">
        <f>Hotel!R23</f>
        <v>13410</v>
      </c>
      <c r="G18" s="4">
        <f>Hotel!S23</f>
        <v>3520</v>
      </c>
      <c r="H18" s="4">
        <f>Hotel!T23</f>
        <v>1650</v>
      </c>
      <c r="I18" s="4">
        <f>Hotel!U23</f>
        <v>4710</v>
      </c>
      <c r="J18" s="4">
        <f>Hotel!V23</f>
        <v>3610</v>
      </c>
      <c r="K18" s="4">
        <f>Hotel!W23</f>
        <v>2940</v>
      </c>
      <c r="L18" s="4">
        <f>Hotel!X23</f>
        <v>4040</v>
      </c>
      <c r="M18" s="4">
        <f>Hotel!Y23</f>
        <v>4900</v>
      </c>
      <c r="N18" s="4">
        <f>Hotel!Z23</f>
        <v>2480</v>
      </c>
      <c r="O18" s="4">
        <f>Hotel!AA23</f>
        <v>3070</v>
      </c>
      <c r="P18" s="4">
        <f>Hotel!AB23</f>
        <v>6870</v>
      </c>
      <c r="Q18" s="4">
        <f>Hotel!AC23</f>
        <v>9260</v>
      </c>
      <c r="R18" s="4">
        <f>Hotel!AV23*0.00378541*100</f>
        <v>896.38508799999988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2022</v>
      </c>
      <c r="E19" s="4">
        <f>Hotel!Q24</f>
        <v>1040</v>
      </c>
      <c r="F19" s="4">
        <f>Hotel!R24</f>
        <v>13640</v>
      </c>
      <c r="G19" s="4">
        <f>Hotel!S24</f>
        <v>3530</v>
      </c>
      <c r="H19" s="4">
        <f>Hotel!T24</f>
        <v>1710</v>
      </c>
      <c r="I19" s="4">
        <f>Hotel!U24</f>
        <v>4670</v>
      </c>
      <c r="J19" s="4">
        <f>Hotel!V24</f>
        <v>3930</v>
      </c>
      <c r="K19" s="4">
        <f>Hotel!W24</f>
        <v>2940</v>
      </c>
      <c r="L19" s="4">
        <f>Hotel!X24</f>
        <v>4540</v>
      </c>
      <c r="M19" s="4">
        <f>Hotel!Y24</f>
        <v>5110</v>
      </c>
      <c r="N19" s="4">
        <f>Hotel!Z24</f>
        <v>2530</v>
      </c>
      <c r="O19" s="4">
        <f>Hotel!AA24</f>
        <v>3050</v>
      </c>
      <c r="P19" s="4">
        <f>Hotel!AB24</f>
        <v>7120</v>
      </c>
      <c r="Q19" s="4">
        <f>Hotel!AC24</f>
        <v>10000</v>
      </c>
      <c r="R19" s="4">
        <f>Hotel!AV24*0.00378541*100</f>
        <v>1026.224651</v>
      </c>
      <c r="S19" s="4">
        <f>Hotel!B24</f>
        <v>87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2022</v>
      </c>
      <c r="E20" s="4">
        <f>Hotel!Q25</f>
        <v>1030</v>
      </c>
      <c r="F20" s="4">
        <f>Hotel!R25</f>
        <v>13900</v>
      </c>
      <c r="G20" s="4">
        <f>Hotel!S25</f>
        <v>3640</v>
      </c>
      <c r="H20" s="4">
        <f>Hotel!T25</f>
        <v>1690</v>
      </c>
      <c r="I20" s="4">
        <f>Hotel!U25</f>
        <v>4470</v>
      </c>
      <c r="J20" s="4">
        <f>Hotel!V25</f>
        <v>4230</v>
      </c>
      <c r="K20" s="4">
        <f>Hotel!W25</f>
        <v>3000</v>
      </c>
      <c r="L20" s="4">
        <f>Hotel!X25</f>
        <v>4340</v>
      </c>
      <c r="M20" s="4">
        <f>Hotel!Y25</f>
        <v>5100</v>
      </c>
      <c r="N20" s="4">
        <f>Hotel!Z25</f>
        <v>2690</v>
      </c>
      <c r="O20" s="4">
        <f>Hotel!AA25</f>
        <v>3020</v>
      </c>
      <c r="P20" s="4">
        <f>Hotel!AB25</f>
        <v>6820</v>
      </c>
      <c r="Q20" s="4">
        <f>Hotel!AC25</f>
        <v>10310</v>
      </c>
      <c r="R20" s="4">
        <f>Hotel!AV25*0.00378541*100</f>
        <v>834.30436399999996</v>
      </c>
      <c r="S20" s="4">
        <f>Hotel!B25</f>
        <v>110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2022</v>
      </c>
      <c r="E21" s="4">
        <f>Hotel!Q26</f>
        <v>1070</v>
      </c>
      <c r="F21" s="4">
        <f>Hotel!R26</f>
        <v>14490</v>
      </c>
      <c r="G21" s="4">
        <f>Hotel!S26</f>
        <v>3800</v>
      </c>
      <c r="H21" s="4">
        <f>Hotel!T26</f>
        <v>1780</v>
      </c>
      <c r="I21" s="4">
        <f>Hotel!U26</f>
        <v>4760</v>
      </c>
      <c r="J21" s="4">
        <f>Hotel!V26</f>
        <v>4110</v>
      </c>
      <c r="K21" s="4">
        <f>Hotel!W26</f>
        <v>3130</v>
      </c>
      <c r="L21" s="4">
        <f>Hotel!X26</f>
        <v>4530</v>
      </c>
      <c r="M21" s="4">
        <f>Hotel!Y26</f>
        <v>5360</v>
      </c>
      <c r="N21" s="4">
        <f>Hotel!Z26</f>
        <v>2820</v>
      </c>
      <c r="O21" s="4">
        <f>Hotel!AA26</f>
        <v>3110</v>
      </c>
      <c r="P21" s="4">
        <f>Hotel!AB26</f>
        <v>7250</v>
      </c>
      <c r="Q21" s="4">
        <f>Hotel!AC26</f>
        <v>11560</v>
      </c>
      <c r="R21" s="4">
        <f>Hotel!AV26*0.00378541*100</f>
        <v>944.83833599999991</v>
      </c>
      <c r="S21" s="4">
        <f>Hotel!B26</f>
        <v>110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2022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O30" sqref="AO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44742</v>
      </c>
      <c r="B2" s="40">
        <v>136</v>
      </c>
      <c r="C2" s="56">
        <v>8175500</v>
      </c>
      <c r="D2" s="56">
        <v>19282930</v>
      </c>
      <c r="E2" s="56">
        <v>3322210</v>
      </c>
      <c r="F2" s="56">
        <v>4118970</v>
      </c>
      <c r="G2" s="56">
        <v>12196220</v>
      </c>
      <c r="H2" s="56">
        <v>7037610</v>
      </c>
      <c r="I2" s="56">
        <v>6146040</v>
      </c>
      <c r="J2" s="56">
        <v>7595190</v>
      </c>
      <c r="K2" s="56">
        <v>11168960</v>
      </c>
      <c r="L2" s="56">
        <v>4840270</v>
      </c>
      <c r="M2" s="56">
        <v>9110100</v>
      </c>
      <c r="N2" s="56">
        <v>14803710</v>
      </c>
      <c r="O2" s="56">
        <v>20713280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35143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35143</v>
      </c>
    </row>
    <row r="7" spans="1:50" x14ac:dyDescent="0.25">
      <c r="A7" s="23">
        <v>44743</v>
      </c>
      <c r="B7" s="40">
        <v>185</v>
      </c>
      <c r="C7" s="24">
        <v>8176480</v>
      </c>
      <c r="D7" s="24">
        <v>19296390</v>
      </c>
      <c r="E7" s="24">
        <v>3325720</v>
      </c>
      <c r="F7" s="24">
        <v>4120580</v>
      </c>
      <c r="G7" s="24">
        <v>12201060</v>
      </c>
      <c r="H7" s="24">
        <v>7041600</v>
      </c>
      <c r="I7" s="24">
        <v>6149220</v>
      </c>
      <c r="J7" s="24">
        <v>7599480</v>
      </c>
      <c r="K7" s="24">
        <v>11174180</v>
      </c>
      <c r="L7" s="24">
        <v>4843030</v>
      </c>
      <c r="M7" s="24">
        <v>9113320</v>
      </c>
      <c r="N7" s="24">
        <v>14810890</v>
      </c>
      <c r="O7" s="24">
        <v>20725180</v>
      </c>
      <c r="Q7" s="37">
        <f t="shared" ref="Q7:AC7" si="0">IF((C7-C2&lt;0), "0",C7-C2)</f>
        <v>980</v>
      </c>
      <c r="R7" s="37">
        <f t="shared" si="0"/>
        <v>13460</v>
      </c>
      <c r="S7" s="37">
        <f t="shared" si="0"/>
        <v>3510</v>
      </c>
      <c r="T7" s="37">
        <f t="shared" si="0"/>
        <v>1610</v>
      </c>
      <c r="U7" s="37">
        <f t="shared" si="0"/>
        <v>4840</v>
      </c>
      <c r="V7" s="37">
        <f t="shared" si="0"/>
        <v>3990</v>
      </c>
      <c r="W7" s="37">
        <f t="shared" si="0"/>
        <v>3180</v>
      </c>
      <c r="X7" s="37">
        <f t="shared" si="0"/>
        <v>4290</v>
      </c>
      <c r="Y7" s="37">
        <f t="shared" si="0"/>
        <v>5220</v>
      </c>
      <c r="Z7" s="37">
        <f t="shared" si="0"/>
        <v>2760</v>
      </c>
      <c r="AA7" s="37">
        <f t="shared" si="0"/>
        <v>3220</v>
      </c>
      <c r="AB7" s="37">
        <f t="shared" si="0"/>
        <v>7180</v>
      </c>
      <c r="AC7" s="37">
        <f t="shared" si="0"/>
        <v>11900</v>
      </c>
      <c r="AD7" s="34">
        <f>SUM(Q7:AC7)</f>
        <v>66140</v>
      </c>
      <c r="AF7" s="20">
        <f t="shared" ref="AF7:AF36" si="1">Q7*$D$39</f>
        <v>4.9000000000000004</v>
      </c>
      <c r="AG7" s="20">
        <f t="shared" ref="AG7:AG36" si="2">R7*$D$39</f>
        <v>67.3</v>
      </c>
      <c r="AH7" s="20">
        <f t="shared" ref="AH7:AH36" si="3">S7*$D$39</f>
        <v>17.55</v>
      </c>
      <c r="AI7" s="20">
        <f t="shared" ref="AI7:AI36" si="4">T7*$D$39</f>
        <v>8.0500000000000007</v>
      </c>
      <c r="AJ7" s="20">
        <f t="shared" ref="AJ7:AJ36" si="5">U7*$D$39</f>
        <v>24.2</v>
      </c>
      <c r="AK7" s="20">
        <f t="shared" ref="AK7:AK36" si="6">V7*$D$39</f>
        <v>19.95</v>
      </c>
      <c r="AL7" s="20">
        <f t="shared" ref="AL7:AL36" si="7">W7*$D$39</f>
        <v>15.9</v>
      </c>
      <c r="AM7" s="20">
        <f t="shared" ref="AM7:AM36" si="8">X7*$D$39</f>
        <v>21.45</v>
      </c>
      <c r="AN7" s="20">
        <f t="shared" ref="AN7:AN36" si="9">Y7*$D$39</f>
        <v>26.1</v>
      </c>
      <c r="AO7" s="20">
        <f t="shared" ref="AO7:AO36" si="10">Z7*$D$39</f>
        <v>13.8</v>
      </c>
      <c r="AP7" s="20">
        <f t="shared" ref="AP7:AP36" si="11">AA7*$D$39</f>
        <v>16.100000000000001</v>
      </c>
      <c r="AQ7" s="20">
        <f t="shared" ref="AQ7:AQ36" si="12">AB7*$D$39</f>
        <v>35.9</v>
      </c>
      <c r="AR7" s="20">
        <f t="shared" ref="AR7:AR36" si="13">AC7*$D$39</f>
        <v>59.5</v>
      </c>
      <c r="AS7" s="35">
        <f>SUM(AF7:AR7)</f>
        <v>330.7</v>
      </c>
      <c r="AU7" s="47">
        <v>37240</v>
      </c>
      <c r="AV7" s="37">
        <f>IF((AU7-AU6&lt;0),"0",AU7-AU6)</f>
        <v>2097</v>
      </c>
      <c r="AW7" s="37">
        <f>AV7*100*AV44</f>
        <v>793.800477</v>
      </c>
      <c r="AX7" s="35">
        <f t="shared" ref="AX7:AX35" si="14">AV7*$D$40</f>
        <v>4.194</v>
      </c>
    </row>
    <row r="8" spans="1:50" x14ac:dyDescent="0.25">
      <c r="A8" s="23">
        <v>44744</v>
      </c>
      <c r="B8" s="40">
        <v>127</v>
      </c>
      <c r="C8" s="24">
        <v>8177510</v>
      </c>
      <c r="D8" s="24">
        <v>19310420</v>
      </c>
      <c r="E8" s="24">
        <v>3329370</v>
      </c>
      <c r="F8" s="24">
        <v>4122280</v>
      </c>
      <c r="G8" s="24">
        <v>12206060</v>
      </c>
      <c r="H8" s="24">
        <v>7045980</v>
      </c>
      <c r="I8" s="24">
        <v>6152730</v>
      </c>
      <c r="J8" s="24">
        <v>7603890</v>
      </c>
      <c r="K8" s="24">
        <v>11179450</v>
      </c>
      <c r="L8" s="24">
        <v>4845890</v>
      </c>
      <c r="M8" s="24">
        <v>9116610</v>
      </c>
      <c r="N8" s="24">
        <v>14818180</v>
      </c>
      <c r="O8" s="24">
        <v>20738130</v>
      </c>
      <c r="Q8" s="37">
        <f>IF((C8-C7&lt;0), "0",C8-C7)</f>
        <v>1030</v>
      </c>
      <c r="R8" s="37">
        <f t="shared" ref="R8:AC8" si="15">IF((D8-D7&lt;0), "0",D8-D7)</f>
        <v>14030</v>
      </c>
      <c r="S8" s="37">
        <f t="shared" ref="S8:S35" si="16">IF((E8-E7&lt;0), "0",E8-E7)</f>
        <v>3650</v>
      </c>
      <c r="T8" s="37">
        <f t="shared" si="15"/>
        <v>1700</v>
      </c>
      <c r="U8" s="37">
        <f t="shared" si="15"/>
        <v>5000</v>
      </c>
      <c r="V8" s="37">
        <f t="shared" si="15"/>
        <v>4380</v>
      </c>
      <c r="W8" s="37">
        <f t="shared" si="15"/>
        <v>3510</v>
      </c>
      <c r="X8" s="37">
        <f t="shared" si="15"/>
        <v>4410</v>
      </c>
      <c r="Y8" s="37">
        <f t="shared" si="15"/>
        <v>5270</v>
      </c>
      <c r="Z8" s="37">
        <f t="shared" si="15"/>
        <v>2860</v>
      </c>
      <c r="AA8" s="37">
        <f t="shared" si="15"/>
        <v>3290</v>
      </c>
      <c r="AB8" s="37">
        <f t="shared" si="15"/>
        <v>7290</v>
      </c>
      <c r="AC8" s="37">
        <f t="shared" si="15"/>
        <v>12950</v>
      </c>
      <c r="AD8" s="35">
        <f>SUM(Q8:AC8)</f>
        <v>69370</v>
      </c>
      <c r="AF8" s="20">
        <f t="shared" si="1"/>
        <v>5.15</v>
      </c>
      <c r="AG8" s="20">
        <f t="shared" si="2"/>
        <v>70.150000000000006</v>
      </c>
      <c r="AH8" s="20">
        <f t="shared" si="3"/>
        <v>18.25</v>
      </c>
      <c r="AI8" s="20">
        <f t="shared" si="4"/>
        <v>8.5</v>
      </c>
      <c r="AJ8" s="20">
        <f t="shared" si="5"/>
        <v>25</v>
      </c>
      <c r="AK8" s="20">
        <f t="shared" si="6"/>
        <v>21.900000000000002</v>
      </c>
      <c r="AL8" s="20">
        <f t="shared" si="7"/>
        <v>17.55</v>
      </c>
      <c r="AM8" s="20">
        <f t="shared" si="8"/>
        <v>22.05</v>
      </c>
      <c r="AN8" s="20">
        <f t="shared" si="9"/>
        <v>26.35</v>
      </c>
      <c r="AO8" s="20">
        <f t="shared" si="10"/>
        <v>14.3</v>
      </c>
      <c r="AP8" s="20">
        <f t="shared" si="11"/>
        <v>16.45</v>
      </c>
      <c r="AQ8" s="20">
        <f t="shared" si="12"/>
        <v>36.450000000000003</v>
      </c>
      <c r="AR8" s="20">
        <f t="shared" si="13"/>
        <v>64.75</v>
      </c>
      <c r="AS8" s="35">
        <f>SUM(AF8:AR8)</f>
        <v>346.85</v>
      </c>
      <c r="AU8" s="47">
        <v>40158</v>
      </c>
      <c r="AV8" s="37">
        <f>IF((AU8-AU7&lt;0),"0",AU8-AU7)</f>
        <v>2918</v>
      </c>
      <c r="AW8" s="37">
        <f>AV8*100*AV44</f>
        <v>1104.5826379999999</v>
      </c>
      <c r="AX8" s="35">
        <f t="shared" si="14"/>
        <v>5.8360000000000003</v>
      </c>
    </row>
    <row r="9" spans="1:50" x14ac:dyDescent="0.25">
      <c r="A9" s="23">
        <v>44745</v>
      </c>
      <c r="B9" s="40">
        <v>109</v>
      </c>
      <c r="C9" s="24">
        <v>8178540</v>
      </c>
      <c r="D9" s="24">
        <v>19324230</v>
      </c>
      <c r="E9" s="24">
        <v>3332950</v>
      </c>
      <c r="F9" s="24">
        <v>4123970</v>
      </c>
      <c r="G9" s="24">
        <v>12210900</v>
      </c>
      <c r="H9" s="24">
        <v>7050140</v>
      </c>
      <c r="I9" s="24">
        <v>6156100</v>
      </c>
      <c r="J9" s="24">
        <v>7608040</v>
      </c>
      <c r="K9" s="24">
        <v>11184380</v>
      </c>
      <c r="L9" s="24">
        <v>4848590</v>
      </c>
      <c r="M9" s="24">
        <v>9119880</v>
      </c>
      <c r="N9" s="24">
        <v>14825460</v>
      </c>
      <c r="O9" s="24">
        <v>20748790</v>
      </c>
      <c r="Q9" s="37">
        <f t="shared" ref="Q9:Q30" si="17">IF((C9-C8&lt;0), "0",C9-C8)</f>
        <v>1030</v>
      </c>
      <c r="R9" s="37">
        <f t="shared" ref="R9:R37" si="18">IF((D9-D8&lt;0), "0",D9-D8)</f>
        <v>13810</v>
      </c>
      <c r="S9" s="37">
        <f t="shared" si="16"/>
        <v>3580</v>
      </c>
      <c r="T9" s="37">
        <f t="shared" ref="T9:T35" si="19">IF((F9-F8&lt;0), "0",F9-F8)</f>
        <v>1690</v>
      </c>
      <c r="U9" s="37">
        <f t="shared" ref="U9:U35" si="20">IF((G9-G8&lt;0), "0",G9-G8)</f>
        <v>4840</v>
      </c>
      <c r="V9" s="37">
        <f t="shared" ref="V9:V35" si="21">IF((H9-H8&lt;0), "0",H9-H8)</f>
        <v>4160</v>
      </c>
      <c r="W9" s="37">
        <f t="shared" ref="W9:W35" si="22">IF((I9-I8&lt;0), "0",I9-I8)</f>
        <v>3370</v>
      </c>
      <c r="X9" s="37">
        <f t="shared" ref="X9:X37" si="23">IF((J9-J8&lt;0), "0",J9-J8)</f>
        <v>4150</v>
      </c>
      <c r="Y9" s="37">
        <f t="shared" ref="Y9:Y35" si="24">IF((K9-K8&lt;0), "0",K9-K8)</f>
        <v>4930</v>
      </c>
      <c r="Z9" s="37">
        <f t="shared" ref="Z9:Z35" si="25">IF((L9-L8&lt;0), "0",L9-L8)</f>
        <v>2700</v>
      </c>
      <c r="AA9" s="37">
        <f t="shared" ref="AA9:AA35" si="26">IF((M9-M8&lt;0), "0",M9-M8)</f>
        <v>3270</v>
      </c>
      <c r="AB9" s="37">
        <f t="shared" ref="AB9:AB37" si="27">IF((N9-N8&lt;0), "0",N9-N8)</f>
        <v>7280</v>
      </c>
      <c r="AC9" s="37">
        <f t="shared" ref="AC9:AC37" si="28">IF((O9-O8&lt;0), "0",O9-O8)</f>
        <v>10660</v>
      </c>
      <c r="AD9" s="35">
        <f t="shared" ref="AD9:AD37" si="29">SUM(Q9:AC9)</f>
        <v>65470</v>
      </c>
      <c r="AF9" s="20">
        <f t="shared" si="1"/>
        <v>5.15</v>
      </c>
      <c r="AG9" s="20">
        <f t="shared" si="2"/>
        <v>69.05</v>
      </c>
      <c r="AH9" s="20">
        <f t="shared" si="3"/>
        <v>17.900000000000002</v>
      </c>
      <c r="AI9" s="20">
        <f t="shared" si="4"/>
        <v>8.4499999999999993</v>
      </c>
      <c r="AJ9" s="20">
        <f t="shared" si="5"/>
        <v>24.2</v>
      </c>
      <c r="AK9" s="20">
        <f t="shared" si="6"/>
        <v>20.8</v>
      </c>
      <c r="AL9" s="20">
        <f t="shared" si="7"/>
        <v>16.850000000000001</v>
      </c>
      <c r="AM9" s="20">
        <f t="shared" si="8"/>
        <v>20.75</v>
      </c>
      <c r="AN9" s="20">
        <f t="shared" si="9"/>
        <v>24.650000000000002</v>
      </c>
      <c r="AO9" s="20">
        <f t="shared" si="10"/>
        <v>13.5</v>
      </c>
      <c r="AP9" s="20">
        <f t="shared" si="11"/>
        <v>16.350000000000001</v>
      </c>
      <c r="AQ9" s="20">
        <f t="shared" si="12"/>
        <v>36.4</v>
      </c>
      <c r="AR9" s="20">
        <f t="shared" si="13"/>
        <v>53.300000000000004</v>
      </c>
      <c r="AS9" s="35">
        <f t="shared" ref="AS9:AS33" si="30">SUM(AF9:AR9)</f>
        <v>327.35000000000002</v>
      </c>
      <c r="AU9" s="47">
        <v>42876</v>
      </c>
      <c r="AV9" s="37">
        <f>IF((AU9-AU8&lt;0),"0",AU9-AU8)</f>
        <v>2718</v>
      </c>
      <c r="AW9" s="37">
        <f>AV9*100*AV44</f>
        <v>1028.8744380000001</v>
      </c>
      <c r="AX9" s="35">
        <f t="shared" si="14"/>
        <v>5.4359999999999999</v>
      </c>
    </row>
    <row r="10" spans="1:50" x14ac:dyDescent="0.25">
      <c r="A10" s="23">
        <v>44746</v>
      </c>
      <c r="B10" s="40">
        <v>105</v>
      </c>
      <c r="C10" s="24">
        <v>8179610</v>
      </c>
      <c r="D10" s="24">
        <v>19338280</v>
      </c>
      <c r="E10" s="24">
        <v>3336570</v>
      </c>
      <c r="F10" s="24">
        <v>4125720</v>
      </c>
      <c r="G10" s="24">
        <v>12215960</v>
      </c>
      <c r="H10" s="24">
        <v>7054420</v>
      </c>
      <c r="I10" s="24">
        <v>6159670</v>
      </c>
      <c r="J10" s="24">
        <v>7612450</v>
      </c>
      <c r="K10" s="24">
        <v>11189730</v>
      </c>
      <c r="L10" s="24">
        <v>4851430</v>
      </c>
      <c r="M10" s="24">
        <v>9123040</v>
      </c>
      <c r="N10" s="24">
        <v>14833040</v>
      </c>
      <c r="O10" s="24">
        <v>20759820</v>
      </c>
      <c r="Q10" s="37">
        <f t="shared" si="17"/>
        <v>1070</v>
      </c>
      <c r="R10" s="37">
        <f t="shared" si="18"/>
        <v>14050</v>
      </c>
      <c r="S10" s="37">
        <f t="shared" si="16"/>
        <v>3620</v>
      </c>
      <c r="T10" s="37">
        <f t="shared" si="19"/>
        <v>1750</v>
      </c>
      <c r="U10" s="37">
        <f t="shared" si="20"/>
        <v>5060</v>
      </c>
      <c r="V10" s="37">
        <f t="shared" si="21"/>
        <v>4280</v>
      </c>
      <c r="W10" s="37">
        <f t="shared" si="22"/>
        <v>3570</v>
      </c>
      <c r="X10" s="37">
        <f t="shared" si="23"/>
        <v>4410</v>
      </c>
      <c r="Y10" s="37">
        <f t="shared" si="24"/>
        <v>5350</v>
      </c>
      <c r="Z10" s="37">
        <f t="shared" si="25"/>
        <v>2840</v>
      </c>
      <c r="AA10" s="37">
        <f t="shared" si="26"/>
        <v>3160</v>
      </c>
      <c r="AB10" s="37">
        <f t="shared" si="27"/>
        <v>7580</v>
      </c>
      <c r="AC10" s="37">
        <f t="shared" si="28"/>
        <v>11030</v>
      </c>
      <c r="AD10" s="35">
        <f t="shared" si="29"/>
        <v>67770</v>
      </c>
      <c r="AF10" s="20">
        <f t="shared" si="1"/>
        <v>5.3500000000000005</v>
      </c>
      <c r="AG10" s="20">
        <f t="shared" si="2"/>
        <v>70.25</v>
      </c>
      <c r="AH10" s="20">
        <f t="shared" si="3"/>
        <v>18.100000000000001</v>
      </c>
      <c r="AI10" s="20">
        <f t="shared" si="4"/>
        <v>8.75</v>
      </c>
      <c r="AJ10" s="20">
        <f t="shared" si="5"/>
        <v>25.3</v>
      </c>
      <c r="AK10" s="20">
        <f t="shared" si="6"/>
        <v>21.400000000000002</v>
      </c>
      <c r="AL10" s="20">
        <f t="shared" si="7"/>
        <v>17.850000000000001</v>
      </c>
      <c r="AM10" s="20">
        <f t="shared" si="8"/>
        <v>22.05</v>
      </c>
      <c r="AN10" s="20">
        <f t="shared" si="9"/>
        <v>26.75</v>
      </c>
      <c r="AO10" s="20">
        <f t="shared" si="10"/>
        <v>14.200000000000001</v>
      </c>
      <c r="AP10" s="20">
        <f t="shared" si="11"/>
        <v>15.8</v>
      </c>
      <c r="AQ10" s="20">
        <f t="shared" si="12"/>
        <v>37.9</v>
      </c>
      <c r="AR10" s="20">
        <f t="shared" si="13"/>
        <v>55.15</v>
      </c>
      <c r="AS10" s="35">
        <f t="shared" si="30"/>
        <v>338.84999999999997</v>
      </c>
      <c r="AU10" s="47">
        <v>45332</v>
      </c>
      <c r="AV10" s="37">
        <f t="shared" ref="AV10:AV26" si="31">IF((AU10-AU9&lt;0),"0",AU10-AU9)</f>
        <v>2456</v>
      </c>
      <c r="AW10" s="37">
        <f>AV10*100*AV44</f>
        <v>929.69669599999997</v>
      </c>
      <c r="AX10" s="35">
        <f t="shared" si="14"/>
        <v>4.9119999999999999</v>
      </c>
    </row>
    <row r="11" spans="1:50" x14ac:dyDescent="0.25">
      <c r="A11" s="23">
        <v>44747</v>
      </c>
      <c r="B11" s="40">
        <v>97</v>
      </c>
      <c r="C11" s="24">
        <v>8180580</v>
      </c>
      <c r="D11" s="24">
        <v>19351130</v>
      </c>
      <c r="E11" s="24">
        <v>3339890</v>
      </c>
      <c r="F11" s="24">
        <v>4127300</v>
      </c>
      <c r="G11" s="24">
        <v>12220410</v>
      </c>
      <c r="H11" s="24">
        <v>7058270</v>
      </c>
      <c r="I11" s="24">
        <v>6162500</v>
      </c>
      <c r="J11" s="24">
        <v>7616710</v>
      </c>
      <c r="K11" s="24">
        <v>11194800</v>
      </c>
      <c r="L11" s="24">
        <v>4853890</v>
      </c>
      <c r="M11" s="24">
        <v>9125940</v>
      </c>
      <c r="N11" s="24">
        <v>14839830</v>
      </c>
      <c r="O11" s="24">
        <v>20770600</v>
      </c>
      <c r="Q11" s="37">
        <f t="shared" si="17"/>
        <v>970</v>
      </c>
      <c r="R11" s="37">
        <f t="shared" si="18"/>
        <v>12850</v>
      </c>
      <c r="S11" s="37">
        <f t="shared" si="16"/>
        <v>3320</v>
      </c>
      <c r="T11" s="37">
        <f t="shared" si="19"/>
        <v>1580</v>
      </c>
      <c r="U11" s="37">
        <f t="shared" si="20"/>
        <v>4450</v>
      </c>
      <c r="V11" s="37">
        <f t="shared" si="21"/>
        <v>3850</v>
      </c>
      <c r="W11" s="37">
        <f t="shared" si="22"/>
        <v>2830</v>
      </c>
      <c r="X11" s="37">
        <f t="shared" si="23"/>
        <v>4260</v>
      </c>
      <c r="Y11" s="37">
        <f t="shared" si="24"/>
        <v>5070</v>
      </c>
      <c r="Z11" s="37">
        <f t="shared" si="25"/>
        <v>2460</v>
      </c>
      <c r="AA11" s="37">
        <f t="shared" si="26"/>
        <v>2900</v>
      </c>
      <c r="AB11" s="37">
        <f t="shared" si="27"/>
        <v>6790</v>
      </c>
      <c r="AC11" s="37">
        <f t="shared" si="28"/>
        <v>10780</v>
      </c>
      <c r="AD11" s="35">
        <f t="shared" si="29"/>
        <v>62110</v>
      </c>
      <c r="AF11" s="20">
        <f t="shared" si="1"/>
        <v>4.8500000000000005</v>
      </c>
      <c r="AG11" s="20">
        <f t="shared" si="2"/>
        <v>64.25</v>
      </c>
      <c r="AH11" s="20">
        <f t="shared" si="3"/>
        <v>16.600000000000001</v>
      </c>
      <c r="AI11" s="20">
        <f t="shared" si="4"/>
        <v>7.9</v>
      </c>
      <c r="AJ11" s="20">
        <f t="shared" si="5"/>
        <v>22.25</v>
      </c>
      <c r="AK11" s="20">
        <f t="shared" si="6"/>
        <v>19.25</v>
      </c>
      <c r="AL11" s="20">
        <f t="shared" si="7"/>
        <v>14.15</v>
      </c>
      <c r="AM11" s="20">
        <f t="shared" si="8"/>
        <v>21.3</v>
      </c>
      <c r="AN11" s="20">
        <f t="shared" si="9"/>
        <v>25.35</v>
      </c>
      <c r="AO11" s="20">
        <f t="shared" si="10"/>
        <v>12.3</v>
      </c>
      <c r="AP11" s="20">
        <f t="shared" si="11"/>
        <v>14.5</v>
      </c>
      <c r="AQ11" s="20">
        <f t="shared" si="12"/>
        <v>33.950000000000003</v>
      </c>
      <c r="AR11" s="20">
        <f t="shared" si="13"/>
        <v>53.9</v>
      </c>
      <c r="AS11" s="35">
        <f t="shared" si="30"/>
        <v>310.55</v>
      </c>
      <c r="AU11" s="47">
        <v>47436</v>
      </c>
      <c r="AV11" s="37">
        <f t="shared" si="31"/>
        <v>2104</v>
      </c>
      <c r="AW11" s="37">
        <f>AV11*100*AV44</f>
        <v>796.45026399999995</v>
      </c>
      <c r="AX11" s="35">
        <f t="shared" si="14"/>
        <v>4.2080000000000002</v>
      </c>
    </row>
    <row r="12" spans="1:50" x14ac:dyDescent="0.25">
      <c r="A12" s="23">
        <v>44748</v>
      </c>
      <c r="B12" s="40">
        <v>101</v>
      </c>
      <c r="C12" s="49">
        <v>8181590</v>
      </c>
      <c r="D12" s="24">
        <v>19364530</v>
      </c>
      <c r="E12" s="24">
        <v>3343340</v>
      </c>
      <c r="F12" s="24">
        <v>4128960</v>
      </c>
      <c r="G12" s="24">
        <v>12225030</v>
      </c>
      <c r="H12" s="24">
        <v>7062320</v>
      </c>
      <c r="I12" s="24">
        <v>6165680</v>
      </c>
      <c r="J12" s="24">
        <v>7620970</v>
      </c>
      <c r="K12" s="24">
        <v>11200140</v>
      </c>
      <c r="L12" s="24">
        <v>4856490</v>
      </c>
      <c r="M12" s="24">
        <v>9128890</v>
      </c>
      <c r="N12" s="24">
        <v>14847070</v>
      </c>
      <c r="O12" s="24">
        <v>20781940</v>
      </c>
      <c r="Q12" s="37">
        <f t="shared" si="17"/>
        <v>1010</v>
      </c>
      <c r="R12" s="37">
        <f t="shared" si="18"/>
        <v>13400</v>
      </c>
      <c r="S12" s="37">
        <f t="shared" si="16"/>
        <v>3450</v>
      </c>
      <c r="T12" s="37">
        <f t="shared" ref="T12:W14" si="32">IF((F12-F11&lt;0), "0",F12-F11)</f>
        <v>1660</v>
      </c>
      <c r="U12" s="37">
        <f t="shared" si="32"/>
        <v>4620</v>
      </c>
      <c r="V12" s="37">
        <f t="shared" si="32"/>
        <v>4050</v>
      </c>
      <c r="W12" s="37">
        <f t="shared" si="32"/>
        <v>3180</v>
      </c>
      <c r="X12" s="37">
        <f t="shared" si="23"/>
        <v>4260</v>
      </c>
      <c r="Y12" s="37">
        <f t="shared" si="24"/>
        <v>5340</v>
      </c>
      <c r="Z12" s="37">
        <f>IF((L12-L11&lt;0), "0",L12-L11)</f>
        <v>2600</v>
      </c>
      <c r="AA12" s="37">
        <f t="shared" si="26"/>
        <v>2950</v>
      </c>
      <c r="AB12" s="37">
        <f t="shared" si="27"/>
        <v>7240</v>
      </c>
      <c r="AC12" s="37">
        <f t="shared" si="28"/>
        <v>11340</v>
      </c>
      <c r="AD12" s="35">
        <f t="shared" si="29"/>
        <v>65100</v>
      </c>
      <c r="AF12" s="20">
        <f t="shared" si="1"/>
        <v>5.05</v>
      </c>
      <c r="AG12" s="20">
        <f t="shared" si="2"/>
        <v>67</v>
      </c>
      <c r="AH12" s="20">
        <f t="shared" si="3"/>
        <v>17.25</v>
      </c>
      <c r="AI12" s="20">
        <f t="shared" si="4"/>
        <v>8.3000000000000007</v>
      </c>
      <c r="AJ12" s="20">
        <f t="shared" si="5"/>
        <v>23.1</v>
      </c>
      <c r="AK12" s="20">
        <f t="shared" si="6"/>
        <v>20.25</v>
      </c>
      <c r="AL12" s="20">
        <f t="shared" si="7"/>
        <v>15.9</v>
      </c>
      <c r="AM12" s="20">
        <f t="shared" si="8"/>
        <v>21.3</v>
      </c>
      <c r="AN12" s="20">
        <f t="shared" si="9"/>
        <v>26.7</v>
      </c>
      <c r="AO12" s="20">
        <f t="shared" si="10"/>
        <v>13</v>
      </c>
      <c r="AP12" s="20">
        <f t="shared" si="11"/>
        <v>14.75</v>
      </c>
      <c r="AQ12" s="20">
        <f t="shared" si="12"/>
        <v>36.200000000000003</v>
      </c>
      <c r="AR12" s="20">
        <f t="shared" si="13"/>
        <v>56.7</v>
      </c>
      <c r="AS12" s="35">
        <f t="shared" si="30"/>
        <v>325.5</v>
      </c>
      <c r="AU12" s="47">
        <v>49693</v>
      </c>
      <c r="AV12" s="37">
        <f t="shared" si="31"/>
        <v>2257</v>
      </c>
      <c r="AW12" s="37">
        <f>AV12*100*AV44</f>
        <v>854.36703699999998</v>
      </c>
      <c r="AX12" s="35">
        <f t="shared" si="14"/>
        <v>4.5140000000000002</v>
      </c>
    </row>
    <row r="13" spans="1:50" x14ac:dyDescent="0.25">
      <c r="A13" s="23">
        <v>44749</v>
      </c>
      <c r="B13" s="40">
        <v>129</v>
      </c>
      <c r="C13" s="24">
        <v>8182590</v>
      </c>
      <c r="D13" s="24">
        <v>19377790</v>
      </c>
      <c r="E13" s="24">
        <v>3346760</v>
      </c>
      <c r="F13" s="24">
        <v>4130600</v>
      </c>
      <c r="G13" s="24">
        <v>12229560</v>
      </c>
      <c r="H13" s="24">
        <v>7066310</v>
      </c>
      <c r="I13" s="24">
        <v>6168920</v>
      </c>
      <c r="J13" s="24">
        <v>7625370</v>
      </c>
      <c r="K13" s="24">
        <v>11205500</v>
      </c>
      <c r="L13" s="24">
        <v>4859120</v>
      </c>
      <c r="M13" s="24">
        <v>9131970</v>
      </c>
      <c r="N13" s="24">
        <v>14854210</v>
      </c>
      <c r="O13" s="24">
        <v>20792250</v>
      </c>
      <c r="Q13" s="37">
        <f t="shared" si="17"/>
        <v>1000</v>
      </c>
      <c r="R13" s="37">
        <f t="shared" si="18"/>
        <v>13260</v>
      </c>
      <c r="S13" s="37">
        <f t="shared" si="16"/>
        <v>3420</v>
      </c>
      <c r="T13" s="37">
        <f t="shared" si="32"/>
        <v>1640</v>
      </c>
      <c r="U13" s="37">
        <f t="shared" si="32"/>
        <v>4530</v>
      </c>
      <c r="V13" s="37">
        <f t="shared" si="32"/>
        <v>3990</v>
      </c>
      <c r="W13" s="37">
        <f t="shared" si="32"/>
        <v>3240</v>
      </c>
      <c r="X13" s="37">
        <f t="shared" si="23"/>
        <v>4400</v>
      </c>
      <c r="Y13" s="37">
        <f t="shared" si="24"/>
        <v>5360</v>
      </c>
      <c r="Z13" s="37">
        <f>IF((L13-L12&lt;0), "0",L13-L12)</f>
        <v>2630</v>
      </c>
      <c r="AA13" s="37">
        <f t="shared" si="26"/>
        <v>3080</v>
      </c>
      <c r="AB13" s="37">
        <f t="shared" si="27"/>
        <v>7140</v>
      </c>
      <c r="AC13" s="37">
        <f t="shared" si="28"/>
        <v>10310</v>
      </c>
      <c r="AD13" s="35">
        <f t="shared" si="29"/>
        <v>64000</v>
      </c>
      <c r="AF13" s="20">
        <f t="shared" si="1"/>
        <v>5</v>
      </c>
      <c r="AG13" s="20">
        <f t="shared" si="2"/>
        <v>66.3</v>
      </c>
      <c r="AH13" s="20">
        <f t="shared" si="3"/>
        <v>17.100000000000001</v>
      </c>
      <c r="AI13" s="20">
        <f t="shared" si="4"/>
        <v>8.1999999999999993</v>
      </c>
      <c r="AJ13" s="20">
        <f t="shared" si="5"/>
        <v>22.650000000000002</v>
      </c>
      <c r="AK13" s="20">
        <f t="shared" si="6"/>
        <v>19.95</v>
      </c>
      <c r="AL13" s="20">
        <f t="shared" si="7"/>
        <v>16.2</v>
      </c>
      <c r="AM13" s="20">
        <f t="shared" si="8"/>
        <v>22</v>
      </c>
      <c r="AN13" s="20">
        <f t="shared" si="9"/>
        <v>26.8</v>
      </c>
      <c r="AO13" s="20">
        <f t="shared" si="10"/>
        <v>13.15</v>
      </c>
      <c r="AP13" s="20">
        <f t="shared" si="11"/>
        <v>15.4</v>
      </c>
      <c r="AQ13" s="20">
        <f t="shared" si="12"/>
        <v>35.700000000000003</v>
      </c>
      <c r="AR13" s="20">
        <f t="shared" si="13"/>
        <v>51.550000000000004</v>
      </c>
      <c r="AS13" s="35">
        <f t="shared" si="30"/>
        <v>320.00000000000006</v>
      </c>
      <c r="AU13" s="47">
        <v>51810</v>
      </c>
      <c r="AV13" s="37">
        <f t="shared" si="31"/>
        <v>2117</v>
      </c>
      <c r="AW13" s="37">
        <f>AV13*100*AV44</f>
        <v>801.37129700000003</v>
      </c>
      <c r="AX13" s="35">
        <f t="shared" si="14"/>
        <v>4.234</v>
      </c>
    </row>
    <row r="14" spans="1:50" x14ac:dyDescent="0.25">
      <c r="A14" s="23">
        <v>44750</v>
      </c>
      <c r="B14" s="40">
        <v>69</v>
      </c>
      <c r="C14" s="24">
        <v>8183630</v>
      </c>
      <c r="D14" s="24">
        <v>19391410</v>
      </c>
      <c r="E14" s="24">
        <v>3350250</v>
      </c>
      <c r="F14" s="24">
        <v>4132300</v>
      </c>
      <c r="G14" s="24">
        <v>12234150</v>
      </c>
      <c r="H14" s="24">
        <v>7070420</v>
      </c>
      <c r="I14" s="24">
        <v>6172160</v>
      </c>
      <c r="J14" s="24">
        <v>7629820</v>
      </c>
      <c r="K14" s="24">
        <v>11211020</v>
      </c>
      <c r="L14" s="24">
        <v>4861790</v>
      </c>
      <c r="M14" s="24">
        <v>9135110</v>
      </c>
      <c r="N14" s="24">
        <v>14861520</v>
      </c>
      <c r="O14" s="24">
        <v>20802110</v>
      </c>
      <c r="P14" s="53"/>
      <c r="Q14" s="37">
        <f t="shared" si="17"/>
        <v>1040</v>
      </c>
      <c r="R14" s="37">
        <f t="shared" si="18"/>
        <v>13620</v>
      </c>
      <c r="S14" s="37">
        <f t="shared" si="16"/>
        <v>3490</v>
      </c>
      <c r="T14" s="37">
        <f t="shared" si="32"/>
        <v>1700</v>
      </c>
      <c r="U14" s="37">
        <f t="shared" si="32"/>
        <v>4590</v>
      </c>
      <c r="V14" s="37">
        <f t="shared" si="32"/>
        <v>4110</v>
      </c>
      <c r="W14" s="37">
        <f t="shared" si="32"/>
        <v>3240</v>
      </c>
      <c r="X14" s="37">
        <f t="shared" si="23"/>
        <v>4450</v>
      </c>
      <c r="Y14" s="37">
        <f t="shared" si="24"/>
        <v>5520</v>
      </c>
      <c r="Z14" s="37">
        <f>IF((L14-L13&lt;0), "0",L14-L13)</f>
        <v>2670</v>
      </c>
      <c r="AA14" s="37">
        <f t="shared" si="26"/>
        <v>3140</v>
      </c>
      <c r="AB14" s="37">
        <f t="shared" si="27"/>
        <v>7310</v>
      </c>
      <c r="AC14" s="37">
        <f t="shared" si="28"/>
        <v>9860</v>
      </c>
      <c r="AD14" s="35">
        <f t="shared" si="29"/>
        <v>64740</v>
      </c>
      <c r="AF14" s="20">
        <f t="shared" si="1"/>
        <v>5.2</v>
      </c>
      <c r="AG14" s="20">
        <f t="shared" si="2"/>
        <v>68.099999999999994</v>
      </c>
      <c r="AH14" s="20">
        <f t="shared" si="3"/>
        <v>17.45</v>
      </c>
      <c r="AI14" s="20">
        <f t="shared" si="4"/>
        <v>8.5</v>
      </c>
      <c r="AJ14" s="20">
        <f t="shared" si="5"/>
        <v>22.95</v>
      </c>
      <c r="AK14" s="20">
        <f t="shared" si="6"/>
        <v>20.55</v>
      </c>
      <c r="AL14" s="20">
        <f t="shared" si="7"/>
        <v>16.2</v>
      </c>
      <c r="AM14" s="20">
        <f t="shared" si="8"/>
        <v>22.25</v>
      </c>
      <c r="AN14" s="20">
        <f t="shared" si="9"/>
        <v>27.6</v>
      </c>
      <c r="AO14" s="20">
        <f t="shared" si="10"/>
        <v>13.35</v>
      </c>
      <c r="AP14" s="20">
        <f t="shared" si="11"/>
        <v>15.700000000000001</v>
      </c>
      <c r="AQ14" s="20">
        <f t="shared" si="12"/>
        <v>36.550000000000004</v>
      </c>
      <c r="AR14" s="20">
        <f t="shared" si="13"/>
        <v>49.300000000000004</v>
      </c>
      <c r="AS14" s="35">
        <f t="shared" si="30"/>
        <v>323.7</v>
      </c>
      <c r="AU14" s="47">
        <v>53615</v>
      </c>
      <c r="AV14" s="37">
        <f t="shared" si="31"/>
        <v>1805</v>
      </c>
      <c r="AW14" s="37">
        <f>AV14*100*AV44</f>
        <v>683.26650499999994</v>
      </c>
      <c r="AX14" s="35">
        <f t="shared" si="14"/>
        <v>3.61</v>
      </c>
    </row>
    <row r="15" spans="1:50" x14ac:dyDescent="0.25">
      <c r="A15" s="23">
        <v>44751</v>
      </c>
      <c r="B15" s="40">
        <v>113</v>
      </c>
      <c r="C15" s="24">
        <v>8184640</v>
      </c>
      <c r="D15" s="24">
        <v>19404700</v>
      </c>
      <c r="E15" s="24">
        <v>3353680</v>
      </c>
      <c r="F15" s="24">
        <v>4133960</v>
      </c>
      <c r="G15" s="24">
        <v>12238490</v>
      </c>
      <c r="H15" s="24">
        <v>7074410</v>
      </c>
      <c r="I15" s="24">
        <v>6175040</v>
      </c>
      <c r="J15" s="24">
        <v>7633970</v>
      </c>
      <c r="K15" s="24">
        <v>11216100</v>
      </c>
      <c r="L15" s="24">
        <v>4864300</v>
      </c>
      <c r="M15" s="24">
        <v>9138260</v>
      </c>
      <c r="N15" s="24">
        <v>14868610</v>
      </c>
      <c r="O15" s="24">
        <v>20812630</v>
      </c>
      <c r="Q15" s="37">
        <f t="shared" si="17"/>
        <v>1010</v>
      </c>
      <c r="R15" s="37">
        <f t="shared" si="18"/>
        <v>13290</v>
      </c>
      <c r="S15" s="37">
        <f t="shared" si="16"/>
        <v>3430</v>
      </c>
      <c r="T15" s="37">
        <f t="shared" si="19"/>
        <v>1660</v>
      </c>
      <c r="U15" s="37">
        <f t="shared" si="20"/>
        <v>4340</v>
      </c>
      <c r="V15" s="37">
        <f t="shared" si="21"/>
        <v>3990</v>
      </c>
      <c r="W15" s="37">
        <f t="shared" si="22"/>
        <v>2880</v>
      </c>
      <c r="X15" s="37">
        <f t="shared" si="23"/>
        <v>4150</v>
      </c>
      <c r="Y15" s="37">
        <f t="shared" si="24"/>
        <v>5080</v>
      </c>
      <c r="Z15" s="37">
        <f t="shared" si="25"/>
        <v>2510</v>
      </c>
      <c r="AA15" s="37">
        <f t="shared" si="26"/>
        <v>3150</v>
      </c>
      <c r="AB15" s="37">
        <f t="shared" si="27"/>
        <v>7090</v>
      </c>
      <c r="AC15" s="37">
        <f t="shared" si="28"/>
        <v>10520</v>
      </c>
      <c r="AD15" s="35">
        <f t="shared" si="29"/>
        <v>63100</v>
      </c>
      <c r="AF15" s="20">
        <f t="shared" si="1"/>
        <v>5.05</v>
      </c>
      <c r="AG15" s="20">
        <f t="shared" si="2"/>
        <v>66.45</v>
      </c>
      <c r="AH15" s="20">
        <f t="shared" si="3"/>
        <v>17.150000000000002</v>
      </c>
      <c r="AI15" s="20">
        <f t="shared" si="4"/>
        <v>8.3000000000000007</v>
      </c>
      <c r="AJ15" s="20">
        <f t="shared" si="5"/>
        <v>21.7</v>
      </c>
      <c r="AK15" s="20">
        <f t="shared" si="6"/>
        <v>19.95</v>
      </c>
      <c r="AL15" s="20">
        <f t="shared" si="7"/>
        <v>14.4</v>
      </c>
      <c r="AM15" s="20">
        <f t="shared" si="8"/>
        <v>20.75</v>
      </c>
      <c r="AN15" s="20">
        <f t="shared" si="9"/>
        <v>25.400000000000002</v>
      </c>
      <c r="AO15" s="20">
        <f t="shared" si="10"/>
        <v>12.55</v>
      </c>
      <c r="AP15" s="20">
        <f t="shared" si="11"/>
        <v>15.75</v>
      </c>
      <c r="AQ15" s="20">
        <f t="shared" si="12"/>
        <v>35.450000000000003</v>
      </c>
      <c r="AR15" s="20">
        <f t="shared" si="13"/>
        <v>52.6</v>
      </c>
      <c r="AS15" s="35">
        <f t="shared" si="30"/>
        <v>315.50000000000006</v>
      </c>
      <c r="AU15" s="47">
        <v>55434</v>
      </c>
      <c r="AV15" s="37">
        <f t="shared" si="31"/>
        <v>1819</v>
      </c>
      <c r="AW15" s="37">
        <f>AV15*100*AV44</f>
        <v>688.56607899999995</v>
      </c>
      <c r="AX15" s="35">
        <f t="shared" si="14"/>
        <v>3.6379999999999999</v>
      </c>
    </row>
    <row r="16" spans="1:50" x14ac:dyDescent="0.25">
      <c r="A16" s="23">
        <v>44752</v>
      </c>
      <c r="B16" s="40">
        <v>164</v>
      </c>
      <c r="C16" s="24">
        <v>8185670</v>
      </c>
      <c r="D16" s="24">
        <v>19418480</v>
      </c>
      <c r="E16" s="24">
        <v>3357250</v>
      </c>
      <c r="F16" s="24">
        <v>4135640</v>
      </c>
      <c r="G16" s="24">
        <v>12243220</v>
      </c>
      <c r="H16" s="24">
        <v>7078630</v>
      </c>
      <c r="I16" s="24">
        <v>6178400</v>
      </c>
      <c r="J16" s="24">
        <v>7638140</v>
      </c>
      <c r="K16" s="24">
        <v>11221470</v>
      </c>
      <c r="L16" s="24">
        <v>4867070</v>
      </c>
      <c r="M16" s="24">
        <v>9141600</v>
      </c>
      <c r="N16" s="24">
        <v>14875810</v>
      </c>
      <c r="O16" s="24">
        <v>20824250</v>
      </c>
      <c r="Q16" s="37">
        <f t="shared" si="17"/>
        <v>1030</v>
      </c>
      <c r="R16" s="37">
        <f t="shared" si="18"/>
        <v>13780</v>
      </c>
      <c r="S16" s="37">
        <f t="shared" si="16"/>
        <v>3570</v>
      </c>
      <c r="T16" s="37">
        <f t="shared" si="19"/>
        <v>1680</v>
      </c>
      <c r="U16" s="37">
        <f>IF((G16-G15&lt;0), "0",G16-G15)</f>
        <v>4730</v>
      </c>
      <c r="V16" s="37">
        <f>IF((H16-H15&lt;0), "0",H16-H15)</f>
        <v>4220</v>
      </c>
      <c r="W16" s="37">
        <f t="shared" si="22"/>
        <v>3360</v>
      </c>
      <c r="X16" s="37">
        <f t="shared" si="23"/>
        <v>4170</v>
      </c>
      <c r="Y16" s="37">
        <f t="shared" si="24"/>
        <v>5370</v>
      </c>
      <c r="Z16" s="37">
        <f t="shared" si="25"/>
        <v>2770</v>
      </c>
      <c r="AA16" s="37">
        <f t="shared" si="26"/>
        <v>3340</v>
      </c>
      <c r="AB16" s="37">
        <f t="shared" si="27"/>
        <v>7200</v>
      </c>
      <c r="AC16" s="37">
        <f t="shared" si="28"/>
        <v>11620</v>
      </c>
      <c r="AD16" s="35">
        <f t="shared" si="29"/>
        <v>66840</v>
      </c>
      <c r="AF16" s="20">
        <f t="shared" si="1"/>
        <v>5.15</v>
      </c>
      <c r="AG16" s="20">
        <f t="shared" si="2"/>
        <v>68.900000000000006</v>
      </c>
      <c r="AH16" s="20">
        <f t="shared" si="3"/>
        <v>17.850000000000001</v>
      </c>
      <c r="AI16" s="20">
        <f t="shared" si="4"/>
        <v>8.4</v>
      </c>
      <c r="AJ16" s="20">
        <f t="shared" si="5"/>
        <v>23.650000000000002</v>
      </c>
      <c r="AK16" s="20">
        <f t="shared" si="6"/>
        <v>21.1</v>
      </c>
      <c r="AL16" s="20">
        <f t="shared" si="7"/>
        <v>16.8</v>
      </c>
      <c r="AM16" s="20">
        <f t="shared" si="8"/>
        <v>20.85</v>
      </c>
      <c r="AN16" s="20">
        <f t="shared" si="9"/>
        <v>26.85</v>
      </c>
      <c r="AO16" s="20">
        <f t="shared" si="10"/>
        <v>13.85</v>
      </c>
      <c r="AP16" s="20">
        <f t="shared" si="11"/>
        <v>16.7</v>
      </c>
      <c r="AQ16" s="20">
        <f t="shared" si="12"/>
        <v>36</v>
      </c>
      <c r="AR16" s="20">
        <f t="shared" si="13"/>
        <v>58.1</v>
      </c>
      <c r="AS16" s="35">
        <f t="shared" si="30"/>
        <v>334.20000000000005</v>
      </c>
      <c r="AU16" s="47">
        <v>57538</v>
      </c>
      <c r="AV16" s="37">
        <f t="shared" si="31"/>
        <v>2104</v>
      </c>
      <c r="AW16" s="37">
        <f>AV16*100*AV44</f>
        <v>796.45026399999995</v>
      </c>
      <c r="AX16" s="35">
        <f t="shared" si="14"/>
        <v>4.2080000000000002</v>
      </c>
    </row>
    <row r="17" spans="1:50" x14ac:dyDescent="0.25">
      <c r="A17" s="23">
        <v>44753</v>
      </c>
      <c r="B17" s="40">
        <v>197</v>
      </c>
      <c r="C17" s="24">
        <v>8186690</v>
      </c>
      <c r="D17" s="24">
        <v>19431790</v>
      </c>
      <c r="E17" s="24">
        <v>3360680</v>
      </c>
      <c r="F17" s="24">
        <v>4137250</v>
      </c>
      <c r="G17" s="24">
        <v>12248210</v>
      </c>
      <c r="H17" s="24">
        <v>7082870</v>
      </c>
      <c r="I17" s="24">
        <v>6181640</v>
      </c>
      <c r="J17" s="24">
        <v>7642620</v>
      </c>
      <c r="K17" s="24">
        <v>11225980</v>
      </c>
      <c r="L17" s="24">
        <v>4870030</v>
      </c>
      <c r="M17" s="24">
        <v>9144940</v>
      </c>
      <c r="N17" s="24">
        <v>14882630</v>
      </c>
      <c r="O17" s="24">
        <v>20833970</v>
      </c>
      <c r="Q17" s="37">
        <f t="shared" si="17"/>
        <v>1020</v>
      </c>
      <c r="R17" s="37">
        <f t="shared" si="18"/>
        <v>13310</v>
      </c>
      <c r="S17" s="37">
        <f t="shared" si="16"/>
        <v>3430</v>
      </c>
      <c r="T17" s="37">
        <f t="shared" si="19"/>
        <v>1610</v>
      </c>
      <c r="U17" s="37">
        <f>IF((G17-G16&lt;0), "0",G17-G16)</f>
        <v>4990</v>
      </c>
      <c r="V17" s="37">
        <f>IF((H17-H16&lt;0), "0",H17-H16)</f>
        <v>4240</v>
      </c>
      <c r="W17" s="37">
        <f t="shared" si="22"/>
        <v>3240</v>
      </c>
      <c r="X17" s="37">
        <f t="shared" si="23"/>
        <v>4480</v>
      </c>
      <c r="Y17" s="37">
        <f t="shared" si="24"/>
        <v>4510</v>
      </c>
      <c r="Z17" s="37">
        <f t="shared" si="25"/>
        <v>2960</v>
      </c>
      <c r="AA17" s="37">
        <f t="shared" si="26"/>
        <v>3340</v>
      </c>
      <c r="AB17" s="37">
        <f t="shared" si="27"/>
        <v>6820</v>
      </c>
      <c r="AC17" s="37">
        <f t="shared" si="28"/>
        <v>9720</v>
      </c>
      <c r="AD17" s="35">
        <f t="shared" si="29"/>
        <v>63670</v>
      </c>
      <c r="AF17" s="20">
        <f t="shared" si="1"/>
        <v>5.1000000000000005</v>
      </c>
      <c r="AG17" s="20">
        <f t="shared" si="2"/>
        <v>66.55</v>
      </c>
      <c r="AH17" s="20">
        <f t="shared" si="3"/>
        <v>17.150000000000002</v>
      </c>
      <c r="AI17" s="20">
        <f t="shared" si="4"/>
        <v>8.0500000000000007</v>
      </c>
      <c r="AJ17" s="20">
        <f t="shared" si="5"/>
        <v>24.95</v>
      </c>
      <c r="AK17" s="20">
        <f t="shared" si="6"/>
        <v>21.2</v>
      </c>
      <c r="AL17" s="20">
        <f t="shared" si="7"/>
        <v>16.2</v>
      </c>
      <c r="AM17" s="20">
        <f t="shared" si="8"/>
        <v>22.400000000000002</v>
      </c>
      <c r="AN17" s="20">
        <f t="shared" si="9"/>
        <v>22.55</v>
      </c>
      <c r="AO17" s="20">
        <f t="shared" si="10"/>
        <v>14.8</v>
      </c>
      <c r="AP17" s="20">
        <f t="shared" si="11"/>
        <v>16.7</v>
      </c>
      <c r="AQ17" s="20">
        <f t="shared" si="12"/>
        <v>34.1</v>
      </c>
      <c r="AR17" s="20">
        <f t="shared" si="13"/>
        <v>48.6</v>
      </c>
      <c r="AS17" s="35">
        <f t="shared" si="30"/>
        <v>318.35000000000002</v>
      </c>
      <c r="AU17" s="47">
        <v>60091</v>
      </c>
      <c r="AV17" s="37">
        <f t="shared" si="31"/>
        <v>2553</v>
      </c>
      <c r="AW17" s="37">
        <f>AV17*100*AV44</f>
        <v>966.41517299999998</v>
      </c>
      <c r="AX17" s="35">
        <f t="shared" si="14"/>
        <v>5.1059999999999999</v>
      </c>
    </row>
    <row r="18" spans="1:50" x14ac:dyDescent="0.25">
      <c r="A18" s="23">
        <v>44754</v>
      </c>
      <c r="B18" s="40">
        <v>195</v>
      </c>
      <c r="C18" s="24">
        <v>8187720</v>
      </c>
      <c r="D18" s="24">
        <v>19445820</v>
      </c>
      <c r="E18" s="24">
        <v>3364330</v>
      </c>
      <c r="F18" s="24">
        <v>4138960</v>
      </c>
      <c r="G18" s="24">
        <v>12253400</v>
      </c>
      <c r="H18" s="24">
        <v>7087310</v>
      </c>
      <c r="I18" s="24">
        <v>6184730</v>
      </c>
      <c r="J18" s="24">
        <v>7647150</v>
      </c>
      <c r="K18" s="24">
        <v>11231710</v>
      </c>
      <c r="L18" s="24">
        <v>4873000</v>
      </c>
      <c r="M18" s="24">
        <v>9148450</v>
      </c>
      <c r="N18" s="24">
        <v>14889960</v>
      </c>
      <c r="O18" s="24">
        <v>20843940</v>
      </c>
      <c r="Q18" s="37">
        <f t="shared" si="17"/>
        <v>1030</v>
      </c>
      <c r="R18" s="37">
        <f t="shared" si="18"/>
        <v>14030</v>
      </c>
      <c r="S18" s="37">
        <f t="shared" si="16"/>
        <v>3650</v>
      </c>
      <c r="T18" s="37">
        <f t="shared" si="19"/>
        <v>1710</v>
      </c>
      <c r="U18" s="37">
        <f t="shared" si="20"/>
        <v>5190</v>
      </c>
      <c r="V18" s="37">
        <f t="shared" si="21"/>
        <v>4440</v>
      </c>
      <c r="W18" s="37">
        <f t="shared" si="22"/>
        <v>3090</v>
      </c>
      <c r="X18" s="37">
        <f t="shared" si="23"/>
        <v>4530</v>
      </c>
      <c r="Y18" s="37">
        <f t="shared" si="24"/>
        <v>5730</v>
      </c>
      <c r="Z18" s="37">
        <f t="shared" si="25"/>
        <v>2970</v>
      </c>
      <c r="AA18" s="37">
        <f t="shared" si="26"/>
        <v>3510</v>
      </c>
      <c r="AB18" s="37">
        <f t="shared" si="27"/>
        <v>7330</v>
      </c>
      <c r="AC18" s="37">
        <f t="shared" si="28"/>
        <v>9970</v>
      </c>
      <c r="AD18" s="35">
        <f t="shared" si="29"/>
        <v>67180</v>
      </c>
      <c r="AF18" s="20">
        <f t="shared" si="1"/>
        <v>5.15</v>
      </c>
      <c r="AG18" s="20">
        <f t="shared" si="2"/>
        <v>70.150000000000006</v>
      </c>
      <c r="AH18" s="20">
        <f t="shared" si="3"/>
        <v>18.25</v>
      </c>
      <c r="AI18" s="20">
        <f t="shared" si="4"/>
        <v>8.5500000000000007</v>
      </c>
      <c r="AJ18" s="20">
        <f t="shared" si="5"/>
        <v>25.95</v>
      </c>
      <c r="AK18" s="20">
        <f t="shared" si="6"/>
        <v>22.2</v>
      </c>
      <c r="AL18" s="20">
        <f t="shared" si="7"/>
        <v>15.450000000000001</v>
      </c>
      <c r="AM18" s="20">
        <f t="shared" si="8"/>
        <v>22.650000000000002</v>
      </c>
      <c r="AN18" s="20">
        <f t="shared" si="9"/>
        <v>28.650000000000002</v>
      </c>
      <c r="AO18" s="20">
        <f t="shared" si="10"/>
        <v>14.85</v>
      </c>
      <c r="AP18" s="20">
        <f t="shared" si="11"/>
        <v>17.55</v>
      </c>
      <c r="AQ18" s="20">
        <f t="shared" si="12"/>
        <v>36.65</v>
      </c>
      <c r="AR18" s="20">
        <f t="shared" si="13"/>
        <v>49.85</v>
      </c>
      <c r="AS18" s="35">
        <f t="shared" si="30"/>
        <v>335.90000000000003</v>
      </c>
      <c r="AU18" s="47">
        <v>63453</v>
      </c>
      <c r="AV18" s="37">
        <f t="shared" si="31"/>
        <v>3362</v>
      </c>
      <c r="AW18" s="37">
        <f>AV18*100*AV44</f>
        <v>1272.6548419999999</v>
      </c>
      <c r="AX18" s="35">
        <f t="shared" si="14"/>
        <v>6.7240000000000002</v>
      </c>
    </row>
    <row r="19" spans="1:50" x14ac:dyDescent="0.25">
      <c r="A19" s="23">
        <v>44755</v>
      </c>
      <c r="B19" s="40">
        <v>148</v>
      </c>
      <c r="C19" s="24">
        <v>8188740</v>
      </c>
      <c r="D19" s="24">
        <v>19459660</v>
      </c>
      <c r="E19" s="24">
        <v>3367940</v>
      </c>
      <c r="F19" s="24">
        <v>4140650</v>
      </c>
      <c r="G19" s="24">
        <v>12258450</v>
      </c>
      <c r="H19" s="24">
        <v>7091460</v>
      </c>
      <c r="I19" s="24">
        <v>6187880</v>
      </c>
      <c r="J19" s="24">
        <v>7651790</v>
      </c>
      <c r="K19" s="24">
        <v>11237350</v>
      </c>
      <c r="L19" s="24">
        <v>4875930</v>
      </c>
      <c r="M19" s="24">
        <v>9151860</v>
      </c>
      <c r="N19" s="24">
        <v>14897150</v>
      </c>
      <c r="O19" s="24">
        <v>20854410</v>
      </c>
      <c r="Q19" s="37">
        <f t="shared" si="17"/>
        <v>1020</v>
      </c>
      <c r="R19" s="37">
        <f t="shared" si="18"/>
        <v>13840</v>
      </c>
      <c r="S19" s="37">
        <f t="shared" si="16"/>
        <v>3610</v>
      </c>
      <c r="T19" s="37">
        <f t="shared" si="19"/>
        <v>1690</v>
      </c>
      <c r="U19" s="37">
        <f t="shared" si="20"/>
        <v>5050</v>
      </c>
      <c r="V19" s="37">
        <f t="shared" si="21"/>
        <v>4150</v>
      </c>
      <c r="W19" s="37">
        <f t="shared" si="22"/>
        <v>3150</v>
      </c>
      <c r="X19" s="37">
        <f t="shared" si="23"/>
        <v>4640</v>
      </c>
      <c r="Y19" s="37">
        <f t="shared" si="24"/>
        <v>5640</v>
      </c>
      <c r="Z19" s="37">
        <f t="shared" si="25"/>
        <v>2930</v>
      </c>
      <c r="AA19" s="37">
        <f t="shared" si="26"/>
        <v>3410</v>
      </c>
      <c r="AB19" s="37">
        <f t="shared" si="27"/>
        <v>7190</v>
      </c>
      <c r="AC19" s="37">
        <f t="shared" si="28"/>
        <v>10470</v>
      </c>
      <c r="AD19" s="35">
        <f t="shared" si="29"/>
        <v>66790</v>
      </c>
      <c r="AF19" s="20">
        <f t="shared" si="1"/>
        <v>5.1000000000000005</v>
      </c>
      <c r="AG19" s="20">
        <f t="shared" si="2"/>
        <v>69.2</v>
      </c>
      <c r="AH19" s="20">
        <f t="shared" si="3"/>
        <v>18.05</v>
      </c>
      <c r="AI19" s="20">
        <f t="shared" si="4"/>
        <v>8.4499999999999993</v>
      </c>
      <c r="AJ19" s="20">
        <f t="shared" si="5"/>
        <v>25.25</v>
      </c>
      <c r="AK19" s="20">
        <f t="shared" si="6"/>
        <v>20.75</v>
      </c>
      <c r="AL19" s="20">
        <f t="shared" si="7"/>
        <v>15.75</v>
      </c>
      <c r="AM19" s="20">
        <f t="shared" si="8"/>
        <v>23.2</v>
      </c>
      <c r="AN19" s="20">
        <f t="shared" si="9"/>
        <v>28.2</v>
      </c>
      <c r="AO19" s="20">
        <f t="shared" si="10"/>
        <v>14.65</v>
      </c>
      <c r="AP19" s="20">
        <f t="shared" si="11"/>
        <v>17.05</v>
      </c>
      <c r="AQ19" s="20">
        <f t="shared" si="12"/>
        <v>35.950000000000003</v>
      </c>
      <c r="AR19" s="20">
        <f t="shared" si="13"/>
        <v>52.35</v>
      </c>
      <c r="AS19" s="35">
        <f t="shared" si="30"/>
        <v>333.95000000000005</v>
      </c>
      <c r="AU19" s="47">
        <v>65504</v>
      </c>
      <c r="AV19" s="37">
        <f t="shared" si="31"/>
        <v>2051</v>
      </c>
      <c r="AW19" s="37">
        <f>AV19*100*AV44</f>
        <v>776.38759099999993</v>
      </c>
      <c r="AX19" s="35">
        <f t="shared" si="14"/>
        <v>4.1020000000000003</v>
      </c>
    </row>
    <row r="20" spans="1:50" x14ac:dyDescent="0.25">
      <c r="A20" s="23">
        <v>44756</v>
      </c>
      <c r="B20" s="40">
        <v>130</v>
      </c>
      <c r="C20" s="24">
        <v>8189760</v>
      </c>
      <c r="D20" s="24">
        <v>19473320</v>
      </c>
      <c r="E20" s="24">
        <v>3371510</v>
      </c>
      <c r="F20" s="24">
        <v>4142330</v>
      </c>
      <c r="G20" s="24">
        <v>12263480</v>
      </c>
      <c r="H20" s="24">
        <v>7095610</v>
      </c>
      <c r="I20" s="24">
        <v>6191150</v>
      </c>
      <c r="J20" s="24">
        <v>7656230</v>
      </c>
      <c r="K20" s="24">
        <v>11242710</v>
      </c>
      <c r="L20" s="24">
        <v>4878670</v>
      </c>
      <c r="M20" s="24">
        <v>9155250</v>
      </c>
      <c r="N20" s="24">
        <v>14904250</v>
      </c>
      <c r="O20" s="24">
        <v>20865050</v>
      </c>
      <c r="Q20" s="37">
        <f t="shared" si="17"/>
        <v>1020</v>
      </c>
      <c r="R20" s="37">
        <f t="shared" si="18"/>
        <v>13660</v>
      </c>
      <c r="S20" s="37">
        <f t="shared" si="16"/>
        <v>3570</v>
      </c>
      <c r="T20" s="37">
        <f t="shared" si="19"/>
        <v>1680</v>
      </c>
      <c r="U20" s="37">
        <f t="shared" si="20"/>
        <v>5030</v>
      </c>
      <c r="V20" s="37">
        <f t="shared" si="21"/>
        <v>4150</v>
      </c>
      <c r="W20" s="37">
        <f t="shared" si="22"/>
        <v>3270</v>
      </c>
      <c r="X20" s="37">
        <f t="shared" si="23"/>
        <v>4440</v>
      </c>
      <c r="Y20" s="37">
        <f t="shared" si="24"/>
        <v>5360</v>
      </c>
      <c r="Z20" s="37">
        <f t="shared" si="25"/>
        <v>2740</v>
      </c>
      <c r="AA20" s="37">
        <f t="shared" si="26"/>
        <v>3390</v>
      </c>
      <c r="AB20" s="37">
        <f t="shared" si="27"/>
        <v>7100</v>
      </c>
      <c r="AC20" s="37">
        <f t="shared" si="28"/>
        <v>10640</v>
      </c>
      <c r="AD20" s="35">
        <f t="shared" si="29"/>
        <v>66050</v>
      </c>
      <c r="AF20" s="20">
        <f t="shared" si="1"/>
        <v>5.1000000000000005</v>
      </c>
      <c r="AG20" s="20">
        <f t="shared" si="2"/>
        <v>68.3</v>
      </c>
      <c r="AH20" s="20">
        <f t="shared" si="3"/>
        <v>17.850000000000001</v>
      </c>
      <c r="AI20" s="20">
        <f t="shared" si="4"/>
        <v>8.4</v>
      </c>
      <c r="AJ20" s="20">
        <f t="shared" si="5"/>
        <v>25.150000000000002</v>
      </c>
      <c r="AK20" s="20">
        <f t="shared" si="6"/>
        <v>20.75</v>
      </c>
      <c r="AL20" s="20">
        <f t="shared" si="7"/>
        <v>16.350000000000001</v>
      </c>
      <c r="AM20" s="20">
        <f t="shared" si="8"/>
        <v>22.2</v>
      </c>
      <c r="AN20" s="20">
        <f t="shared" si="9"/>
        <v>26.8</v>
      </c>
      <c r="AO20" s="20">
        <f t="shared" si="10"/>
        <v>13.700000000000001</v>
      </c>
      <c r="AP20" s="20">
        <f t="shared" si="11"/>
        <v>16.95</v>
      </c>
      <c r="AQ20" s="20">
        <f t="shared" si="12"/>
        <v>35.5</v>
      </c>
      <c r="AR20" s="20">
        <f t="shared" si="13"/>
        <v>53.2</v>
      </c>
      <c r="AS20" s="35">
        <f t="shared" si="30"/>
        <v>330.24999999999994</v>
      </c>
      <c r="AU20" s="47">
        <v>67705</v>
      </c>
      <c r="AV20" s="37">
        <f t="shared" si="31"/>
        <v>2201</v>
      </c>
      <c r="AW20" s="37">
        <f>AV20*100*AV44</f>
        <v>833.16874099999995</v>
      </c>
      <c r="AX20" s="35">
        <f t="shared" si="14"/>
        <v>4.4020000000000001</v>
      </c>
    </row>
    <row r="21" spans="1:50" x14ac:dyDescent="0.25">
      <c r="A21" s="23">
        <v>44757</v>
      </c>
      <c r="B21" s="40">
        <v>126</v>
      </c>
      <c r="C21" s="24">
        <v>8190790</v>
      </c>
      <c r="D21" s="24">
        <v>19487150</v>
      </c>
      <c r="E21" s="24">
        <v>3375100</v>
      </c>
      <c r="F21" s="24">
        <v>4144050</v>
      </c>
      <c r="G21" s="24">
        <v>12268590</v>
      </c>
      <c r="H21" s="24">
        <v>7099460</v>
      </c>
      <c r="I21" s="24">
        <v>6194230</v>
      </c>
      <c r="J21" s="24">
        <v>7660710</v>
      </c>
      <c r="K21" s="24">
        <v>11248160</v>
      </c>
      <c r="L21" s="24">
        <v>4881470</v>
      </c>
      <c r="M21" s="24">
        <v>9158520</v>
      </c>
      <c r="N21" s="24">
        <v>14911560</v>
      </c>
      <c r="O21" s="24">
        <v>20875960</v>
      </c>
      <c r="Q21" s="37">
        <f t="shared" si="17"/>
        <v>1030</v>
      </c>
      <c r="R21" s="37">
        <f t="shared" si="18"/>
        <v>13830</v>
      </c>
      <c r="S21" s="37">
        <f t="shared" si="16"/>
        <v>3590</v>
      </c>
      <c r="T21" s="37">
        <f t="shared" si="19"/>
        <v>1720</v>
      </c>
      <c r="U21" s="37">
        <f t="shared" si="20"/>
        <v>5110</v>
      </c>
      <c r="V21" s="37">
        <f t="shared" si="21"/>
        <v>3850</v>
      </c>
      <c r="W21" s="37">
        <f t="shared" si="22"/>
        <v>3080</v>
      </c>
      <c r="X21" s="37">
        <f t="shared" si="23"/>
        <v>4480</v>
      </c>
      <c r="Y21" s="37">
        <f t="shared" si="24"/>
        <v>5450</v>
      </c>
      <c r="Z21" s="37">
        <f t="shared" si="25"/>
        <v>2800</v>
      </c>
      <c r="AA21" s="37">
        <f t="shared" si="26"/>
        <v>3270</v>
      </c>
      <c r="AB21" s="37">
        <f t="shared" si="27"/>
        <v>7310</v>
      </c>
      <c r="AC21" s="37">
        <f t="shared" si="28"/>
        <v>10910</v>
      </c>
      <c r="AD21" s="35">
        <f t="shared" si="29"/>
        <v>66430</v>
      </c>
      <c r="AF21" s="20">
        <f t="shared" si="1"/>
        <v>5.15</v>
      </c>
      <c r="AG21" s="20">
        <f t="shared" si="2"/>
        <v>69.150000000000006</v>
      </c>
      <c r="AH21" s="20">
        <f t="shared" si="3"/>
        <v>17.95</v>
      </c>
      <c r="AI21" s="20">
        <f t="shared" si="4"/>
        <v>8.6</v>
      </c>
      <c r="AJ21" s="20">
        <f t="shared" si="5"/>
        <v>25.55</v>
      </c>
      <c r="AK21" s="20">
        <f t="shared" si="6"/>
        <v>19.25</v>
      </c>
      <c r="AL21" s="20">
        <f t="shared" si="7"/>
        <v>15.4</v>
      </c>
      <c r="AM21" s="20">
        <f t="shared" si="8"/>
        <v>22.400000000000002</v>
      </c>
      <c r="AN21" s="20">
        <f t="shared" si="9"/>
        <v>27.25</v>
      </c>
      <c r="AO21" s="20">
        <f t="shared" si="10"/>
        <v>14</v>
      </c>
      <c r="AP21" s="20">
        <f t="shared" si="11"/>
        <v>16.350000000000001</v>
      </c>
      <c r="AQ21" s="20">
        <f t="shared" si="12"/>
        <v>36.550000000000004</v>
      </c>
      <c r="AR21" s="20">
        <f t="shared" si="13"/>
        <v>54.550000000000004</v>
      </c>
      <c r="AS21" s="35">
        <f t="shared" si="30"/>
        <v>332.15000000000003</v>
      </c>
      <c r="AU21" s="47">
        <v>69850</v>
      </c>
      <c r="AV21" s="37">
        <f t="shared" si="31"/>
        <v>2145</v>
      </c>
      <c r="AW21" s="37">
        <f>AV21*100*AV44</f>
        <v>811.97044499999993</v>
      </c>
      <c r="AX21" s="35">
        <f t="shared" si="14"/>
        <v>4.29</v>
      </c>
    </row>
    <row r="22" spans="1:50" x14ac:dyDescent="0.25">
      <c r="A22" s="23">
        <v>44758</v>
      </c>
      <c r="B22" s="40">
        <v>71</v>
      </c>
      <c r="C22" s="24">
        <v>8191800</v>
      </c>
      <c r="D22" s="24">
        <v>19500460</v>
      </c>
      <c r="E22" s="24">
        <v>3378540</v>
      </c>
      <c r="F22" s="24">
        <v>4145710</v>
      </c>
      <c r="G22" s="24">
        <v>12273400</v>
      </c>
      <c r="H22" s="24">
        <v>7103060</v>
      </c>
      <c r="I22" s="24">
        <v>6197110</v>
      </c>
      <c r="J22" s="44">
        <v>7665040</v>
      </c>
      <c r="K22" s="24">
        <v>11253460</v>
      </c>
      <c r="L22" s="24">
        <v>4884110</v>
      </c>
      <c r="M22" s="24">
        <v>9161610</v>
      </c>
      <c r="N22" s="24">
        <v>14918610</v>
      </c>
      <c r="O22" s="44">
        <v>20885700</v>
      </c>
      <c r="Q22" s="37">
        <f t="shared" si="17"/>
        <v>1010</v>
      </c>
      <c r="R22" s="37">
        <f t="shared" si="18"/>
        <v>13310</v>
      </c>
      <c r="S22" s="37">
        <f t="shared" si="16"/>
        <v>3440</v>
      </c>
      <c r="T22" s="37">
        <f t="shared" si="19"/>
        <v>1660</v>
      </c>
      <c r="U22" s="37">
        <f t="shared" si="20"/>
        <v>4810</v>
      </c>
      <c r="V22" s="37">
        <f t="shared" si="21"/>
        <v>3600</v>
      </c>
      <c r="W22" s="37">
        <f t="shared" si="22"/>
        <v>2880</v>
      </c>
      <c r="X22" s="37">
        <f t="shared" si="23"/>
        <v>4330</v>
      </c>
      <c r="Y22" s="37">
        <f t="shared" si="24"/>
        <v>5300</v>
      </c>
      <c r="Z22" s="37">
        <f t="shared" si="25"/>
        <v>2640</v>
      </c>
      <c r="AA22" s="37">
        <f t="shared" si="26"/>
        <v>3090</v>
      </c>
      <c r="AB22" s="37">
        <f t="shared" si="27"/>
        <v>7050</v>
      </c>
      <c r="AC22" s="37">
        <f t="shared" si="28"/>
        <v>9740</v>
      </c>
      <c r="AD22" s="35">
        <f t="shared" si="29"/>
        <v>62860</v>
      </c>
      <c r="AF22" s="20">
        <f t="shared" si="1"/>
        <v>5.05</v>
      </c>
      <c r="AG22" s="20">
        <f t="shared" si="2"/>
        <v>66.55</v>
      </c>
      <c r="AH22" s="20">
        <f t="shared" si="3"/>
        <v>17.2</v>
      </c>
      <c r="AI22" s="20">
        <f t="shared" si="4"/>
        <v>8.3000000000000007</v>
      </c>
      <c r="AJ22" s="20">
        <f t="shared" si="5"/>
        <v>24.05</v>
      </c>
      <c r="AK22" s="20">
        <f t="shared" si="6"/>
        <v>18</v>
      </c>
      <c r="AL22" s="20">
        <f t="shared" si="7"/>
        <v>14.4</v>
      </c>
      <c r="AM22" s="20">
        <f t="shared" si="8"/>
        <v>21.650000000000002</v>
      </c>
      <c r="AN22" s="20">
        <f t="shared" si="9"/>
        <v>26.5</v>
      </c>
      <c r="AO22" s="20">
        <f t="shared" si="10"/>
        <v>13.200000000000001</v>
      </c>
      <c r="AP22" s="20">
        <f t="shared" si="11"/>
        <v>15.450000000000001</v>
      </c>
      <c r="AQ22" s="20">
        <f t="shared" si="12"/>
        <v>35.25</v>
      </c>
      <c r="AR22" s="20">
        <f t="shared" si="13"/>
        <v>48.7</v>
      </c>
      <c r="AS22" s="35">
        <f t="shared" si="30"/>
        <v>314.29999999999995</v>
      </c>
      <c r="AU22" s="57">
        <v>72015</v>
      </c>
      <c r="AV22" s="37">
        <f t="shared" si="31"/>
        <v>2165</v>
      </c>
      <c r="AW22" s="37">
        <f>AV22*100*AV44</f>
        <v>819.54126499999995</v>
      </c>
      <c r="AX22" s="35">
        <f t="shared" si="14"/>
        <v>4.33</v>
      </c>
    </row>
    <row r="23" spans="1:50" x14ac:dyDescent="0.25">
      <c r="A23" s="23">
        <v>44759</v>
      </c>
      <c r="B23" s="40">
        <v>72</v>
      </c>
      <c r="C23" s="24">
        <v>8192800</v>
      </c>
      <c r="D23" s="24">
        <v>19513870</v>
      </c>
      <c r="E23" s="24">
        <v>3382060</v>
      </c>
      <c r="F23" s="24">
        <v>4147360</v>
      </c>
      <c r="G23" s="24">
        <v>12278110</v>
      </c>
      <c r="H23" s="24">
        <v>7106670</v>
      </c>
      <c r="I23" s="24">
        <v>6200050</v>
      </c>
      <c r="J23" s="24">
        <v>7669080</v>
      </c>
      <c r="K23" s="24">
        <v>11258360</v>
      </c>
      <c r="L23" s="24">
        <v>4886590</v>
      </c>
      <c r="M23" s="24">
        <v>9164680</v>
      </c>
      <c r="N23" s="24">
        <v>14925480</v>
      </c>
      <c r="O23" s="24">
        <v>20894960</v>
      </c>
      <c r="Q23" s="37">
        <f t="shared" si="17"/>
        <v>1000</v>
      </c>
      <c r="R23" s="37">
        <f t="shared" si="18"/>
        <v>13410</v>
      </c>
      <c r="S23" s="37">
        <f t="shared" si="16"/>
        <v>3520</v>
      </c>
      <c r="T23" s="37">
        <f t="shared" si="19"/>
        <v>1650</v>
      </c>
      <c r="U23" s="37">
        <f t="shared" si="20"/>
        <v>4710</v>
      </c>
      <c r="V23" s="37">
        <f t="shared" si="21"/>
        <v>3610</v>
      </c>
      <c r="W23" s="37">
        <f t="shared" si="22"/>
        <v>2940</v>
      </c>
      <c r="X23" s="37">
        <f t="shared" si="23"/>
        <v>4040</v>
      </c>
      <c r="Y23" s="37">
        <f t="shared" si="24"/>
        <v>4900</v>
      </c>
      <c r="Z23" s="37">
        <f t="shared" si="25"/>
        <v>2480</v>
      </c>
      <c r="AA23" s="37">
        <f t="shared" si="26"/>
        <v>3070</v>
      </c>
      <c r="AB23" s="37">
        <f t="shared" si="27"/>
        <v>6870</v>
      </c>
      <c r="AC23" s="37">
        <f t="shared" si="28"/>
        <v>9260</v>
      </c>
      <c r="AD23" s="35">
        <f t="shared" si="29"/>
        <v>61460</v>
      </c>
      <c r="AF23" s="20">
        <f t="shared" si="1"/>
        <v>5</v>
      </c>
      <c r="AG23" s="20">
        <f t="shared" si="2"/>
        <v>67.05</v>
      </c>
      <c r="AH23" s="20">
        <f t="shared" si="3"/>
        <v>17.600000000000001</v>
      </c>
      <c r="AI23" s="20">
        <f t="shared" si="4"/>
        <v>8.25</v>
      </c>
      <c r="AJ23" s="20">
        <f t="shared" si="5"/>
        <v>23.55</v>
      </c>
      <c r="AK23" s="20">
        <f t="shared" si="6"/>
        <v>18.05</v>
      </c>
      <c r="AL23" s="20">
        <f t="shared" si="7"/>
        <v>14.700000000000001</v>
      </c>
      <c r="AM23" s="20">
        <f t="shared" si="8"/>
        <v>20.2</v>
      </c>
      <c r="AN23" s="20">
        <f t="shared" si="9"/>
        <v>24.5</v>
      </c>
      <c r="AO23" s="20">
        <f t="shared" si="10"/>
        <v>12.4</v>
      </c>
      <c r="AP23" s="20">
        <f t="shared" si="11"/>
        <v>15.35</v>
      </c>
      <c r="AQ23" s="20">
        <f t="shared" si="12"/>
        <v>34.35</v>
      </c>
      <c r="AR23" s="20">
        <f t="shared" si="13"/>
        <v>46.300000000000004</v>
      </c>
      <c r="AS23" s="35">
        <f t="shared" si="30"/>
        <v>307.3</v>
      </c>
      <c r="AU23" s="57">
        <v>74383</v>
      </c>
      <c r="AV23" s="37">
        <f t="shared" si="31"/>
        <v>2368</v>
      </c>
      <c r="AW23" s="37">
        <f>AV23*100*AV44</f>
        <v>896.385088</v>
      </c>
      <c r="AX23" s="35">
        <f t="shared" si="14"/>
        <v>4.7359999999999998</v>
      </c>
    </row>
    <row r="24" spans="1:50" x14ac:dyDescent="0.25">
      <c r="A24" s="23">
        <v>44760</v>
      </c>
      <c r="B24" s="40">
        <v>87</v>
      </c>
      <c r="C24" s="24">
        <v>8193840</v>
      </c>
      <c r="D24" s="24">
        <v>19527510</v>
      </c>
      <c r="E24" s="24">
        <v>3385590</v>
      </c>
      <c r="F24" s="24">
        <v>4149070</v>
      </c>
      <c r="G24" s="24">
        <v>12282780</v>
      </c>
      <c r="H24" s="24">
        <v>7110600</v>
      </c>
      <c r="I24" s="24">
        <v>6202990</v>
      </c>
      <c r="J24" s="24">
        <v>7673620</v>
      </c>
      <c r="K24" s="24">
        <v>11263470</v>
      </c>
      <c r="L24" s="24">
        <v>4889120</v>
      </c>
      <c r="M24" s="24">
        <v>9167730</v>
      </c>
      <c r="N24" s="24">
        <v>14932600</v>
      </c>
      <c r="O24" s="24">
        <v>20904960</v>
      </c>
      <c r="Q24" s="37">
        <f t="shared" si="17"/>
        <v>1040</v>
      </c>
      <c r="R24" s="37">
        <f t="shared" si="18"/>
        <v>13640</v>
      </c>
      <c r="S24" s="37">
        <f t="shared" si="16"/>
        <v>3530</v>
      </c>
      <c r="T24" s="37">
        <f t="shared" si="19"/>
        <v>1710</v>
      </c>
      <c r="U24" s="37">
        <f t="shared" si="20"/>
        <v>4670</v>
      </c>
      <c r="V24" s="37">
        <f t="shared" si="21"/>
        <v>3930</v>
      </c>
      <c r="W24" s="37">
        <f t="shared" si="22"/>
        <v>2940</v>
      </c>
      <c r="X24" s="37">
        <f t="shared" si="23"/>
        <v>4540</v>
      </c>
      <c r="Y24" s="37">
        <f t="shared" si="24"/>
        <v>5110</v>
      </c>
      <c r="Z24" s="37">
        <f t="shared" si="25"/>
        <v>2530</v>
      </c>
      <c r="AA24" s="37">
        <f t="shared" si="26"/>
        <v>3050</v>
      </c>
      <c r="AB24" s="37">
        <f t="shared" si="27"/>
        <v>7120</v>
      </c>
      <c r="AC24" s="37">
        <f t="shared" si="28"/>
        <v>10000</v>
      </c>
      <c r="AD24" s="35">
        <f t="shared" si="29"/>
        <v>63810</v>
      </c>
      <c r="AF24" s="20">
        <f t="shared" si="1"/>
        <v>5.2</v>
      </c>
      <c r="AG24" s="20">
        <f t="shared" si="2"/>
        <v>68.2</v>
      </c>
      <c r="AH24" s="20">
        <f t="shared" si="3"/>
        <v>17.650000000000002</v>
      </c>
      <c r="AI24" s="20">
        <f t="shared" si="4"/>
        <v>8.5500000000000007</v>
      </c>
      <c r="AJ24" s="20">
        <f t="shared" si="5"/>
        <v>23.35</v>
      </c>
      <c r="AK24" s="20">
        <f t="shared" si="6"/>
        <v>19.650000000000002</v>
      </c>
      <c r="AL24" s="20">
        <f t="shared" si="7"/>
        <v>14.700000000000001</v>
      </c>
      <c r="AM24" s="20">
        <f t="shared" si="8"/>
        <v>22.7</v>
      </c>
      <c r="AN24" s="20">
        <f t="shared" si="9"/>
        <v>25.55</v>
      </c>
      <c r="AO24" s="20">
        <f t="shared" si="10"/>
        <v>12.65</v>
      </c>
      <c r="AP24" s="20">
        <f t="shared" si="11"/>
        <v>15.25</v>
      </c>
      <c r="AQ24" s="20">
        <f t="shared" si="12"/>
        <v>35.6</v>
      </c>
      <c r="AR24" s="20">
        <f t="shared" si="13"/>
        <v>50</v>
      </c>
      <c r="AS24" s="35">
        <f t="shared" si="30"/>
        <v>319.05</v>
      </c>
      <c r="AU24" s="57">
        <v>77094</v>
      </c>
      <c r="AV24" s="37">
        <f t="shared" si="31"/>
        <v>2711</v>
      </c>
      <c r="AW24" s="37">
        <f>AV24*100*AV44</f>
        <v>1026.224651</v>
      </c>
      <c r="AX24" s="35">
        <f t="shared" si="14"/>
        <v>5.4219999999999997</v>
      </c>
    </row>
    <row r="25" spans="1:50" x14ac:dyDescent="0.25">
      <c r="A25" s="23">
        <v>44761</v>
      </c>
      <c r="B25" s="40">
        <v>110</v>
      </c>
      <c r="C25" s="24">
        <v>8194870</v>
      </c>
      <c r="D25" s="24">
        <v>19541410</v>
      </c>
      <c r="E25" s="24">
        <v>3389230</v>
      </c>
      <c r="F25" s="24">
        <v>4150760</v>
      </c>
      <c r="G25" s="24">
        <v>12287250</v>
      </c>
      <c r="H25" s="24">
        <v>7114830</v>
      </c>
      <c r="I25" s="24">
        <v>6205990</v>
      </c>
      <c r="J25" s="24">
        <v>7677960</v>
      </c>
      <c r="K25" s="24">
        <v>11268570</v>
      </c>
      <c r="L25" s="24">
        <v>4891810</v>
      </c>
      <c r="M25" s="24">
        <v>9170750</v>
      </c>
      <c r="N25" s="24">
        <v>14939420</v>
      </c>
      <c r="O25" s="24">
        <v>20915270</v>
      </c>
      <c r="Q25" s="37">
        <f t="shared" ref="Q25:AC27" si="33">IF((C25-C24&lt;0), "0",C25-C24)</f>
        <v>1030</v>
      </c>
      <c r="R25" s="37">
        <f t="shared" si="18"/>
        <v>13900</v>
      </c>
      <c r="S25" s="37">
        <f t="shared" si="33"/>
        <v>3640</v>
      </c>
      <c r="T25" s="37">
        <f t="shared" si="33"/>
        <v>1690</v>
      </c>
      <c r="U25" s="37">
        <f t="shared" si="33"/>
        <v>4470</v>
      </c>
      <c r="V25" s="37">
        <f t="shared" si="33"/>
        <v>4230</v>
      </c>
      <c r="W25" s="37">
        <f t="shared" si="33"/>
        <v>3000</v>
      </c>
      <c r="X25" s="37">
        <f t="shared" si="33"/>
        <v>4340</v>
      </c>
      <c r="Y25" s="37">
        <f t="shared" si="33"/>
        <v>5100</v>
      </c>
      <c r="Z25" s="37">
        <f t="shared" si="33"/>
        <v>2690</v>
      </c>
      <c r="AA25" s="37">
        <f t="shared" si="33"/>
        <v>3020</v>
      </c>
      <c r="AB25" s="37">
        <f t="shared" si="33"/>
        <v>6820</v>
      </c>
      <c r="AC25" s="37">
        <f t="shared" si="33"/>
        <v>10310</v>
      </c>
      <c r="AD25" s="35">
        <f t="shared" si="29"/>
        <v>64240</v>
      </c>
      <c r="AF25" s="20">
        <f t="shared" si="1"/>
        <v>5.15</v>
      </c>
      <c r="AG25" s="20">
        <f t="shared" si="2"/>
        <v>69.5</v>
      </c>
      <c r="AH25" s="20">
        <f t="shared" si="3"/>
        <v>18.2</v>
      </c>
      <c r="AI25" s="20">
        <f t="shared" si="4"/>
        <v>8.4499999999999993</v>
      </c>
      <c r="AJ25" s="20">
        <f t="shared" si="5"/>
        <v>22.35</v>
      </c>
      <c r="AK25" s="20">
        <f t="shared" si="6"/>
        <v>21.150000000000002</v>
      </c>
      <c r="AL25" s="20">
        <f t="shared" si="7"/>
        <v>15</v>
      </c>
      <c r="AM25" s="20">
        <f t="shared" si="8"/>
        <v>21.7</v>
      </c>
      <c r="AN25" s="20">
        <f t="shared" si="9"/>
        <v>25.5</v>
      </c>
      <c r="AO25" s="20">
        <f t="shared" si="10"/>
        <v>13.450000000000001</v>
      </c>
      <c r="AP25" s="20">
        <f t="shared" si="11"/>
        <v>15.1</v>
      </c>
      <c r="AQ25" s="20">
        <f t="shared" si="12"/>
        <v>34.1</v>
      </c>
      <c r="AR25" s="20">
        <f t="shared" si="13"/>
        <v>51.550000000000004</v>
      </c>
      <c r="AS25" s="35">
        <f t="shared" si="30"/>
        <v>321.2</v>
      </c>
      <c r="AU25" s="57">
        <v>79298</v>
      </c>
      <c r="AV25" s="37">
        <f t="shared" si="31"/>
        <v>2204</v>
      </c>
      <c r="AW25" s="37">
        <f>AV25*100*AV44</f>
        <v>834.30436399999996</v>
      </c>
      <c r="AX25" s="35">
        <f t="shared" si="14"/>
        <v>4.4080000000000004</v>
      </c>
    </row>
    <row r="26" spans="1:50" x14ac:dyDescent="0.25">
      <c r="A26" s="23">
        <v>44762</v>
      </c>
      <c r="B26" s="40">
        <v>110</v>
      </c>
      <c r="C26" s="24">
        <v>8195940</v>
      </c>
      <c r="D26" s="24">
        <v>19555900</v>
      </c>
      <c r="E26" s="24">
        <v>3393030</v>
      </c>
      <c r="F26" s="24">
        <v>4152540</v>
      </c>
      <c r="G26" s="24">
        <v>12292010</v>
      </c>
      <c r="H26" s="24">
        <v>7118940</v>
      </c>
      <c r="I26" s="24">
        <v>6209120</v>
      </c>
      <c r="J26" s="24">
        <v>7682490</v>
      </c>
      <c r="K26" s="24">
        <v>11273930</v>
      </c>
      <c r="L26" s="24">
        <v>4894630</v>
      </c>
      <c r="M26" s="24">
        <v>9173860</v>
      </c>
      <c r="N26" s="24">
        <v>14946670</v>
      </c>
      <c r="O26" s="24">
        <v>20926830</v>
      </c>
      <c r="Q26" s="37">
        <f t="shared" si="33"/>
        <v>1070</v>
      </c>
      <c r="R26" s="37">
        <f t="shared" si="18"/>
        <v>14490</v>
      </c>
      <c r="S26" s="37">
        <f t="shared" si="33"/>
        <v>3800</v>
      </c>
      <c r="T26" s="37">
        <f t="shared" si="33"/>
        <v>1780</v>
      </c>
      <c r="U26" s="37">
        <f t="shared" si="33"/>
        <v>4760</v>
      </c>
      <c r="V26" s="37">
        <f t="shared" si="33"/>
        <v>4110</v>
      </c>
      <c r="W26" s="37">
        <f t="shared" si="33"/>
        <v>3130</v>
      </c>
      <c r="X26" s="37">
        <f t="shared" si="33"/>
        <v>4530</v>
      </c>
      <c r="Y26" s="37">
        <f t="shared" si="33"/>
        <v>5360</v>
      </c>
      <c r="Z26" s="37">
        <f t="shared" si="33"/>
        <v>2820</v>
      </c>
      <c r="AA26" s="37">
        <f t="shared" si="33"/>
        <v>3110</v>
      </c>
      <c r="AB26" s="37">
        <f t="shared" si="33"/>
        <v>7250</v>
      </c>
      <c r="AC26" s="37">
        <f t="shared" si="33"/>
        <v>11560</v>
      </c>
      <c r="AD26" s="35">
        <f t="shared" si="29"/>
        <v>67770</v>
      </c>
      <c r="AF26" s="20">
        <f t="shared" si="1"/>
        <v>5.3500000000000005</v>
      </c>
      <c r="AG26" s="20">
        <f t="shared" si="2"/>
        <v>72.45</v>
      </c>
      <c r="AH26" s="20">
        <f t="shared" si="3"/>
        <v>19</v>
      </c>
      <c r="AI26" s="20">
        <f t="shared" si="4"/>
        <v>8.9</v>
      </c>
      <c r="AJ26" s="20">
        <f t="shared" si="5"/>
        <v>23.8</v>
      </c>
      <c r="AK26" s="20">
        <f t="shared" si="6"/>
        <v>20.55</v>
      </c>
      <c r="AL26" s="20">
        <f t="shared" si="7"/>
        <v>15.65</v>
      </c>
      <c r="AM26" s="20">
        <f t="shared" si="8"/>
        <v>22.650000000000002</v>
      </c>
      <c r="AN26" s="20">
        <f t="shared" si="9"/>
        <v>26.8</v>
      </c>
      <c r="AO26" s="20">
        <f t="shared" si="10"/>
        <v>14.1</v>
      </c>
      <c r="AP26" s="20">
        <f t="shared" si="11"/>
        <v>15.55</v>
      </c>
      <c r="AQ26" s="20">
        <f t="shared" si="12"/>
        <v>36.25</v>
      </c>
      <c r="AR26" s="20">
        <f t="shared" si="13"/>
        <v>57.800000000000004</v>
      </c>
      <c r="AS26" s="35">
        <f t="shared" si="30"/>
        <v>338.85000000000008</v>
      </c>
      <c r="AU26" s="57">
        <v>81794</v>
      </c>
      <c r="AV26" s="37">
        <f t="shared" si="31"/>
        <v>2496</v>
      </c>
      <c r="AW26" s="37">
        <f>AV26*100*AV44</f>
        <v>944.83833600000003</v>
      </c>
      <c r="AX26" s="35">
        <f t="shared" si="14"/>
        <v>4.992</v>
      </c>
    </row>
    <row r="27" spans="1:50" x14ac:dyDescent="0.25">
      <c r="A27" s="23">
        <v>44763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18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7"/>
      <c r="AV27" s="37" t="str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44764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7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44765</v>
      </c>
      <c r="B29" s="40"/>
      <c r="C29" s="24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8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44766</v>
      </c>
      <c r="B30" s="40"/>
      <c r="C30" s="24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9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44767</v>
      </c>
      <c r="B31" s="40"/>
      <c r="C31" s="24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44768</v>
      </c>
      <c r="B32" s="40"/>
      <c r="C32" s="24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9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44769</v>
      </c>
      <c r="B33" s="40"/>
      <c r="C33" s="24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8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44770</v>
      </c>
      <c r="B34" s="51"/>
      <c r="C34" s="50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9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44771</v>
      </c>
      <c r="B35" s="40"/>
      <c r="C35" s="24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44772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44773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20440</v>
      </c>
      <c r="R38" s="38">
        <f t="shared" ref="R38:AD38" si="60">SUM(R7:R37)</f>
        <v>272970</v>
      </c>
      <c r="S38" s="38">
        <f t="shared" si="60"/>
        <v>70820</v>
      </c>
      <c r="T38" s="38">
        <f t="shared" si="60"/>
        <v>33570</v>
      </c>
      <c r="U38" s="38">
        <f t="shared" si="60"/>
        <v>95790</v>
      </c>
      <c r="V38" s="38">
        <f t="shared" si="60"/>
        <v>81330</v>
      </c>
      <c r="W38" s="38">
        <f t="shared" si="60"/>
        <v>63080</v>
      </c>
      <c r="X38" s="38">
        <f t="shared" si="60"/>
        <v>87300</v>
      </c>
      <c r="Y38" s="38">
        <f t="shared" si="60"/>
        <v>104970</v>
      </c>
      <c r="Z38" s="38">
        <f t="shared" si="60"/>
        <v>54360</v>
      </c>
      <c r="AA38" s="38">
        <f t="shared" si="60"/>
        <v>63760</v>
      </c>
      <c r="AB38" s="38">
        <f t="shared" si="60"/>
        <v>142960</v>
      </c>
      <c r="AC38" s="38">
        <f t="shared" si="60"/>
        <v>213550</v>
      </c>
      <c r="AD38" s="38">
        <f t="shared" si="60"/>
        <v>1304900</v>
      </c>
      <c r="AF38" s="35">
        <f>SUM(AF7:AF37)</f>
        <v>102.2</v>
      </c>
      <c r="AG38" s="35">
        <f t="shared" ref="AG38:AS38" si="61">SUM(AG7:AG37)</f>
        <v>1364.85</v>
      </c>
      <c r="AH38" s="35">
        <f t="shared" si="61"/>
        <v>354.09999999999997</v>
      </c>
      <c r="AI38" s="35">
        <f t="shared" si="61"/>
        <v>167.85000000000002</v>
      </c>
      <c r="AJ38" s="35">
        <f t="shared" si="61"/>
        <v>478.95000000000005</v>
      </c>
      <c r="AK38" s="35">
        <f t="shared" si="61"/>
        <v>406.65</v>
      </c>
      <c r="AL38" s="35">
        <f t="shared" si="61"/>
        <v>315.39999999999998</v>
      </c>
      <c r="AM38" s="35">
        <f t="shared" si="61"/>
        <v>436.49999999999989</v>
      </c>
      <c r="AN38" s="35">
        <f t="shared" si="61"/>
        <v>524.85</v>
      </c>
      <c r="AO38" s="35">
        <f t="shared" si="61"/>
        <v>271.8</v>
      </c>
      <c r="AP38" s="35">
        <f t="shared" si="61"/>
        <v>318.80000000000007</v>
      </c>
      <c r="AQ38" s="35">
        <f t="shared" si="61"/>
        <v>714.80000000000007</v>
      </c>
      <c r="AR38" s="35">
        <f t="shared" si="61"/>
        <v>1067.75</v>
      </c>
      <c r="AS38" s="35">
        <f t="shared" si="61"/>
        <v>6524.5</v>
      </c>
      <c r="AU38" s="48"/>
      <c r="AV38" s="34">
        <f>SUM(AV7:AV37)</f>
        <v>46651</v>
      </c>
      <c r="AW38" s="34">
        <f>SUM(AW7:AW37)</f>
        <v>17659.316190999998</v>
      </c>
      <c r="AX38" s="35">
        <f>SUM(AX7:AX37)</f>
        <v>93.302000000000007</v>
      </c>
    </row>
    <row r="39" spans="1:50" x14ac:dyDescent="0.25">
      <c r="B39" s="39">
        <f>SUM(B7:B36)</f>
        <v>2445</v>
      </c>
      <c r="D39">
        <v>5.0000000000000001E-3</v>
      </c>
      <c r="AV39" s="36"/>
      <c r="AW39" s="54">
        <f>AW38/31</f>
        <v>569.65536099999997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2022-07-21T07:00:58Z</dcterms:modified>
</cp:coreProperties>
</file>