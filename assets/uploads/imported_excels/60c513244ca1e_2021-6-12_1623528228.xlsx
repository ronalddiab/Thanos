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3" i="10" l="1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4" i="10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4" i="9"/>
  <c r="E33" i="8"/>
  <c r="G33" i="8" s="1"/>
  <c r="E32" i="8"/>
  <c r="E31" i="8"/>
  <c r="G31" i="8" s="1"/>
  <c r="E30" i="8"/>
  <c r="G30" i="8" s="1"/>
  <c r="E29" i="8"/>
  <c r="G29" i="8" s="1"/>
  <c r="E28" i="8"/>
  <c r="G28" i="8" s="1"/>
  <c r="E27" i="8"/>
  <c r="G27" i="8" s="1"/>
  <c r="E26" i="8"/>
  <c r="E25" i="8"/>
  <c r="G25" i="8" s="1"/>
  <c r="E24" i="8"/>
  <c r="G24" i="8" s="1"/>
  <c r="E23" i="8"/>
  <c r="E22" i="8"/>
  <c r="G22" i="8" s="1"/>
  <c r="E21" i="8"/>
  <c r="G21" i="8" s="1"/>
  <c r="E20" i="8"/>
  <c r="G20" i="8" s="1"/>
  <c r="E19" i="8"/>
  <c r="G19" i="8" s="1"/>
  <c r="E18" i="8"/>
  <c r="G18" i="8" s="1"/>
  <c r="E17" i="8"/>
  <c r="G17" i="8" s="1"/>
  <c r="E16" i="8"/>
  <c r="G16" i="8" s="1"/>
  <c r="G15" i="8"/>
  <c r="E14" i="8"/>
  <c r="G14" i="8" s="1"/>
  <c r="G13" i="8"/>
  <c r="G11" i="8"/>
  <c r="G10" i="8"/>
  <c r="G9" i="8"/>
  <c r="G26" i="8"/>
  <c r="G7" i="8"/>
  <c r="G8" i="8"/>
  <c r="G12" i="8"/>
  <c r="G23" i="8"/>
  <c r="G32" i="8"/>
  <c r="G4" i="8"/>
  <c r="H4" i="8" s="1"/>
  <c r="G6" i="8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<sst xmlns="http://schemas.openxmlformats.org/spreadsheetml/2006/main" count="110" uniqueCount="57">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</sst>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>
        <row r="14">
          <cell r="E14">
            <v>9694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I34">
            <v>1212080.9483089999</v>
          </cell>
        </row>
      </sheetData>
      <sheetData sheetId="5">
        <row r="14">
          <cell r="E14">
            <v>760788</v>
          </cell>
          <cell r="F14">
            <v>172141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4688.3969999999999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A13" sqref="A13:XFD1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0.75</v>
      </c>
      <c r="G2" s="13">
        <v>0</v>
      </c>
      <c r="H2" s="3">
        <v>1.66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990.84000000171363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971.51999999955297</v>
      </c>
      <c r="F4" s="3">
        <v>0.75</v>
      </c>
      <c r="G4" s="13">
        <f>Gas!J6</f>
        <v>0</v>
      </c>
      <c r="H4" s="3">
        <v>1.66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1040.5200000014156</v>
      </c>
      <c r="F5" s="3">
        <v>0.75</v>
      </c>
      <c r="G5" s="13">
        <f>Gas!J7</f>
        <v>0</v>
      </c>
      <c r="H5" s="3">
        <v>1.66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1004.6399999987334</v>
      </c>
      <c r="F6" s="3">
        <v>0.75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971.51999999955297</v>
      </c>
      <c r="F7" s="3">
        <v>0.75</v>
      </c>
      <c r="G7" s="13">
        <f>Gas!J9</f>
        <v>0</v>
      </c>
      <c r="H7" s="3">
        <v>1.66</v>
      </c>
      <c r="I7" s="13">
        <f>Water!H9</f>
        <v>4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988.08000000007451</v>
      </c>
      <c r="F8" s="3">
        <v>0.75</v>
      </c>
      <c r="G8" s="13">
        <f>Gas!J10</f>
        <v>0</v>
      </c>
      <c r="H8" s="3">
        <v>1.66</v>
      </c>
      <c r="I8" s="13">
        <f>Water!H10</f>
        <v>9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999.12000000104308</v>
      </c>
      <c r="F9" s="3">
        <v>0.75</v>
      </c>
      <c r="G9" s="13">
        <f>Gas!J11</f>
        <v>0</v>
      </c>
      <c r="H9" s="3">
        <v>1.66</v>
      </c>
      <c r="I9" s="13">
        <f>Water!H11</f>
        <v>12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979.79999999888241</v>
      </c>
      <c r="F10" s="3">
        <v>0.75</v>
      </c>
      <c r="G10" s="13">
        <f>Gas!J12</f>
        <v>0</v>
      </c>
      <c r="H10" s="3">
        <v>1.66</v>
      </c>
      <c r="I10" s="13">
        <f>Water!H12</f>
        <v>9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1004.640000000596</v>
      </c>
      <c r="F11" s="3">
        <v>0.75</v>
      </c>
      <c r="G11" s="13">
        <f>Gas!J13</f>
        <v>0</v>
      </c>
      <c r="H11" s="3">
        <v>1.66</v>
      </c>
      <c r="I11" s="13">
        <f>Water!H13</f>
        <v>8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1032.2400000002235</v>
      </c>
      <c r="F12" s="3">
        <v>0.75</v>
      </c>
      <c r="G12" s="13">
        <f>Gas!J14</f>
        <v>0</v>
      </c>
      <c r="H12" s="3">
        <v>1.66</v>
      </c>
      <c r="I12" s="13">
        <f>Water!H14</f>
        <v>6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988.08000000007451</v>
      </c>
      <c r="F13" s="3">
        <v>0.75</v>
      </c>
      <c r="G13" s="13">
        <f>Gas!J15</f>
        <v>0</v>
      </c>
      <c r="H13" s="3">
        <v>1.66</v>
      </c>
      <c r="I13" s="13">
        <f>Water!H15</f>
        <v>4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-12940963.800000001</v>
      </c>
      <c r="F14" s="3">
        <v>0.75</v>
      </c>
      <c r="G14" s="13">
        <f>Gas!J16</f>
        <v>-1212080.9483089999</v>
      </c>
      <c r="H14" s="3">
        <v>1.66</v>
      </c>
      <c r="I14" s="13">
        <f>Water!H16</f>
        <v>-9698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0</v>
      </c>
      <c r="F15" s="3">
        <v>0.75</v>
      </c>
      <c r="G15" s="13">
        <f>Gas!J17</f>
        <v>0</v>
      </c>
      <c r="H15" s="3">
        <v>1.66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0</v>
      </c>
      <c r="F16" s="3">
        <v>0.75</v>
      </c>
      <c r="G16" s="13">
        <f>Gas!J18</f>
        <v>0</v>
      </c>
      <c r="H16" s="3">
        <v>1.66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0</v>
      </c>
      <c r="F17" s="3">
        <v>0.75</v>
      </c>
      <c r="G17" s="13">
        <f>Gas!J19</f>
        <v>0</v>
      </c>
      <c r="H17" s="3">
        <v>1.66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0</v>
      </c>
      <c r="F18" s="3">
        <v>0.75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0</v>
      </c>
      <c r="F19" s="3">
        <v>0.75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0</v>
      </c>
      <c r="F20" s="3">
        <v>0.75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0</v>
      </c>
      <c r="F21" s="3">
        <v>0.75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0</v>
      </c>
      <c r="F22" s="3">
        <v>0.75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0</v>
      </c>
      <c r="F23" s="3">
        <v>0.75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0</v>
      </c>
      <c r="F24" s="3">
        <v>0.75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0</v>
      </c>
      <c r="F25" s="3">
        <v>0.75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16" sqref="E1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v>9628</v>
      </c>
      <c r="F5" s="24">
        <v>1065</v>
      </c>
      <c r="G5" s="24">
        <f>E5+F5</f>
        <v>10693</v>
      </c>
      <c r="H5" s="25">
        <f t="shared" ref="H5:H33" si="0">G5-G4</f>
        <v>2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v>9632</v>
      </c>
      <c r="F6" s="24">
        <v>1065</v>
      </c>
      <c r="G6" s="24">
        <f t="shared" ref="G6:G33" si="1">E6+F6</f>
        <v>10697</v>
      </c>
      <c r="H6" s="25">
        <f t="shared" si="0"/>
        <v>4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v>9643</v>
      </c>
      <c r="F7" s="24">
        <v>1065</v>
      </c>
      <c r="G7" s="24">
        <f t="shared" si="1"/>
        <v>10708</v>
      </c>
      <c r="H7" s="25">
        <f t="shared" si="0"/>
        <v>11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v>9646</v>
      </c>
      <c r="F8" s="24">
        <v>1065</v>
      </c>
      <c r="G8" s="24">
        <f t="shared" si="1"/>
        <v>10711</v>
      </c>
      <c r="H8" s="25">
        <f t="shared" si="0"/>
        <v>3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v>9650</v>
      </c>
      <c r="F9" s="24">
        <v>1065</v>
      </c>
      <c r="G9" s="24">
        <f t="shared" si="1"/>
        <v>10715</v>
      </c>
      <c r="H9" s="25">
        <f t="shared" si="0"/>
        <v>4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v>9659</v>
      </c>
      <c r="F10" s="24">
        <v>1065</v>
      </c>
      <c r="G10" s="24">
        <f t="shared" si="1"/>
        <v>10724</v>
      </c>
      <c r="H10" s="25">
        <f t="shared" si="0"/>
        <v>9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v>9671</v>
      </c>
      <c r="F11" s="24">
        <v>1065</v>
      </c>
      <c r="G11" s="24">
        <f t="shared" si="1"/>
        <v>10736</v>
      </c>
      <c r="H11" s="25">
        <f t="shared" si="0"/>
        <v>12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v>9680</v>
      </c>
      <c r="F12" s="24">
        <v>1065</v>
      </c>
      <c r="G12" s="24">
        <f t="shared" si="1"/>
        <v>10745</v>
      </c>
      <c r="H12" s="25">
        <f t="shared" si="0"/>
        <v>9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v>9688</v>
      </c>
      <c r="F13" s="24">
        <v>1065</v>
      </c>
      <c r="G13" s="24">
        <f t="shared" si="1"/>
        <v>10753</v>
      </c>
      <c r="H13" s="25">
        <f t="shared" si="0"/>
        <v>8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9694</v>
      </c>
      <c r="F14" s="24">
        <v>1065</v>
      </c>
      <c r="G14" s="24">
        <f t="shared" si="1"/>
        <v>10759</v>
      </c>
      <c r="H14" s="25">
        <f t="shared" si="0"/>
        <v>6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v>9698</v>
      </c>
      <c r="F15" s="24">
        <v>1065</v>
      </c>
      <c r="G15" s="24">
        <f t="shared" si="1"/>
        <v>10763</v>
      </c>
      <c r="H15" s="25">
        <f t="shared" si="0"/>
        <v>4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f>[1]Jun.2021!$E$16</f>
        <v>0</v>
      </c>
      <c r="F16" s="24">
        <v>1065</v>
      </c>
      <c r="G16" s="24">
        <f t="shared" si="1"/>
        <v>1065</v>
      </c>
      <c r="H16" s="25">
        <f t="shared" si="0"/>
        <v>-9698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f>[1]Jun.2021!$E$17</f>
        <v>0</v>
      </c>
      <c r="F17" s="24">
        <v>1065</v>
      </c>
      <c r="G17" s="24">
        <f t="shared" si="1"/>
        <v>1065</v>
      </c>
      <c r="H17" s="25">
        <f t="shared" si="0"/>
        <v>0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f>[1]Jun.2021!$E$18</f>
        <v>0</v>
      </c>
      <c r="F18" s="24">
        <v>1065</v>
      </c>
      <c r="G18" s="24">
        <f t="shared" si="1"/>
        <v>1065</v>
      </c>
      <c r="H18" s="25">
        <f t="shared" si="0"/>
        <v>0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f>[1]Jun.2021!$E$19</f>
        <v>0</v>
      </c>
      <c r="F19" s="24">
        <v>1065</v>
      </c>
      <c r="G19" s="24">
        <f t="shared" si="1"/>
        <v>1065</v>
      </c>
      <c r="H19" s="25">
        <f t="shared" si="0"/>
        <v>0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f>[1]Jun.2021!$E$20</f>
        <v>0</v>
      </c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f>[1]Jun.2021!$E$21</f>
        <v>0</v>
      </c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f>[1]Jun.2021!$E$22</f>
        <v>0</v>
      </c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0</v>
      </c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0</v>
      </c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0</v>
      </c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0</v>
      </c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0</v>
      </c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f>[1]Jun.2021!$E$28</f>
        <v>0</v>
      </c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0</v>
      </c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0</v>
      </c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0</v>
      </c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f>[1]Jun.2021!$E$32</f>
        <v>0</v>
      </c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f>[1]Jun.2021!$E$33</f>
        <v>0</v>
      </c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6" sqref="F1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v>760788</v>
      </c>
      <c r="F5" s="24">
        <v>172141</v>
      </c>
      <c r="G5" s="24">
        <f t="shared" ref="G5:G33" si="1">E5+F5</f>
        <v>932929</v>
      </c>
      <c r="H5" s="18">
        <v>1.299221</v>
      </c>
      <c r="I5" s="24">
        <f t="shared" si="0"/>
        <v>1212080.9483089999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v>760788</v>
      </c>
      <c r="F6" s="24">
        <v>172141</v>
      </c>
      <c r="G6" s="24">
        <f t="shared" si="1"/>
        <v>932929</v>
      </c>
      <c r="H6" s="18">
        <v>1.299221</v>
      </c>
      <c r="I6" s="24">
        <f t="shared" si="0"/>
        <v>1212080.9483089999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v>760788</v>
      </c>
      <c r="F7" s="24">
        <v>172141</v>
      </c>
      <c r="G7" s="24">
        <f t="shared" si="1"/>
        <v>932929</v>
      </c>
      <c r="H7" s="18">
        <v>1.299221</v>
      </c>
      <c r="I7" s="24">
        <f t="shared" si="0"/>
        <v>1212080.9483089999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v>760788</v>
      </c>
      <c r="F8" s="24">
        <v>172141</v>
      </c>
      <c r="G8" s="24">
        <f t="shared" si="1"/>
        <v>932929</v>
      </c>
      <c r="H8" s="18">
        <v>1.299221</v>
      </c>
      <c r="I8" s="24">
        <f t="shared" si="0"/>
        <v>1212080.9483089999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v>760788</v>
      </c>
      <c r="F9" s="24">
        <v>172141</v>
      </c>
      <c r="G9" s="24">
        <f t="shared" si="1"/>
        <v>932929</v>
      </c>
      <c r="H9" s="18">
        <v>1.299221</v>
      </c>
      <c r="I9" s="24">
        <f t="shared" si="0"/>
        <v>1212080.9483089999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v>760788</v>
      </c>
      <c r="F10" s="24">
        <v>172141</v>
      </c>
      <c r="G10" s="24">
        <f t="shared" si="1"/>
        <v>932929</v>
      </c>
      <c r="H10" s="18">
        <v>1.299221</v>
      </c>
      <c r="I10" s="24">
        <f t="shared" si="0"/>
        <v>1212080.9483089999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v>760788</v>
      </c>
      <c r="F11" s="24">
        <v>172141</v>
      </c>
      <c r="G11" s="24">
        <f t="shared" si="1"/>
        <v>932929</v>
      </c>
      <c r="H11" s="18">
        <v>1.299221</v>
      </c>
      <c r="I11" s="24">
        <f t="shared" si="0"/>
        <v>1212080.9483089999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v>760788</v>
      </c>
      <c r="F12" s="24">
        <v>172141</v>
      </c>
      <c r="G12" s="24">
        <f>E12+F12</f>
        <v>932929</v>
      </c>
      <c r="H12" s="18">
        <v>1.299221</v>
      </c>
      <c r="I12" s="24">
        <f t="shared" si="0"/>
        <v>1212080.9483089999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v>760788</v>
      </c>
      <c r="F13" s="24">
        <v>172141</v>
      </c>
      <c r="G13" s="24">
        <f>E13+F13</f>
        <v>932929</v>
      </c>
      <c r="H13" s="18">
        <v>1.299221</v>
      </c>
      <c r="I13" s="24">
        <f t="shared" si="0"/>
        <v>1212080.9483089999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760788</v>
      </c>
      <c r="F14" s="24">
        <f>[2]Jun.2021!$F$14</f>
        <v>172141</v>
      </c>
      <c r="G14" s="24">
        <f t="shared" si="1"/>
        <v>932929</v>
      </c>
      <c r="H14" s="18">
        <v>1.299221</v>
      </c>
      <c r="I14" s="24">
        <f t="shared" si="0"/>
        <v>1212080.9483089999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v>760788</v>
      </c>
      <c r="F15" s="24">
        <v>172141</v>
      </c>
      <c r="G15" s="24">
        <f>E15+F15</f>
        <v>932929</v>
      </c>
      <c r="H15" s="18">
        <v>1.299221</v>
      </c>
      <c r="I15" s="24">
        <f t="shared" si="0"/>
        <v>1212080.9483089999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f>[2]Jun.2021!$E$16</f>
        <v>0</v>
      </c>
      <c r="F16" s="24">
        <f>[2]Jun.2021!$F$16</f>
        <v>0</v>
      </c>
      <c r="G16" s="24">
        <f>E16+F16</f>
        <v>0</v>
      </c>
      <c r="H16" s="18">
        <v>1.299221</v>
      </c>
      <c r="I16" s="24">
        <f t="shared" si="0"/>
        <v>0</v>
      </c>
      <c r="J16" s="25">
        <f t="shared" si="2"/>
        <v>-1212080.9483089999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f>[2]Jun.2021!$E$17</f>
        <v>0</v>
      </c>
      <c r="F17" s="24">
        <f>[2]Jun.2021!$F$17</f>
        <v>0</v>
      </c>
      <c r="G17" s="24">
        <f t="shared" si="1"/>
        <v>0</v>
      </c>
      <c r="H17" s="18">
        <v>1.299221</v>
      </c>
      <c r="I17" s="24">
        <f t="shared" si="0"/>
        <v>0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f>[2]Jun.2021!$E$18</f>
        <v>0</v>
      </c>
      <c r="F18" s="24">
        <f>[2]Jun.2021!$F$18</f>
        <v>0</v>
      </c>
      <c r="G18" s="24">
        <f t="shared" si="1"/>
        <v>0</v>
      </c>
      <c r="H18" s="18">
        <v>1.299221</v>
      </c>
      <c r="I18" s="24">
        <f t="shared" si="0"/>
        <v>0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f>[2]Jun.2021!$E$19</f>
        <v>0</v>
      </c>
      <c r="F19" s="24">
        <f>[2]Jun.2021!$F$19</f>
        <v>0</v>
      </c>
      <c r="G19" s="24">
        <f t="shared" si="1"/>
        <v>0</v>
      </c>
      <c r="H19" s="18">
        <v>1.299221</v>
      </c>
      <c r="I19" s="24">
        <f t="shared" si="0"/>
        <v>0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f>[2]Jun.2021!$E$20</f>
        <v>0</v>
      </c>
      <c r="F20" s="24">
        <f>[2]Jun.2021!$F$20</f>
        <v>0</v>
      </c>
      <c r="G20" s="24">
        <f t="shared" si="1"/>
        <v>0</v>
      </c>
      <c r="H20" s="18">
        <v>1.299221</v>
      </c>
      <c r="I20" s="24">
        <f t="shared" si="0"/>
        <v>0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f>[2]Jun.2021!$E$21</f>
        <v>0</v>
      </c>
      <c r="F21" s="24">
        <f>[2]Jun.2021!$F$21</f>
        <v>0</v>
      </c>
      <c r="G21" s="24">
        <f t="shared" si="1"/>
        <v>0</v>
      </c>
      <c r="H21" s="18">
        <v>1.299221</v>
      </c>
      <c r="I21" s="24">
        <f t="shared" si="0"/>
        <v>0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f>[2]Jun.2021!$E$22</f>
        <v>0</v>
      </c>
      <c r="F22" s="24">
        <f>[2]Jun.2021!$F$22</f>
        <v>0</v>
      </c>
      <c r="G22" s="24">
        <f t="shared" si="1"/>
        <v>0</v>
      </c>
      <c r="H22" s="18">
        <v>1.299221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f>[2]Jun.2021!$E$23</f>
        <v>0</v>
      </c>
      <c r="F23" s="24">
        <f>[2]Jun.2021!$F$23</f>
        <v>0</v>
      </c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f>[2]Jun.2021!$E$24</f>
        <v>0</v>
      </c>
      <c r="F24" s="24">
        <f>[2]Jun.2021!$F$24</f>
        <v>0</v>
      </c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f>[2]Jun.2021!$E$25</f>
        <v>0</v>
      </c>
      <c r="F25" s="24">
        <f>[2]Jun.2021!$F$25</f>
        <v>0</v>
      </c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f>[2]Jun.2021!$E$26</f>
        <v>0</v>
      </c>
      <c r="F26" s="24">
        <f>[2]Jun.2021!$F$26</f>
        <v>0</v>
      </c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f>[2]Jun.2021!$E$27</f>
        <v>0</v>
      </c>
      <c r="F27" s="24">
        <f>[2]Jun.2021!$F$27</f>
        <v>0</v>
      </c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f>[2]Jun.2021!$E$28</f>
        <v>0</v>
      </c>
      <c r="F28" s="24">
        <f>[2]Jun.2021!$F$28</f>
        <v>0</v>
      </c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f>[2]Jun.2021!$E$29</f>
        <v>0</v>
      </c>
      <c r="F29" s="24">
        <f>[2]Jun.2021!$F$29</f>
        <v>0</v>
      </c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f>[2]Jun.2021!$E$30</f>
        <v>0</v>
      </c>
      <c r="F30" s="24">
        <f>[2]Jun.2021!$F$30</f>
        <v>0</v>
      </c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f>[2]Jun.2021!$E$31</f>
        <v>0</v>
      </c>
      <c r="F31" s="24">
        <f>[2]Jun.2021!$F$31</f>
        <v>0</v>
      </c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f>[2]Jun.2021!$E$32</f>
        <v>0</v>
      </c>
      <c r="F32" s="24">
        <f>[2]Jun.2021!$F$32</f>
        <v>0</v>
      </c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f>[2]Jun.2021!$E$33</f>
        <v>0</v>
      </c>
      <c r="F33" s="24">
        <f>[2]Jun.2021!$F$33</f>
        <v>0</v>
      </c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16" sqref="F16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v>4685.1390000000001</v>
      </c>
      <c r="G5" s="23">
        <v>2760</v>
      </c>
      <c r="H5" s="24">
        <f t="shared" ref="H5:H33" si="11">G5*F5</f>
        <v>12930983.640000001</v>
      </c>
      <c r="I5" s="25">
        <f>H5-H4</f>
        <v>990.84000000171363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990.84000000171363</v>
      </c>
      <c r="W5" s="74">
        <f t="shared" si="2"/>
        <v>-345.36490250636649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990.84000000171363</v>
      </c>
      <c r="AF5" s="74">
        <f t="shared" si="5"/>
        <v>5.5710306406600636E-2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990.84000000171363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v>4685.491</v>
      </c>
      <c r="G6" s="23">
        <v>2760</v>
      </c>
      <c r="H6" s="24">
        <f t="shared" si="11"/>
        <v>12931955.16</v>
      </c>
      <c r="I6" s="25">
        <f t="shared" ref="I6:I32" si="18">H6-H5</f>
        <v>971.51999999955297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971.51999999955297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971.51999999955297</v>
      </c>
      <c r="AF6" s="74">
        <f t="shared" si="5"/>
        <v>5.3977272727359873E-2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971.51999999955297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v>4685.8680000000004</v>
      </c>
      <c r="G7" s="23">
        <v>2760</v>
      </c>
      <c r="H7" s="24">
        <f t="shared" si="11"/>
        <v>12932995.680000002</v>
      </c>
      <c r="I7" s="25">
        <f t="shared" si="18"/>
        <v>1040.5200000014156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1040.5200000014156</v>
      </c>
      <c r="W7" s="74">
        <f t="shared" si="2"/>
        <v>0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1040.5200000014156</v>
      </c>
      <c r="AF7" s="74">
        <f t="shared" si="5"/>
        <v>-436.85145888534737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1040.5200000014156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v>4686.232</v>
      </c>
      <c r="G8" s="23">
        <v>2760</v>
      </c>
      <c r="H8" s="24">
        <f t="shared" si="11"/>
        <v>12934000.32</v>
      </c>
      <c r="I8" s="25">
        <f t="shared" si="18"/>
        <v>1004.6399999987334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1004.6399999987334</v>
      </c>
      <c r="W8" s="74">
        <f t="shared" si="2"/>
        <v>0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1004.6399999987334</v>
      </c>
      <c r="AF8" s="74">
        <f t="shared" si="5"/>
        <v>0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1004.6399999987334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v>4686.5839999999998</v>
      </c>
      <c r="G9" s="23">
        <v>2760</v>
      </c>
      <c r="H9" s="24">
        <f t="shared" si="11"/>
        <v>12934971.84</v>
      </c>
      <c r="I9" s="25">
        <f t="shared" si="18"/>
        <v>971.51999999955297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971.51999999955297</v>
      </c>
      <c r="W9" s="74">
        <f t="shared" si="2"/>
        <v>0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971.51999999955297</v>
      </c>
      <c r="AF9" s="74">
        <f t="shared" si="5"/>
        <v>0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971.51999999955297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v>4686.942</v>
      </c>
      <c r="G10" s="23">
        <v>2760</v>
      </c>
      <c r="H10" s="24">
        <f t="shared" si="11"/>
        <v>12935959.92</v>
      </c>
      <c r="I10" s="25">
        <f t="shared" si="18"/>
        <v>988.08000000007451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988.08000000007451</v>
      </c>
      <c r="W10" s="74">
        <f t="shared" si="2"/>
        <v>0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988.08000000007451</v>
      </c>
      <c r="AF10" s="74">
        <f>AD10/AE10</f>
        <v>0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988.08000000007451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v>4687.3040000000001</v>
      </c>
      <c r="G11" s="23">
        <v>2760</v>
      </c>
      <c r="H11" s="24">
        <f t="shared" si="11"/>
        <v>12936959.040000001</v>
      </c>
      <c r="I11" s="25">
        <f t="shared" si="18"/>
        <v>999.12000000104308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999.12000000104308</v>
      </c>
      <c r="W11" s="74">
        <f t="shared" si="2"/>
        <v>0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999.12000000104308</v>
      </c>
      <c r="AF11" s="74">
        <f>AD11/AE11</f>
        <v>0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999.12000000104308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v>4687.6589999999997</v>
      </c>
      <c r="G12" s="23">
        <v>2760</v>
      </c>
      <c r="H12" s="24">
        <f t="shared" si="11"/>
        <v>12937938.84</v>
      </c>
      <c r="I12" s="25">
        <f t="shared" si="18"/>
        <v>979.79999999888241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979.79999999888241</v>
      </c>
      <c r="W12" s="74">
        <f t="shared" si="2"/>
        <v>0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979.79999999888241</v>
      </c>
      <c r="AF12" s="74">
        <f>AD12/AE12</f>
        <v>0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979.79999999888241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v>4688.0230000000001</v>
      </c>
      <c r="G13" s="23">
        <v>2760</v>
      </c>
      <c r="H13" s="24">
        <f t="shared" si="11"/>
        <v>12938943.48</v>
      </c>
      <c r="I13" s="25">
        <f t="shared" si="18"/>
        <v>1004.640000000596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1004.640000000596</v>
      </c>
      <c r="W13" s="74">
        <f t="shared" si="2"/>
        <v>0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1004.640000000596</v>
      </c>
      <c r="AF13" s="74">
        <f>AD13/AE13</f>
        <v>0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1004.640000000596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4688.3969999999999</v>
      </c>
      <c r="G14" s="23">
        <v>2760</v>
      </c>
      <c r="H14" s="24">
        <f t="shared" si="11"/>
        <v>12939975.720000001</v>
      </c>
      <c r="I14" s="25">
        <f t="shared" si="18"/>
        <v>1032.2400000002235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1032.2400000002235</v>
      </c>
      <c r="W14" s="74">
        <f t="shared" si="2"/>
        <v>0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1032.2400000002235</v>
      </c>
      <c r="AF14" s="74">
        <f>AD14/AE14</f>
        <v>0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1032.2400000002235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v>4688.7550000000001</v>
      </c>
      <c r="G15" s="23">
        <v>2760</v>
      </c>
      <c r="H15" s="24">
        <f t="shared" si="11"/>
        <v>12940963.800000001</v>
      </c>
      <c r="I15" s="25">
        <f t="shared" si="18"/>
        <v>988.08000000007451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988.08000000007451</v>
      </c>
      <c r="W15" s="81">
        <f t="shared" si="2"/>
        <v>0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988.08000000007451</v>
      </c>
      <c r="AF15" s="74">
        <f t="shared" ref="AF15:AF35" si="25">AD15/AE15</f>
        <v>0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988.08000000007451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f>'[4]Haziran.2021  '!$F$16</f>
        <v>0</v>
      </c>
      <c r="G16" s="23">
        <v>2760</v>
      </c>
      <c r="H16" s="24">
        <f t="shared" si="11"/>
        <v>0</v>
      </c>
      <c r="I16" s="25">
        <f t="shared" si="18"/>
        <v>-12940963.800000001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-12940963.800000001</v>
      </c>
      <c r="W16" s="81">
        <f t="shared" si="2"/>
        <v>0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-12940963.800000001</v>
      </c>
      <c r="AF16" s="74">
        <f t="shared" si="25"/>
        <v>0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-12940963.800000001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f>'[4]Haziran.2021  '!$F$17</f>
        <v>0</v>
      </c>
      <c r="G17" s="23">
        <v>2760</v>
      </c>
      <c r="H17" s="24">
        <f t="shared" si="11"/>
        <v>0</v>
      </c>
      <c r="I17" s="25">
        <f t="shared" si="18"/>
        <v>0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0</v>
      </c>
      <c r="W17" s="74" t="e">
        <f t="shared" si="2"/>
        <v>#DIV/0!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0</v>
      </c>
      <c r="AF17" s="74" t="e">
        <f t="shared" si="25"/>
        <v>#DIV/0!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0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f>'[4]Haziran.2021  '!$F$18</f>
        <v>0</v>
      </c>
      <c r="G18" s="23">
        <v>2760</v>
      </c>
      <c r="H18" s="24">
        <f t="shared" si="11"/>
        <v>0</v>
      </c>
      <c r="I18" s="25">
        <f t="shared" si="18"/>
        <v>0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0</v>
      </c>
      <c r="W18" s="74" t="e">
        <f>U18/V18</f>
        <v>#DIV/0!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0</v>
      </c>
      <c r="AF18" s="74" t="e">
        <f t="shared" si="25"/>
        <v>#DIV/0!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0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f>'[4]Haziran.2021  '!$F$19</f>
        <v>0</v>
      </c>
      <c r="G19" s="23">
        <v>2760</v>
      </c>
      <c r="H19" s="24">
        <f t="shared" si="11"/>
        <v>0</v>
      </c>
      <c r="I19" s="25">
        <f t="shared" si="18"/>
        <v>0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0</v>
      </c>
      <c r="W19" s="74" t="e">
        <f>U19/V19</f>
        <v>#DIV/0!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0</v>
      </c>
      <c r="AF19" s="74" t="e">
        <f t="shared" si="25"/>
        <v>#DIV/0!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0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f>'[4]Haziran.2021  '!$F$20</f>
        <v>0</v>
      </c>
      <c r="G20" s="23">
        <v>2760</v>
      </c>
      <c r="H20" s="24">
        <f t="shared" si="11"/>
        <v>0</v>
      </c>
      <c r="I20" s="25">
        <f t="shared" si="18"/>
        <v>0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0</v>
      </c>
      <c r="W20" s="74" t="e">
        <f t="shared" si="2"/>
        <v>#DIV/0!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0</v>
      </c>
      <c r="AF20" s="74" t="e">
        <f t="shared" si="25"/>
        <v>#DIV/0!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0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f>'[4]Haziran.2021  '!$F$21</f>
        <v>0</v>
      </c>
      <c r="G21" s="23">
        <v>2760</v>
      </c>
      <c r="H21" s="24">
        <f t="shared" si="11"/>
        <v>0</v>
      </c>
      <c r="I21" s="25">
        <f t="shared" si="18"/>
        <v>0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0</v>
      </c>
      <c r="W21" s="74" t="e">
        <f t="shared" si="2"/>
        <v>#DIV/0!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0</v>
      </c>
      <c r="AF21" s="74" t="e">
        <f>AD21/AE21</f>
        <v>#DIV/0!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f>'[4]Haziran.2021  '!$F$22</f>
        <v>0</v>
      </c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0</v>
      </c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0</v>
      </c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0</v>
      </c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0</v>
      </c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0</v>
      </c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f>'[4]Haziran.2021  '!$F$28</f>
        <v>0</v>
      </c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f>'[4]Haziran.2021  '!$F$29</f>
        <v>0</v>
      </c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0</v>
      </c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0</v>
      </c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f>'[4]Haziran.2021  '!$F$32</f>
        <v>0</v>
      </c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f>'[4]Haziran.2021  '!$F$33</f>
        <v>0</v>
      </c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-12929029.6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-12929029.6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-12929029.6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-12929029.6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2021-06-12T20:03:16Z</dcterms:modified>
</cp:coreProperties>
</file>