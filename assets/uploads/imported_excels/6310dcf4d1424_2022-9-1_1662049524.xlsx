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75" documentId="8_{722EA937-C075-44E3-AE1E-2699536DFD5C}" xr6:coauthVersionLast="47" xr6:coauthVersionMax="47" xr10:uidLastSave="{70CBE2A8-78BE-48D2-901D-7C4005A3CB65}"/>
  <bookViews>
    <workbookView xWindow="-120" yWindow="-120" windowWidth="17520" windowHeight="3036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44" i="6" l="1"/>
  <c r="BF44" i="6"/>
  <c r="BD44" i="6"/>
  <c r="BA44" i="6"/>
  <c r="AY44" i="6"/>
  <c r="BB44" i="6" s="1"/>
  <c r="AX42" i="3" s="1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 s="1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 s="1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 s="1"/>
  <c r="AQ42" i="5" s="1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 s="1"/>
  <c r="AX41" i="3" s="1"/>
  <c r="AV43" i="6"/>
  <c r="BH42" i="6"/>
  <c r="BF42" i="6"/>
  <c r="BD42" i="6"/>
  <c r="AY40" i="3" s="1"/>
  <c r="I39" i="1" s="1"/>
  <c r="J39" i="1" s="1"/>
  <c r="BA42" i="6"/>
  <c r="AW40" i="3" s="1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 s="1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 s="1"/>
  <c r="L41" i="5"/>
  <c r="R39" i="3" s="1"/>
  <c r="I41" i="5"/>
  <c r="F41" i="5"/>
  <c r="BH41" i="6"/>
  <c r="BF41" i="6"/>
  <c r="BD41" i="6"/>
  <c r="BA41" i="6"/>
  <c r="AY41" i="6"/>
  <c r="BB41" i="6" s="1"/>
  <c r="AX39" i="3" s="1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 s="1"/>
  <c r="AX38" i="3" s="1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 s="1"/>
  <c r="AQ40" i="5" s="1"/>
  <c r="U40" i="5"/>
  <c r="R40" i="5"/>
  <c r="O40" i="5"/>
  <c r="L40" i="5"/>
  <c r="I40" i="5"/>
  <c r="F40" i="5"/>
  <c r="H38" i="3" s="1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 s="1"/>
  <c r="AP42" i="5"/>
  <c r="AP43" i="5"/>
  <c r="AQ43" i="5" s="1"/>
  <c r="AO44" i="5"/>
  <c r="AP44" i="5"/>
  <c r="AQ44" i="5" s="1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 s="1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 s="1"/>
  <c r="U41" i="6"/>
  <c r="U42" i="6"/>
  <c r="Y42" i="6" s="1"/>
  <c r="U43" i="6"/>
  <c r="Y43" i="6" s="1"/>
  <c r="U44" i="6"/>
  <c r="Y44" i="6" s="1"/>
  <c r="U45" i="6"/>
  <c r="Y45" i="6" s="1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 s="1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 s="1"/>
  <c r="K44" i="6"/>
  <c r="K45" i="6"/>
  <c r="AH43" i="3" s="1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 s="1"/>
  <c r="H41" i="6"/>
  <c r="AG39" i="3" s="1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 s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 s="1"/>
  <c r="I33" i="1"/>
  <c r="I2" i="1"/>
  <c r="I30" i="1"/>
  <c r="I40" i="1"/>
  <c r="J40" i="1" s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54" i="1"/>
  <c r="F54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F55" i="1"/>
  <c r="E49" i="1"/>
  <c r="F49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 l="1"/>
  <c r="J42" i="1" s="1"/>
  <c r="E41" i="1"/>
  <c r="F41" i="1"/>
  <c r="E40" i="1"/>
  <c r="F40" i="1" s="1"/>
  <c r="E39" i="1"/>
  <c r="F39" i="1" s="1"/>
  <c r="BB42" i="6"/>
  <c r="AX40" i="3" s="1"/>
  <c r="AK42" i="3"/>
  <c r="G41" i="1" s="1"/>
  <c r="E38" i="1"/>
  <c r="F38" i="1"/>
  <c r="Y41" i="6"/>
  <c r="G38" i="1"/>
  <c r="I38" i="1"/>
  <c r="J38" i="1" s="1"/>
  <c r="I37" i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<sst xmlns="http://schemas.openxmlformats.org/spreadsheetml/2006/main" count="1161" uniqueCount="218">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</sst>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2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2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2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2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2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2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2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2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2191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2145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2293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634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1594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1912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0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1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2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2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2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2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2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2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2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2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423</v>
      </c>
      <c r="F36" s="36">
        <f>IF(Elect!I38&lt;0,"0",Elect!I38)</f>
        <v>50080</v>
      </c>
      <c r="G36" s="36">
        <f>Elect!H38</f>
        <v>2.2320000000000002</v>
      </c>
      <c r="H36" s="36">
        <f>IF(Elect!F38&lt;0,"0",Elect!F38)</f>
        <v>43200</v>
      </c>
      <c r="I36" s="36">
        <f>Elect!E38</f>
        <v>1.89</v>
      </c>
      <c r="J36" s="36">
        <f>IF(Elect!U38&lt;0,"0",Elect!U38)</f>
        <v>97800</v>
      </c>
      <c r="K36" s="36">
        <f>Elect!T38</f>
        <v>2.4660000000000002</v>
      </c>
      <c r="L36" s="36">
        <f>IF(Elect!AJ38&lt;0,"0",Elect!AJ38)</f>
        <v>1680</v>
      </c>
      <c r="M36" s="36">
        <f>Elect!AI38</f>
        <v>0.30299999999999999</v>
      </c>
      <c r="N36" s="36">
        <f>IF(Elect!X38&lt;0,"0",Elect!X38)</f>
        <v>90000</v>
      </c>
      <c r="O36" s="36">
        <f>Elect!W38</f>
        <v>2.0790000000000002</v>
      </c>
      <c r="P36" s="36">
        <f>IF(Elect!O38&lt;0,"0",Elect!O38)</f>
        <v>12000</v>
      </c>
      <c r="Q36" s="36">
        <f>Elect!N38</f>
        <v>2.1</v>
      </c>
      <c r="R36" s="36">
        <f>IF(Elect!L38&lt;0,"0",Elect!L38)</f>
        <v>14800</v>
      </c>
      <c r="S36" s="36">
        <f>Elect!K38</f>
        <v>2.5099999999999998</v>
      </c>
      <c r="T36" s="36">
        <f>IF(Elect!R38&lt;0,"0",Elect!R38)</f>
        <v>12000</v>
      </c>
      <c r="U36" s="36">
        <f>Elect!Q38</f>
        <v>2.21</v>
      </c>
      <c r="V36" s="36">
        <f>IF(Elect!AA38&lt;0,"0",Elect!AA38)</f>
        <v>6080</v>
      </c>
      <c r="W36" s="36">
        <f>Elect!Z38</f>
        <v>2.99</v>
      </c>
      <c r="X36" s="36">
        <f>IF(Elect!AD38&lt;0,"0",Elect!AD38)</f>
        <v>3520</v>
      </c>
      <c r="Y36" s="36">
        <f>Elect!AC38</f>
        <v>2.0499999999999998</v>
      </c>
      <c r="Z36" s="36">
        <f>IF(Elect!AG38&lt;0,"0",Elect!AG38)</f>
        <v>58800</v>
      </c>
      <c r="AA36" s="36">
        <f>Elect!AF38</f>
        <v>2.2959999999999998</v>
      </c>
      <c r="AB36" s="36">
        <f>IF(Elect!AX38&lt;0,"0",Elect!AX38)</f>
        <v>2300</v>
      </c>
      <c r="AC36" s="36">
        <f>IF(Elect!AV38&lt;0,"0",Elect!AV38)</f>
        <v>19300</v>
      </c>
      <c r="AD36" s="36">
        <f>IF(Elect!AZ38&lt;0,"0",Elect!AZ38)</f>
        <v>936</v>
      </c>
      <c r="AE36" s="36">
        <f>IF(Elect!BB38&lt;0,"0",Elect!BB38)</f>
        <v>3920</v>
      </c>
      <c r="AF36" s="74">
        <f>IF('Wtr-Gas'!E38&lt;0,"0",('Wtr-Gas'!E38)*0.0038)</f>
        <v>5583.15</v>
      </c>
      <c r="AG36" s="74">
        <f>IF('Wtr-Gas'!H38&lt;0,"0",('Wtr-Gas'!H38)*0.0038)</f>
        <v>690.04200000000003</v>
      </c>
      <c r="AH36" s="74">
        <f>IF('Wtr-Gas'!K38&lt;0,"0",('Wtr-Gas'!K38)*0.0038)</f>
        <v>1.71</v>
      </c>
      <c r="AI36" s="74">
        <f>IF('Wtr-Gas'!N38&lt;0,"0",('Wtr-Gas'!N38)*0.0038)</f>
        <v>4609.3999999999996</v>
      </c>
      <c r="AJ36" s="74">
        <f>IF('Wtr-Gas'!Q38&lt;0,"0",('Wtr-Gas'!Q38)*0.0038)</f>
        <v>92.34</v>
      </c>
      <c r="AK36" s="75">
        <f>IF('Wtr-Gas'!U38&lt;0,"0",('Wtr-Gas'!U38)*0.0038)</f>
        <v>793.06</v>
      </c>
      <c r="AL36" s="75">
        <f>IF('Wtr-Gas'!X38&lt;0,"0",('Wtr-Gas'!X38)*0.0038)</f>
        <v>42.56</v>
      </c>
      <c r="AM36" s="74">
        <f>IF('Wtr-Gas'!AB38&lt;0,"0",('Wtr-Gas'!AB38)*0.0038)</f>
        <v>32224</v>
      </c>
      <c r="AN36" s="74">
        <f>IF('Wtr-Gas'!AD38&lt;0,"0",('Wtr-Gas'!AD38)*0.0038)</f>
        <v>3240.6779999999999</v>
      </c>
      <c r="AO36" s="74">
        <f>IF('Wtr-Gas'!AH38&lt;0,"0",('Wtr-Gas'!AH38)*0.0038)</f>
        <v>6.46</v>
      </c>
      <c r="AP36" s="74">
        <f>IF('Wtr-Gas'!AJ38&lt;0,"0",('Wtr-Gas'!AJ38)*0.0038)</f>
        <v>272.726</v>
      </c>
      <c r="AQ36" s="74">
        <f>IF('Wtr-Gas'!AL38&lt;0,"0",('Wtr-Gas'!AL38)*0.0038)</f>
        <v>0</v>
      </c>
      <c r="AR36" s="74">
        <f>IF('Wtr-Gas'!AN38&lt;0,"0",('Wtr-Gas'!AN38)*0.0038)</f>
        <v>235.6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0.2888</v>
      </c>
      <c r="AV36" s="74">
        <f>IF('Wtr-Gas'!AY38&lt;0,"0",('Wtr-Gas'!AY38)*0.0038)</f>
        <v>208.7758</v>
      </c>
      <c r="AW36" s="74">
        <f>IF('Wtr-Gas'!BA38&lt;0,"0",('Wtr-Gas'!BA38)*0.0038)</f>
        <v>150.746038</v>
      </c>
      <c r="AX36" s="74">
        <f>IF('Wtr-Gas'!BB38&lt;0,"0",('Wtr-Gas'!BB38)*0.0038)</f>
        <v>58.029761999999991</v>
      </c>
      <c r="AY36" s="74">
        <f>IF('Wtr-Gas'!BD38&lt;0,"0",('Wtr-Gas'!BD38)*0.0038)</f>
        <v>17.86</v>
      </c>
      <c r="AZ36" s="74">
        <f>IF('Wtr-Gas'!BF38&lt;0,"0",('Wtr-Gas'!BF38)*0.0038)</f>
        <v>1.1399999999999999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543</v>
      </c>
      <c r="F37" s="36">
        <f>IF(Elect!I39&lt;0,"0",Elect!I39)</f>
        <v>49600</v>
      </c>
      <c r="G37" s="36">
        <f>Elect!H39</f>
        <v>2.403</v>
      </c>
      <c r="H37" s="36">
        <f>IF(Elect!F39&lt;0,"0",Elect!F39)</f>
        <v>42560</v>
      </c>
      <c r="I37" s="36">
        <f>Elect!E39</f>
        <v>2.0009999999999999</v>
      </c>
      <c r="J37" s="36">
        <f>IF(Elect!U39&lt;0,"0",Elect!U39)</f>
        <v>86400</v>
      </c>
      <c r="K37" s="36">
        <f>Elect!T39</f>
        <v>2.4980000000000002</v>
      </c>
      <c r="L37" s="36">
        <f>IF(Elect!AJ39&lt;0,"0",Elect!AJ39)</f>
        <v>1600</v>
      </c>
      <c r="M37" s="36">
        <f>Elect!AI39</f>
        <v>0.30299999999999999</v>
      </c>
      <c r="N37" s="36">
        <f>IF(Elect!X39&lt;0,"0",Elect!X39)</f>
        <v>85500</v>
      </c>
      <c r="O37" s="36">
        <f>Elect!W39</f>
        <v>2.2850000000000001</v>
      </c>
      <c r="P37" s="36">
        <f>IF(Elect!O39&lt;0,"0",Elect!O39)</f>
        <v>11200</v>
      </c>
      <c r="Q37" s="36">
        <f>Elect!N39</f>
        <v>2.17</v>
      </c>
      <c r="R37" s="36">
        <f>IF(Elect!L39&lt;0,"0",Elect!L39)</f>
        <v>12800</v>
      </c>
      <c r="S37" s="36">
        <f>Elect!K39</f>
        <v>2.5099999999999998</v>
      </c>
      <c r="T37" s="36">
        <f>IF(Elect!R39&lt;0,"0",Elect!R39)</f>
        <v>10800</v>
      </c>
      <c r="U37" s="36">
        <f>Elect!Q39</f>
        <v>2.21</v>
      </c>
      <c r="V37" s="36">
        <f>IF(Elect!AA39&lt;0,"0",Elect!AA39)</f>
        <v>5920</v>
      </c>
      <c r="W37" s="36">
        <f>Elect!Z39</f>
        <v>2.99</v>
      </c>
      <c r="X37" s="36">
        <f>IF(Elect!AD39&lt;0,"0",Elect!AD39)</f>
        <v>3520</v>
      </c>
      <c r="Y37" s="36">
        <f>Elect!AC39</f>
        <v>2.1800000000000002</v>
      </c>
      <c r="Z37" s="36">
        <f>IF(Elect!AG39&lt;0,"0",Elect!AG39)</f>
        <v>57000</v>
      </c>
      <c r="AA37" s="36">
        <f>Elect!AF39</f>
        <v>2.2959999999999998</v>
      </c>
      <c r="AB37" s="36">
        <f>IF(Elect!AX39&lt;0,"0",Elect!AX39)</f>
        <v>2600</v>
      </c>
      <c r="AC37" s="36">
        <f>IF(Elect!AV39&lt;0,"0",Elect!AV39)</f>
        <v>21400</v>
      </c>
      <c r="AD37" s="36">
        <f>IF(Elect!AZ39&lt;0,"0",Elect!AZ39)</f>
        <v>1009</v>
      </c>
      <c r="AE37" s="36">
        <f>IF(Elect!BB39&lt;0,"0",Elect!BB39)</f>
        <v>5320</v>
      </c>
      <c r="AF37" s="74">
        <f>IF('Wtr-Gas'!E39&lt;0,"0",('Wtr-Gas'!E39)*0.0038)</f>
        <v>5094.3559999999998</v>
      </c>
      <c r="AG37" s="74">
        <f>IF('Wtr-Gas'!H39&lt;0,"0",('Wtr-Gas'!H39)*0.0038)</f>
        <v>655.76599999999996</v>
      </c>
      <c r="AH37" s="74">
        <f>IF('Wtr-Gas'!K39&lt;0,"0",('Wtr-Gas'!K39)*0.0038)</f>
        <v>0.874</v>
      </c>
      <c r="AI37" s="74">
        <f>IF('Wtr-Gas'!N39&lt;0,"0",('Wtr-Gas'!N39)*0.0038)</f>
        <v>4202.8</v>
      </c>
      <c r="AJ37" s="74">
        <f>IF('Wtr-Gas'!Q39&lt;0,"0",('Wtr-Gas'!Q39)*0.0038)</f>
        <v>101.08</v>
      </c>
      <c r="AK37" s="75">
        <f>IF('Wtr-Gas'!U39&lt;0,"0",('Wtr-Gas'!U39)*0.0038)</f>
        <v>748.6</v>
      </c>
      <c r="AL37" s="75">
        <f>IF('Wtr-Gas'!X39&lt;0,"0",('Wtr-Gas'!X39)*0.0038)</f>
        <v>47.5</v>
      </c>
      <c r="AM37" s="74">
        <f>IF('Wtr-Gas'!AB39&lt;0,"0",('Wtr-Gas'!AB39)*0.0038)</f>
        <v>4750</v>
      </c>
      <c r="AN37" s="74">
        <f>IF('Wtr-Gas'!AD39&lt;0,"0",('Wtr-Gas'!AD39)*0.0038)</f>
        <v>3934.4059999999999</v>
      </c>
      <c r="AO37" s="74">
        <f>IF('Wtr-Gas'!AH39&lt;0,"0",('Wtr-Gas'!AH39)*0.0038)</f>
        <v>10.792</v>
      </c>
      <c r="AP37" s="74">
        <f>IF('Wtr-Gas'!AJ39&lt;0,"0",('Wtr-Gas'!AJ39)*0.0038)</f>
        <v>157.51</v>
      </c>
      <c r="AQ37" s="74">
        <f>IF('Wtr-Gas'!AL39&lt;0,"0",('Wtr-Gas'!AL39)*0.0038)</f>
        <v>61.708199999999998</v>
      </c>
      <c r="AR37" s="74">
        <f>IF('Wtr-Gas'!AN39&lt;0,"0",('Wtr-Gas'!AN39)*0.0038)</f>
        <v>125.4</v>
      </c>
      <c r="AS37" s="74">
        <f>IF('Wtr-Gas'!AP39&lt;0,"0",('Wtr-Gas'!AP39)*0.0038)</f>
        <v>3.4200000000000001E-2</v>
      </c>
      <c r="AT37" s="74">
        <f>IF('Wtr-Gas'!AR39&lt;0,"0",('Wtr-Gas'!AR39)*0.0038)</f>
        <v>7.98</v>
      </c>
      <c r="AU37" s="87">
        <f>IF('Wtr-Gas'!AV39&lt;0,"0",('Wtr-Gas'!AV39)*0.0038)</f>
        <v>0.31919999999999998</v>
      </c>
      <c r="AV37" s="74">
        <f>IF('Wtr-Gas'!AY39&lt;0,"0",('Wtr-Gas'!AY39)*0.0038)</f>
        <v>232.9742</v>
      </c>
      <c r="AW37" s="74">
        <f>IF('Wtr-Gas'!BA39&lt;0,"0",('Wtr-Gas'!BA39)*0.0038)</f>
        <v>171.26493600000001</v>
      </c>
      <c r="AX37" s="74">
        <f>IF('Wtr-Gas'!BB39&lt;0,"0",('Wtr-Gas'!BB39)*0.0038)</f>
        <v>61.709263999999997</v>
      </c>
      <c r="AY37" s="74">
        <f>IF('Wtr-Gas'!BD39&lt;0,"0",('Wtr-Gas'!BD39)*0.0038)</f>
        <v>16.34</v>
      </c>
      <c r="AZ37" s="74">
        <f>IF('Wtr-Gas'!BF39&lt;0,"0",('Wtr-Gas'!BF39)*0.0038)</f>
        <v>0.76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449</v>
      </c>
      <c r="F38" s="36">
        <f>IF(Elect!I40&lt;0,"0",Elect!I40)</f>
        <v>49920</v>
      </c>
      <c r="G38" s="36">
        <f>Elect!H40</f>
        <v>2.403</v>
      </c>
      <c r="H38" s="36">
        <f>IF(Elect!F40&lt;0,"0",Elect!F40)</f>
        <v>43040</v>
      </c>
      <c r="I38" s="36">
        <f>Elect!E40</f>
        <v>2.052</v>
      </c>
      <c r="J38" s="36">
        <f>IF(Elect!U40&lt;0,"0",Elect!U40)</f>
        <v>94500</v>
      </c>
      <c r="K38" s="36">
        <f>Elect!T40</f>
        <v>2.7240000000000002</v>
      </c>
      <c r="L38" s="36">
        <f>IF(Elect!AJ40&lt;0,"0",Elect!AJ40)</f>
        <v>1520</v>
      </c>
      <c r="M38" s="36">
        <f>Elect!AI40</f>
        <v>0.30299999999999999</v>
      </c>
      <c r="N38" s="36">
        <f>IF(Elect!X40&lt;0,"0",Elect!X40)</f>
        <v>90600</v>
      </c>
      <c r="O38" s="36">
        <f>Elect!W40</f>
        <v>2.2850000000000001</v>
      </c>
      <c r="P38" s="36">
        <f>IF(Elect!O40&lt;0,"0",Elect!O40)</f>
        <v>11600</v>
      </c>
      <c r="Q38" s="36">
        <f>Elect!N40</f>
        <v>2.2999999999999998</v>
      </c>
      <c r="R38" s="36">
        <f>IF(Elect!L40&lt;0,"0",Elect!L40)</f>
        <v>13200</v>
      </c>
      <c r="S38" s="36">
        <f>Elect!K40</f>
        <v>2.5099999999999998</v>
      </c>
      <c r="T38" s="36">
        <f>IF(Elect!R40&lt;0,"0",Elect!R40)</f>
        <v>12000</v>
      </c>
      <c r="U38" s="36">
        <f>Elect!Q40</f>
        <v>2.21</v>
      </c>
      <c r="V38" s="36">
        <f>IF(Elect!AA40&lt;0,"0",Elect!AA40)</f>
        <v>6560</v>
      </c>
      <c r="W38" s="36">
        <f>Elect!Z40</f>
        <v>4.12</v>
      </c>
      <c r="X38" s="36">
        <f>IF(Elect!AD40&lt;0,"0",Elect!AD40)</f>
        <v>3840</v>
      </c>
      <c r="Y38" s="36">
        <f>Elect!AC40</f>
        <v>2.9</v>
      </c>
      <c r="Z38" s="36">
        <f>IF(Elect!AG40&lt;0,"0",Elect!AG40)</f>
        <v>54800</v>
      </c>
      <c r="AA38" s="36">
        <f>Elect!AF40</f>
        <v>2.2959999999999998</v>
      </c>
      <c r="AB38" s="36">
        <f>IF(Elect!AX40&lt;0,"0",Elect!AX40)</f>
        <v>2500</v>
      </c>
      <c r="AC38" s="36">
        <f>IF(Elect!AV40&lt;0,"0",Elect!AV40)</f>
        <v>20300</v>
      </c>
      <c r="AD38" s="36">
        <f>IF(Elect!AZ40&lt;0,"0",Elect!AZ40)</f>
        <v>1016</v>
      </c>
      <c r="AE38" s="36">
        <f>IF(Elect!BB40&lt;0,"0",Elect!BB40)</f>
        <v>3400</v>
      </c>
      <c r="AF38" s="74">
        <f>IF('Wtr-Gas'!E40&lt;0,"0",('Wtr-Gas'!E40)*0.0038)</f>
        <v>5503.0460000000003</v>
      </c>
      <c r="AG38" s="74">
        <f>IF('Wtr-Gas'!H40&lt;0,"0",('Wtr-Gas'!H40)*0.0038)</f>
        <v>670.85199999999998</v>
      </c>
      <c r="AH38" s="74">
        <f>IF('Wtr-Gas'!K40&lt;0,"0",('Wtr-Gas'!K40)*0.0038)</f>
        <v>1.444</v>
      </c>
      <c r="AI38" s="74">
        <f>IF('Wtr-Gas'!N40&lt;0,"0",('Wtr-Gas'!N40)*0.0038)</f>
        <v>4613.2</v>
      </c>
      <c r="AJ38" s="74">
        <f>IF('Wtr-Gas'!Q40&lt;0,"0",('Wtr-Gas'!Q40)*0.0038)</f>
        <v>110.2</v>
      </c>
      <c r="AK38" s="75">
        <f>IF('Wtr-Gas'!U40&lt;0,"0",('Wtr-Gas'!U40)*0.0038)</f>
        <v>774.82</v>
      </c>
      <c r="AL38" s="75">
        <f>IF('Wtr-Gas'!X40&lt;0,"0",('Wtr-Gas'!X40)*0.0038)</f>
        <v>49.02</v>
      </c>
      <c r="AM38" s="74">
        <f>IF('Wtr-Gas'!AB40&lt;0,"0",('Wtr-Gas'!AB40)*0.0038)</f>
        <v>4598</v>
      </c>
      <c r="AN38" s="74">
        <f>IF('Wtr-Gas'!AD40&lt;0,"0",('Wtr-Gas'!AD40)*0.0038)</f>
        <v>4898.1620000000003</v>
      </c>
      <c r="AO38" s="74">
        <f>IF('Wtr-Gas'!AH40&lt;0,"0",('Wtr-Gas'!AH40)*0.0038)</f>
        <v>7.4859999999999998</v>
      </c>
      <c r="AP38" s="74">
        <f>IF('Wtr-Gas'!AJ40&lt;0,"0",('Wtr-Gas'!AJ40)*0.0038)</f>
        <v>191.36799999999999</v>
      </c>
      <c r="AQ38" s="74">
        <f>IF('Wtr-Gas'!AL40&lt;0,"0",('Wtr-Gas'!AL40)*0.0038)</f>
        <v>20.607399999999998</v>
      </c>
      <c r="AR38" s="74">
        <f>IF('Wtr-Gas'!AN40&lt;0,"0",('Wtr-Gas'!AN40)*0.0038)</f>
        <v>148.19999999999999</v>
      </c>
      <c r="AS38" s="74">
        <f>IF('Wtr-Gas'!AP40&lt;0,"0",('Wtr-Gas'!AP40)*0.0038)</f>
        <v>2.6599999999999999E-2</v>
      </c>
      <c r="AT38" s="74">
        <f>IF('Wtr-Gas'!AR40&lt;0,"0",('Wtr-Gas'!AR40)*0.0038)</f>
        <v>3.8</v>
      </c>
      <c r="AU38" s="87">
        <f>IF('Wtr-Gas'!AV40&lt;0,"0",('Wtr-Gas'!AV40)*0.0038)</f>
        <v>0.3876</v>
      </c>
      <c r="AV38" s="74">
        <f>IF('Wtr-Gas'!AY40&lt;0,"0",('Wtr-Gas'!AY40)*0.0038)</f>
        <v>239.49879999999999</v>
      </c>
      <c r="AW38" s="74">
        <f>IF('Wtr-Gas'!BA40&lt;0,"0",('Wtr-Gas'!BA40)*0.0038)</f>
        <v>171.30354399999999</v>
      </c>
      <c r="AX38" s="74">
        <f>IF('Wtr-Gas'!BB40&lt;0,"0",('Wtr-Gas'!BB40)*0.0038)</f>
        <v>68.195256000000015</v>
      </c>
      <c r="AY38" s="74">
        <f>IF('Wtr-Gas'!BD40&lt;0,"0",('Wtr-Gas'!BD40)*0.0038)</f>
        <v>8.74</v>
      </c>
      <c r="AZ38" s="74">
        <f>IF('Wtr-Gas'!BF40&lt;0,"0",('Wtr-Gas'!BF40)*0.0038)</f>
        <v>4.5599999999999996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490</v>
      </c>
      <c r="F39" s="36">
        <f>IF(Elect!I41&lt;0,"0",Elect!I41)</f>
        <v>48960</v>
      </c>
      <c r="G39" s="36">
        <f>Elect!H41</f>
        <v>2.403</v>
      </c>
      <c r="H39" s="36">
        <f>IF(Elect!F41&lt;0,"0",Elect!F41)</f>
        <v>43200</v>
      </c>
      <c r="I39" s="36">
        <f>Elect!E41</f>
        <v>2.052</v>
      </c>
      <c r="J39" s="36">
        <f>IF(Elect!U41&lt;0,"0",Elect!U41)</f>
        <v>89100</v>
      </c>
      <c r="K39" s="36">
        <f>Elect!T41</f>
        <v>2.7240000000000002</v>
      </c>
      <c r="L39" s="36">
        <f>IF(Elect!AJ41&lt;0,"0",Elect!AJ41)</f>
        <v>1560</v>
      </c>
      <c r="M39" s="36">
        <f>Elect!AI41</f>
        <v>0.30299999999999999</v>
      </c>
      <c r="N39" s="36">
        <f>IF(Elect!X41&lt;0,"0",Elect!X41)</f>
        <v>88500</v>
      </c>
      <c r="O39" s="36">
        <f>Elect!W41</f>
        <v>2.2850000000000001</v>
      </c>
      <c r="P39" s="36">
        <f>IF(Elect!O41&lt;0,"0",Elect!O41)</f>
        <v>12400</v>
      </c>
      <c r="Q39" s="36">
        <f>Elect!N41</f>
        <v>2.5</v>
      </c>
      <c r="R39" s="36">
        <f>IF(Elect!L41&lt;0,"0",Elect!L41)</f>
        <v>14800</v>
      </c>
      <c r="S39" s="36">
        <f>Elect!K41</f>
        <v>3.14</v>
      </c>
      <c r="T39" s="36">
        <f>IF(Elect!R41&lt;0,"0",Elect!R41)</f>
        <v>12000</v>
      </c>
      <c r="U39" s="36">
        <f>Elect!Q41</f>
        <v>2.59</v>
      </c>
      <c r="V39" s="36">
        <f>IF(Elect!AA41&lt;0,"0",Elect!AA41)</f>
        <v>5920</v>
      </c>
      <c r="W39" s="36">
        <f>Elect!Z41</f>
        <v>4.12</v>
      </c>
      <c r="X39" s="36">
        <f>IF(Elect!AD41&lt;0,"0",Elect!AD41)</f>
        <v>3840</v>
      </c>
      <c r="Y39" s="36">
        <f>Elect!AC41</f>
        <v>2.9</v>
      </c>
      <c r="Z39" s="36">
        <f>IF(Elect!AG41&lt;0,"0",Elect!AG41)</f>
        <v>55600</v>
      </c>
      <c r="AA39" s="36">
        <f>Elect!AF41</f>
        <v>2.2959999999999998</v>
      </c>
      <c r="AB39" s="36">
        <f>IF(Elect!AX41&lt;0,"0",Elect!AX41)</f>
        <v>1500</v>
      </c>
      <c r="AC39" s="36">
        <f>IF(Elect!AV41&lt;0,"0",Elect!AV41)</f>
        <v>12500</v>
      </c>
      <c r="AD39" s="36">
        <f>IF(Elect!AZ41&lt;0,"0",Elect!AZ41)</f>
        <v>636</v>
      </c>
      <c r="AE39" s="36">
        <f>IF(Elect!BB41&lt;0,"0",Elect!BB41)</f>
        <v>2160</v>
      </c>
      <c r="AF39" s="74">
        <f>IF('Wtr-Gas'!E41&lt;0,"0",('Wtr-Gas'!E41)*0.0038)</f>
        <v>5670.0940000000001</v>
      </c>
      <c r="AG39" s="74">
        <f>IF('Wtr-Gas'!H41&lt;0,"0",('Wtr-Gas'!H41)*0.0038)</f>
        <v>810.99599999999998</v>
      </c>
      <c r="AH39" s="74">
        <f>IF('Wtr-Gas'!K41&lt;0,"0",('Wtr-Gas'!K41)*0.0038)</f>
        <v>0.60799999999999998</v>
      </c>
      <c r="AI39" s="74">
        <f>IF('Wtr-Gas'!N41&lt;0,"0",('Wtr-Gas'!N41)*0.0038)</f>
        <v>4529.6000000000004</v>
      </c>
      <c r="AJ39" s="74">
        <f>IF('Wtr-Gas'!Q41&lt;0,"0",('Wtr-Gas'!Q41)*0.0038)</f>
        <v>84.74</v>
      </c>
      <c r="AK39" s="75">
        <f>IF('Wtr-Gas'!U41&lt;0,"0",('Wtr-Gas'!U41)*0.0038)</f>
        <v>752.02</v>
      </c>
      <c r="AL39" s="75">
        <f>IF('Wtr-Gas'!X41&lt;0,"0",('Wtr-Gas'!X41)*0.0038)</f>
        <v>60.42</v>
      </c>
      <c r="AM39" s="74">
        <f>IF('Wtr-Gas'!AB41&lt;0,"0",('Wtr-Gas'!AB41)*0.0038)</f>
        <v>13718</v>
      </c>
      <c r="AN39" s="74">
        <f>IF('Wtr-Gas'!AD41&lt;0,"0",('Wtr-Gas'!AD41)*0.0038)</f>
        <v>4231.0720000000001</v>
      </c>
      <c r="AO39" s="74">
        <f>IF('Wtr-Gas'!AH41&lt;0,"0",('Wtr-Gas'!AH41)*0.0038)</f>
        <v>11.856</v>
      </c>
      <c r="AP39" s="74">
        <f>IF('Wtr-Gas'!AJ41&lt;0,"0",('Wtr-Gas'!AJ41)*0.0038)</f>
        <v>228.38</v>
      </c>
      <c r="AQ39" s="74">
        <f>IF('Wtr-Gas'!AL41&lt;0,"0",('Wtr-Gas'!AL41)*0.0038)</f>
        <v>46.515799999999999</v>
      </c>
      <c r="AR39" s="74">
        <f>IF('Wtr-Gas'!AN41&lt;0,"0",('Wtr-Gas'!AN41)*0.0038)</f>
        <v>201.4</v>
      </c>
      <c r="AS39" s="74">
        <f>IF('Wtr-Gas'!AP41&lt;0,"0",('Wtr-Gas'!AP41)*0.0038)</f>
        <v>3.04E-2</v>
      </c>
      <c r="AT39" s="74">
        <f>IF('Wtr-Gas'!AR41&lt;0,"0",('Wtr-Gas'!AR41)*0.0038)</f>
        <v>3.8</v>
      </c>
      <c r="AU39" s="87">
        <f>IF('Wtr-Gas'!AV41&lt;0,"0",('Wtr-Gas'!AV41)*0.0038)</f>
        <v>0.22420000000000001</v>
      </c>
      <c r="AV39" s="74">
        <f>IF('Wtr-Gas'!AY41&lt;0,"0",('Wtr-Gas'!AY41)*0.0038)</f>
        <v>139.2852</v>
      </c>
      <c r="AW39" s="74">
        <f>IF('Wtr-Gas'!BA41&lt;0,"0",('Wtr-Gas'!BA41)*0.0038)</f>
        <v>107.24063600000001</v>
      </c>
      <c r="AX39" s="74">
        <f>IF('Wtr-Gas'!BB41&lt;0,"0",('Wtr-Gas'!BB41)*0.0038)</f>
        <v>32.044563999999994</v>
      </c>
      <c r="AY39" s="74">
        <f>IF('Wtr-Gas'!BD41&lt;0,"0",('Wtr-Gas'!BD41)*0.0038)</f>
        <v>17.86</v>
      </c>
      <c r="AZ39" s="74">
        <f>IF('Wtr-Gas'!BF41&lt;0,"0",('Wtr-Gas'!BF41)*0.0038)</f>
        <v>0.76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50080</v>
      </c>
      <c r="G40" s="36">
        <f>Elect!H42</f>
        <v>1.5549999999999999</v>
      </c>
      <c r="H40" s="36">
        <f>IF(Elect!F42&lt;0,"0",Elect!F42)</f>
        <v>44320</v>
      </c>
      <c r="I40" s="36">
        <f>Elect!E42</f>
        <v>1.587</v>
      </c>
      <c r="J40" s="36">
        <f>IF(Elect!U42&lt;0,"0",Elect!U42)</f>
        <v>93900</v>
      </c>
      <c r="K40" s="36">
        <f>Elect!T42</f>
        <v>1.635</v>
      </c>
      <c r="L40" s="36">
        <f>IF(Elect!AJ42&lt;0,"0",Elect!AJ42)</f>
        <v>0</v>
      </c>
      <c r="M40" s="36">
        <f>Elect!AI42</f>
        <v>0.30299999999999999</v>
      </c>
      <c r="N40" s="36">
        <f>IF(Elect!X42&lt;0,"0",Elect!X42)</f>
        <v>91800</v>
      </c>
      <c r="O40" s="36">
        <f>Elect!W42</f>
        <v>1.7989999999999999</v>
      </c>
      <c r="P40" s="36">
        <f>IF(Elect!O42&lt;0,"0",Elect!O42)</f>
        <v>12400</v>
      </c>
      <c r="Q40" s="36">
        <f>Elect!N42</f>
        <v>1.68</v>
      </c>
      <c r="R40" s="36">
        <f>IF(Elect!L42&lt;0,"0",Elect!L42)</f>
        <v>15200</v>
      </c>
      <c r="S40" s="36">
        <f>Elect!K42</f>
        <v>1.93</v>
      </c>
      <c r="T40" s="36">
        <f>IF(Elect!R42&lt;0,"0",Elect!R42)</f>
        <v>12400</v>
      </c>
      <c r="U40" s="36">
        <f>Elect!Q42</f>
        <v>1.66</v>
      </c>
      <c r="V40" s="36">
        <f>IF(Elect!AA42&lt;0,"0",Elect!AA42)</f>
        <v>6240</v>
      </c>
      <c r="W40" s="36">
        <f>Elect!Z42</f>
        <v>2.2000000000000002</v>
      </c>
      <c r="X40" s="36">
        <f>IF(Elect!AD42&lt;0,"0",Elect!AD42)</f>
        <v>3680</v>
      </c>
      <c r="Y40" s="36">
        <f>Elect!AC42</f>
        <v>9.7000000000000003E-2</v>
      </c>
      <c r="Z40" s="36">
        <f>IF(Elect!AG42&lt;0,"0",Elect!AG42)</f>
        <v>0</v>
      </c>
      <c r="AA40" s="36">
        <f>Elect!AF42</f>
        <v>2.2959999999999998</v>
      </c>
      <c r="AB40" s="36">
        <f>IF(Elect!AX42&lt;0,"0",Elect!AX42)</f>
        <v>2300</v>
      </c>
      <c r="AC40" s="36">
        <f>IF(Elect!AV42&lt;0,"0",Elect!AV42)</f>
        <v>18800</v>
      </c>
      <c r="AD40" s="36">
        <f>IF(Elect!AZ42&lt;0,"0",Elect!AZ42)</f>
        <v>900</v>
      </c>
      <c r="AE40" s="36">
        <f>IF(Elect!BB42&lt;0,"0",Elect!BB42)</f>
        <v>2640</v>
      </c>
      <c r="AF40" s="74">
        <f>IF('Wtr-Gas'!E42&lt;0,"0",('Wtr-Gas'!E42)*0.0038)</f>
        <v>4964.7759999999998</v>
      </c>
      <c r="AG40" s="74">
        <f>IF('Wtr-Gas'!H42&lt;0,"0",('Wtr-Gas'!H42)*0.0038)</f>
        <v>672.98</v>
      </c>
      <c r="AH40" s="74">
        <f>IF('Wtr-Gas'!K42&lt;0,"0",('Wtr-Gas'!K42)*0.0038)</f>
        <v>1.786</v>
      </c>
      <c r="AI40" s="74">
        <f>IF('Wtr-Gas'!N42&lt;0,"0",('Wtr-Gas'!N42)*0.0038)</f>
        <v>4237</v>
      </c>
      <c r="AJ40" s="74">
        <f>IF('Wtr-Gas'!Q42&lt;0,"0",('Wtr-Gas'!Q42)*0.0038)</f>
        <v>86.26</v>
      </c>
      <c r="AK40" s="75">
        <f>IF('Wtr-Gas'!U42&lt;0,"0",('Wtr-Gas'!U42)*0.0038)</f>
        <v>756.58</v>
      </c>
      <c r="AL40" s="75">
        <f>IF('Wtr-Gas'!X42&lt;0,"0",('Wtr-Gas'!X42)*0.0038)</f>
        <v>48.64</v>
      </c>
      <c r="AM40" s="74">
        <f>IF('Wtr-Gas'!AB42&lt;0,"0",('Wtr-Gas'!AB42)*0.0038)</f>
        <v>13946</v>
      </c>
      <c r="AN40" s="74">
        <f>IF('Wtr-Gas'!AD42&lt;0,"0",('Wtr-Gas'!AD42)*0.0038)</f>
        <v>3990.152</v>
      </c>
      <c r="AO40" s="74">
        <f>IF('Wtr-Gas'!AH42&lt;0,"0",('Wtr-Gas'!AH42)*0.0038)</f>
        <v>12.464</v>
      </c>
      <c r="AP40" s="74">
        <f>IF('Wtr-Gas'!AJ42&lt;0,"0",('Wtr-Gas'!AJ42)*0.0038)</f>
        <v>207.404</v>
      </c>
      <c r="AQ40" s="74">
        <f>IF('Wtr-Gas'!AL42&lt;0,"0",('Wtr-Gas'!AL42)*0.0038)</f>
        <v>24.852</v>
      </c>
      <c r="AR40" s="74">
        <f>IF('Wtr-Gas'!AN42&lt;0,"0",('Wtr-Gas'!AN42)*0.0038)</f>
        <v>159.6</v>
      </c>
      <c r="AS40" s="74">
        <f>IF('Wtr-Gas'!AP42&lt;0,"0",('Wtr-Gas'!AP42)*0.0038)</f>
        <v>2.2800000000000001E-2</v>
      </c>
      <c r="AT40" s="74">
        <f>IF('Wtr-Gas'!AR42&lt;0,"0",('Wtr-Gas'!AR42)*0.0038)</f>
        <v>3.8</v>
      </c>
      <c r="AU40" s="87">
        <f>IF('Wtr-Gas'!AV42&lt;0,"0",('Wtr-Gas'!AV42)*0.0038)</f>
        <v>0</v>
      </c>
      <c r="AV40" s="74">
        <f>IF('Wtr-Gas'!AY42&lt;0,"0",('Wtr-Gas'!AY42)*0.0038)</f>
        <v>208.3426</v>
      </c>
      <c r="AW40" s="74">
        <f>IF('Wtr-Gas'!BA42&lt;0,"0",('Wtr-Gas'!BA42)*0.0038)</f>
        <v>149.75720200000001</v>
      </c>
      <c r="AX40" s="74">
        <f>IF('Wtr-Gas'!BB42&lt;0,"0",('Wtr-Gas'!BB42)*0.0038)</f>
        <v>58.585397999999998</v>
      </c>
      <c r="AY40" s="74">
        <f>IF('Wtr-Gas'!BD42&lt;0,"0",('Wtr-Gas'!BD42)*0.0038)</f>
        <v>20.52</v>
      </c>
      <c r="AZ40" s="74">
        <f>IF('Wtr-Gas'!BF42&lt;0,"0",('Wtr-Gas'!BF42)*0.0038)</f>
        <v>0.76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48</v>
      </c>
      <c r="F41" s="36">
        <f>IF(Elect!I43&lt;0,"0",Elect!I43)</f>
        <v>48160</v>
      </c>
      <c r="G41" s="36">
        <f>Elect!H43</f>
        <v>2.3180000000000001</v>
      </c>
      <c r="H41" s="36">
        <f>IF(Elect!F43&lt;0,"0",Elect!F43)</f>
        <v>41920</v>
      </c>
      <c r="I41" s="36">
        <f>Elect!E43</f>
        <v>2.0019999999999998</v>
      </c>
      <c r="J41" s="36">
        <f>IF(Elect!U43&lt;0,"0",Elect!U43)</f>
        <v>95400</v>
      </c>
      <c r="K41" s="36">
        <f>Elect!T43</f>
        <v>2.8330000000000002</v>
      </c>
      <c r="L41" s="36">
        <f>IF(Elect!AJ43&lt;0,"0",Elect!AJ43)</f>
        <v>2960</v>
      </c>
      <c r="M41" s="36">
        <f>Elect!AI43</f>
        <v>0.28199999999999997</v>
      </c>
      <c r="N41" s="36">
        <f>IF(Elect!X43&lt;0,"0",Elect!X43)</f>
        <v>93300</v>
      </c>
      <c r="O41" s="36">
        <f>Elect!W43</f>
        <v>2.3610000000000002</v>
      </c>
      <c r="P41" s="36">
        <f>IF(Elect!O43&lt;0,"0",Elect!O43)</f>
        <v>12400</v>
      </c>
      <c r="Q41" s="36">
        <f>Elect!N43</f>
        <v>2.4900000000000002</v>
      </c>
      <c r="R41" s="36">
        <f>IF(Elect!L43&lt;0,"0",Elect!L43)</f>
        <v>14400</v>
      </c>
      <c r="S41" s="36">
        <f>Elect!K43</f>
        <v>2.84</v>
      </c>
      <c r="T41" s="36">
        <f>IF(Elect!R43&lt;0,"0",Elect!R43)</f>
        <v>12400</v>
      </c>
      <c r="U41" s="36">
        <f>Elect!Q43</f>
        <v>2.2799999999999998</v>
      </c>
      <c r="V41" s="36">
        <f>IF(Elect!AA43&lt;0,"0",Elect!AA43)</f>
        <v>6560</v>
      </c>
      <c r="W41" s="36">
        <f>Elect!Z43</f>
        <v>3.51</v>
      </c>
      <c r="X41" s="36">
        <f>IF(Elect!AD43&lt;0,"0",Elect!AD43)</f>
        <v>4000</v>
      </c>
      <c r="Y41" s="36">
        <f>Elect!AC43</f>
        <v>2.4300000000000002</v>
      </c>
      <c r="Z41" s="36">
        <f>IF(Elect!AG43&lt;0,"0",Elect!AG43)</f>
        <v>109400</v>
      </c>
      <c r="AA41" s="36">
        <f>Elect!AF43</f>
        <v>2.0680000000000001</v>
      </c>
      <c r="AB41" s="36">
        <f>IF(Elect!AX43&lt;0,"0",Elect!AX43)</f>
        <v>2200</v>
      </c>
      <c r="AC41" s="36">
        <f>IF(Elect!AV43&lt;0,"0",Elect!AV43)</f>
        <v>18900</v>
      </c>
      <c r="AD41" s="36">
        <f>IF(Elect!AZ43&lt;0,"0",Elect!AZ43)</f>
        <v>925</v>
      </c>
      <c r="AE41" s="36">
        <f>IF(Elect!BB43&lt;0,"0",Elect!BB43)</f>
        <v>1040</v>
      </c>
      <c r="AF41" s="74">
        <f>IF('Wtr-Gas'!E43&lt;0,"0",('Wtr-Gas'!E43)*0.0038)</f>
        <v>4382.1220000000003</v>
      </c>
      <c r="AG41" s="74">
        <f>IF('Wtr-Gas'!H43&lt;0,"0",('Wtr-Gas'!H43)*0.0038)</f>
        <v>653.22</v>
      </c>
      <c r="AH41" s="74">
        <f>IF('Wtr-Gas'!K43&lt;0,"0",('Wtr-Gas'!K43)*0.0038)</f>
        <v>0.56999999999999995</v>
      </c>
      <c r="AI41" s="74">
        <f>IF('Wtr-Gas'!N43&lt;0,"0",('Wtr-Gas'!N43)*0.0038)</f>
        <v>3857</v>
      </c>
      <c r="AJ41" s="74">
        <f>IF('Wtr-Gas'!Q43&lt;0,"0",('Wtr-Gas'!Q43)*0.0038)</f>
        <v>90.44</v>
      </c>
      <c r="AK41" s="75">
        <f>IF('Wtr-Gas'!U43&lt;0,"0",('Wtr-Gas'!U43)*0.0038)</f>
        <v>714.78</v>
      </c>
      <c r="AL41" s="75">
        <f>IF('Wtr-Gas'!X43&lt;0,"0",('Wtr-Gas'!X43)*0.0038)</f>
        <v>39.9</v>
      </c>
      <c r="AM41" s="74">
        <f>IF('Wtr-Gas'!AB43&lt;0,"0",('Wtr-Gas'!AB43)*0.0038)</f>
        <v>12730</v>
      </c>
      <c r="AN41" s="74">
        <f>IF('Wtr-Gas'!AD43&lt;0,"0",('Wtr-Gas'!AD43)*0.0038)</f>
        <v>2788.5540000000001</v>
      </c>
      <c r="AO41" s="74">
        <f>IF('Wtr-Gas'!AH43&lt;0,"0",('Wtr-Gas'!AH43)*0.0038)</f>
        <v>4.18</v>
      </c>
      <c r="AP41" s="74">
        <f>IF('Wtr-Gas'!AJ43&lt;0,"0",('Wtr-Gas'!AJ43)*0.0038)</f>
        <v>8.2840000000000007</v>
      </c>
      <c r="AQ41" s="74">
        <f>IF('Wtr-Gas'!AL43&lt;0,"0",('Wtr-Gas'!AL43)*0.0038)</f>
        <v>0</v>
      </c>
      <c r="AR41" s="74">
        <f>IF('Wtr-Gas'!AN43&lt;0,"0",('Wtr-Gas'!AN43)*0.0038)</f>
        <v>53.2</v>
      </c>
      <c r="AS41" s="74">
        <f>IF('Wtr-Gas'!AP43&lt;0,"0",('Wtr-Gas'!AP43)*0.0038)</f>
        <v>3.04E-2</v>
      </c>
      <c r="AT41" s="74">
        <f>IF('Wtr-Gas'!AR43&lt;0,"0",('Wtr-Gas'!AR43)*0.0038)</f>
        <v>2.2799999999999998</v>
      </c>
      <c r="AU41" s="87">
        <f>IF('Wtr-Gas'!AV43&lt;0,"0",('Wtr-Gas'!AV43)*0.0038)</f>
        <v>0</v>
      </c>
      <c r="AV41" s="74">
        <f>IF('Wtr-Gas'!AY43&lt;0,"0",('Wtr-Gas'!AY43)*0.0038)</f>
        <v>200.35120000000001</v>
      </c>
      <c r="AW41" s="74">
        <f>IF('Wtr-Gas'!BA43&lt;0,"0",('Wtr-Gas'!BA43)*0.0038)</f>
        <v>150.92627200000001</v>
      </c>
      <c r="AX41" s="74">
        <f>IF('Wtr-Gas'!BB43&lt;0,"0",('Wtr-Gas'!BB43)*0.0038)</f>
        <v>49.424927999999994</v>
      </c>
      <c r="AY41" s="74">
        <f>IF('Wtr-Gas'!BD43&lt;0,"0",('Wtr-Gas'!BD43)*0.0038)</f>
        <v>13.68</v>
      </c>
      <c r="AZ41" s="74">
        <f>IF('Wtr-Gas'!BF43&lt;0,"0",('Wtr-Gas'!BF43)*0.0038)</f>
        <v>1.1399999999999999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13600</v>
      </c>
      <c r="G42" s="36">
        <f>Elect!H44</f>
        <v>2.3180000000000001</v>
      </c>
      <c r="H42" s="36">
        <f>IF(Elect!F44&lt;0,"0",Elect!F44)</f>
        <v>12000</v>
      </c>
      <c r="I42" s="36">
        <f>Elect!E44</f>
        <v>2.0019999999999998</v>
      </c>
      <c r="J42" s="36">
        <f>IF(Elect!U44&lt;0,"0",Elect!U44)</f>
        <v>27300</v>
      </c>
      <c r="K42" s="36">
        <f>Elect!T44</f>
        <v>2.8330000000000002</v>
      </c>
      <c r="L42" s="36">
        <f>IF(Elect!AJ44&lt;0,"0",Elect!AJ44)</f>
        <v>440</v>
      </c>
      <c r="M42" s="36">
        <f>Elect!AI44</f>
        <v>0.28599999999999998</v>
      </c>
      <c r="N42" s="36">
        <f>IF(Elect!X44&lt;0,"0",Elect!X44)</f>
        <v>26100</v>
      </c>
      <c r="O42" s="36">
        <f>Elect!W44</f>
        <v>2.3610000000000002</v>
      </c>
      <c r="P42" s="36">
        <f>IF(Elect!O44&lt;0,"0",Elect!O44)</f>
        <v>3600</v>
      </c>
      <c r="Q42" s="36">
        <f>Elect!N44</f>
        <v>2.4900000000000002</v>
      </c>
      <c r="R42" s="36">
        <f>IF(Elect!L44&lt;0,"0",Elect!L44)</f>
        <v>4000</v>
      </c>
      <c r="S42" s="36">
        <f>Elect!K44</f>
        <v>2.84</v>
      </c>
      <c r="T42" s="36">
        <f>IF(Elect!R44&lt;0,"0",Elect!R44)</f>
        <v>3200</v>
      </c>
      <c r="U42" s="36">
        <f>Elect!Q44</f>
        <v>2.2799999999999998</v>
      </c>
      <c r="V42" s="36">
        <f>IF(Elect!AA44&lt;0,"0",Elect!AA44)</f>
        <v>1600</v>
      </c>
      <c r="W42" s="36">
        <f>Elect!Z44</f>
        <v>3.51</v>
      </c>
      <c r="X42" s="36">
        <f>IF(Elect!AD44&lt;0,"0",Elect!AD44)</f>
        <v>1280</v>
      </c>
      <c r="Y42" s="36">
        <f>Elect!AC44</f>
        <v>2.83</v>
      </c>
      <c r="Z42" s="36">
        <f>IF(Elect!AG44&lt;0,"0",Elect!AG44)</f>
        <v>15600</v>
      </c>
      <c r="AA42" s="36">
        <f>Elect!AF44</f>
        <v>2.0680000000000001</v>
      </c>
      <c r="AB42" s="36">
        <f>IF(Elect!AX44&lt;0,"0",Elect!AX44)</f>
        <v>1000</v>
      </c>
      <c r="AC42" s="36">
        <f>IF(Elect!AV44&lt;0,"0",Elect!AV44)</f>
        <v>7900</v>
      </c>
      <c r="AD42" s="36">
        <f>IF(Elect!AZ44&lt;0,"0",Elect!AZ44)</f>
        <v>385</v>
      </c>
      <c r="AE42" s="36">
        <f>IF(Elect!BB44&lt;0,"0",Elect!BB44)</f>
        <v>320</v>
      </c>
      <c r="AF42" s="74">
        <f>IF('Wtr-Gas'!E44&lt;0,"0",('Wtr-Gas'!E44)*0.0038)</f>
        <v>1275.9259999999999</v>
      </c>
      <c r="AG42" s="74">
        <f>IF('Wtr-Gas'!H44&lt;0,"0",('Wtr-Gas'!H44)*0.0038)</f>
        <v>259.04599999999999</v>
      </c>
      <c r="AH42" s="74">
        <f>IF('Wtr-Gas'!K44&lt;0,"0",('Wtr-Gas'!K44)*0.0038)</f>
        <v>0.152</v>
      </c>
      <c r="AI42" s="74">
        <f>IF('Wtr-Gas'!N44&lt;0,"0",('Wtr-Gas'!N44)*0.0038)</f>
        <v>767.6</v>
      </c>
      <c r="AJ42" s="74">
        <f>IF('Wtr-Gas'!Q44&lt;0,"0",('Wtr-Gas'!Q44)*0.0038)</f>
        <v>25.46</v>
      </c>
      <c r="AK42" s="75">
        <f>IF('Wtr-Gas'!U44&lt;0,"0",('Wtr-Gas'!U44)*0.0038)</f>
        <v>202.54</v>
      </c>
      <c r="AL42" s="75">
        <f>IF('Wtr-Gas'!X44&lt;0,"0",('Wtr-Gas'!X44)*0.0038)</f>
        <v>14.06</v>
      </c>
      <c r="AM42" s="74">
        <f>IF('Wtr-Gas'!AB44&lt;0,"0",('Wtr-Gas'!AB44)*0.0038)</f>
        <v>3610</v>
      </c>
      <c r="AN42" s="74">
        <f>IF('Wtr-Gas'!AD44&lt;0,"0",('Wtr-Gas'!AD44)*0.0038)</f>
        <v>850.06</v>
      </c>
      <c r="AO42" s="74">
        <f>IF('Wtr-Gas'!AH44&lt;0,"0",('Wtr-Gas'!AH44)*0.0038)</f>
        <v>0.41799999999999998</v>
      </c>
      <c r="AP42" s="74">
        <f>IF('Wtr-Gas'!AJ44&lt;0,"0",('Wtr-Gas'!AJ44)*0.0038)</f>
        <v>1.976</v>
      </c>
      <c r="AQ42" s="74">
        <f>IF('Wtr-Gas'!AL44&lt;0,"0",('Wtr-Gas'!AL44)*0.0038)</f>
        <v>17.145600000000002</v>
      </c>
      <c r="AR42" s="74">
        <f>IF('Wtr-Gas'!AN44&lt;0,"0",('Wtr-Gas'!AN44)*0.0038)</f>
        <v>0</v>
      </c>
      <c r="AS42" s="74">
        <f>IF('Wtr-Gas'!AP44&lt;0,"0",('Wtr-Gas'!AP44)*0.0038)</f>
        <v>7.6E-3</v>
      </c>
      <c r="AT42" s="74">
        <f>IF('Wtr-Gas'!AR44&lt;0,"0",('Wtr-Gas'!AR44)*0.0038)</f>
        <v>1.1399999999999999</v>
      </c>
      <c r="AU42" s="87">
        <f>IF('Wtr-Gas'!AV44&lt;0,"0",('Wtr-Gas'!AV44)*0.0038)</f>
        <v>0.77139999999999997</v>
      </c>
      <c r="AV42" s="74">
        <f>IF('Wtr-Gas'!AY44&lt;0,"0",('Wtr-Gas'!AY44)*0.0038)</f>
        <v>83.808999999999997</v>
      </c>
      <c r="AW42" s="74">
        <f>IF('Wtr-Gas'!BA44&lt;0,"0",('Wtr-Gas'!BA44)*0.0038)</f>
        <v>63.961371999999997</v>
      </c>
      <c r="AX42" s="74">
        <f>IF('Wtr-Gas'!BB44&lt;0,"0",('Wtr-Gas'!BB44)*0.0038)</f>
        <v>19.847628000000004</v>
      </c>
      <c r="AY42" s="74">
        <f>IF('Wtr-Gas'!BD44&lt;0,"0",('Wtr-Gas'!BD44)*0.0038)</f>
        <v>11.78</v>
      </c>
      <c r="AZ42" s="74">
        <f>IF('Wtr-Gas'!BF44&lt;0,"0",('Wtr-Gas'!BF44)*0.0038)</f>
        <v>0.38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 t="str">
        <f>IF('Wtr-Gas'!E45&lt;0,"0",('Wtr-Gas'!E45)*0.0038)</f>
        <v>0</v>
      </c>
      <c r="AG43" s="74" t="str">
        <f>IF('Wtr-Gas'!H45&lt;0,"0",('Wtr-Gas'!H45)*0.0038)</f>
        <v>0</v>
      </c>
      <c r="AH43" s="74" t="str">
        <f>IF('Wtr-Gas'!K45&lt;0,"0",('Wtr-Gas'!K45)*0.0038)</f>
        <v>0</v>
      </c>
      <c r="AI43" s="74" t="str">
        <f>IF('Wtr-Gas'!N45&lt;0,"0",('Wtr-Gas'!N45)*0.0038)</f>
        <v>0</v>
      </c>
      <c r="AJ43" s="74" t="str">
        <f>IF('Wtr-Gas'!Q45&lt;0,"0",('Wtr-Gas'!Q45)*0.0038)</f>
        <v>0</v>
      </c>
      <c r="AK43" s="75" t="str">
        <f>IF('Wtr-Gas'!U45&lt;0,"0",('Wtr-Gas'!U45)*0.0038)</f>
        <v>0</v>
      </c>
      <c r="AL43" s="75" t="str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6" zoomScale="115" zoomScaleNormal="115" workbookViewId="0">
      <selection activeCell="AZ44" sqref="AZ4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3" t="s">
        <v>63</v>
      </c>
      <c r="E1" s="124"/>
      <c r="F1" s="124"/>
      <c r="G1" s="123" t="s">
        <v>66</v>
      </c>
      <c r="H1" s="124"/>
      <c r="I1" s="124"/>
      <c r="J1" s="123" t="s">
        <v>69</v>
      </c>
      <c r="K1" s="124"/>
      <c r="L1" s="124"/>
      <c r="M1" s="123" t="s">
        <v>72</v>
      </c>
      <c r="N1" s="124"/>
      <c r="O1" s="124"/>
      <c r="P1" s="123" t="s">
        <v>75</v>
      </c>
      <c r="Q1" s="124"/>
      <c r="R1" s="124"/>
      <c r="S1" s="123" t="s">
        <v>78</v>
      </c>
      <c r="T1" s="124"/>
      <c r="U1" s="124"/>
      <c r="V1" s="123" t="s">
        <v>81</v>
      </c>
      <c r="W1" s="124"/>
      <c r="X1" s="124"/>
      <c r="Y1" s="123" t="s">
        <v>84</v>
      </c>
      <c r="Z1" s="124"/>
      <c r="AA1" s="124"/>
      <c r="AB1" s="123" t="s">
        <v>87</v>
      </c>
      <c r="AC1" s="124"/>
      <c r="AD1" s="124"/>
      <c r="AE1" s="123" t="s">
        <v>90</v>
      </c>
      <c r="AF1" s="124"/>
      <c r="AG1" s="124"/>
      <c r="AH1" s="123" t="s">
        <v>93</v>
      </c>
      <c r="AI1" s="124"/>
      <c r="AJ1" s="124"/>
      <c r="AK1" s="123" t="s">
        <v>95</v>
      </c>
      <c r="AL1" s="124"/>
      <c r="AM1" s="124"/>
      <c r="AN1" s="51"/>
      <c r="AO1" s="51"/>
      <c r="AP1" s="52" t="s">
        <v>162</v>
      </c>
      <c r="AQ1" s="52" t="s">
        <v>163</v>
      </c>
      <c r="AR1" s="52"/>
      <c r="AS1" s="51"/>
      <c r="AT1" s="51"/>
      <c r="AU1" s="123" t="s">
        <v>97</v>
      </c>
      <c r="AV1" s="124"/>
      <c r="AW1" s="123" t="s">
        <v>96</v>
      </c>
      <c r="AX1" s="124"/>
      <c r="AY1" s="123" t="s">
        <v>98</v>
      </c>
      <c r="AZ1" s="124"/>
      <c r="BA1" s="123" t="s">
        <v>164</v>
      </c>
      <c r="BB1" s="124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1" t="s">
        <v>94</v>
      </c>
      <c r="AL2" s="122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1" t="s">
        <v>109</v>
      </c>
      <c r="AL3" s="122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44" si="1">SUM(G5-G4)*160</f>
        <v>14560</v>
      </c>
      <c r="J5" s="17">
        <v>12296</v>
      </c>
      <c r="K5" s="17">
        <v>3.65</v>
      </c>
      <c r="L5" s="33">
        <f t="shared" ref="L5:L44" si="2">SUM(J5-J4)*400</f>
        <v>3600</v>
      </c>
      <c r="M5" s="17">
        <v>12104</v>
      </c>
      <c r="N5" s="17">
        <v>3.73</v>
      </c>
      <c r="O5" s="33">
        <f t="shared" ref="O5:O44" si="3">SUM(M5-M4)*400</f>
        <v>3200</v>
      </c>
      <c r="P5" s="17">
        <v>12731</v>
      </c>
      <c r="Q5" s="17">
        <v>3.73</v>
      </c>
      <c r="R5" s="33">
        <f t="shared" ref="R5:R44" si="4">SUM(P5-P4)*400</f>
        <v>3200</v>
      </c>
      <c r="S5" s="17">
        <v>87232</v>
      </c>
      <c r="T5" s="17">
        <v>2.2490000000000001</v>
      </c>
      <c r="U5" s="33">
        <f t="shared" ref="U5:U44" si="5">SUM(S5-S4)*300</f>
        <v>18300</v>
      </c>
      <c r="V5" s="17">
        <v>83905</v>
      </c>
      <c r="W5" s="17">
        <v>1.8380000000000001</v>
      </c>
      <c r="X5" s="33">
        <f t="shared" ref="X5:X44" si="6">SUM(V5-V4)*300</f>
        <v>17700</v>
      </c>
      <c r="Y5" s="17">
        <v>19769</v>
      </c>
      <c r="Z5" s="17">
        <v>2.75</v>
      </c>
      <c r="AA5" s="33">
        <f t="shared" ref="AA5:AA44" si="7">SUM(Y5-Y4)*160</f>
        <v>1440</v>
      </c>
      <c r="AB5" s="17">
        <v>12892</v>
      </c>
      <c r="AC5" s="17">
        <v>2.31</v>
      </c>
      <c r="AD5" s="33">
        <f t="shared" ref="AD5:AD44" si="8">SUM(AB5-AB4)*160</f>
        <v>960</v>
      </c>
      <c r="AE5" s="17">
        <v>6693</v>
      </c>
      <c r="AF5" s="17">
        <v>2.1659999999999999</v>
      </c>
      <c r="AG5" s="33">
        <f t="shared" ref="AG5:AG44" si="9">SUM(AE5-AE4)*200</f>
        <v>15200</v>
      </c>
      <c r="AH5" s="17">
        <v>19437</v>
      </c>
      <c r="AI5" s="17">
        <v>0.29699999999999999</v>
      </c>
      <c r="AJ5" s="33">
        <f t="shared" ref="AJ5:AJ44" si="10">SUM(AH5-AH4)*40</f>
        <v>400</v>
      </c>
      <c r="AK5" s="116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7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44" si="16">SUM(AU5-AU4)*100</f>
        <v>6200</v>
      </c>
      <c r="AW5" s="17">
        <v>9010</v>
      </c>
      <c r="AX5" s="33">
        <f t="shared" ref="AX5:AX44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44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44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6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7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6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7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6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7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6">
        <v>99300</v>
      </c>
      <c r="AL9" s="33">
        <f t="shared" si="11"/>
        <v>401</v>
      </c>
      <c r="AM9" s="33"/>
      <c r="AO9" s="33">
        <f t="shared" si="28"/>
        <v>245641</v>
      </c>
      <c r="AP9" s="117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6">
        <v>100295</v>
      </c>
      <c r="AL10" s="33">
        <f t="shared" si="11"/>
        <v>995</v>
      </c>
      <c r="AM10" s="33"/>
      <c r="AO10" s="33">
        <f t="shared" si="28"/>
        <v>265515</v>
      </c>
      <c r="AP10" s="117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6">
        <v>959</v>
      </c>
      <c r="AL11" s="33">
        <f t="shared" si="11"/>
        <v>-99336</v>
      </c>
      <c r="AM11" s="33"/>
      <c r="AO11" s="33">
        <f t="shared" si="28"/>
        <v>145884</v>
      </c>
      <c r="AP11" s="117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6">
        <v>1493</v>
      </c>
      <c r="AL12" s="33">
        <f t="shared" si="11"/>
        <v>534</v>
      </c>
      <c r="AM12" s="33"/>
      <c r="AO12" s="33">
        <f t="shared" si="28"/>
        <v>300114</v>
      </c>
      <c r="AP12" s="117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6">
        <v>2115</v>
      </c>
      <c r="AL13" s="33">
        <f t="shared" si="11"/>
        <v>622</v>
      </c>
      <c r="AM13" s="33"/>
      <c r="AO13" s="33">
        <f t="shared" si="28"/>
        <v>323982</v>
      </c>
      <c r="AP13" s="117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2099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6">
        <v>2618</v>
      </c>
      <c r="AL14" s="33">
        <f>SUM(AK14-AK13)</f>
        <v>503</v>
      </c>
      <c r="AM14" s="33"/>
      <c r="AO14" s="33">
        <f t="shared" si="28"/>
        <v>279103</v>
      </c>
      <c r="AP14" s="117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6">
        <v>3231</v>
      </c>
      <c r="AL15" s="33">
        <f>SUM(AK15-AK14)</f>
        <v>613</v>
      </c>
      <c r="AM15" s="33"/>
      <c r="AO15" s="33">
        <f t="shared" si="28"/>
        <v>329173</v>
      </c>
      <c r="AP15" s="117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2941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6">
        <v>3830</v>
      </c>
      <c r="AL16" s="33">
        <f>SUM(AK16-AK15)</f>
        <v>599</v>
      </c>
      <c r="AM16" s="33"/>
      <c r="AO16" s="33">
        <f t="shared" si="28"/>
        <v>308899</v>
      </c>
      <c r="AP16" s="117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2217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6">
        <v>4402</v>
      </c>
      <c r="AL17" s="33">
        <f>SUM(AK17-AK16)</f>
        <v>572</v>
      </c>
      <c r="AM17" s="33"/>
      <c r="AO17" s="33">
        <f t="shared" si="28"/>
        <v>291192</v>
      </c>
      <c r="AP17" s="117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707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6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7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1256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6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7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2587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6">
        <v>5386</v>
      </c>
      <c r="AL20" s="33">
        <f t="shared" si="39"/>
        <v>532</v>
      </c>
      <c r="AM20" s="33"/>
      <c r="AO20" s="33">
        <f t="shared" si="28"/>
        <v>298312</v>
      </c>
      <c r="AP20" s="117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2538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6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7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2385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6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7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1646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6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7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568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6">
        <v>6872</v>
      </c>
      <c r="AL24" s="33">
        <f t="shared" si="45"/>
        <v>0</v>
      </c>
      <c r="AM24" s="33"/>
      <c r="AO24" s="33">
        <f t="shared" si="28"/>
        <v>0</v>
      </c>
      <c r="AP24" s="117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2284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6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7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2301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6">
        <v>7825</v>
      </c>
      <c r="AL26" s="33">
        <f t="shared" si="47"/>
        <v>474</v>
      </c>
      <c r="AM26" s="33"/>
      <c r="AO26" s="33">
        <f t="shared" si="28"/>
        <v>320514</v>
      </c>
      <c r="AP26" s="117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2351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6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7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2203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6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7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200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6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7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1933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6">
        <v>9425</v>
      </c>
      <c r="AL30" s="33">
        <f t="shared" si="53"/>
        <v>500</v>
      </c>
      <c r="AM30" s="33"/>
      <c r="AO30" s="33">
        <f t="shared" si="28"/>
        <v>265020</v>
      </c>
      <c r="AP30" s="117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2194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6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7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2258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6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7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2415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6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7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833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6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7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833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6">
        <v>11237</v>
      </c>
      <c r="AL35" s="33">
        <f t="shared" si="61"/>
        <v>310</v>
      </c>
      <c r="AM35" s="33"/>
      <c r="AO35" s="33">
        <f t="shared" si="28"/>
        <v>202570</v>
      </c>
      <c r="AP35" s="117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1964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6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7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2387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6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7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2231</v>
      </c>
      <c r="D38" s="17">
        <v>19043</v>
      </c>
      <c r="E38" s="17">
        <v>1.89</v>
      </c>
      <c r="F38" s="33">
        <f t="shared" si="20"/>
        <v>43200</v>
      </c>
      <c r="G38" s="17">
        <v>19326</v>
      </c>
      <c r="H38" s="17">
        <v>2.2320000000000002</v>
      </c>
      <c r="I38" s="33">
        <f t="shared" si="1"/>
        <v>50080</v>
      </c>
      <c r="J38" s="17">
        <v>13243</v>
      </c>
      <c r="K38" s="17">
        <v>2.5099999999999998</v>
      </c>
      <c r="L38" s="33">
        <f t="shared" si="2"/>
        <v>14800</v>
      </c>
      <c r="M38" s="17">
        <v>12934</v>
      </c>
      <c r="N38" s="17">
        <v>2.1</v>
      </c>
      <c r="O38" s="33">
        <f t="shared" si="3"/>
        <v>12000</v>
      </c>
      <c r="P38" s="17">
        <v>13568</v>
      </c>
      <c r="Q38" s="17">
        <v>2.21</v>
      </c>
      <c r="R38" s="33">
        <f t="shared" si="4"/>
        <v>12000</v>
      </c>
      <c r="S38" s="17">
        <v>93328</v>
      </c>
      <c r="T38" s="17">
        <v>2.4660000000000002</v>
      </c>
      <c r="U38" s="33">
        <f t="shared" si="5"/>
        <v>97800</v>
      </c>
      <c r="V38" s="17">
        <v>89933</v>
      </c>
      <c r="W38" s="17">
        <v>2.0790000000000002</v>
      </c>
      <c r="X38" s="33">
        <f t="shared" si="6"/>
        <v>90000</v>
      </c>
      <c r="Y38" s="17">
        <v>20901</v>
      </c>
      <c r="Z38" s="17">
        <v>2.99</v>
      </c>
      <c r="AA38" s="33">
        <f t="shared" si="7"/>
        <v>6080</v>
      </c>
      <c r="AB38" s="17">
        <v>13590</v>
      </c>
      <c r="AC38" s="17">
        <v>2.0499999999999998</v>
      </c>
      <c r="AD38" s="33">
        <f t="shared" si="8"/>
        <v>3520</v>
      </c>
      <c r="AE38" s="17">
        <v>14755</v>
      </c>
      <c r="AF38" s="17">
        <v>2.2959999999999998</v>
      </c>
      <c r="AG38" s="33">
        <f t="shared" si="9"/>
        <v>58800</v>
      </c>
      <c r="AH38" s="17">
        <v>20505</v>
      </c>
      <c r="AI38" s="17">
        <v>0.30299999999999999</v>
      </c>
      <c r="AJ38" s="33">
        <f t="shared" si="10"/>
        <v>1680</v>
      </c>
      <c r="AK38" s="116">
        <v>12514</v>
      </c>
      <c r="AL38" s="33">
        <f t="shared" ref="AL38:AL39" si="67">SUM(AK38-AK37)</f>
        <v>423</v>
      </c>
      <c r="AM38" s="33"/>
      <c r="AO38" s="33">
        <f t="shared" si="28"/>
        <v>390383</v>
      </c>
      <c r="AP38" s="117">
        <f t="shared" si="29"/>
        <v>60480</v>
      </c>
      <c r="AQ38" s="53">
        <f t="shared" si="30"/>
        <v>0.15492477899908552</v>
      </c>
      <c r="AR38" s="17"/>
      <c r="AS38" s="14"/>
      <c r="AT38" s="48">
        <f t="shared" si="15"/>
        <v>44767</v>
      </c>
      <c r="AU38" s="17">
        <v>74870</v>
      </c>
      <c r="AV38" s="33">
        <f t="shared" si="16"/>
        <v>19300</v>
      </c>
      <c r="AW38" s="17">
        <v>9526</v>
      </c>
      <c r="AX38" s="33">
        <f t="shared" si="17"/>
        <v>2300</v>
      </c>
      <c r="AY38" s="53">
        <v>97328</v>
      </c>
      <c r="AZ38" s="54">
        <f t="shared" ref="AZ38:AZ39" si="68">SUM(AY38-AY37)</f>
        <v>936</v>
      </c>
      <c r="BA38" s="17">
        <v>5715</v>
      </c>
      <c r="BB38" s="33">
        <f t="shared" si="19"/>
        <v>3920</v>
      </c>
      <c r="BC38" s="46"/>
      <c r="BD38" s="17">
        <f t="shared" si="24"/>
        <v>26456</v>
      </c>
      <c r="BE38" s="17"/>
      <c r="BF38" s="17"/>
    </row>
    <row r="39" spans="2:58" x14ac:dyDescent="0.25">
      <c r="B39" s="45">
        <v>44774</v>
      </c>
      <c r="C39" s="70">
        <f>SUM(Occupancy!K215:K221)</f>
        <v>1830</v>
      </c>
      <c r="D39" s="17">
        <v>19309</v>
      </c>
      <c r="E39" s="17">
        <v>2.0009999999999999</v>
      </c>
      <c r="F39" s="33">
        <f t="shared" si="20"/>
        <v>42560</v>
      </c>
      <c r="G39" s="17">
        <v>19636</v>
      </c>
      <c r="H39" s="17">
        <v>2.403</v>
      </c>
      <c r="I39" s="33">
        <f t="shared" si="1"/>
        <v>49600</v>
      </c>
      <c r="J39" s="17">
        <v>13275</v>
      </c>
      <c r="K39" s="17">
        <v>2.5099999999999998</v>
      </c>
      <c r="L39" s="33">
        <f t="shared" si="2"/>
        <v>12800</v>
      </c>
      <c r="M39" s="17">
        <v>12962</v>
      </c>
      <c r="N39" s="17">
        <v>2.17</v>
      </c>
      <c r="O39" s="33">
        <f t="shared" si="3"/>
        <v>11200</v>
      </c>
      <c r="P39" s="17">
        <v>13595</v>
      </c>
      <c r="Q39" s="17">
        <v>2.21</v>
      </c>
      <c r="R39" s="33">
        <f t="shared" si="4"/>
        <v>10800</v>
      </c>
      <c r="S39" s="17">
        <v>93616</v>
      </c>
      <c r="T39" s="17">
        <v>2.4980000000000002</v>
      </c>
      <c r="U39" s="33">
        <f t="shared" si="5"/>
        <v>86400</v>
      </c>
      <c r="V39" s="17">
        <v>90218</v>
      </c>
      <c r="W39" s="17">
        <v>2.2850000000000001</v>
      </c>
      <c r="X39" s="33">
        <f t="shared" si="6"/>
        <v>85500</v>
      </c>
      <c r="Y39" s="17">
        <v>20938</v>
      </c>
      <c r="Z39" s="17">
        <v>2.99</v>
      </c>
      <c r="AA39" s="33">
        <f t="shared" si="7"/>
        <v>5920</v>
      </c>
      <c r="AB39" s="17">
        <v>13612</v>
      </c>
      <c r="AC39" s="17">
        <v>2.1800000000000002</v>
      </c>
      <c r="AD39" s="33">
        <f t="shared" si="8"/>
        <v>3520</v>
      </c>
      <c r="AE39" s="17">
        <v>15040</v>
      </c>
      <c r="AF39" s="17">
        <v>2.2959999999999998</v>
      </c>
      <c r="AG39" s="33">
        <f t="shared" si="9"/>
        <v>57000</v>
      </c>
      <c r="AH39" s="17">
        <v>20545</v>
      </c>
      <c r="AI39" s="17">
        <v>0.30299999999999999</v>
      </c>
      <c r="AJ39" s="33">
        <f t="shared" si="10"/>
        <v>1600</v>
      </c>
      <c r="AK39" s="116">
        <v>13057</v>
      </c>
      <c r="AL39" s="33">
        <f t="shared" si="67"/>
        <v>543</v>
      </c>
      <c r="AM39" s="33"/>
      <c r="AO39" s="33">
        <f t="shared" si="28"/>
        <v>367443</v>
      </c>
      <c r="AP39" s="117">
        <f t="shared" si="29"/>
        <v>58600</v>
      </c>
      <c r="AQ39" s="53">
        <f t="shared" si="30"/>
        <v>0.15948051806674776</v>
      </c>
      <c r="AR39" s="17"/>
      <c r="AS39" s="14"/>
      <c r="AT39" s="48">
        <f t="shared" si="15"/>
        <v>44774</v>
      </c>
      <c r="AU39" s="17">
        <v>75084</v>
      </c>
      <c r="AV39" s="33">
        <f t="shared" si="16"/>
        <v>21400</v>
      </c>
      <c r="AW39" s="17">
        <v>9552</v>
      </c>
      <c r="AX39" s="33">
        <f t="shared" si="17"/>
        <v>2600</v>
      </c>
      <c r="AY39" s="53">
        <v>98337</v>
      </c>
      <c r="AZ39" s="54">
        <f t="shared" si="68"/>
        <v>1009</v>
      </c>
      <c r="BA39" s="17">
        <v>5848</v>
      </c>
      <c r="BB39" s="33">
        <f t="shared" si="19"/>
        <v>5320</v>
      </c>
      <c r="BC39" s="46"/>
      <c r="BD39" s="17">
        <f t="shared" si="24"/>
        <v>30329</v>
      </c>
      <c r="BE39" s="17"/>
      <c r="BF39" s="17"/>
    </row>
    <row r="40" spans="2:58" x14ac:dyDescent="0.25">
      <c r="B40" s="45">
        <v>44781</v>
      </c>
      <c r="C40" s="70">
        <f>SUM(Occupancy!K222:K228)</f>
        <v>2258</v>
      </c>
      <c r="D40" s="17">
        <v>19578</v>
      </c>
      <c r="E40" s="17">
        <v>2.052</v>
      </c>
      <c r="F40" s="33">
        <f t="shared" si="20"/>
        <v>43040</v>
      </c>
      <c r="G40" s="17">
        <v>19948</v>
      </c>
      <c r="H40" s="17">
        <v>2.403</v>
      </c>
      <c r="I40" s="33">
        <f t="shared" si="1"/>
        <v>49920</v>
      </c>
      <c r="J40" s="17">
        <v>13308</v>
      </c>
      <c r="K40" s="17">
        <v>2.5099999999999998</v>
      </c>
      <c r="L40" s="33">
        <f t="shared" si="2"/>
        <v>13200</v>
      </c>
      <c r="M40" s="17">
        <v>12991</v>
      </c>
      <c r="N40" s="17">
        <v>2.2999999999999998</v>
      </c>
      <c r="O40" s="33">
        <f t="shared" si="3"/>
        <v>11600</v>
      </c>
      <c r="P40" s="17">
        <v>13625</v>
      </c>
      <c r="Q40" s="17">
        <v>2.21</v>
      </c>
      <c r="R40" s="33">
        <f t="shared" si="4"/>
        <v>12000</v>
      </c>
      <c r="S40" s="17">
        <v>93931</v>
      </c>
      <c r="T40" s="17">
        <v>2.7240000000000002</v>
      </c>
      <c r="U40" s="33">
        <f t="shared" si="5"/>
        <v>94500</v>
      </c>
      <c r="V40" s="17">
        <v>90520</v>
      </c>
      <c r="W40" s="17">
        <v>2.2850000000000001</v>
      </c>
      <c r="X40" s="33">
        <f t="shared" si="6"/>
        <v>90600</v>
      </c>
      <c r="Y40" s="17">
        <v>20979</v>
      </c>
      <c r="Z40" s="17">
        <v>4.12</v>
      </c>
      <c r="AA40" s="33">
        <f t="shared" si="7"/>
        <v>6560</v>
      </c>
      <c r="AB40" s="17">
        <v>13636</v>
      </c>
      <c r="AC40" s="17">
        <v>2.9</v>
      </c>
      <c r="AD40" s="33">
        <f t="shared" si="8"/>
        <v>3840</v>
      </c>
      <c r="AE40" s="17">
        <v>15314</v>
      </c>
      <c r="AF40" s="17">
        <v>2.2959999999999998</v>
      </c>
      <c r="AG40" s="33">
        <f t="shared" si="9"/>
        <v>54800</v>
      </c>
      <c r="AH40" s="17">
        <v>20583</v>
      </c>
      <c r="AI40" s="17">
        <v>0.30299999999999999</v>
      </c>
      <c r="AJ40" s="33">
        <f t="shared" si="10"/>
        <v>1520</v>
      </c>
      <c r="AK40" s="116">
        <v>13506</v>
      </c>
      <c r="AL40" s="33">
        <f t="shared" ref="AL40" si="69">SUM(AK40-AK39)</f>
        <v>449</v>
      </c>
      <c r="AM40" s="33"/>
      <c r="AO40" s="33">
        <f t="shared" si="28"/>
        <v>382029</v>
      </c>
      <c r="AP40" s="117">
        <f t="shared" si="29"/>
        <v>56320</v>
      </c>
      <c r="AQ40" s="53">
        <f t="shared" si="30"/>
        <v>0.14742336314782387</v>
      </c>
      <c r="AR40" s="17"/>
      <c r="AS40" s="14"/>
      <c r="AT40" s="48">
        <f t="shared" si="15"/>
        <v>44781</v>
      </c>
      <c r="AU40" s="17">
        <v>75287</v>
      </c>
      <c r="AV40" s="33">
        <f t="shared" si="16"/>
        <v>20300</v>
      </c>
      <c r="AW40" s="17">
        <v>9577</v>
      </c>
      <c r="AX40" s="33">
        <f t="shared" si="17"/>
        <v>2500</v>
      </c>
      <c r="AY40" s="53">
        <v>99353</v>
      </c>
      <c r="AZ40" s="54">
        <f t="shared" ref="AZ40" si="70">SUM(AY40-AY39)</f>
        <v>1016</v>
      </c>
      <c r="BA40" s="17">
        <v>5933</v>
      </c>
      <c r="BB40" s="33">
        <f t="shared" si="19"/>
        <v>3400</v>
      </c>
      <c r="BC40" s="46"/>
      <c r="BD40" s="17">
        <f t="shared" si="24"/>
        <v>27216</v>
      </c>
      <c r="BE40" s="17"/>
      <c r="BF40" s="17"/>
    </row>
    <row r="41" spans="2:58" x14ac:dyDescent="0.25">
      <c r="B41" s="45">
        <v>44788</v>
      </c>
      <c r="C41" s="70">
        <f>SUM(Occupancy!K229:K235)</f>
        <v>2191</v>
      </c>
      <c r="D41" s="17">
        <v>19848</v>
      </c>
      <c r="E41" s="17">
        <v>2.052</v>
      </c>
      <c r="F41" s="33">
        <f t="shared" si="20"/>
        <v>43200</v>
      </c>
      <c r="G41" s="17">
        <v>20254</v>
      </c>
      <c r="H41" s="17">
        <v>2.403</v>
      </c>
      <c r="I41" s="33">
        <f t="shared" si="1"/>
        <v>48960</v>
      </c>
      <c r="J41" s="17">
        <v>13345</v>
      </c>
      <c r="K41" s="17">
        <v>3.14</v>
      </c>
      <c r="L41" s="33">
        <f t="shared" si="2"/>
        <v>14800</v>
      </c>
      <c r="M41" s="17">
        <v>13022</v>
      </c>
      <c r="N41" s="17">
        <v>2.5</v>
      </c>
      <c r="O41" s="33">
        <f t="shared" si="3"/>
        <v>12400</v>
      </c>
      <c r="P41" s="17">
        <v>13655</v>
      </c>
      <c r="Q41" s="17">
        <v>2.59</v>
      </c>
      <c r="R41" s="33">
        <f t="shared" si="4"/>
        <v>12000</v>
      </c>
      <c r="S41" s="17">
        <v>94228</v>
      </c>
      <c r="T41" s="17">
        <v>2.7240000000000002</v>
      </c>
      <c r="U41" s="33">
        <f t="shared" si="5"/>
        <v>89100</v>
      </c>
      <c r="V41" s="17">
        <v>90815</v>
      </c>
      <c r="W41" s="17">
        <v>2.2850000000000001</v>
      </c>
      <c r="X41" s="33">
        <f t="shared" si="6"/>
        <v>88500</v>
      </c>
      <c r="Y41" s="17">
        <v>21016</v>
      </c>
      <c r="Z41" s="17">
        <v>4.12</v>
      </c>
      <c r="AA41" s="33">
        <f t="shared" si="7"/>
        <v>5920</v>
      </c>
      <c r="AB41" s="17">
        <v>13660</v>
      </c>
      <c r="AC41" s="17">
        <v>2.9</v>
      </c>
      <c r="AD41" s="33">
        <f t="shared" si="8"/>
        <v>3840</v>
      </c>
      <c r="AE41" s="17">
        <v>15592</v>
      </c>
      <c r="AF41" s="17">
        <v>2.2959999999999998</v>
      </c>
      <c r="AG41" s="33">
        <f t="shared" si="9"/>
        <v>55600</v>
      </c>
      <c r="AH41" s="17">
        <v>20622</v>
      </c>
      <c r="AI41" s="17">
        <v>0.30299999999999999</v>
      </c>
      <c r="AJ41" s="33">
        <f t="shared" si="10"/>
        <v>1560</v>
      </c>
      <c r="AK41" s="116">
        <v>13996</v>
      </c>
      <c r="AL41" s="33">
        <f t="shared" ref="AL41" si="71">SUM(AK41-AK40)</f>
        <v>490</v>
      </c>
      <c r="AM41" s="33"/>
      <c r="AO41" s="33">
        <f t="shared" si="28"/>
        <v>376370</v>
      </c>
      <c r="AP41" s="117">
        <f t="shared" si="29"/>
        <v>57160</v>
      </c>
      <c r="AQ41" s="53">
        <f t="shared" si="30"/>
        <v>0.15187182825411163</v>
      </c>
      <c r="AR41" s="17"/>
      <c r="AS41" s="14"/>
      <c r="AT41" s="48">
        <f t="shared" si="15"/>
        <v>44788</v>
      </c>
      <c r="AU41" s="17">
        <v>75412</v>
      </c>
      <c r="AV41" s="33">
        <f t="shared" si="16"/>
        <v>12500</v>
      </c>
      <c r="AW41" s="17">
        <v>9592</v>
      </c>
      <c r="AX41" s="33">
        <f t="shared" si="17"/>
        <v>1500</v>
      </c>
      <c r="AY41" s="53">
        <v>99989</v>
      </c>
      <c r="AZ41" s="54">
        <f t="shared" ref="AZ41" si="72">SUM(AY41-AY40)</f>
        <v>636</v>
      </c>
      <c r="BA41" s="17">
        <v>5987</v>
      </c>
      <c r="BB41" s="33">
        <f t="shared" si="19"/>
        <v>2160</v>
      </c>
      <c r="BC41" s="46"/>
      <c r="BD41" s="17">
        <f t="shared" si="24"/>
        <v>16796</v>
      </c>
      <c r="BE41" s="17"/>
      <c r="BF41" s="17"/>
    </row>
    <row r="42" spans="2:58" x14ac:dyDescent="0.25">
      <c r="B42" s="45">
        <v>44795</v>
      </c>
      <c r="C42" s="70">
        <f>SUM(Occupancy!K236:K242)</f>
        <v>2145</v>
      </c>
      <c r="D42" s="17">
        <v>20125</v>
      </c>
      <c r="E42" s="17">
        <v>1.587</v>
      </c>
      <c r="F42" s="33">
        <f t="shared" si="20"/>
        <v>44320</v>
      </c>
      <c r="G42" s="17">
        <v>20567</v>
      </c>
      <c r="H42" s="17">
        <v>1.5549999999999999</v>
      </c>
      <c r="I42" s="33">
        <f t="shared" si="1"/>
        <v>50080</v>
      </c>
      <c r="J42" s="17">
        <v>13383</v>
      </c>
      <c r="K42" s="17">
        <v>1.93</v>
      </c>
      <c r="L42" s="33">
        <f t="shared" si="2"/>
        <v>15200</v>
      </c>
      <c r="M42" s="17">
        <v>13053</v>
      </c>
      <c r="N42" s="17">
        <v>1.68</v>
      </c>
      <c r="O42" s="33">
        <f t="shared" si="3"/>
        <v>12400</v>
      </c>
      <c r="P42" s="17">
        <v>13686</v>
      </c>
      <c r="Q42" s="17">
        <v>1.66</v>
      </c>
      <c r="R42" s="33">
        <f t="shared" si="4"/>
        <v>12400</v>
      </c>
      <c r="S42" s="17">
        <v>94541</v>
      </c>
      <c r="T42" s="17">
        <v>1.635</v>
      </c>
      <c r="U42" s="33">
        <f t="shared" si="5"/>
        <v>93900</v>
      </c>
      <c r="V42" s="17">
        <v>91121</v>
      </c>
      <c r="W42" s="17">
        <v>1.7989999999999999</v>
      </c>
      <c r="X42" s="33">
        <f t="shared" si="6"/>
        <v>91800</v>
      </c>
      <c r="Y42" s="17">
        <v>21055</v>
      </c>
      <c r="Z42" s="17">
        <v>2.2000000000000002</v>
      </c>
      <c r="AA42" s="33">
        <f t="shared" si="7"/>
        <v>6240</v>
      </c>
      <c r="AB42" s="17">
        <v>13683</v>
      </c>
      <c r="AC42" s="17">
        <v>9.7000000000000003E-2</v>
      </c>
      <c r="AD42" s="33">
        <f t="shared" si="8"/>
        <v>3680</v>
      </c>
      <c r="AE42" s="17">
        <v>15592</v>
      </c>
      <c r="AF42" s="17">
        <v>2.2959999999999998</v>
      </c>
      <c r="AG42" s="33">
        <f t="shared" si="9"/>
        <v>0</v>
      </c>
      <c r="AH42" s="17">
        <v>20622</v>
      </c>
      <c r="AI42" s="17">
        <v>0.30299999999999999</v>
      </c>
      <c r="AJ42" s="33">
        <f t="shared" si="10"/>
        <v>0</v>
      </c>
      <c r="AK42" s="116">
        <v>13996</v>
      </c>
      <c r="AL42" s="33">
        <f t="shared" ref="AL42:AL43" si="73">SUM(AK42-AK41)</f>
        <v>0</v>
      </c>
      <c r="AM42" s="33"/>
      <c r="AO42" s="33">
        <f t="shared" si="28"/>
        <v>330020</v>
      </c>
      <c r="AP42" s="117">
        <f t="shared" si="29"/>
        <v>0</v>
      </c>
      <c r="AQ42" s="53">
        <f t="shared" si="30"/>
        <v>0</v>
      </c>
      <c r="AR42" s="17"/>
      <c r="AS42" s="14"/>
      <c r="AT42" s="48">
        <f t="shared" si="15"/>
        <v>44795</v>
      </c>
      <c r="AU42" s="17">
        <v>75600</v>
      </c>
      <c r="AV42" s="33">
        <f t="shared" si="16"/>
        <v>18800</v>
      </c>
      <c r="AW42" s="17">
        <v>9615</v>
      </c>
      <c r="AX42" s="33">
        <f t="shared" si="17"/>
        <v>2300</v>
      </c>
      <c r="AY42" s="53">
        <v>100889</v>
      </c>
      <c r="AZ42" s="54">
        <f t="shared" ref="AZ42:AZ43" si="74">SUM(AY42-AY41)</f>
        <v>900</v>
      </c>
      <c r="BA42" s="17">
        <v>6053</v>
      </c>
      <c r="BB42" s="33">
        <f t="shared" si="19"/>
        <v>2640</v>
      </c>
      <c r="BC42" s="46"/>
      <c r="BD42" s="17">
        <f t="shared" si="24"/>
        <v>24640</v>
      </c>
      <c r="BE42" s="17"/>
      <c r="BF42" s="17"/>
    </row>
    <row r="43" spans="2:58" x14ac:dyDescent="0.25">
      <c r="B43" s="45">
        <v>44802</v>
      </c>
      <c r="C43" s="70">
        <f>SUM(Occupancy!K243:K249)</f>
        <v>2293</v>
      </c>
      <c r="D43" s="17">
        <v>20387</v>
      </c>
      <c r="E43" s="17">
        <v>2.0019999999999998</v>
      </c>
      <c r="F43" s="33">
        <f t="shared" si="20"/>
        <v>41920</v>
      </c>
      <c r="G43" s="17">
        <v>20868</v>
      </c>
      <c r="H43" s="17">
        <v>2.3180000000000001</v>
      </c>
      <c r="I43" s="33">
        <f t="shared" si="1"/>
        <v>48160</v>
      </c>
      <c r="J43" s="17">
        <v>13419</v>
      </c>
      <c r="K43" s="17">
        <v>2.84</v>
      </c>
      <c r="L43" s="33">
        <f t="shared" si="2"/>
        <v>14400</v>
      </c>
      <c r="M43" s="17">
        <v>13084</v>
      </c>
      <c r="N43" s="17">
        <v>2.4900000000000002</v>
      </c>
      <c r="O43" s="33">
        <f t="shared" si="3"/>
        <v>12400</v>
      </c>
      <c r="P43" s="17">
        <v>13717</v>
      </c>
      <c r="Q43" s="17">
        <v>2.2799999999999998</v>
      </c>
      <c r="R43" s="33">
        <f t="shared" si="4"/>
        <v>12400</v>
      </c>
      <c r="S43" s="17">
        <v>94859</v>
      </c>
      <c r="T43" s="17">
        <v>2.8330000000000002</v>
      </c>
      <c r="U43" s="33">
        <f t="shared" si="5"/>
        <v>95400</v>
      </c>
      <c r="V43" s="17">
        <v>91432</v>
      </c>
      <c r="W43" s="17">
        <v>2.3610000000000002</v>
      </c>
      <c r="X43" s="33">
        <f t="shared" si="6"/>
        <v>93300</v>
      </c>
      <c r="Y43" s="17">
        <v>21096</v>
      </c>
      <c r="Z43" s="17">
        <v>3.51</v>
      </c>
      <c r="AA43" s="33">
        <f t="shared" si="7"/>
        <v>6560</v>
      </c>
      <c r="AB43" s="17">
        <v>13708</v>
      </c>
      <c r="AC43" s="17">
        <v>2.4300000000000002</v>
      </c>
      <c r="AD43" s="33">
        <f t="shared" si="8"/>
        <v>4000</v>
      </c>
      <c r="AE43" s="17">
        <v>16139</v>
      </c>
      <c r="AF43" s="17">
        <v>2.0680000000000001</v>
      </c>
      <c r="AG43" s="33">
        <f t="shared" si="9"/>
        <v>109400</v>
      </c>
      <c r="AH43" s="17">
        <v>20696</v>
      </c>
      <c r="AI43" s="17">
        <v>0.28199999999999997</v>
      </c>
      <c r="AJ43" s="33">
        <f t="shared" si="10"/>
        <v>2960</v>
      </c>
      <c r="AK43" s="116">
        <v>14044</v>
      </c>
      <c r="AL43" s="33">
        <f t="shared" si="73"/>
        <v>48</v>
      </c>
      <c r="AM43" s="33"/>
      <c r="AO43" s="33">
        <f t="shared" si="28"/>
        <v>440948</v>
      </c>
      <c r="AP43" s="117">
        <f t="shared" si="29"/>
        <v>112360</v>
      </c>
      <c r="AQ43" s="53">
        <f t="shared" si="30"/>
        <v>0.25481462666799715</v>
      </c>
      <c r="AR43" s="17"/>
      <c r="AS43" s="14"/>
      <c r="AT43" s="48">
        <f t="shared" si="15"/>
        <v>44802</v>
      </c>
      <c r="AU43" s="17">
        <v>75789</v>
      </c>
      <c r="AV43" s="33">
        <f t="shared" si="16"/>
        <v>18900</v>
      </c>
      <c r="AW43" s="17">
        <v>9637</v>
      </c>
      <c r="AX43" s="33">
        <f t="shared" si="17"/>
        <v>2200</v>
      </c>
      <c r="AY43" s="53">
        <v>1814</v>
      </c>
      <c r="AZ43" s="54">
        <v>925</v>
      </c>
      <c r="BA43" s="17">
        <v>6079</v>
      </c>
      <c r="BB43" s="33">
        <f t="shared" si="19"/>
        <v>1040</v>
      </c>
      <c r="BC43" s="46"/>
      <c r="BD43" s="17">
        <f t="shared" si="24"/>
        <v>23065</v>
      </c>
      <c r="BE43" s="17"/>
      <c r="BF43" s="17"/>
    </row>
    <row r="44" spans="2:58" x14ac:dyDescent="0.25">
      <c r="B44" s="45">
        <v>44804</v>
      </c>
      <c r="C44" s="70">
        <f>SUM(Occupancy!K250:K251)</f>
        <v>634</v>
      </c>
      <c r="D44" s="17">
        <v>20462</v>
      </c>
      <c r="E44" s="17">
        <v>2.0019999999999998</v>
      </c>
      <c r="F44" s="33">
        <f t="shared" si="20"/>
        <v>12000</v>
      </c>
      <c r="G44" s="17">
        <v>20953</v>
      </c>
      <c r="H44" s="17">
        <v>2.3180000000000001</v>
      </c>
      <c r="I44" s="33">
        <f t="shared" si="1"/>
        <v>13600</v>
      </c>
      <c r="J44" s="17">
        <v>13429</v>
      </c>
      <c r="K44" s="17">
        <v>2.84</v>
      </c>
      <c r="L44" s="33">
        <f t="shared" si="2"/>
        <v>4000</v>
      </c>
      <c r="M44" s="17">
        <v>13093</v>
      </c>
      <c r="N44" s="17">
        <v>2.4900000000000002</v>
      </c>
      <c r="O44" s="33">
        <f t="shared" si="3"/>
        <v>3600</v>
      </c>
      <c r="P44" s="17">
        <v>13725</v>
      </c>
      <c r="Q44" s="17">
        <v>2.2799999999999998</v>
      </c>
      <c r="R44" s="33">
        <f t="shared" si="4"/>
        <v>3200</v>
      </c>
      <c r="S44" s="17">
        <v>94950</v>
      </c>
      <c r="T44" s="17">
        <v>2.8330000000000002</v>
      </c>
      <c r="U44" s="33">
        <f t="shared" si="5"/>
        <v>27300</v>
      </c>
      <c r="V44" s="17">
        <v>91519</v>
      </c>
      <c r="W44" s="17">
        <v>2.3610000000000002</v>
      </c>
      <c r="X44" s="33">
        <f t="shared" si="6"/>
        <v>26100</v>
      </c>
      <c r="Y44" s="17">
        <v>21106</v>
      </c>
      <c r="Z44" s="17">
        <v>3.51</v>
      </c>
      <c r="AA44" s="33">
        <f t="shared" si="7"/>
        <v>1600</v>
      </c>
      <c r="AB44" s="17">
        <v>13716</v>
      </c>
      <c r="AC44" s="17">
        <v>2.83</v>
      </c>
      <c r="AD44" s="33">
        <f t="shared" si="8"/>
        <v>1280</v>
      </c>
      <c r="AE44" s="17">
        <v>16217</v>
      </c>
      <c r="AF44" s="17">
        <v>2.0680000000000001</v>
      </c>
      <c r="AG44" s="33">
        <f t="shared" si="9"/>
        <v>15600</v>
      </c>
      <c r="AH44" s="17">
        <v>20707</v>
      </c>
      <c r="AI44" s="17">
        <v>0.28599999999999998</v>
      </c>
      <c r="AJ44" s="33">
        <f t="shared" si="10"/>
        <v>440</v>
      </c>
      <c r="AK44" s="116">
        <v>14044</v>
      </c>
      <c r="AL44" s="33">
        <f t="shared" ref="AL44" si="75">SUM(AK44-AK43)</f>
        <v>0</v>
      </c>
      <c r="AM44" s="33"/>
      <c r="AO44" s="33">
        <f t="shared" si="28"/>
        <v>108720</v>
      </c>
      <c r="AP44" s="117">
        <f t="shared" si="29"/>
        <v>16040</v>
      </c>
      <c r="AQ44" s="53">
        <f t="shared" si="30"/>
        <v>0.14753495217071377</v>
      </c>
      <c r="AR44" s="17"/>
      <c r="AS44" s="14"/>
      <c r="AT44" s="48">
        <f t="shared" si="15"/>
        <v>44804</v>
      </c>
      <c r="AU44" s="17">
        <v>75868</v>
      </c>
      <c r="AV44" s="33">
        <f t="shared" si="16"/>
        <v>7900</v>
      </c>
      <c r="AW44" s="17">
        <v>9647</v>
      </c>
      <c r="AX44" s="33">
        <f t="shared" si="17"/>
        <v>1000</v>
      </c>
      <c r="AY44" s="53">
        <v>2199</v>
      </c>
      <c r="AZ44" s="54">
        <f t="shared" ref="AZ44" si="76">SUM(AY44-AY43)</f>
        <v>385</v>
      </c>
      <c r="BA44" s="17">
        <v>6087</v>
      </c>
      <c r="BB44" s="33">
        <f t="shared" si="19"/>
        <v>320</v>
      </c>
      <c r="BC44" s="46"/>
      <c r="BD44" s="17">
        <f t="shared" si="24"/>
        <v>9605</v>
      </c>
      <c r="BE44" s="17"/>
      <c r="BF44" s="17"/>
    </row>
    <row r="45" spans="2:58" x14ac:dyDescent="0.25">
      <c r="B45" s="45">
        <v>44809</v>
      </c>
      <c r="C45" s="70">
        <f>SUM(Occupancy!K252:K258)</f>
        <v>1594</v>
      </c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7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>
        <f>SUM(Occupancy!K259:K265)</f>
        <v>1912</v>
      </c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6"/>
      <c r="AL46" s="33"/>
      <c r="AM46" s="33"/>
      <c r="AO46" s="33">
        <f t="shared" si="28"/>
        <v>0</v>
      </c>
      <c r="AP46" s="117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>
        <f>SUM(Occupancy!K266:K272)</f>
        <v>1823</v>
      </c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7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>
        <f>SUM(Occupancy!K273:K279)</f>
        <v>2363</v>
      </c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7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>
        <f>SUM(Occupancy!K280:K281)</f>
        <v>615</v>
      </c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7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>
        <f>SUM(Occupancy!K282:K284)</f>
        <v>1116</v>
      </c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7"/>
      <c r="AL50" s="33"/>
      <c r="AM50" s="33"/>
      <c r="AO50" s="33">
        <f t="shared" si="28"/>
        <v>0</v>
      </c>
      <c r="AP50" s="117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>
        <f>SUM(Occupancy!K285:K291)</f>
        <v>2472</v>
      </c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98"/>
      <c r="AL51" s="33"/>
      <c r="AM51" s="33"/>
      <c r="AO51" s="33">
        <f t="shared" si="28"/>
        <v>0</v>
      </c>
      <c r="AP51" s="117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>
        <f>SUM(Occupancy!K292:K298)</f>
        <v>2766</v>
      </c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99"/>
      <c r="AL52" s="33"/>
      <c r="AM52" s="33"/>
      <c r="AO52" s="33">
        <f t="shared" si="28"/>
        <v>0</v>
      </c>
      <c r="AP52" s="117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>
        <f>SUM(Occupancy!K299:K305)</f>
        <v>2075</v>
      </c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0"/>
      <c r="AL53" s="33"/>
      <c r="AM53" s="33"/>
      <c r="AO53" s="33">
        <f t="shared" si="28"/>
        <v>0</v>
      </c>
      <c r="AP53" s="117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>
        <f>SUM(Occupancy!K306:K312)</f>
        <v>1818</v>
      </c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1"/>
      <c r="AL54" s="33"/>
      <c r="AM54" s="33"/>
      <c r="AO54" s="33">
        <f t="shared" si="28"/>
        <v>0</v>
      </c>
      <c r="AP54" s="117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>
        <f>SUM(Occupancy!K313:K319)</f>
        <v>2001</v>
      </c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2"/>
      <c r="AL55" s="33"/>
      <c r="AM55" s="33"/>
      <c r="AO55" s="33">
        <f t="shared" si="28"/>
        <v>0</v>
      </c>
      <c r="AP55" s="117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>
        <f>SUM(Occupancy!K320:K326)</f>
        <v>2113</v>
      </c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3"/>
      <c r="AL56" s="33"/>
      <c r="AM56" s="33"/>
      <c r="AO56" s="33">
        <f t="shared" si="28"/>
        <v>0</v>
      </c>
      <c r="AP56" s="117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>
        <f>SUM(Occupancy!K327:K333)</f>
        <v>2102</v>
      </c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4"/>
      <c r="AL57" s="33"/>
      <c r="AM57" s="33"/>
      <c r="AO57" s="33">
        <f t="shared" si="28"/>
        <v>0</v>
      </c>
      <c r="AP57" s="117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>
        <f>SUM(Occupancy!K334:K340)</f>
        <v>2027</v>
      </c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5"/>
      <c r="AL58" s="33"/>
      <c r="AM58" s="33"/>
      <c r="AO58" s="33">
        <f t="shared" si="28"/>
        <v>0</v>
      </c>
      <c r="AP58" s="117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>
        <f>SUM(Occupancy!K341:K342)</f>
        <v>379</v>
      </c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6"/>
      <c r="AL59" s="33"/>
      <c r="AM59" s="33"/>
      <c r="AO59" s="33">
        <f t="shared" si="28"/>
        <v>0</v>
      </c>
      <c r="AP59" s="117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>
        <f>SUM(Occupancy!K343:K347)</f>
        <v>1564</v>
      </c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7"/>
      <c r="AL60" s="33"/>
      <c r="AM60" s="33"/>
      <c r="AO60" s="33">
        <f t="shared" si="28"/>
        <v>0</v>
      </c>
      <c r="AP60" s="117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>
        <f>SUM(Occupancy!K348:K355)</f>
        <v>2033</v>
      </c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08"/>
      <c r="AL61" s="33"/>
      <c r="AM61" s="33"/>
      <c r="AO61" s="33">
        <f t="shared" si="28"/>
        <v>0</v>
      </c>
      <c r="AP61" s="117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>
        <f>SUM(Occupancy!K356:K362)</f>
        <v>1679</v>
      </c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08"/>
      <c r="AL62" s="33"/>
      <c r="AM62" s="33"/>
      <c r="AO62" s="33">
        <f t="shared" si="28"/>
        <v>0</v>
      </c>
      <c r="AP62" s="117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>
        <f>SUM(Occupancy!K363:K369)</f>
        <v>2405</v>
      </c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09"/>
      <c r="AL63" s="33"/>
      <c r="AM63" s="33"/>
      <c r="AO63" s="33">
        <f t="shared" si="28"/>
        <v>0</v>
      </c>
      <c r="AP63" s="117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>
        <f>SUM(Occupancy!K370:K373)</f>
        <v>1759</v>
      </c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1"/>
      <c r="AL64" s="122"/>
      <c r="AM64" s="33"/>
      <c r="AO64" s="33">
        <f t="shared" si="28"/>
        <v>0</v>
      </c>
      <c r="AP64" s="117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T1" zoomScaleNormal="100" workbookViewId="0">
      <selection activeCell="AU44" sqref="AU44:BH44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0">
        <v>74860172</v>
      </c>
      <c r="D1" s="132"/>
      <c r="E1" s="131"/>
      <c r="F1" s="130">
        <v>74860173</v>
      </c>
      <c r="G1" s="132"/>
      <c r="H1" s="131"/>
      <c r="I1" s="130">
        <v>44553004</v>
      </c>
      <c r="J1" s="132"/>
      <c r="K1" s="131"/>
      <c r="L1" s="130">
        <v>70275191</v>
      </c>
      <c r="M1" s="132"/>
      <c r="N1" s="131"/>
      <c r="O1" s="130">
        <v>2130521</v>
      </c>
      <c r="P1" s="132"/>
      <c r="Q1" s="131"/>
      <c r="R1" s="16"/>
      <c r="S1" s="133" t="s">
        <v>104</v>
      </c>
      <c r="T1" s="132"/>
      <c r="U1" s="131"/>
      <c r="V1" s="134">
        <v>93477704</v>
      </c>
      <c r="W1" s="135"/>
      <c r="X1" s="136"/>
      <c r="Y1" s="21" t="s">
        <v>180</v>
      </c>
      <c r="Z1" s="16"/>
      <c r="AA1" s="137">
        <v>79177804</v>
      </c>
      <c r="AB1" s="138"/>
      <c r="AC1" s="137">
        <v>79305675</v>
      </c>
      <c r="AD1" s="138"/>
      <c r="AE1" s="139">
        <v>19000406</v>
      </c>
      <c r="AF1" s="140"/>
      <c r="AG1" s="137">
        <v>79190041</v>
      </c>
      <c r="AH1" s="138"/>
      <c r="AI1" s="137" t="s">
        <v>49</v>
      </c>
      <c r="AJ1" s="138"/>
      <c r="AK1" s="137">
        <v>79190039</v>
      </c>
      <c r="AL1" s="138"/>
      <c r="AM1" s="137">
        <v>79324776</v>
      </c>
      <c r="AN1" s="138"/>
      <c r="AO1" s="137" t="s">
        <v>102</v>
      </c>
      <c r="AP1" s="138"/>
      <c r="AQ1" s="137" t="s">
        <v>103</v>
      </c>
      <c r="AR1" s="138"/>
      <c r="AS1" s="14"/>
      <c r="AU1" s="130" t="s">
        <v>115</v>
      </c>
      <c r="AV1" s="131"/>
      <c r="AW1" s="14"/>
      <c r="AX1" s="130" t="s">
        <v>55</v>
      </c>
      <c r="AY1" s="131"/>
      <c r="AZ1" s="130">
        <v>65956268</v>
      </c>
      <c r="BA1" s="131"/>
      <c r="BB1" s="22" t="s">
        <v>57</v>
      </c>
      <c r="BC1" s="130">
        <v>1334021</v>
      </c>
      <c r="BD1" s="131"/>
      <c r="BE1" s="130">
        <v>63265094</v>
      </c>
      <c r="BF1" s="131"/>
      <c r="BG1" s="130" t="s">
        <v>181</v>
      </c>
      <c r="BH1" s="131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3" t="s">
        <v>100</v>
      </c>
      <c r="P2" s="14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1" t="s">
        <v>184</v>
      </c>
      <c r="AB2" s="142"/>
      <c r="AC2" s="141" t="s">
        <v>185</v>
      </c>
      <c r="AD2" s="142"/>
      <c r="AE2" s="141" t="s">
        <v>217</v>
      </c>
      <c r="AF2" s="142"/>
      <c r="AG2" s="141" t="s">
        <v>186</v>
      </c>
      <c r="AH2" s="142"/>
      <c r="AI2" s="141" t="s">
        <v>187</v>
      </c>
      <c r="AJ2" s="142"/>
      <c r="AK2" s="141" t="s">
        <v>118</v>
      </c>
      <c r="AL2" s="142"/>
      <c r="AM2" s="141" t="s">
        <v>188</v>
      </c>
      <c r="AN2" s="142"/>
      <c r="AO2" s="141" t="s">
        <v>189</v>
      </c>
      <c r="AP2" s="142"/>
      <c r="AQ2" s="141" t="s">
        <v>190</v>
      </c>
      <c r="AR2" s="142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1" t="s">
        <v>105</v>
      </c>
      <c r="D3" s="142"/>
      <c r="E3" s="18" t="s">
        <v>192</v>
      </c>
      <c r="F3" s="141" t="s">
        <v>106</v>
      </c>
      <c r="G3" s="142"/>
      <c r="H3" s="18" t="s">
        <v>192</v>
      </c>
      <c r="I3" s="141" t="s">
        <v>107</v>
      </c>
      <c r="J3" s="142"/>
      <c r="K3" s="18"/>
      <c r="L3" s="141" t="s">
        <v>193</v>
      </c>
      <c r="M3" s="142"/>
      <c r="N3" s="18"/>
      <c r="O3" s="141" t="s">
        <v>108</v>
      </c>
      <c r="P3" s="142"/>
      <c r="Q3" s="18" t="s">
        <v>192</v>
      </c>
      <c r="R3" s="28"/>
      <c r="S3" s="141" t="s">
        <v>194</v>
      </c>
      <c r="T3" s="142"/>
      <c r="U3" s="19"/>
      <c r="V3" s="141" t="s">
        <v>194</v>
      </c>
      <c r="W3" s="142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19"/>
      <c r="AF3" s="119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5">
        <v>47284050</v>
      </c>
      <c r="D4" s="125"/>
      <c r="E4" s="33">
        <v>0</v>
      </c>
      <c r="F4" s="128">
        <v>5735080</v>
      </c>
      <c r="G4" s="129"/>
      <c r="H4" s="33">
        <v>0</v>
      </c>
      <c r="I4" s="128">
        <v>18184</v>
      </c>
      <c r="J4" s="129"/>
      <c r="K4" s="33">
        <v>0</v>
      </c>
      <c r="L4" s="128">
        <v>343381</v>
      </c>
      <c r="M4" s="129"/>
      <c r="N4" s="33">
        <v>0</v>
      </c>
      <c r="O4" s="128">
        <v>21347</v>
      </c>
      <c r="P4" s="129"/>
      <c r="Q4" s="33">
        <v>0</v>
      </c>
      <c r="R4" s="77"/>
      <c r="S4" s="128">
        <v>804501</v>
      </c>
      <c r="T4" s="129"/>
      <c r="U4" s="33">
        <v>0</v>
      </c>
      <c r="V4" s="128">
        <v>837808</v>
      </c>
      <c r="W4" s="129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5">
        <v>47321292</v>
      </c>
      <c r="D5" s="125"/>
      <c r="E5" s="33">
        <f t="shared" ref="E5:E64" si="0">SUM(C5-C4)*10</f>
        <v>372420</v>
      </c>
      <c r="F5" s="125">
        <v>5741571</v>
      </c>
      <c r="G5" s="125"/>
      <c r="H5" s="33">
        <f t="shared" ref="H5:H64" si="1">SUM(F5-F4)*10</f>
        <v>64910</v>
      </c>
      <c r="I5" s="125">
        <v>18187</v>
      </c>
      <c r="J5" s="125"/>
      <c r="K5" s="33">
        <f t="shared" ref="K5:K64" si="2">SUM(I5-I4)*10</f>
        <v>30</v>
      </c>
      <c r="L5" s="125">
        <v>343661</v>
      </c>
      <c r="M5" s="125"/>
      <c r="N5" s="33">
        <f t="shared" ref="N5:N64" si="3">SUM(L5-L4)*1000</f>
        <v>280000</v>
      </c>
      <c r="O5" s="125">
        <v>21465</v>
      </c>
      <c r="P5" s="125"/>
      <c r="Q5" s="33">
        <f t="shared" ref="Q5:Q64" si="4">SUM(O5-O4)*100</f>
        <v>11800</v>
      </c>
      <c r="R5" s="29"/>
      <c r="S5" s="121">
        <v>805268</v>
      </c>
      <c r="T5" s="122"/>
      <c r="U5" s="33">
        <f t="shared" ref="U5:U64" si="5">SUM(S5-S4)*100</f>
        <v>76700</v>
      </c>
      <c r="V5" s="125">
        <v>840790</v>
      </c>
      <c r="W5" s="125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44" si="8">SUM(AA5-AA4)*10000</f>
        <v>650000</v>
      </c>
      <c r="AC5" s="17">
        <v>701086300</v>
      </c>
      <c r="AD5" s="33">
        <f t="shared" ref="AD5:AD44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44" si="12">SUM(AK5-AK4)</f>
        <v>2757</v>
      </c>
      <c r="AM5" s="17">
        <v>25501</v>
      </c>
      <c r="AN5" s="33">
        <f t="shared" ref="AN5:AN44" si="13">SUM(AM5-AM4)*1000</f>
        <v>51000</v>
      </c>
      <c r="AO5" s="17">
        <v>1295</v>
      </c>
      <c r="AP5" s="33">
        <f t="shared" ref="AP5:AP44" si="14">SUM(AO5-AO4)</f>
        <v>3</v>
      </c>
      <c r="AQ5" s="17">
        <v>13377</v>
      </c>
      <c r="AR5" s="33">
        <f t="shared" ref="AR5:AR44" si="15">SUM(AQ5-AQ4)*100</f>
        <v>900</v>
      </c>
      <c r="AS5" s="31"/>
      <c r="AT5" s="57">
        <f>B5</f>
        <v>44564</v>
      </c>
      <c r="AU5" s="17">
        <v>4100</v>
      </c>
      <c r="AV5" s="33">
        <f t="shared" ref="AV5:AV44" si="16">SUM(AU5-AU4)</f>
        <v>54</v>
      </c>
      <c r="AW5" s="14"/>
      <c r="AX5" s="17">
        <v>2131903</v>
      </c>
      <c r="AY5" s="33">
        <f t="shared" ref="AY5:AY44" si="17">SUM(AX5-AX4)</f>
        <v>23245</v>
      </c>
      <c r="AZ5" s="17">
        <v>654316702</v>
      </c>
      <c r="BA5" s="34">
        <f t="shared" ref="BA5:BA44" si="18">SUM(AZ5-AZ4)/100</f>
        <v>16869.72</v>
      </c>
      <c r="BB5" s="33">
        <f t="shared" ref="BB5:BB44" si="19">SUM(AY5-BA5)</f>
        <v>6375.2799999999988</v>
      </c>
      <c r="BC5" s="17">
        <v>7133400</v>
      </c>
      <c r="BD5" s="89">
        <f t="shared" ref="BD5:BD44" si="20">SUM(BC5-BC4)</f>
        <v>400</v>
      </c>
      <c r="BE5" s="53">
        <v>3791400</v>
      </c>
      <c r="BF5" s="54">
        <f t="shared" ref="BF5:BF44" si="21">SUM(BE5-BE4)</f>
        <v>200</v>
      </c>
      <c r="BG5" s="17">
        <v>1133187</v>
      </c>
      <c r="BH5" s="33">
        <f t="shared" ref="BH5:BH44" si="22">SUM(BG5-BG4)</f>
        <v>10</v>
      </c>
    </row>
    <row r="6" spans="2:60" s="58" customFormat="1" x14ac:dyDescent="0.25">
      <c r="B6" s="45">
        <v>44571</v>
      </c>
      <c r="C6" s="125">
        <v>47434585</v>
      </c>
      <c r="D6" s="125"/>
      <c r="E6" s="33">
        <f t="shared" si="0"/>
        <v>1132930</v>
      </c>
      <c r="F6" s="125">
        <v>5755598</v>
      </c>
      <c r="G6" s="125"/>
      <c r="H6" s="33">
        <f t="shared" si="1"/>
        <v>140270</v>
      </c>
      <c r="I6" s="125">
        <v>18208</v>
      </c>
      <c r="J6" s="125"/>
      <c r="K6" s="33">
        <f t="shared" si="2"/>
        <v>210</v>
      </c>
      <c r="L6" s="125">
        <v>344442</v>
      </c>
      <c r="M6" s="125"/>
      <c r="N6" s="33">
        <f t="shared" si="3"/>
        <v>781000</v>
      </c>
      <c r="O6" s="125">
        <v>21853</v>
      </c>
      <c r="P6" s="125"/>
      <c r="Q6" s="33">
        <f t="shared" si="4"/>
        <v>38800</v>
      </c>
      <c r="R6" s="29"/>
      <c r="S6" s="121">
        <v>807780</v>
      </c>
      <c r="T6" s="122"/>
      <c r="U6" s="33">
        <f t="shared" si="5"/>
        <v>251200</v>
      </c>
      <c r="V6" s="125">
        <v>855610</v>
      </c>
      <c r="W6" s="125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5">
        <v>47541571</v>
      </c>
      <c r="D7" s="125"/>
      <c r="E7" s="33">
        <f t="shared" si="0"/>
        <v>1069860</v>
      </c>
      <c r="F7" s="125">
        <v>5765249</v>
      </c>
      <c r="G7" s="125"/>
      <c r="H7" s="33">
        <f t="shared" si="1"/>
        <v>96510</v>
      </c>
      <c r="I7" s="125">
        <v>18248</v>
      </c>
      <c r="J7" s="125"/>
      <c r="K7" s="33">
        <f t="shared" si="2"/>
        <v>400</v>
      </c>
      <c r="L7" s="125">
        <v>345151</v>
      </c>
      <c r="M7" s="125"/>
      <c r="N7" s="33">
        <f t="shared" si="3"/>
        <v>709000</v>
      </c>
      <c r="O7" s="125">
        <v>22245</v>
      </c>
      <c r="P7" s="125"/>
      <c r="Q7" s="33">
        <f t="shared" si="4"/>
        <v>39200</v>
      </c>
      <c r="R7" s="29"/>
      <c r="S7" s="121">
        <v>810263</v>
      </c>
      <c r="T7" s="122"/>
      <c r="U7" s="33">
        <f t="shared" si="5"/>
        <v>248300</v>
      </c>
      <c r="V7" s="125">
        <v>874623</v>
      </c>
      <c r="W7" s="125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5">
        <v>47648684</v>
      </c>
      <c r="D8" s="125"/>
      <c r="E8" s="33">
        <f t="shared" si="0"/>
        <v>1071130</v>
      </c>
      <c r="F8" s="125">
        <v>5771687</v>
      </c>
      <c r="G8" s="125"/>
      <c r="H8" s="33">
        <f t="shared" si="1"/>
        <v>64380</v>
      </c>
      <c r="I8" s="125">
        <v>18296</v>
      </c>
      <c r="J8" s="125"/>
      <c r="K8" s="33">
        <f t="shared" si="2"/>
        <v>480</v>
      </c>
      <c r="L8" s="125">
        <v>345901</v>
      </c>
      <c r="M8" s="125"/>
      <c r="N8" s="33">
        <f t="shared" si="3"/>
        <v>750000</v>
      </c>
      <c r="O8" s="125">
        <v>22594</v>
      </c>
      <c r="P8" s="125"/>
      <c r="Q8" s="33">
        <f t="shared" si="4"/>
        <v>34900</v>
      </c>
      <c r="R8" s="29"/>
      <c r="S8" s="121">
        <v>812966</v>
      </c>
      <c r="T8" s="122"/>
      <c r="U8" s="33">
        <f t="shared" si="5"/>
        <v>270300</v>
      </c>
      <c r="V8" s="125">
        <v>895060</v>
      </c>
      <c r="W8" s="125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5">
        <v>47742689</v>
      </c>
      <c r="D9" s="125"/>
      <c r="E9" s="33">
        <f t="shared" si="0"/>
        <v>940050</v>
      </c>
      <c r="F9" s="125">
        <v>5772478</v>
      </c>
      <c r="G9" s="125"/>
      <c r="H9" s="33">
        <f t="shared" si="1"/>
        <v>7910</v>
      </c>
      <c r="I9" s="125">
        <v>18310</v>
      </c>
      <c r="J9" s="125"/>
      <c r="K9" s="33">
        <f t="shared" si="2"/>
        <v>140</v>
      </c>
      <c r="L9" s="125">
        <v>346448</v>
      </c>
      <c r="M9" s="125"/>
      <c r="N9" s="33">
        <f t="shared" si="3"/>
        <v>547000</v>
      </c>
      <c r="O9" s="125">
        <v>22960</v>
      </c>
      <c r="P9" s="125"/>
      <c r="Q9" s="33">
        <f t="shared" si="4"/>
        <v>36600</v>
      </c>
      <c r="R9" s="29"/>
      <c r="S9" s="121">
        <v>815475</v>
      </c>
      <c r="T9" s="122"/>
      <c r="U9" s="33">
        <f t="shared" si="5"/>
        <v>250900</v>
      </c>
      <c r="V9" s="125">
        <v>916450</v>
      </c>
      <c r="W9" s="125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5">
        <v>47852173</v>
      </c>
      <c r="D10" s="125"/>
      <c r="E10" s="33">
        <f t="shared" si="0"/>
        <v>1094840</v>
      </c>
      <c r="F10" s="125">
        <v>5782056</v>
      </c>
      <c r="G10" s="125"/>
      <c r="H10" s="33">
        <f t="shared" si="1"/>
        <v>95780</v>
      </c>
      <c r="I10" s="125">
        <v>18354</v>
      </c>
      <c r="J10" s="125"/>
      <c r="K10" s="33">
        <f t="shared" si="2"/>
        <v>440</v>
      </c>
      <c r="L10" s="125">
        <v>347178</v>
      </c>
      <c r="M10" s="125"/>
      <c r="N10" s="33">
        <f t="shared" si="3"/>
        <v>730000</v>
      </c>
      <c r="O10" s="125">
        <v>23343</v>
      </c>
      <c r="P10" s="125"/>
      <c r="Q10" s="33">
        <f t="shared" si="4"/>
        <v>38300</v>
      </c>
      <c r="R10" s="29"/>
      <c r="S10" s="121">
        <v>817983</v>
      </c>
      <c r="T10" s="122"/>
      <c r="U10" s="33">
        <f t="shared" si="5"/>
        <v>250800</v>
      </c>
      <c r="V10" s="125">
        <v>932930</v>
      </c>
      <c r="W10" s="125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5">
        <v>47958101</v>
      </c>
      <c r="D11" s="125"/>
      <c r="E11" s="33">
        <f t="shared" si="0"/>
        <v>1059280</v>
      </c>
      <c r="F11" s="125">
        <v>5789125</v>
      </c>
      <c r="G11" s="125"/>
      <c r="H11" s="33">
        <f t="shared" si="1"/>
        <v>70690</v>
      </c>
      <c r="I11" s="125">
        <v>18386</v>
      </c>
      <c r="J11" s="125"/>
      <c r="K11" s="33">
        <f t="shared" si="2"/>
        <v>320</v>
      </c>
      <c r="L11" s="125">
        <v>347864</v>
      </c>
      <c r="M11" s="125"/>
      <c r="N11" s="33">
        <f t="shared" si="3"/>
        <v>686000</v>
      </c>
      <c r="O11" s="125">
        <v>23722</v>
      </c>
      <c r="P11" s="125"/>
      <c r="Q11" s="33">
        <f t="shared" si="4"/>
        <v>37900</v>
      </c>
      <c r="R11" s="29"/>
      <c r="S11" s="121">
        <v>820428</v>
      </c>
      <c r="T11" s="122"/>
      <c r="U11" s="33">
        <f t="shared" si="5"/>
        <v>244500</v>
      </c>
      <c r="V11" s="125">
        <v>941330</v>
      </c>
      <c r="W11" s="125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5">
        <v>48094151</v>
      </c>
      <c r="D12" s="125"/>
      <c r="E12" s="33">
        <f t="shared" si="0"/>
        <v>1360500</v>
      </c>
      <c r="F12" s="125">
        <v>5800451</v>
      </c>
      <c r="G12" s="125"/>
      <c r="H12" s="33">
        <f t="shared" si="1"/>
        <v>113260</v>
      </c>
      <c r="I12" s="125">
        <v>18417</v>
      </c>
      <c r="J12" s="125"/>
      <c r="K12" s="33">
        <f t="shared" si="2"/>
        <v>310</v>
      </c>
      <c r="L12" s="125">
        <v>348848</v>
      </c>
      <c r="M12" s="125"/>
      <c r="N12" s="33">
        <f t="shared" si="3"/>
        <v>984000</v>
      </c>
      <c r="O12" s="121">
        <v>24008</v>
      </c>
      <c r="P12" s="122"/>
      <c r="Q12" s="33">
        <f t="shared" si="4"/>
        <v>28600</v>
      </c>
      <c r="R12" s="29"/>
      <c r="S12" s="121">
        <v>823082</v>
      </c>
      <c r="T12" s="122"/>
      <c r="U12" s="33">
        <f t="shared" si="5"/>
        <v>265400</v>
      </c>
      <c r="V12" s="125">
        <v>967120</v>
      </c>
      <c r="W12" s="125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5">
        <v>48239930</v>
      </c>
      <c r="D13" s="125"/>
      <c r="E13" s="33">
        <f t="shared" si="0"/>
        <v>1457790</v>
      </c>
      <c r="F13" s="125">
        <v>5814733</v>
      </c>
      <c r="G13" s="125"/>
      <c r="H13" s="33">
        <f t="shared" si="1"/>
        <v>142820</v>
      </c>
      <c r="I13" s="125">
        <v>18532</v>
      </c>
      <c r="J13" s="125"/>
      <c r="K13" s="33">
        <f t="shared" si="2"/>
        <v>1150</v>
      </c>
      <c r="L13" s="125">
        <v>349944</v>
      </c>
      <c r="M13" s="125"/>
      <c r="N13" s="33">
        <f t="shared" si="3"/>
        <v>1096000</v>
      </c>
      <c r="O13" s="121">
        <v>24271</v>
      </c>
      <c r="P13" s="122"/>
      <c r="Q13" s="33">
        <f t="shared" si="4"/>
        <v>26300</v>
      </c>
      <c r="R13" s="29"/>
      <c r="S13" s="121">
        <v>825621</v>
      </c>
      <c r="T13" s="122"/>
      <c r="U13" s="33">
        <f t="shared" si="5"/>
        <v>253900</v>
      </c>
      <c r="V13" s="125">
        <v>977388</v>
      </c>
      <c r="W13" s="125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5">
        <v>48370220</v>
      </c>
      <c r="D14" s="125"/>
      <c r="E14" s="33">
        <f t="shared" si="0"/>
        <v>1302900</v>
      </c>
      <c r="F14" s="125">
        <v>5828755</v>
      </c>
      <c r="G14" s="125"/>
      <c r="H14" s="33">
        <f t="shared" si="1"/>
        <v>140220</v>
      </c>
      <c r="I14" s="125">
        <v>18558</v>
      </c>
      <c r="J14" s="125"/>
      <c r="K14" s="33">
        <f t="shared" si="2"/>
        <v>260</v>
      </c>
      <c r="L14" s="125">
        <v>350993</v>
      </c>
      <c r="M14" s="125"/>
      <c r="N14" s="33">
        <f t="shared" si="3"/>
        <v>1049000</v>
      </c>
      <c r="O14" s="121">
        <v>24331</v>
      </c>
      <c r="P14" s="122"/>
      <c r="Q14" s="33">
        <f t="shared" si="4"/>
        <v>6000</v>
      </c>
      <c r="R14" s="29"/>
      <c r="S14" s="121">
        <v>828132</v>
      </c>
      <c r="T14" s="122"/>
      <c r="U14" s="33">
        <f t="shared" si="5"/>
        <v>251100</v>
      </c>
      <c r="V14" s="125">
        <v>989770</v>
      </c>
      <c r="W14" s="125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5">
        <v>48491861</v>
      </c>
      <c r="D15" s="125"/>
      <c r="E15" s="33">
        <f t="shared" si="0"/>
        <v>1216410</v>
      </c>
      <c r="F15" s="125">
        <v>5833144</v>
      </c>
      <c r="G15" s="125"/>
      <c r="H15" s="33">
        <f t="shared" si="1"/>
        <v>43890</v>
      </c>
      <c r="I15" s="125">
        <v>18582</v>
      </c>
      <c r="J15" s="125"/>
      <c r="K15" s="33">
        <f t="shared" si="2"/>
        <v>240</v>
      </c>
      <c r="L15" s="125">
        <v>351974</v>
      </c>
      <c r="M15" s="125"/>
      <c r="N15" s="33">
        <f t="shared" si="3"/>
        <v>981000</v>
      </c>
      <c r="O15" s="121">
        <v>24899</v>
      </c>
      <c r="P15" s="122"/>
      <c r="Q15" s="33">
        <f t="shared" si="4"/>
        <v>56800</v>
      </c>
      <c r="R15" s="29"/>
      <c r="S15" s="121">
        <v>830742</v>
      </c>
      <c r="T15" s="122"/>
      <c r="U15" s="33">
        <f t="shared" si="5"/>
        <v>261000</v>
      </c>
      <c r="V15" s="125">
        <v>90</v>
      </c>
      <c r="W15" s="125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5">
        <v>48624954</v>
      </c>
      <c r="D16" s="125"/>
      <c r="E16" s="33">
        <f t="shared" si="0"/>
        <v>1330930</v>
      </c>
      <c r="F16" s="125">
        <v>5844439</v>
      </c>
      <c r="G16" s="125"/>
      <c r="H16" s="33">
        <f t="shared" si="1"/>
        <v>112950</v>
      </c>
      <c r="I16" s="125">
        <v>18610</v>
      </c>
      <c r="J16" s="125"/>
      <c r="K16" s="33">
        <f t="shared" si="2"/>
        <v>280</v>
      </c>
      <c r="L16" s="125">
        <v>353062</v>
      </c>
      <c r="M16" s="125"/>
      <c r="N16" s="33">
        <f t="shared" si="3"/>
        <v>1088000</v>
      </c>
      <c r="O16" s="121">
        <v>25185</v>
      </c>
      <c r="P16" s="122"/>
      <c r="Q16" s="33">
        <f t="shared" si="4"/>
        <v>28600</v>
      </c>
      <c r="R16" s="29"/>
      <c r="S16" s="121">
        <v>833299</v>
      </c>
      <c r="T16" s="122"/>
      <c r="U16" s="33">
        <f t="shared" si="5"/>
        <v>255700</v>
      </c>
      <c r="V16" s="125">
        <v>1071</v>
      </c>
      <c r="W16" s="125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5">
        <v>48755342</v>
      </c>
      <c r="D17" s="125"/>
      <c r="E17" s="33">
        <f t="shared" si="0"/>
        <v>1303880</v>
      </c>
      <c r="F17" s="125">
        <v>5853332</v>
      </c>
      <c r="G17" s="125"/>
      <c r="H17" s="33">
        <f t="shared" si="1"/>
        <v>88930</v>
      </c>
      <c r="I17" s="125">
        <v>18632</v>
      </c>
      <c r="J17" s="125"/>
      <c r="K17" s="33">
        <f t="shared" si="2"/>
        <v>220</v>
      </c>
      <c r="L17" s="125">
        <v>354090</v>
      </c>
      <c r="M17" s="125"/>
      <c r="N17" s="33">
        <f t="shared" si="3"/>
        <v>1028000</v>
      </c>
      <c r="O17" s="121">
        <v>25487</v>
      </c>
      <c r="P17" s="122"/>
      <c r="Q17" s="33">
        <f t="shared" si="4"/>
        <v>30200</v>
      </c>
      <c r="R17" s="29"/>
      <c r="S17" s="121">
        <v>835892</v>
      </c>
      <c r="T17" s="122"/>
      <c r="U17" s="33">
        <f t="shared" si="5"/>
        <v>259300</v>
      </c>
      <c r="V17" s="125">
        <v>2224</v>
      </c>
      <c r="W17" s="125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5">
        <v>48840516</v>
      </c>
      <c r="D18" s="125"/>
      <c r="E18" s="33">
        <f t="shared" si="0"/>
        <v>851740</v>
      </c>
      <c r="F18" s="125">
        <v>5859771</v>
      </c>
      <c r="G18" s="125"/>
      <c r="H18" s="33">
        <f t="shared" si="1"/>
        <v>64390</v>
      </c>
      <c r="I18" s="125">
        <v>18656</v>
      </c>
      <c r="J18" s="125"/>
      <c r="K18" s="33">
        <f t="shared" si="2"/>
        <v>240</v>
      </c>
      <c r="L18" s="125">
        <v>354733</v>
      </c>
      <c r="M18" s="125"/>
      <c r="N18" s="33">
        <f t="shared" si="3"/>
        <v>643000</v>
      </c>
      <c r="O18" s="121">
        <v>25689</v>
      </c>
      <c r="P18" s="122"/>
      <c r="Q18" s="33">
        <f t="shared" si="4"/>
        <v>20200</v>
      </c>
      <c r="R18" s="29"/>
      <c r="S18" s="121">
        <v>837470</v>
      </c>
      <c r="T18" s="122"/>
      <c r="U18" s="33">
        <f t="shared" si="5"/>
        <v>157800</v>
      </c>
      <c r="V18" s="125">
        <v>2846</v>
      </c>
      <c r="W18" s="125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5">
        <v>48885087</v>
      </c>
      <c r="D19" s="125"/>
      <c r="E19" s="33">
        <f t="shared" si="0"/>
        <v>445710</v>
      </c>
      <c r="F19" s="125">
        <v>5859771</v>
      </c>
      <c r="G19" s="125"/>
      <c r="H19" s="33">
        <f t="shared" si="1"/>
        <v>0</v>
      </c>
      <c r="I19" s="125">
        <v>18661</v>
      </c>
      <c r="J19" s="125"/>
      <c r="K19" s="33">
        <f t="shared" si="2"/>
        <v>50</v>
      </c>
      <c r="L19" s="125">
        <v>355117</v>
      </c>
      <c r="M19" s="125"/>
      <c r="N19" s="33">
        <f t="shared" si="3"/>
        <v>384000</v>
      </c>
      <c r="O19" s="121">
        <v>25806</v>
      </c>
      <c r="P19" s="122"/>
      <c r="Q19" s="33">
        <f t="shared" si="4"/>
        <v>11700</v>
      </c>
      <c r="R19" s="29"/>
      <c r="S19" s="121">
        <v>838450</v>
      </c>
      <c r="T19" s="122"/>
      <c r="U19" s="33">
        <f t="shared" si="5"/>
        <v>98000</v>
      </c>
      <c r="V19" s="125">
        <v>3156</v>
      </c>
      <c r="W19" s="125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5">
        <v>49013641</v>
      </c>
      <c r="D20" s="125"/>
      <c r="E20" s="33">
        <f t="shared" si="0"/>
        <v>1285540</v>
      </c>
      <c r="F20" s="125">
        <v>5867918</v>
      </c>
      <c r="G20" s="125"/>
      <c r="H20" s="33">
        <f t="shared" si="1"/>
        <v>81470</v>
      </c>
      <c r="I20" s="125">
        <v>18685</v>
      </c>
      <c r="J20" s="125"/>
      <c r="K20" s="33">
        <f t="shared" si="2"/>
        <v>240</v>
      </c>
      <c r="L20" s="125">
        <v>356102</v>
      </c>
      <c r="M20" s="125"/>
      <c r="N20" s="33">
        <f t="shared" si="3"/>
        <v>985000</v>
      </c>
      <c r="O20" s="121">
        <v>26102</v>
      </c>
      <c r="P20" s="122"/>
      <c r="Q20" s="33">
        <f t="shared" si="4"/>
        <v>29600</v>
      </c>
      <c r="R20" s="29"/>
      <c r="S20" s="121">
        <v>840781</v>
      </c>
      <c r="T20" s="122"/>
      <c r="U20" s="33">
        <f t="shared" si="5"/>
        <v>233100</v>
      </c>
      <c r="V20" s="125">
        <v>4234</v>
      </c>
      <c r="W20" s="125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5">
        <v>49158782</v>
      </c>
      <c r="D21" s="125"/>
      <c r="E21" s="33">
        <f t="shared" si="0"/>
        <v>1451410</v>
      </c>
      <c r="F21" s="125">
        <v>5874428</v>
      </c>
      <c r="G21" s="125"/>
      <c r="H21" s="33">
        <f t="shared" si="1"/>
        <v>65100</v>
      </c>
      <c r="I21" s="125">
        <v>18708</v>
      </c>
      <c r="J21" s="125"/>
      <c r="K21" s="33">
        <f t="shared" si="2"/>
        <v>230</v>
      </c>
      <c r="L21" s="125">
        <v>357196</v>
      </c>
      <c r="M21" s="125"/>
      <c r="N21" s="33">
        <f t="shared" si="3"/>
        <v>1094000</v>
      </c>
      <c r="O21" s="121">
        <v>26412</v>
      </c>
      <c r="P21" s="122"/>
      <c r="Q21" s="33">
        <f t="shared" si="4"/>
        <v>31000</v>
      </c>
      <c r="R21" s="29"/>
      <c r="S21" s="121">
        <v>843226</v>
      </c>
      <c r="T21" s="122"/>
      <c r="U21" s="33">
        <f t="shared" si="5"/>
        <v>244500</v>
      </c>
      <c r="V21" s="125">
        <v>5073</v>
      </c>
      <c r="W21" s="125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5">
        <v>49297214</v>
      </c>
      <c r="D22" s="125"/>
      <c r="E22" s="33">
        <f t="shared" si="0"/>
        <v>1384320</v>
      </c>
      <c r="F22" s="125">
        <v>5886594</v>
      </c>
      <c r="G22" s="125"/>
      <c r="H22" s="33">
        <f t="shared" si="1"/>
        <v>121660</v>
      </c>
      <c r="I22" s="125">
        <v>18745</v>
      </c>
      <c r="J22" s="125"/>
      <c r="K22" s="33">
        <f t="shared" si="2"/>
        <v>370</v>
      </c>
      <c r="L22" s="125">
        <v>358315</v>
      </c>
      <c r="M22" s="125"/>
      <c r="N22" s="33">
        <f t="shared" si="3"/>
        <v>1119000</v>
      </c>
      <c r="O22" s="121">
        <v>26762</v>
      </c>
      <c r="P22" s="122"/>
      <c r="Q22" s="33">
        <f t="shared" si="4"/>
        <v>35000</v>
      </c>
      <c r="R22" s="29"/>
      <c r="S22" s="121">
        <v>845742</v>
      </c>
      <c r="T22" s="122"/>
      <c r="U22" s="33">
        <f t="shared" si="5"/>
        <v>251600</v>
      </c>
      <c r="V22" s="125">
        <v>6137</v>
      </c>
      <c r="W22" s="125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5">
        <v>49434673</v>
      </c>
      <c r="D23" s="125"/>
      <c r="E23" s="33">
        <f t="shared" si="0"/>
        <v>1374590</v>
      </c>
      <c r="F23" s="125">
        <v>5898618</v>
      </c>
      <c r="G23" s="125"/>
      <c r="H23" s="33">
        <f t="shared" si="1"/>
        <v>120240</v>
      </c>
      <c r="I23" s="125">
        <v>18752</v>
      </c>
      <c r="J23" s="125"/>
      <c r="K23" s="33">
        <f t="shared" si="2"/>
        <v>70</v>
      </c>
      <c r="L23" s="125">
        <v>359338</v>
      </c>
      <c r="M23" s="125"/>
      <c r="N23" s="33">
        <f t="shared" si="3"/>
        <v>1023000</v>
      </c>
      <c r="O23" s="121">
        <v>27083</v>
      </c>
      <c r="P23" s="122"/>
      <c r="Q23" s="33">
        <f t="shared" si="4"/>
        <v>32100</v>
      </c>
      <c r="R23" s="29"/>
      <c r="S23" s="121">
        <v>848113</v>
      </c>
      <c r="T23" s="122"/>
      <c r="U23" s="33">
        <f t="shared" si="5"/>
        <v>237100</v>
      </c>
      <c r="V23" s="125">
        <v>6883</v>
      </c>
      <c r="W23" s="125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5">
        <v>49434673</v>
      </c>
      <c r="D24" s="125"/>
      <c r="E24" s="33">
        <f t="shared" si="0"/>
        <v>0</v>
      </c>
      <c r="F24" s="125">
        <v>5898618</v>
      </c>
      <c r="G24" s="125"/>
      <c r="H24" s="33">
        <f t="shared" si="1"/>
        <v>0</v>
      </c>
      <c r="I24" s="125">
        <v>18752</v>
      </c>
      <c r="J24" s="125"/>
      <c r="K24" s="33">
        <f t="shared" si="2"/>
        <v>0</v>
      </c>
      <c r="L24" s="125">
        <v>359338</v>
      </c>
      <c r="M24" s="125"/>
      <c r="N24" s="33">
        <f t="shared" si="3"/>
        <v>0</v>
      </c>
      <c r="O24" s="121">
        <v>27083</v>
      </c>
      <c r="P24" s="122"/>
      <c r="Q24" s="33">
        <f t="shared" si="4"/>
        <v>0</v>
      </c>
      <c r="R24" s="29"/>
      <c r="S24" s="121">
        <v>848113</v>
      </c>
      <c r="T24" s="122"/>
      <c r="U24" s="33">
        <f t="shared" si="5"/>
        <v>0</v>
      </c>
      <c r="V24" s="125">
        <v>6883</v>
      </c>
      <c r="W24" s="125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5">
        <v>49578490</v>
      </c>
      <c r="D25" s="125"/>
      <c r="E25" s="33">
        <f t="shared" si="0"/>
        <v>1438170</v>
      </c>
      <c r="F25" s="125">
        <v>5907125</v>
      </c>
      <c r="G25" s="125"/>
      <c r="H25" s="33">
        <f t="shared" si="1"/>
        <v>85070</v>
      </c>
      <c r="I25" s="125">
        <v>18779</v>
      </c>
      <c r="J25" s="125"/>
      <c r="K25" s="33">
        <f t="shared" si="2"/>
        <v>270</v>
      </c>
      <c r="L25" s="125">
        <v>360455</v>
      </c>
      <c r="M25" s="125"/>
      <c r="N25" s="33">
        <f t="shared" si="3"/>
        <v>1117000</v>
      </c>
      <c r="O25" s="121">
        <v>27442</v>
      </c>
      <c r="P25" s="122"/>
      <c r="Q25" s="33">
        <f t="shared" si="4"/>
        <v>35900</v>
      </c>
      <c r="R25" s="29"/>
      <c r="S25" s="121">
        <v>850480</v>
      </c>
      <c r="T25" s="122"/>
      <c r="U25" s="33">
        <f t="shared" si="5"/>
        <v>236700</v>
      </c>
      <c r="V25" s="125">
        <v>7233</v>
      </c>
      <c r="W25" s="125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5">
        <v>49717626</v>
      </c>
      <c r="D26" s="125"/>
      <c r="E26" s="33">
        <f t="shared" si="0"/>
        <v>1391360</v>
      </c>
      <c r="F26" s="125">
        <v>5922642</v>
      </c>
      <c r="G26" s="125"/>
      <c r="H26" s="33">
        <f t="shared" si="1"/>
        <v>155170</v>
      </c>
      <c r="I26" s="125">
        <v>18801</v>
      </c>
      <c r="J26" s="125"/>
      <c r="K26" s="33">
        <f t="shared" si="2"/>
        <v>220</v>
      </c>
      <c r="L26" s="125">
        <v>361499</v>
      </c>
      <c r="M26" s="125"/>
      <c r="N26" s="33">
        <f t="shared" si="3"/>
        <v>1044000</v>
      </c>
      <c r="O26" s="121">
        <v>27763</v>
      </c>
      <c r="P26" s="122"/>
      <c r="Q26" s="33">
        <f t="shared" si="4"/>
        <v>32100</v>
      </c>
      <c r="R26" s="29"/>
      <c r="S26" s="121">
        <v>852778</v>
      </c>
      <c r="T26" s="122"/>
      <c r="U26" s="33">
        <f t="shared" si="5"/>
        <v>229800</v>
      </c>
      <c r="V26" s="125">
        <v>8048</v>
      </c>
      <c r="W26" s="125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5">
        <v>49858368</v>
      </c>
      <c r="D27" s="125"/>
      <c r="E27" s="33">
        <f t="shared" si="0"/>
        <v>1407420</v>
      </c>
      <c r="F27" s="125">
        <v>5941612</v>
      </c>
      <c r="G27" s="125"/>
      <c r="H27" s="33">
        <f t="shared" si="1"/>
        <v>189700</v>
      </c>
      <c r="I27" s="125">
        <v>18830</v>
      </c>
      <c r="J27" s="125"/>
      <c r="K27" s="33">
        <f t="shared" si="2"/>
        <v>290</v>
      </c>
      <c r="L27" s="125">
        <v>362628</v>
      </c>
      <c r="M27" s="125"/>
      <c r="N27" s="33">
        <f t="shared" si="3"/>
        <v>1129000</v>
      </c>
      <c r="O27" s="121">
        <v>28094</v>
      </c>
      <c r="P27" s="122"/>
      <c r="Q27" s="33">
        <f t="shared" si="4"/>
        <v>33100</v>
      </c>
      <c r="R27" s="29"/>
      <c r="S27" s="121">
        <v>855089</v>
      </c>
      <c r="T27" s="122"/>
      <c r="U27" s="33">
        <f t="shared" si="5"/>
        <v>231100</v>
      </c>
      <c r="V27" s="125">
        <v>8483</v>
      </c>
      <c r="W27" s="125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44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5">
        <v>50004722</v>
      </c>
      <c r="D28" s="125"/>
      <c r="E28" s="33">
        <f t="shared" si="0"/>
        <v>1463540</v>
      </c>
      <c r="F28" s="125">
        <v>5960957</v>
      </c>
      <c r="G28" s="125"/>
      <c r="H28" s="33">
        <f t="shared" si="1"/>
        <v>193450</v>
      </c>
      <c r="I28" s="125">
        <v>18910</v>
      </c>
      <c r="J28" s="125"/>
      <c r="K28" s="33">
        <f t="shared" si="2"/>
        <v>800</v>
      </c>
      <c r="L28" s="125">
        <v>363759</v>
      </c>
      <c r="M28" s="125"/>
      <c r="N28" s="33">
        <f t="shared" si="3"/>
        <v>1131000</v>
      </c>
      <c r="O28" s="121">
        <v>28467</v>
      </c>
      <c r="P28" s="122"/>
      <c r="Q28" s="33">
        <f t="shared" si="4"/>
        <v>37300</v>
      </c>
      <c r="R28" s="29"/>
      <c r="S28" s="121">
        <v>857448</v>
      </c>
      <c r="T28" s="122"/>
      <c r="U28" s="33">
        <f t="shared" si="5"/>
        <v>235900</v>
      </c>
      <c r="V28" s="125">
        <v>8827</v>
      </c>
      <c r="W28" s="125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5">
        <v>50036144</v>
      </c>
      <c r="D29" s="125"/>
      <c r="E29" s="33">
        <f t="shared" si="0"/>
        <v>314220</v>
      </c>
      <c r="F29" s="125">
        <v>5971709</v>
      </c>
      <c r="G29" s="125"/>
      <c r="H29" s="33">
        <f t="shared" si="1"/>
        <v>107520</v>
      </c>
      <c r="I29" s="125">
        <v>18944</v>
      </c>
      <c r="J29" s="125"/>
      <c r="K29" s="33">
        <f t="shared" si="2"/>
        <v>340</v>
      </c>
      <c r="L29" s="125">
        <v>363995</v>
      </c>
      <c r="M29" s="125"/>
      <c r="N29" s="33">
        <f t="shared" si="3"/>
        <v>236000</v>
      </c>
      <c r="O29" s="121">
        <v>28565</v>
      </c>
      <c r="P29" s="122"/>
      <c r="Q29" s="33">
        <f t="shared" si="4"/>
        <v>9800</v>
      </c>
      <c r="R29" s="29"/>
      <c r="S29" s="121">
        <v>857967</v>
      </c>
      <c r="T29" s="122"/>
      <c r="U29" s="33">
        <f t="shared" si="5"/>
        <v>51900</v>
      </c>
      <c r="V29" s="125">
        <v>8889</v>
      </c>
      <c r="W29" s="125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5">
        <v>50141738</v>
      </c>
      <c r="D30" s="125"/>
      <c r="E30" s="33">
        <f t="shared" si="0"/>
        <v>1055940</v>
      </c>
      <c r="F30" s="125">
        <v>5984785</v>
      </c>
      <c r="G30" s="125"/>
      <c r="H30" s="33">
        <f t="shared" si="1"/>
        <v>130760</v>
      </c>
      <c r="I30" s="125">
        <v>19040</v>
      </c>
      <c r="J30" s="125"/>
      <c r="K30" s="33">
        <f t="shared" si="2"/>
        <v>960</v>
      </c>
      <c r="L30" s="125">
        <v>364819</v>
      </c>
      <c r="M30" s="125"/>
      <c r="N30" s="33">
        <f t="shared" si="3"/>
        <v>824000</v>
      </c>
      <c r="O30" s="121">
        <v>28825</v>
      </c>
      <c r="P30" s="122"/>
      <c r="Q30" s="33">
        <f t="shared" si="4"/>
        <v>26000</v>
      </c>
      <c r="R30" s="29"/>
      <c r="S30" s="121">
        <v>859604</v>
      </c>
      <c r="T30" s="122"/>
      <c r="U30" s="33">
        <f t="shared" si="5"/>
        <v>163700</v>
      </c>
      <c r="V30" s="125">
        <v>9213</v>
      </c>
      <c r="W30" s="125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5">
        <v>50277523</v>
      </c>
      <c r="D31" s="125"/>
      <c r="E31" s="33">
        <f t="shared" si="0"/>
        <v>1357850</v>
      </c>
      <c r="F31" s="125">
        <v>5994218</v>
      </c>
      <c r="G31" s="125"/>
      <c r="H31" s="33">
        <f t="shared" si="1"/>
        <v>94330</v>
      </c>
      <c r="I31" s="125">
        <v>19103</v>
      </c>
      <c r="J31" s="125"/>
      <c r="K31" s="33">
        <f t="shared" si="2"/>
        <v>630</v>
      </c>
      <c r="L31" s="125">
        <v>365888</v>
      </c>
      <c r="M31" s="125"/>
      <c r="N31" s="33">
        <f t="shared" si="3"/>
        <v>1069000</v>
      </c>
      <c r="O31" s="121">
        <v>29172</v>
      </c>
      <c r="P31" s="122"/>
      <c r="Q31" s="33">
        <f t="shared" si="4"/>
        <v>34700</v>
      </c>
      <c r="R31" s="29"/>
      <c r="S31" s="121">
        <v>861742</v>
      </c>
      <c r="T31" s="122"/>
      <c r="U31" s="33">
        <f t="shared" si="5"/>
        <v>213800</v>
      </c>
      <c r="V31" s="125">
        <v>9457</v>
      </c>
      <c r="W31" s="125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5">
        <v>50423734</v>
      </c>
      <c r="D32" s="125"/>
      <c r="E32" s="33">
        <f t="shared" si="0"/>
        <v>1462110</v>
      </c>
      <c r="F32" s="125">
        <v>6014791</v>
      </c>
      <c r="G32" s="125"/>
      <c r="H32" s="33">
        <f t="shared" si="1"/>
        <v>205730</v>
      </c>
      <c r="I32" s="125">
        <v>19131</v>
      </c>
      <c r="J32" s="125"/>
      <c r="K32" s="33">
        <f t="shared" si="2"/>
        <v>280</v>
      </c>
      <c r="L32" s="125">
        <v>367059</v>
      </c>
      <c r="M32" s="125"/>
      <c r="N32" s="33">
        <f t="shared" si="3"/>
        <v>1171000</v>
      </c>
      <c r="O32" s="121">
        <v>29584</v>
      </c>
      <c r="P32" s="122"/>
      <c r="Q32" s="33">
        <f t="shared" si="4"/>
        <v>41200</v>
      </c>
      <c r="R32" s="29"/>
      <c r="S32" s="121">
        <v>864087</v>
      </c>
      <c r="T32" s="122"/>
      <c r="U32" s="33">
        <f t="shared" si="5"/>
        <v>234500</v>
      </c>
      <c r="V32" s="125">
        <v>9616</v>
      </c>
      <c r="W32" s="125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5">
        <v>50562401</v>
      </c>
      <c r="D33" s="125"/>
      <c r="E33" s="33">
        <f t="shared" si="0"/>
        <v>1386670</v>
      </c>
      <c r="F33" s="125">
        <v>6037383</v>
      </c>
      <c r="G33" s="125"/>
      <c r="H33" s="33">
        <f t="shared" si="1"/>
        <v>225920</v>
      </c>
      <c r="I33" s="125">
        <v>19147</v>
      </c>
      <c r="J33" s="125"/>
      <c r="K33" s="33">
        <f t="shared" si="2"/>
        <v>160</v>
      </c>
      <c r="L33" s="125">
        <v>368203</v>
      </c>
      <c r="M33" s="125"/>
      <c r="N33" s="33">
        <f t="shared" si="3"/>
        <v>1144000</v>
      </c>
      <c r="O33" s="121">
        <v>29904</v>
      </c>
      <c r="P33" s="122"/>
      <c r="Q33" s="33">
        <f t="shared" si="4"/>
        <v>32000</v>
      </c>
      <c r="R33" s="29"/>
      <c r="S33" s="121">
        <v>866300</v>
      </c>
      <c r="T33" s="122"/>
      <c r="U33" s="33">
        <f t="shared" si="5"/>
        <v>221300</v>
      </c>
      <c r="V33" s="125">
        <v>9874</v>
      </c>
      <c r="W33" s="125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5">
        <v>50620610</v>
      </c>
      <c r="D34" s="125"/>
      <c r="E34" s="33">
        <f t="shared" si="0"/>
        <v>582090</v>
      </c>
      <c r="F34" s="125">
        <v>6044180</v>
      </c>
      <c r="G34" s="125"/>
      <c r="H34" s="33">
        <f t="shared" si="1"/>
        <v>67970</v>
      </c>
      <c r="I34" s="125">
        <v>19173</v>
      </c>
      <c r="J34" s="125"/>
      <c r="K34" s="33">
        <f t="shared" si="2"/>
        <v>260</v>
      </c>
      <c r="L34" s="125">
        <v>368666</v>
      </c>
      <c r="M34" s="125"/>
      <c r="N34" s="33">
        <f t="shared" si="3"/>
        <v>463000</v>
      </c>
      <c r="O34" s="121">
        <v>30013</v>
      </c>
      <c r="P34" s="122"/>
      <c r="Q34" s="33">
        <f t="shared" si="4"/>
        <v>10900</v>
      </c>
      <c r="R34" s="29"/>
      <c r="S34" s="121">
        <v>867145</v>
      </c>
      <c r="T34" s="122"/>
      <c r="U34" s="33">
        <f t="shared" si="5"/>
        <v>84500</v>
      </c>
      <c r="V34" s="125">
        <v>9954</v>
      </c>
      <c r="W34" s="125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5">
        <v>50688559</v>
      </c>
      <c r="D35" s="125"/>
      <c r="E35" s="33">
        <f t="shared" si="0"/>
        <v>679490</v>
      </c>
      <c r="F35" s="125">
        <v>6055102</v>
      </c>
      <c r="G35" s="125"/>
      <c r="H35" s="33">
        <f t="shared" si="1"/>
        <v>109220</v>
      </c>
      <c r="I35" s="125">
        <v>19193</v>
      </c>
      <c r="J35" s="125"/>
      <c r="K35" s="33">
        <f t="shared" si="2"/>
        <v>200</v>
      </c>
      <c r="L35" s="125">
        <v>369229</v>
      </c>
      <c r="M35" s="125"/>
      <c r="N35" s="33">
        <f t="shared" si="3"/>
        <v>563000</v>
      </c>
      <c r="O35" s="121">
        <v>30154</v>
      </c>
      <c r="P35" s="122"/>
      <c r="Q35" s="33">
        <f t="shared" si="4"/>
        <v>14100</v>
      </c>
      <c r="R35" s="29"/>
      <c r="S35" s="121">
        <v>868278</v>
      </c>
      <c r="T35" s="122"/>
      <c r="U35" s="33">
        <f t="shared" si="5"/>
        <v>113300</v>
      </c>
      <c r="V35" s="125">
        <v>10095</v>
      </c>
      <c r="W35" s="125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5">
        <v>50821739</v>
      </c>
      <c r="D36" s="125"/>
      <c r="E36" s="33">
        <f t="shared" si="0"/>
        <v>1331800</v>
      </c>
      <c r="F36" s="125">
        <v>6075140</v>
      </c>
      <c r="G36" s="125"/>
      <c r="H36" s="33">
        <f t="shared" si="1"/>
        <v>200380</v>
      </c>
      <c r="I36" s="125">
        <v>19247</v>
      </c>
      <c r="J36" s="125"/>
      <c r="K36" s="33">
        <f t="shared" si="2"/>
        <v>540</v>
      </c>
      <c r="L36" s="125">
        <v>370332</v>
      </c>
      <c r="M36" s="125"/>
      <c r="N36" s="33">
        <f t="shared" si="3"/>
        <v>1103000</v>
      </c>
      <c r="O36" s="121">
        <v>30407</v>
      </c>
      <c r="P36" s="122"/>
      <c r="Q36" s="33">
        <f t="shared" si="4"/>
        <v>25300</v>
      </c>
      <c r="R36" s="29"/>
      <c r="S36" s="121">
        <v>870232</v>
      </c>
      <c r="T36" s="122"/>
      <c r="U36" s="33">
        <f t="shared" si="5"/>
        <v>195400</v>
      </c>
      <c r="V36" s="125">
        <v>10231</v>
      </c>
      <c r="W36" s="125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5">
        <v>50949706</v>
      </c>
      <c r="D37" s="125"/>
      <c r="E37" s="33">
        <f t="shared" si="0"/>
        <v>1279670</v>
      </c>
      <c r="F37" s="125">
        <v>6093194</v>
      </c>
      <c r="G37" s="125"/>
      <c r="H37" s="33">
        <f t="shared" si="1"/>
        <v>180540</v>
      </c>
      <c r="I37" s="125">
        <v>19282</v>
      </c>
      <c r="J37" s="125"/>
      <c r="K37" s="33">
        <f t="shared" si="2"/>
        <v>350</v>
      </c>
      <c r="L37" s="125">
        <v>371443</v>
      </c>
      <c r="M37" s="125"/>
      <c r="N37" s="33">
        <f t="shared" si="3"/>
        <v>1111000</v>
      </c>
      <c r="O37" s="121">
        <v>30645</v>
      </c>
      <c r="P37" s="122"/>
      <c r="Q37" s="33">
        <f t="shared" si="4"/>
        <v>23800</v>
      </c>
      <c r="R37" s="29"/>
      <c r="S37" s="121">
        <v>872242</v>
      </c>
      <c r="T37" s="122"/>
      <c r="U37" s="33">
        <f t="shared" si="5"/>
        <v>201000</v>
      </c>
      <c r="V37" s="125">
        <v>10344</v>
      </c>
      <c r="W37" s="125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5">
        <v>51096631</v>
      </c>
      <c r="D38" s="125"/>
      <c r="E38" s="33">
        <f t="shared" si="0"/>
        <v>1469250</v>
      </c>
      <c r="F38" s="125">
        <v>6111353</v>
      </c>
      <c r="G38" s="125"/>
      <c r="H38" s="33">
        <f t="shared" si="1"/>
        <v>181590</v>
      </c>
      <c r="I38" s="125">
        <v>19327</v>
      </c>
      <c r="J38" s="125"/>
      <c r="K38" s="33">
        <f t="shared" si="2"/>
        <v>450</v>
      </c>
      <c r="L38" s="125">
        <v>372656</v>
      </c>
      <c r="M38" s="125"/>
      <c r="N38" s="33">
        <f t="shared" si="3"/>
        <v>1213000</v>
      </c>
      <c r="O38" s="121">
        <v>30888</v>
      </c>
      <c r="P38" s="122"/>
      <c r="Q38" s="33">
        <f t="shared" si="4"/>
        <v>24300</v>
      </c>
      <c r="R38" s="29"/>
      <c r="S38" s="121">
        <v>874329</v>
      </c>
      <c r="T38" s="122"/>
      <c r="U38" s="33">
        <f t="shared" si="5"/>
        <v>208700</v>
      </c>
      <c r="V38" s="125">
        <v>10456</v>
      </c>
      <c r="W38" s="125"/>
      <c r="X38" s="33">
        <f t="shared" si="23"/>
        <v>11200</v>
      </c>
      <c r="Y38" s="32">
        <f t="shared" si="24"/>
        <v>219900</v>
      </c>
      <c r="Z38" s="30"/>
      <c r="AA38" s="17">
        <v>32840</v>
      </c>
      <c r="AB38" s="33">
        <f t="shared" si="8"/>
        <v>8480000</v>
      </c>
      <c r="AC38" s="17">
        <v>855463600</v>
      </c>
      <c r="AD38" s="33">
        <f t="shared" si="9"/>
        <v>852810</v>
      </c>
      <c r="AE38" s="17">
        <v>1053</v>
      </c>
      <c r="AF38" s="33">
        <f t="shared" ref="AF38:AF39" si="42">SUM(AE38-AE37)*100</f>
        <v>8900</v>
      </c>
      <c r="AG38" s="17">
        <v>130466</v>
      </c>
      <c r="AH38" s="33">
        <f t="shared" ref="AH38:AH39" si="43">SUM(AG38-AG37)*10</f>
        <v>1700</v>
      </c>
      <c r="AI38" s="17">
        <v>3949301</v>
      </c>
      <c r="AJ38" s="33">
        <f t="shared" si="27"/>
        <v>71770</v>
      </c>
      <c r="AK38" s="17">
        <v>4930370</v>
      </c>
      <c r="AL38" s="33">
        <f t="shared" si="12"/>
        <v>0</v>
      </c>
      <c r="AM38" s="17">
        <v>28181</v>
      </c>
      <c r="AN38" s="33">
        <f t="shared" si="13"/>
        <v>62000</v>
      </c>
      <c r="AO38" s="17">
        <v>1657</v>
      </c>
      <c r="AP38" s="33">
        <f t="shared" si="14"/>
        <v>0</v>
      </c>
      <c r="AQ38" s="17">
        <v>13987</v>
      </c>
      <c r="AR38" s="33">
        <f t="shared" si="15"/>
        <v>0</v>
      </c>
      <c r="AS38" s="31"/>
      <c r="AT38" s="57">
        <f t="shared" si="25"/>
        <v>44767</v>
      </c>
      <c r="AU38" s="17">
        <v>7306</v>
      </c>
      <c r="AV38" s="33">
        <f t="shared" si="16"/>
        <v>76</v>
      </c>
      <c r="AW38" s="14"/>
      <c r="AX38" s="17">
        <v>3695554</v>
      </c>
      <c r="AY38" s="33">
        <f t="shared" si="17"/>
        <v>54941</v>
      </c>
      <c r="AZ38" s="17">
        <v>771767001</v>
      </c>
      <c r="BA38" s="34">
        <f t="shared" si="18"/>
        <v>39670.01</v>
      </c>
      <c r="BB38" s="33">
        <f t="shared" si="19"/>
        <v>15270.989999999998</v>
      </c>
      <c r="BC38" s="17">
        <v>7236200</v>
      </c>
      <c r="BD38" s="89">
        <f t="shared" si="20"/>
        <v>4700</v>
      </c>
      <c r="BE38" s="53">
        <v>3800300</v>
      </c>
      <c r="BF38" s="54">
        <f t="shared" si="21"/>
        <v>300</v>
      </c>
      <c r="BG38" s="17">
        <v>1133605</v>
      </c>
      <c r="BH38" s="33">
        <f t="shared" si="22"/>
        <v>0</v>
      </c>
    </row>
    <row r="39" spans="2:60" s="58" customFormat="1" x14ac:dyDescent="0.25">
      <c r="B39" s="45">
        <v>44774</v>
      </c>
      <c r="C39" s="125">
        <v>51230693</v>
      </c>
      <c r="D39" s="125"/>
      <c r="E39" s="33">
        <f t="shared" si="0"/>
        <v>1340620</v>
      </c>
      <c r="F39" s="125">
        <v>6128610</v>
      </c>
      <c r="G39" s="125"/>
      <c r="H39" s="33">
        <f t="shared" si="1"/>
        <v>172570</v>
      </c>
      <c r="I39" s="125">
        <v>19350</v>
      </c>
      <c r="J39" s="125"/>
      <c r="K39" s="33">
        <f t="shared" si="2"/>
        <v>230</v>
      </c>
      <c r="L39" s="125">
        <v>373762</v>
      </c>
      <c r="M39" s="125"/>
      <c r="N39" s="33">
        <f t="shared" si="3"/>
        <v>1106000</v>
      </c>
      <c r="O39" s="121">
        <v>31154</v>
      </c>
      <c r="P39" s="122"/>
      <c r="Q39" s="33">
        <f t="shared" si="4"/>
        <v>26600</v>
      </c>
      <c r="R39" s="29"/>
      <c r="S39" s="121">
        <v>876299</v>
      </c>
      <c r="T39" s="122"/>
      <c r="U39" s="33">
        <f t="shared" si="5"/>
        <v>197000</v>
      </c>
      <c r="V39" s="125">
        <v>10581</v>
      </c>
      <c r="W39" s="125"/>
      <c r="X39" s="33">
        <f t="shared" si="23"/>
        <v>12500</v>
      </c>
      <c r="Y39" s="32">
        <f t="shared" si="24"/>
        <v>209500</v>
      </c>
      <c r="Z39" s="30"/>
      <c r="AA39" s="17">
        <v>32965</v>
      </c>
      <c r="AB39" s="33">
        <f t="shared" si="8"/>
        <v>1250000</v>
      </c>
      <c r="AC39" s="17">
        <v>865817300</v>
      </c>
      <c r="AD39" s="33">
        <f t="shared" si="9"/>
        <v>1035370</v>
      </c>
      <c r="AE39" s="17">
        <v>1120</v>
      </c>
      <c r="AF39" s="33">
        <f t="shared" si="42"/>
        <v>6700</v>
      </c>
      <c r="AG39" s="17">
        <v>130750</v>
      </c>
      <c r="AH39" s="33">
        <f t="shared" si="43"/>
        <v>2840</v>
      </c>
      <c r="AI39" s="17">
        <v>3953446</v>
      </c>
      <c r="AJ39" s="33">
        <f t="shared" si="27"/>
        <v>41450</v>
      </c>
      <c r="AK39" s="17">
        <v>4946609</v>
      </c>
      <c r="AL39" s="33">
        <f t="shared" si="12"/>
        <v>16239</v>
      </c>
      <c r="AM39" s="17">
        <v>28214</v>
      </c>
      <c r="AN39" s="33">
        <f t="shared" si="13"/>
        <v>33000</v>
      </c>
      <c r="AO39" s="17">
        <v>1666</v>
      </c>
      <c r="AP39" s="33">
        <f t="shared" si="14"/>
        <v>9</v>
      </c>
      <c r="AQ39" s="17">
        <v>14008</v>
      </c>
      <c r="AR39" s="33">
        <f t="shared" si="15"/>
        <v>2100</v>
      </c>
      <c r="AS39" s="31"/>
      <c r="AT39" s="57">
        <f t="shared" si="25"/>
        <v>44774</v>
      </c>
      <c r="AU39" s="17">
        <v>7390</v>
      </c>
      <c r="AV39" s="33">
        <f t="shared" si="16"/>
        <v>84</v>
      </c>
      <c r="AW39" s="14"/>
      <c r="AX39" s="17">
        <v>3756863</v>
      </c>
      <c r="AY39" s="33">
        <f t="shared" si="17"/>
        <v>61309</v>
      </c>
      <c r="AZ39" s="17">
        <v>776273973</v>
      </c>
      <c r="BA39" s="34">
        <f t="shared" si="18"/>
        <v>45069.72</v>
      </c>
      <c r="BB39" s="33">
        <f t="shared" si="19"/>
        <v>16239.279999999999</v>
      </c>
      <c r="BC39" s="17">
        <v>7240500</v>
      </c>
      <c r="BD39" s="89">
        <f t="shared" si="20"/>
        <v>4300</v>
      </c>
      <c r="BE39" s="53">
        <v>3800500</v>
      </c>
      <c r="BF39" s="54">
        <f t="shared" si="21"/>
        <v>200</v>
      </c>
      <c r="BG39" s="17">
        <v>1133605</v>
      </c>
      <c r="BH39" s="33">
        <f t="shared" si="22"/>
        <v>0</v>
      </c>
    </row>
    <row r="40" spans="2:60" s="58" customFormat="1" x14ac:dyDescent="0.25">
      <c r="B40" s="45">
        <v>44781</v>
      </c>
      <c r="C40" s="125">
        <v>51375510</v>
      </c>
      <c r="D40" s="125"/>
      <c r="E40" s="33">
        <f t="shared" si="0"/>
        <v>1448170</v>
      </c>
      <c r="F40" s="125">
        <v>6146264</v>
      </c>
      <c r="G40" s="125"/>
      <c r="H40" s="33">
        <f t="shared" si="1"/>
        <v>176540</v>
      </c>
      <c r="I40" s="125">
        <v>19388</v>
      </c>
      <c r="J40" s="125"/>
      <c r="K40" s="33">
        <f t="shared" si="2"/>
        <v>380</v>
      </c>
      <c r="L40" s="125">
        <v>374976</v>
      </c>
      <c r="M40" s="125"/>
      <c r="N40" s="33">
        <f t="shared" si="3"/>
        <v>1214000</v>
      </c>
      <c r="O40" s="121">
        <v>31444</v>
      </c>
      <c r="P40" s="122"/>
      <c r="Q40" s="33">
        <f t="shared" si="4"/>
        <v>29000</v>
      </c>
      <c r="R40" s="29"/>
      <c r="S40" s="121">
        <v>878338</v>
      </c>
      <c r="T40" s="122"/>
      <c r="U40" s="33">
        <f t="shared" si="5"/>
        <v>203900</v>
      </c>
      <c r="V40" s="125">
        <v>10710</v>
      </c>
      <c r="W40" s="125"/>
      <c r="X40" s="33">
        <f t="shared" si="23"/>
        <v>12900</v>
      </c>
      <c r="Y40" s="32">
        <f t="shared" si="24"/>
        <v>216800</v>
      </c>
      <c r="Z40" s="30"/>
      <c r="AA40" s="17">
        <v>33086</v>
      </c>
      <c r="AB40" s="33">
        <f t="shared" si="8"/>
        <v>1210000</v>
      </c>
      <c r="AC40" s="17">
        <v>878707200</v>
      </c>
      <c r="AD40" s="33">
        <f t="shared" si="9"/>
        <v>1288990</v>
      </c>
      <c r="AE40" s="17">
        <v>1200</v>
      </c>
      <c r="AF40" s="33">
        <f t="shared" ref="AF40" si="44">SUM(AE40-AE39)*100</f>
        <v>8000</v>
      </c>
      <c r="AG40" s="17">
        <v>130947</v>
      </c>
      <c r="AH40" s="33">
        <f t="shared" ref="AH40" si="45">SUM(AG40-AG39)*10</f>
        <v>1970</v>
      </c>
      <c r="AI40" s="17">
        <v>3958482</v>
      </c>
      <c r="AJ40" s="33">
        <f t="shared" si="27"/>
        <v>50360</v>
      </c>
      <c r="AK40" s="17">
        <v>4952032</v>
      </c>
      <c r="AL40" s="33">
        <f t="shared" si="12"/>
        <v>5423</v>
      </c>
      <c r="AM40" s="17">
        <v>28253</v>
      </c>
      <c r="AN40" s="33">
        <f t="shared" si="13"/>
        <v>39000</v>
      </c>
      <c r="AO40" s="17">
        <v>1673</v>
      </c>
      <c r="AP40" s="33">
        <f t="shared" si="14"/>
        <v>7</v>
      </c>
      <c r="AQ40" s="17">
        <v>14018</v>
      </c>
      <c r="AR40" s="33">
        <f t="shared" si="15"/>
        <v>1000</v>
      </c>
      <c r="AS40" s="31"/>
      <c r="AT40" s="57">
        <f t="shared" si="25"/>
        <v>44781</v>
      </c>
      <c r="AU40" s="17">
        <v>7492</v>
      </c>
      <c r="AV40" s="33">
        <f t="shared" si="16"/>
        <v>102</v>
      </c>
      <c r="AW40" s="14"/>
      <c r="AX40" s="17">
        <v>3819889</v>
      </c>
      <c r="AY40" s="33">
        <f t="shared" si="17"/>
        <v>63026</v>
      </c>
      <c r="AZ40" s="17">
        <v>780781961</v>
      </c>
      <c r="BA40" s="34">
        <f t="shared" si="18"/>
        <v>45079.88</v>
      </c>
      <c r="BB40" s="33">
        <f t="shared" si="19"/>
        <v>17946.120000000003</v>
      </c>
      <c r="BC40" s="17">
        <v>7242800</v>
      </c>
      <c r="BD40" s="89">
        <f t="shared" si="20"/>
        <v>2300</v>
      </c>
      <c r="BE40" s="53">
        <v>3801700</v>
      </c>
      <c r="BF40" s="54">
        <f t="shared" si="21"/>
        <v>1200</v>
      </c>
      <c r="BG40" s="17">
        <v>1133605</v>
      </c>
      <c r="BH40" s="33">
        <f t="shared" si="22"/>
        <v>0</v>
      </c>
    </row>
    <row r="41" spans="2:60" s="58" customFormat="1" x14ac:dyDescent="0.25">
      <c r="B41" s="45">
        <v>44788</v>
      </c>
      <c r="C41" s="125">
        <v>51524723</v>
      </c>
      <c r="D41" s="125"/>
      <c r="E41" s="33">
        <f t="shared" si="0"/>
        <v>1492130</v>
      </c>
      <c r="F41" s="125">
        <v>6167606</v>
      </c>
      <c r="G41" s="125"/>
      <c r="H41" s="33">
        <f t="shared" si="1"/>
        <v>213420</v>
      </c>
      <c r="I41" s="125">
        <v>19404</v>
      </c>
      <c r="J41" s="125"/>
      <c r="K41" s="33">
        <f t="shared" si="2"/>
        <v>160</v>
      </c>
      <c r="L41" s="125">
        <v>376168</v>
      </c>
      <c r="M41" s="125"/>
      <c r="N41" s="33">
        <f t="shared" si="3"/>
        <v>1192000</v>
      </c>
      <c r="O41" s="121">
        <v>31667</v>
      </c>
      <c r="P41" s="122"/>
      <c r="Q41" s="33">
        <f t="shared" si="4"/>
        <v>22300</v>
      </c>
      <c r="R41" s="29"/>
      <c r="S41" s="121">
        <v>880317</v>
      </c>
      <c r="T41" s="122"/>
      <c r="U41" s="33">
        <f t="shared" si="5"/>
        <v>197900</v>
      </c>
      <c r="V41" s="125">
        <v>10869</v>
      </c>
      <c r="W41" s="125"/>
      <c r="X41" s="33">
        <f t="shared" si="23"/>
        <v>15900</v>
      </c>
      <c r="Y41" s="32">
        <f t="shared" si="24"/>
        <v>213800</v>
      </c>
      <c r="Z41" s="30"/>
      <c r="AA41" s="17">
        <v>33447</v>
      </c>
      <c r="AB41" s="33">
        <f t="shared" si="8"/>
        <v>3610000</v>
      </c>
      <c r="AC41" s="17">
        <v>889841600</v>
      </c>
      <c r="AD41" s="33">
        <f t="shared" si="9"/>
        <v>1113440</v>
      </c>
      <c r="AE41" s="17">
        <v>1254</v>
      </c>
      <c r="AF41" s="33">
        <f t="shared" ref="AF41" si="46">SUM(AE41-AE40)*100</f>
        <v>5400</v>
      </c>
      <c r="AG41" s="17">
        <v>131259</v>
      </c>
      <c r="AH41" s="33">
        <f t="shared" ref="AH41" si="47">SUM(AG41-AG40)*10</f>
        <v>3120</v>
      </c>
      <c r="AI41" s="17">
        <v>3964492</v>
      </c>
      <c r="AJ41" s="33">
        <f t="shared" si="27"/>
        <v>60100</v>
      </c>
      <c r="AK41" s="17">
        <v>4964273</v>
      </c>
      <c r="AL41" s="33">
        <f t="shared" si="12"/>
        <v>12241</v>
      </c>
      <c r="AM41" s="17">
        <v>28306</v>
      </c>
      <c r="AN41" s="33">
        <f t="shared" si="13"/>
        <v>53000</v>
      </c>
      <c r="AO41" s="17">
        <v>1681</v>
      </c>
      <c r="AP41" s="33">
        <f t="shared" si="14"/>
        <v>8</v>
      </c>
      <c r="AQ41" s="17">
        <v>14028</v>
      </c>
      <c r="AR41" s="33">
        <f t="shared" si="15"/>
        <v>1000</v>
      </c>
      <c r="AS41" s="31"/>
      <c r="AT41" s="57">
        <f t="shared" si="25"/>
        <v>44788</v>
      </c>
      <c r="AU41" s="17">
        <v>7551</v>
      </c>
      <c r="AV41" s="33">
        <f t="shared" si="16"/>
        <v>59</v>
      </c>
      <c r="AW41" s="14"/>
      <c r="AX41" s="17">
        <v>3856543</v>
      </c>
      <c r="AY41" s="33">
        <f t="shared" si="17"/>
        <v>36654</v>
      </c>
      <c r="AZ41" s="17">
        <v>783604083</v>
      </c>
      <c r="BA41" s="34">
        <f t="shared" si="18"/>
        <v>28221.22</v>
      </c>
      <c r="BB41" s="33">
        <f t="shared" si="19"/>
        <v>8432.7799999999988</v>
      </c>
      <c r="BC41" s="17">
        <v>7247500</v>
      </c>
      <c r="BD41" s="89">
        <f t="shared" si="20"/>
        <v>4700</v>
      </c>
      <c r="BE41" s="53">
        <v>3801900</v>
      </c>
      <c r="BF41" s="54">
        <f t="shared" si="21"/>
        <v>200</v>
      </c>
      <c r="BG41" s="17">
        <v>1133605</v>
      </c>
      <c r="BH41" s="33">
        <f t="shared" si="22"/>
        <v>0</v>
      </c>
    </row>
    <row r="42" spans="2:60" s="58" customFormat="1" x14ac:dyDescent="0.25">
      <c r="B42" s="45">
        <v>44795</v>
      </c>
      <c r="C42" s="125">
        <v>51655375</v>
      </c>
      <c r="D42" s="125"/>
      <c r="E42" s="33">
        <f t="shared" si="0"/>
        <v>1306520</v>
      </c>
      <c r="F42" s="125">
        <v>6185316</v>
      </c>
      <c r="G42" s="125"/>
      <c r="H42" s="33">
        <f t="shared" si="1"/>
        <v>177100</v>
      </c>
      <c r="I42" s="125">
        <v>19451</v>
      </c>
      <c r="J42" s="125"/>
      <c r="K42" s="33">
        <f t="shared" si="2"/>
        <v>470</v>
      </c>
      <c r="L42" s="125">
        <v>377283</v>
      </c>
      <c r="M42" s="125"/>
      <c r="N42" s="33">
        <f t="shared" si="3"/>
        <v>1115000</v>
      </c>
      <c r="O42" s="121">
        <v>31894</v>
      </c>
      <c r="P42" s="122"/>
      <c r="Q42" s="33">
        <f t="shared" si="4"/>
        <v>22700</v>
      </c>
      <c r="R42" s="29"/>
      <c r="S42" s="121">
        <v>882308</v>
      </c>
      <c r="T42" s="122"/>
      <c r="U42" s="33">
        <f t="shared" si="5"/>
        <v>199100</v>
      </c>
      <c r="V42" s="125">
        <v>10997</v>
      </c>
      <c r="W42" s="125"/>
      <c r="X42" s="33">
        <f t="shared" si="23"/>
        <v>12800</v>
      </c>
      <c r="Y42" s="32">
        <f t="shared" si="24"/>
        <v>211900</v>
      </c>
      <c r="Z42" s="30"/>
      <c r="AA42" s="17">
        <v>33814</v>
      </c>
      <c r="AB42" s="33">
        <f t="shared" si="8"/>
        <v>3670000</v>
      </c>
      <c r="AC42" s="17">
        <v>900342000</v>
      </c>
      <c r="AD42" s="33">
        <f t="shared" si="9"/>
        <v>1050040</v>
      </c>
      <c r="AE42" s="17">
        <v>1309</v>
      </c>
      <c r="AF42" s="33">
        <f t="shared" ref="AF42:AF43" si="48">SUM(AE42-AE41)*100</f>
        <v>5500</v>
      </c>
      <c r="AG42" s="17">
        <v>131587</v>
      </c>
      <c r="AH42" s="33">
        <f t="shared" ref="AH42:AH43" si="49">SUM(AG42-AG41)*10</f>
        <v>3280</v>
      </c>
      <c r="AI42" s="17">
        <v>3969950</v>
      </c>
      <c r="AJ42" s="33">
        <f t="shared" si="27"/>
        <v>54580</v>
      </c>
      <c r="AK42" s="17">
        <v>4970813</v>
      </c>
      <c r="AL42" s="33">
        <f t="shared" si="12"/>
        <v>6540</v>
      </c>
      <c r="AM42" s="17">
        <v>28348</v>
      </c>
      <c r="AN42" s="33">
        <f t="shared" si="13"/>
        <v>42000</v>
      </c>
      <c r="AO42" s="17">
        <v>1687</v>
      </c>
      <c r="AP42" s="33">
        <f t="shared" si="14"/>
        <v>6</v>
      </c>
      <c r="AQ42" s="17">
        <v>14038</v>
      </c>
      <c r="AR42" s="33">
        <f t="shared" si="15"/>
        <v>1000</v>
      </c>
      <c r="AS42" s="31"/>
      <c r="AT42" s="57">
        <f t="shared" si="25"/>
        <v>44795</v>
      </c>
      <c r="AU42" s="17">
        <v>7551</v>
      </c>
      <c r="AV42" s="33">
        <f t="shared" si="16"/>
        <v>0</v>
      </c>
      <c r="AW42" s="14"/>
      <c r="AX42" s="17">
        <v>3911370</v>
      </c>
      <c r="AY42" s="33">
        <f t="shared" si="17"/>
        <v>54827</v>
      </c>
      <c r="AZ42" s="17">
        <v>787545062</v>
      </c>
      <c r="BA42" s="34">
        <f t="shared" si="18"/>
        <v>39409.79</v>
      </c>
      <c r="BB42" s="33">
        <f t="shared" si="19"/>
        <v>15417.21</v>
      </c>
      <c r="BC42" s="17">
        <v>7252900</v>
      </c>
      <c r="BD42" s="89">
        <f t="shared" si="20"/>
        <v>5400</v>
      </c>
      <c r="BE42" s="53">
        <v>3802100</v>
      </c>
      <c r="BF42" s="54">
        <f t="shared" si="21"/>
        <v>200</v>
      </c>
      <c r="BG42" s="17">
        <v>1133605</v>
      </c>
      <c r="BH42" s="33">
        <f t="shared" si="22"/>
        <v>0</v>
      </c>
    </row>
    <row r="43" spans="2:60" s="58" customFormat="1" x14ac:dyDescent="0.25">
      <c r="B43" s="45">
        <v>44802</v>
      </c>
      <c r="C43" s="125">
        <v>51770694</v>
      </c>
      <c r="D43" s="125"/>
      <c r="E43" s="33">
        <f t="shared" si="0"/>
        <v>1153190</v>
      </c>
      <c r="F43" s="125">
        <v>6202506</v>
      </c>
      <c r="G43" s="125"/>
      <c r="H43" s="33">
        <f t="shared" si="1"/>
        <v>171900</v>
      </c>
      <c r="I43" s="125">
        <v>19466</v>
      </c>
      <c r="J43" s="125"/>
      <c r="K43" s="33">
        <f t="shared" si="2"/>
        <v>150</v>
      </c>
      <c r="L43" s="125">
        <v>378298</v>
      </c>
      <c r="M43" s="125"/>
      <c r="N43" s="33">
        <f t="shared" si="3"/>
        <v>1015000</v>
      </c>
      <c r="O43" s="121">
        <v>32132</v>
      </c>
      <c r="P43" s="122"/>
      <c r="Q43" s="33">
        <f t="shared" si="4"/>
        <v>23800</v>
      </c>
      <c r="R43" s="29"/>
      <c r="S43" s="121">
        <v>884189</v>
      </c>
      <c r="T43" s="122"/>
      <c r="U43" s="33">
        <f t="shared" si="5"/>
        <v>188100</v>
      </c>
      <c r="V43" s="125">
        <v>11102</v>
      </c>
      <c r="W43" s="125"/>
      <c r="X43" s="33">
        <f t="shared" si="23"/>
        <v>10500</v>
      </c>
      <c r="Y43" s="32">
        <f t="shared" si="24"/>
        <v>198600</v>
      </c>
      <c r="Z43" s="30"/>
      <c r="AA43" s="17">
        <v>34149</v>
      </c>
      <c r="AB43" s="33">
        <f t="shared" si="8"/>
        <v>3350000</v>
      </c>
      <c r="AC43" s="17">
        <v>907680300</v>
      </c>
      <c r="AD43" s="33">
        <f t="shared" si="9"/>
        <v>733830</v>
      </c>
      <c r="AE43" s="17">
        <v>1364</v>
      </c>
      <c r="AF43" s="33">
        <f t="shared" si="48"/>
        <v>5500</v>
      </c>
      <c r="AG43" s="17">
        <v>131697</v>
      </c>
      <c r="AH43" s="33">
        <f t="shared" si="49"/>
        <v>1100</v>
      </c>
      <c r="AI43" s="17">
        <v>3970168</v>
      </c>
      <c r="AJ43" s="33">
        <f t="shared" si="27"/>
        <v>2180</v>
      </c>
      <c r="AK43" s="17">
        <v>4970813</v>
      </c>
      <c r="AL43" s="33">
        <f t="shared" si="12"/>
        <v>0</v>
      </c>
      <c r="AM43" s="17">
        <v>28362</v>
      </c>
      <c r="AN43" s="33">
        <f t="shared" si="13"/>
        <v>14000</v>
      </c>
      <c r="AO43" s="17">
        <v>1695</v>
      </c>
      <c r="AP43" s="33">
        <f t="shared" si="14"/>
        <v>8</v>
      </c>
      <c r="AQ43" s="17">
        <v>14044</v>
      </c>
      <c r="AR43" s="33">
        <f t="shared" si="15"/>
        <v>600</v>
      </c>
      <c r="AS43" s="31"/>
      <c r="AT43" s="57">
        <f t="shared" si="25"/>
        <v>44802</v>
      </c>
      <c r="AU43" s="17">
        <v>7551</v>
      </c>
      <c r="AV43" s="33">
        <f t="shared" si="16"/>
        <v>0</v>
      </c>
      <c r="AW43" s="14"/>
      <c r="AX43" s="17">
        <v>3964094</v>
      </c>
      <c r="AY43" s="33">
        <f t="shared" si="17"/>
        <v>52724</v>
      </c>
      <c r="AZ43" s="17">
        <v>791516806</v>
      </c>
      <c r="BA43" s="34">
        <f t="shared" si="18"/>
        <v>39717.440000000002</v>
      </c>
      <c r="BB43" s="33">
        <f t="shared" si="19"/>
        <v>13006.559999999998</v>
      </c>
      <c r="BC43" s="17">
        <v>7256500</v>
      </c>
      <c r="BD43" s="89">
        <f t="shared" si="20"/>
        <v>3600</v>
      </c>
      <c r="BE43" s="53">
        <v>3802400</v>
      </c>
      <c r="BF43" s="54">
        <f t="shared" si="21"/>
        <v>300</v>
      </c>
      <c r="BG43" s="17">
        <v>1133605</v>
      </c>
      <c r="BH43" s="33">
        <f t="shared" si="22"/>
        <v>0</v>
      </c>
    </row>
    <row r="44" spans="2:60" s="58" customFormat="1" x14ac:dyDescent="0.25">
      <c r="B44" s="45">
        <v>44804</v>
      </c>
      <c r="C44" s="125">
        <v>51804271</v>
      </c>
      <c r="D44" s="125"/>
      <c r="E44" s="33">
        <f t="shared" si="0"/>
        <v>335770</v>
      </c>
      <c r="F44" s="125">
        <v>6209323</v>
      </c>
      <c r="G44" s="125"/>
      <c r="H44" s="33">
        <f t="shared" si="1"/>
        <v>68170</v>
      </c>
      <c r="I44" s="125">
        <v>19470</v>
      </c>
      <c r="J44" s="125"/>
      <c r="K44" s="33">
        <f t="shared" si="2"/>
        <v>40</v>
      </c>
      <c r="L44" s="125">
        <v>378500</v>
      </c>
      <c r="M44" s="125"/>
      <c r="N44" s="33">
        <f t="shared" si="3"/>
        <v>202000</v>
      </c>
      <c r="O44" s="121">
        <v>32199</v>
      </c>
      <c r="P44" s="122"/>
      <c r="Q44" s="33">
        <f t="shared" si="4"/>
        <v>6700</v>
      </c>
      <c r="R44" s="29"/>
      <c r="S44" s="121">
        <v>884722</v>
      </c>
      <c r="T44" s="122"/>
      <c r="U44" s="33">
        <f t="shared" si="5"/>
        <v>53300</v>
      </c>
      <c r="V44" s="125">
        <v>11139</v>
      </c>
      <c r="W44" s="125"/>
      <c r="X44" s="33">
        <f t="shared" si="23"/>
        <v>3700</v>
      </c>
      <c r="Y44" s="32">
        <f t="shared" si="24"/>
        <v>57000</v>
      </c>
      <c r="Z44" s="30"/>
      <c r="AA44" s="17">
        <v>34244</v>
      </c>
      <c r="AB44" s="33">
        <f t="shared" si="8"/>
        <v>950000</v>
      </c>
      <c r="AC44" s="17">
        <v>909917300</v>
      </c>
      <c r="AD44" s="33">
        <f t="shared" si="9"/>
        <v>223700</v>
      </c>
      <c r="AE44" s="17">
        <v>1380</v>
      </c>
      <c r="AF44" s="33">
        <f t="shared" ref="AF44" si="50">SUM(AE44-AE43)*100</f>
        <v>1600</v>
      </c>
      <c r="AG44" s="17">
        <v>131708</v>
      </c>
      <c r="AH44" s="33">
        <f t="shared" ref="AH44" si="51">SUM(AG44-AG43)*10</f>
        <v>110</v>
      </c>
      <c r="AI44" s="17">
        <v>3970220</v>
      </c>
      <c r="AJ44" s="33">
        <f t="shared" si="27"/>
        <v>520</v>
      </c>
      <c r="AK44" s="17">
        <v>4975325</v>
      </c>
      <c r="AL44" s="33">
        <f t="shared" si="12"/>
        <v>4512</v>
      </c>
      <c r="AM44" s="17">
        <v>28362</v>
      </c>
      <c r="AN44" s="33">
        <f t="shared" si="13"/>
        <v>0</v>
      </c>
      <c r="AO44" s="17">
        <v>1697</v>
      </c>
      <c r="AP44" s="33">
        <f t="shared" si="14"/>
        <v>2</v>
      </c>
      <c r="AQ44" s="17">
        <v>14047</v>
      </c>
      <c r="AR44" s="33">
        <f t="shared" si="15"/>
        <v>300</v>
      </c>
      <c r="AS44" s="31"/>
      <c r="AT44" s="57">
        <f t="shared" si="25"/>
        <v>44804</v>
      </c>
      <c r="AU44" s="17">
        <v>7754</v>
      </c>
      <c r="AV44" s="33">
        <f t="shared" si="16"/>
        <v>203</v>
      </c>
      <c r="AW44" s="14"/>
      <c r="AX44" s="17">
        <v>3986149</v>
      </c>
      <c r="AY44" s="33">
        <f t="shared" si="17"/>
        <v>22055</v>
      </c>
      <c r="AZ44" s="17">
        <v>793200000</v>
      </c>
      <c r="BA44" s="34">
        <f t="shared" si="18"/>
        <v>16831.939999999999</v>
      </c>
      <c r="BB44" s="33">
        <f t="shared" si="19"/>
        <v>5223.0600000000013</v>
      </c>
      <c r="BC44" s="17">
        <v>7259600</v>
      </c>
      <c r="BD44" s="89">
        <f t="shared" si="20"/>
        <v>3100</v>
      </c>
      <c r="BE44" s="53">
        <v>3802500</v>
      </c>
      <c r="BF44" s="54">
        <f t="shared" si="21"/>
        <v>100</v>
      </c>
      <c r="BG44" s="17">
        <v>1133605</v>
      </c>
      <c r="BH44" s="33">
        <f t="shared" si="22"/>
        <v>0</v>
      </c>
    </row>
    <row r="45" spans="2:60" x14ac:dyDescent="0.25">
      <c r="B45" s="45">
        <v>44809</v>
      </c>
      <c r="C45" s="126"/>
      <c r="D45" s="127"/>
      <c r="E45" s="33">
        <f t="shared" si="0"/>
        <v>-518042710</v>
      </c>
      <c r="F45" s="126"/>
      <c r="G45" s="127"/>
      <c r="H45" s="33">
        <f t="shared" si="1"/>
        <v>-62093230</v>
      </c>
      <c r="I45" s="126"/>
      <c r="J45" s="127"/>
      <c r="K45" s="33">
        <f t="shared" si="2"/>
        <v>-194700</v>
      </c>
      <c r="L45" s="126"/>
      <c r="M45" s="127"/>
      <c r="N45" s="33">
        <f t="shared" si="3"/>
        <v>-378500000</v>
      </c>
      <c r="O45" s="126"/>
      <c r="P45" s="127"/>
      <c r="Q45" s="33">
        <f t="shared" si="4"/>
        <v>-3219900</v>
      </c>
      <c r="R45" s="29"/>
      <c r="S45" s="126"/>
      <c r="T45" s="127"/>
      <c r="U45" s="33">
        <f t="shared" si="5"/>
        <v>-88472200</v>
      </c>
      <c r="V45" s="126"/>
      <c r="W45" s="127"/>
      <c r="X45" s="33">
        <f t="shared" si="23"/>
        <v>-1113900</v>
      </c>
      <c r="Y45" s="32">
        <f t="shared" si="24"/>
        <v>-89586100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5"/>
      <c r="D46" s="125"/>
      <c r="E46" s="33">
        <f t="shared" si="0"/>
        <v>0</v>
      </c>
      <c r="F46" s="125"/>
      <c r="G46" s="125"/>
      <c r="H46" s="33">
        <f t="shared" si="1"/>
        <v>0</v>
      </c>
      <c r="I46" s="125"/>
      <c r="J46" s="125"/>
      <c r="K46" s="33">
        <f t="shared" si="2"/>
        <v>0</v>
      </c>
      <c r="L46" s="125"/>
      <c r="M46" s="125"/>
      <c r="N46" s="33">
        <f t="shared" si="3"/>
        <v>0</v>
      </c>
      <c r="O46" s="125"/>
      <c r="P46" s="125"/>
      <c r="Q46" s="33">
        <f t="shared" si="4"/>
        <v>0</v>
      </c>
      <c r="R46" s="29"/>
      <c r="S46" s="125"/>
      <c r="T46" s="125"/>
      <c r="U46" s="33">
        <f t="shared" si="5"/>
        <v>0</v>
      </c>
      <c r="V46" s="125"/>
      <c r="W46" s="125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6"/>
      <c r="D47" s="127"/>
      <c r="E47" s="33">
        <f t="shared" si="0"/>
        <v>0</v>
      </c>
      <c r="F47" s="126"/>
      <c r="G47" s="127"/>
      <c r="H47" s="33">
        <f t="shared" si="1"/>
        <v>0</v>
      </c>
      <c r="I47" s="126"/>
      <c r="J47" s="127"/>
      <c r="K47" s="33">
        <f t="shared" si="2"/>
        <v>0</v>
      </c>
      <c r="L47" s="126"/>
      <c r="M47" s="127"/>
      <c r="N47" s="33">
        <f t="shared" si="3"/>
        <v>0</v>
      </c>
      <c r="O47" s="126"/>
      <c r="P47" s="127"/>
      <c r="Q47" s="33">
        <f t="shared" si="4"/>
        <v>0</v>
      </c>
      <c r="R47" s="29"/>
      <c r="S47" s="126"/>
      <c r="T47" s="127"/>
      <c r="U47" s="33">
        <f t="shared" si="5"/>
        <v>0</v>
      </c>
      <c r="V47" s="126"/>
      <c r="W47" s="127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6"/>
      <c r="D48" s="127"/>
      <c r="E48" s="33">
        <f t="shared" si="0"/>
        <v>0</v>
      </c>
      <c r="F48" s="126"/>
      <c r="G48" s="127"/>
      <c r="H48" s="33">
        <f t="shared" si="1"/>
        <v>0</v>
      </c>
      <c r="I48" s="126"/>
      <c r="J48" s="127"/>
      <c r="K48" s="33">
        <f t="shared" si="2"/>
        <v>0</v>
      </c>
      <c r="L48" s="126"/>
      <c r="M48" s="127"/>
      <c r="N48" s="33">
        <f t="shared" si="3"/>
        <v>0</v>
      </c>
      <c r="O48" s="126"/>
      <c r="P48" s="127"/>
      <c r="Q48" s="33">
        <f t="shared" si="4"/>
        <v>0</v>
      </c>
      <c r="R48" s="29"/>
      <c r="S48" s="126"/>
      <c r="T48" s="127"/>
      <c r="U48" s="33">
        <f t="shared" si="5"/>
        <v>0</v>
      </c>
      <c r="V48" s="126"/>
      <c r="W48" s="127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6"/>
      <c r="D49" s="127"/>
      <c r="E49" s="33">
        <f t="shared" si="0"/>
        <v>0</v>
      </c>
      <c r="F49" s="126"/>
      <c r="G49" s="127"/>
      <c r="H49" s="33">
        <f t="shared" si="1"/>
        <v>0</v>
      </c>
      <c r="I49" s="126"/>
      <c r="J49" s="127"/>
      <c r="K49" s="33">
        <f t="shared" si="2"/>
        <v>0</v>
      </c>
      <c r="L49" s="126"/>
      <c r="M49" s="127"/>
      <c r="N49" s="33">
        <f t="shared" si="3"/>
        <v>0</v>
      </c>
      <c r="O49" s="126"/>
      <c r="P49" s="127"/>
      <c r="Q49" s="33">
        <f t="shared" si="4"/>
        <v>0</v>
      </c>
      <c r="R49" s="29"/>
      <c r="S49" s="126"/>
      <c r="T49" s="127"/>
      <c r="U49" s="33">
        <f t="shared" si="5"/>
        <v>0</v>
      </c>
      <c r="V49" s="126"/>
      <c r="W49" s="127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5"/>
      <c r="D50" s="125"/>
      <c r="E50" s="33">
        <f t="shared" si="0"/>
        <v>0</v>
      </c>
      <c r="F50" s="125"/>
      <c r="G50" s="125"/>
      <c r="H50" s="33">
        <f t="shared" si="1"/>
        <v>0</v>
      </c>
      <c r="I50" s="125"/>
      <c r="J50" s="125"/>
      <c r="K50" s="33">
        <f t="shared" si="2"/>
        <v>0</v>
      </c>
      <c r="L50" s="125"/>
      <c r="M50" s="125"/>
      <c r="N50" s="33">
        <f t="shared" si="3"/>
        <v>0</v>
      </c>
      <c r="O50" s="125"/>
      <c r="P50" s="125"/>
      <c r="Q50" s="33">
        <f t="shared" si="4"/>
        <v>0</v>
      </c>
      <c r="R50" s="29"/>
      <c r="S50" s="125"/>
      <c r="T50" s="125"/>
      <c r="U50" s="33">
        <f t="shared" si="5"/>
        <v>0</v>
      </c>
      <c r="V50" s="125"/>
      <c r="W50" s="125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5"/>
      <c r="D51" s="125"/>
      <c r="E51" s="33">
        <f t="shared" si="0"/>
        <v>0</v>
      </c>
      <c r="F51" s="125"/>
      <c r="G51" s="125"/>
      <c r="H51" s="33">
        <f t="shared" si="1"/>
        <v>0</v>
      </c>
      <c r="I51" s="125"/>
      <c r="J51" s="125"/>
      <c r="K51" s="33">
        <f t="shared" si="2"/>
        <v>0</v>
      </c>
      <c r="L51" s="125"/>
      <c r="M51" s="125"/>
      <c r="N51" s="33">
        <f t="shared" si="3"/>
        <v>0</v>
      </c>
      <c r="O51" s="125"/>
      <c r="P51" s="125"/>
      <c r="Q51" s="33">
        <f t="shared" si="4"/>
        <v>0</v>
      </c>
      <c r="R51" s="29"/>
      <c r="S51" s="125"/>
      <c r="T51" s="125"/>
      <c r="U51" s="33">
        <f t="shared" si="5"/>
        <v>0</v>
      </c>
      <c r="V51" s="125"/>
      <c r="W51" s="125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5"/>
      <c r="D52" s="125"/>
      <c r="E52" s="33">
        <f t="shared" si="0"/>
        <v>0</v>
      </c>
      <c r="F52" s="125"/>
      <c r="G52" s="125"/>
      <c r="H52" s="33">
        <f t="shared" si="1"/>
        <v>0</v>
      </c>
      <c r="I52" s="125"/>
      <c r="J52" s="125"/>
      <c r="K52" s="33">
        <f t="shared" si="2"/>
        <v>0</v>
      </c>
      <c r="L52" s="125"/>
      <c r="M52" s="125"/>
      <c r="N52" s="33">
        <f t="shared" si="3"/>
        <v>0</v>
      </c>
      <c r="O52" s="125"/>
      <c r="P52" s="125"/>
      <c r="Q52" s="33">
        <f t="shared" si="4"/>
        <v>0</v>
      </c>
      <c r="R52" s="29"/>
      <c r="S52" s="125"/>
      <c r="T52" s="125"/>
      <c r="U52" s="33">
        <f t="shared" si="5"/>
        <v>0</v>
      </c>
      <c r="V52" s="125"/>
      <c r="W52" s="125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5"/>
      <c r="D53" s="125"/>
      <c r="E53" s="33">
        <f t="shared" si="0"/>
        <v>0</v>
      </c>
      <c r="F53" s="125"/>
      <c r="G53" s="125"/>
      <c r="H53" s="33">
        <f t="shared" si="1"/>
        <v>0</v>
      </c>
      <c r="I53" s="125"/>
      <c r="J53" s="125"/>
      <c r="K53" s="33">
        <f t="shared" si="2"/>
        <v>0</v>
      </c>
      <c r="L53" s="125"/>
      <c r="M53" s="125"/>
      <c r="N53" s="33">
        <f t="shared" si="3"/>
        <v>0</v>
      </c>
      <c r="O53" s="125"/>
      <c r="P53" s="125"/>
      <c r="Q53" s="33">
        <f t="shared" si="4"/>
        <v>0</v>
      </c>
      <c r="R53" s="29"/>
      <c r="S53" s="125"/>
      <c r="T53" s="125"/>
      <c r="U53" s="33">
        <f t="shared" si="5"/>
        <v>0</v>
      </c>
      <c r="V53" s="125"/>
      <c r="W53" s="125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5"/>
      <c r="D54" s="125"/>
      <c r="E54" s="33">
        <f t="shared" si="0"/>
        <v>0</v>
      </c>
      <c r="F54" s="125"/>
      <c r="G54" s="125"/>
      <c r="H54" s="33">
        <f t="shared" si="1"/>
        <v>0</v>
      </c>
      <c r="I54" s="125"/>
      <c r="J54" s="125"/>
      <c r="K54" s="33">
        <f t="shared" si="2"/>
        <v>0</v>
      </c>
      <c r="L54" s="125"/>
      <c r="M54" s="125"/>
      <c r="N54" s="33">
        <f t="shared" si="3"/>
        <v>0</v>
      </c>
      <c r="O54" s="125"/>
      <c r="P54" s="125"/>
      <c r="Q54" s="33">
        <f t="shared" si="4"/>
        <v>0</v>
      </c>
      <c r="R54" s="29"/>
      <c r="S54" s="125"/>
      <c r="T54" s="125"/>
      <c r="U54" s="33">
        <f t="shared" si="5"/>
        <v>0</v>
      </c>
      <c r="V54" s="125"/>
      <c r="W54" s="125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5"/>
      <c r="D55" s="125"/>
      <c r="E55" s="33">
        <f t="shared" si="0"/>
        <v>0</v>
      </c>
      <c r="F55" s="125"/>
      <c r="G55" s="125"/>
      <c r="H55" s="33">
        <f t="shared" si="1"/>
        <v>0</v>
      </c>
      <c r="I55" s="125"/>
      <c r="J55" s="125"/>
      <c r="K55" s="33">
        <f t="shared" si="2"/>
        <v>0</v>
      </c>
      <c r="L55" s="125"/>
      <c r="M55" s="125"/>
      <c r="N55" s="33">
        <f t="shared" si="3"/>
        <v>0</v>
      </c>
      <c r="O55" s="125"/>
      <c r="P55" s="125"/>
      <c r="Q55" s="33">
        <f t="shared" si="4"/>
        <v>0</v>
      </c>
      <c r="R55" s="29"/>
      <c r="S55" s="121"/>
      <c r="T55" s="122"/>
      <c r="U55" s="33">
        <f t="shared" si="5"/>
        <v>0</v>
      </c>
      <c r="V55" s="125"/>
      <c r="W55" s="125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5"/>
      <c r="D56" s="125"/>
      <c r="E56" s="33">
        <f t="shared" si="0"/>
        <v>0</v>
      </c>
      <c r="F56" s="125"/>
      <c r="G56" s="125"/>
      <c r="H56" s="33">
        <f t="shared" si="1"/>
        <v>0</v>
      </c>
      <c r="I56" s="125"/>
      <c r="J56" s="125"/>
      <c r="K56" s="33">
        <f t="shared" si="2"/>
        <v>0</v>
      </c>
      <c r="L56" s="125"/>
      <c r="M56" s="125"/>
      <c r="N56" s="33">
        <f t="shared" si="3"/>
        <v>0</v>
      </c>
      <c r="O56" s="125"/>
      <c r="P56" s="125"/>
      <c r="Q56" s="33">
        <f t="shared" si="4"/>
        <v>0</v>
      </c>
      <c r="R56" s="29"/>
      <c r="S56" s="121"/>
      <c r="T56" s="122"/>
      <c r="U56" s="33">
        <f t="shared" si="5"/>
        <v>0</v>
      </c>
      <c r="V56" s="125"/>
      <c r="W56" s="125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5"/>
      <c r="D57" s="125"/>
      <c r="E57" s="33">
        <f t="shared" si="0"/>
        <v>0</v>
      </c>
      <c r="F57" s="125"/>
      <c r="G57" s="125"/>
      <c r="H57" s="33">
        <f t="shared" si="1"/>
        <v>0</v>
      </c>
      <c r="I57" s="125"/>
      <c r="J57" s="125"/>
      <c r="K57" s="33">
        <f t="shared" si="2"/>
        <v>0</v>
      </c>
      <c r="L57" s="125"/>
      <c r="M57" s="125"/>
      <c r="N57" s="33">
        <f t="shared" si="3"/>
        <v>0</v>
      </c>
      <c r="O57" s="125"/>
      <c r="P57" s="125"/>
      <c r="Q57" s="33">
        <f t="shared" si="4"/>
        <v>0</v>
      </c>
      <c r="R57" s="29"/>
      <c r="S57" s="121"/>
      <c r="T57" s="122"/>
      <c r="U57" s="33">
        <f t="shared" si="5"/>
        <v>0</v>
      </c>
      <c r="V57" s="125"/>
      <c r="W57" s="125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5"/>
      <c r="D58" s="125"/>
      <c r="E58" s="33">
        <f t="shared" si="0"/>
        <v>0</v>
      </c>
      <c r="F58" s="125"/>
      <c r="G58" s="125"/>
      <c r="H58" s="33">
        <f t="shared" si="1"/>
        <v>0</v>
      </c>
      <c r="I58" s="125"/>
      <c r="J58" s="125"/>
      <c r="K58" s="33">
        <f t="shared" si="2"/>
        <v>0</v>
      </c>
      <c r="L58" s="125"/>
      <c r="M58" s="125"/>
      <c r="N58" s="33">
        <f t="shared" si="3"/>
        <v>0</v>
      </c>
      <c r="O58" s="125"/>
      <c r="P58" s="125"/>
      <c r="Q58" s="33">
        <f t="shared" si="4"/>
        <v>0</v>
      </c>
      <c r="R58" s="29"/>
      <c r="S58" s="121"/>
      <c r="T58" s="122"/>
      <c r="U58" s="33">
        <f t="shared" si="5"/>
        <v>0</v>
      </c>
      <c r="V58" s="125"/>
      <c r="W58" s="125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5"/>
      <c r="D59" s="125"/>
      <c r="E59" s="33">
        <f t="shared" si="0"/>
        <v>0</v>
      </c>
      <c r="F59" s="125"/>
      <c r="G59" s="125"/>
      <c r="H59" s="33">
        <f t="shared" si="1"/>
        <v>0</v>
      </c>
      <c r="I59" s="125"/>
      <c r="J59" s="125"/>
      <c r="K59" s="33">
        <f t="shared" si="2"/>
        <v>0</v>
      </c>
      <c r="L59" s="125"/>
      <c r="M59" s="125"/>
      <c r="N59" s="33">
        <f t="shared" si="3"/>
        <v>0</v>
      </c>
      <c r="O59" s="125"/>
      <c r="P59" s="125"/>
      <c r="Q59" s="33">
        <f t="shared" si="4"/>
        <v>0</v>
      </c>
      <c r="R59" s="29"/>
      <c r="S59" s="121"/>
      <c r="T59" s="122"/>
      <c r="U59" s="33">
        <f t="shared" si="5"/>
        <v>0</v>
      </c>
      <c r="V59" s="125"/>
      <c r="W59" s="125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5"/>
      <c r="D60" s="125"/>
      <c r="E60" s="33">
        <f t="shared" si="0"/>
        <v>0</v>
      </c>
      <c r="F60" s="125"/>
      <c r="G60" s="125"/>
      <c r="H60" s="33">
        <f t="shared" si="1"/>
        <v>0</v>
      </c>
      <c r="I60" s="125"/>
      <c r="J60" s="125"/>
      <c r="K60" s="33">
        <f t="shared" si="2"/>
        <v>0</v>
      </c>
      <c r="L60" s="125"/>
      <c r="M60" s="125"/>
      <c r="N60" s="33">
        <f t="shared" si="3"/>
        <v>0</v>
      </c>
      <c r="O60" s="125"/>
      <c r="P60" s="125"/>
      <c r="Q60" s="33">
        <f t="shared" si="4"/>
        <v>0</v>
      </c>
      <c r="R60" s="29"/>
      <c r="S60" s="121"/>
      <c r="T60" s="122"/>
      <c r="U60" s="33">
        <f t="shared" si="5"/>
        <v>0</v>
      </c>
      <c r="V60" s="125"/>
      <c r="W60" s="125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5"/>
      <c r="D61" s="125"/>
      <c r="E61" s="33">
        <f t="shared" si="0"/>
        <v>0</v>
      </c>
      <c r="F61" s="125"/>
      <c r="G61" s="125"/>
      <c r="H61" s="33">
        <f t="shared" si="1"/>
        <v>0</v>
      </c>
      <c r="I61" s="125"/>
      <c r="J61" s="125"/>
      <c r="K61" s="33">
        <f t="shared" si="2"/>
        <v>0</v>
      </c>
      <c r="L61" s="125"/>
      <c r="M61" s="125"/>
      <c r="N61" s="33">
        <f t="shared" si="3"/>
        <v>0</v>
      </c>
      <c r="O61" s="125"/>
      <c r="P61" s="125"/>
      <c r="Q61" s="33">
        <f t="shared" si="4"/>
        <v>0</v>
      </c>
      <c r="R61" s="29"/>
      <c r="S61" s="121"/>
      <c r="T61" s="122"/>
      <c r="U61" s="33">
        <f t="shared" si="5"/>
        <v>0</v>
      </c>
      <c r="V61" s="125"/>
      <c r="W61" s="125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5"/>
      <c r="D62" s="125"/>
      <c r="E62" s="33">
        <f t="shared" si="0"/>
        <v>0</v>
      </c>
      <c r="F62" s="125"/>
      <c r="G62" s="125"/>
      <c r="H62" s="33">
        <f t="shared" si="1"/>
        <v>0</v>
      </c>
      <c r="I62" s="125"/>
      <c r="J62" s="125"/>
      <c r="K62" s="33">
        <f t="shared" si="2"/>
        <v>0</v>
      </c>
      <c r="L62" s="125"/>
      <c r="M62" s="125"/>
      <c r="N62" s="33">
        <f t="shared" si="3"/>
        <v>0</v>
      </c>
      <c r="O62" s="125"/>
      <c r="P62" s="125"/>
      <c r="Q62" s="33">
        <f t="shared" si="4"/>
        <v>0</v>
      </c>
      <c r="R62" s="29"/>
      <c r="S62" s="121"/>
      <c r="T62" s="122"/>
      <c r="U62" s="33">
        <f t="shared" si="5"/>
        <v>0</v>
      </c>
      <c r="V62" s="125"/>
      <c r="W62" s="125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5"/>
      <c r="D63" s="125"/>
      <c r="E63" s="33">
        <f t="shared" si="0"/>
        <v>0</v>
      </c>
      <c r="F63" s="125"/>
      <c r="G63" s="125"/>
      <c r="H63" s="33">
        <f t="shared" si="1"/>
        <v>0</v>
      </c>
      <c r="I63" s="125"/>
      <c r="J63" s="125"/>
      <c r="K63" s="33">
        <f t="shared" si="2"/>
        <v>0</v>
      </c>
      <c r="L63" s="125"/>
      <c r="M63" s="125"/>
      <c r="N63" s="33">
        <f t="shared" si="3"/>
        <v>0</v>
      </c>
      <c r="O63" s="125"/>
      <c r="P63" s="125"/>
      <c r="Q63" s="33">
        <f t="shared" si="4"/>
        <v>0</v>
      </c>
      <c r="R63" s="29"/>
      <c r="S63" s="121"/>
      <c r="T63" s="122"/>
      <c r="U63" s="33">
        <f t="shared" si="5"/>
        <v>0</v>
      </c>
      <c r="V63" s="125"/>
      <c r="W63" s="125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5"/>
      <c r="D64" s="125"/>
      <c r="E64" s="33">
        <f t="shared" si="0"/>
        <v>0</v>
      </c>
      <c r="F64" s="125"/>
      <c r="G64" s="125"/>
      <c r="H64" s="33">
        <f t="shared" si="1"/>
        <v>0</v>
      </c>
      <c r="I64" s="125"/>
      <c r="J64" s="125"/>
      <c r="K64" s="33">
        <f t="shared" si="2"/>
        <v>0</v>
      </c>
      <c r="L64" s="125"/>
      <c r="M64" s="125"/>
      <c r="N64" s="33">
        <f t="shared" si="3"/>
        <v>0</v>
      </c>
      <c r="O64" s="125"/>
      <c r="P64" s="125"/>
      <c r="Q64" s="33">
        <f t="shared" si="4"/>
        <v>0</v>
      </c>
      <c r="R64" s="29"/>
      <c r="S64" s="121"/>
      <c r="T64" s="122"/>
      <c r="U64" s="33">
        <f t="shared" si="5"/>
        <v>0</v>
      </c>
      <c r="V64" s="125"/>
      <c r="W64" s="125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3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4"/>
      <c r="B1" s="114"/>
      <c r="C1" s="114" t="s">
        <v>196</v>
      </c>
      <c r="D1" s="114" t="s">
        <v>197</v>
      </c>
      <c r="E1" s="114" t="s">
        <v>198</v>
      </c>
      <c r="F1" s="114" t="s">
        <v>199</v>
      </c>
      <c r="G1" s="114" t="s">
        <v>200</v>
      </c>
      <c r="H1" s="114"/>
      <c r="I1" s="114"/>
      <c r="J1" s="114"/>
      <c r="K1" s="114"/>
    </row>
    <row r="2" spans="1:11" x14ac:dyDescent="0.25">
      <c r="A2" s="114"/>
      <c r="B2" s="114"/>
      <c r="C2" s="114" t="s">
        <v>201</v>
      </c>
      <c r="D2" s="114" t="s">
        <v>201</v>
      </c>
      <c r="E2" s="114" t="s">
        <v>201</v>
      </c>
      <c r="F2" s="114" t="s">
        <v>201</v>
      </c>
      <c r="G2" s="114" t="s">
        <v>201</v>
      </c>
      <c r="H2" s="114" t="s">
        <v>201</v>
      </c>
      <c r="I2" s="114" t="s">
        <v>201</v>
      </c>
      <c r="J2" s="114" t="s">
        <v>201</v>
      </c>
      <c r="K2" s="114" t="s">
        <v>215</v>
      </c>
    </row>
    <row r="3" spans="1:11" x14ac:dyDescent="0.25">
      <c r="A3" s="114"/>
      <c r="B3" s="114"/>
      <c r="C3" s="114" t="s">
        <v>202</v>
      </c>
      <c r="D3" s="114" t="s">
        <v>202</v>
      </c>
      <c r="E3" s="114" t="s">
        <v>202</v>
      </c>
      <c r="F3" s="114" t="s">
        <v>202</v>
      </c>
      <c r="G3" s="114" t="s">
        <v>202</v>
      </c>
      <c r="H3" s="114" t="s">
        <v>202</v>
      </c>
      <c r="I3" s="114" t="s">
        <v>202</v>
      </c>
      <c r="J3" s="114" t="s">
        <v>203</v>
      </c>
      <c r="K3" s="114" t="s">
        <v>202</v>
      </c>
    </row>
    <row r="4" spans="1:11" x14ac:dyDescent="0.25">
      <c r="A4" s="114"/>
      <c r="B4" s="114"/>
      <c r="C4" s="115" t="s">
        <v>204</v>
      </c>
      <c r="D4" s="115" t="s">
        <v>205</v>
      </c>
      <c r="E4" s="115" t="s">
        <v>206</v>
      </c>
      <c r="F4" s="115" t="s">
        <v>207</v>
      </c>
      <c r="G4" s="115" t="s">
        <v>208</v>
      </c>
      <c r="H4" s="115" t="s">
        <v>209</v>
      </c>
      <c r="I4" s="115" t="s">
        <v>210</v>
      </c>
      <c r="J4" s="115" t="s">
        <v>211</v>
      </c>
      <c r="K4" s="115" t="s">
        <v>216</v>
      </c>
    </row>
    <row r="5" spans="1:11" x14ac:dyDescent="0.25">
      <c r="A5" s="114"/>
      <c r="B5" s="114"/>
      <c r="C5" s="114" t="s">
        <v>212</v>
      </c>
      <c r="D5" s="114" t="s">
        <v>212</v>
      </c>
      <c r="E5" s="114" t="s">
        <v>212</v>
      </c>
      <c r="F5" s="114" t="s">
        <v>212</v>
      </c>
      <c r="G5" s="114" t="s">
        <v>212</v>
      </c>
      <c r="H5" s="114" t="s">
        <v>212</v>
      </c>
      <c r="I5" s="114" t="s">
        <v>212</v>
      </c>
      <c r="J5" s="114" t="s">
        <v>212</v>
      </c>
      <c r="K5" s="114" t="s">
        <v>212</v>
      </c>
    </row>
    <row r="6" spans="1:11" x14ac:dyDescent="0.25">
      <c r="A6" s="114"/>
      <c r="B6" s="114"/>
      <c r="C6" s="114" t="s">
        <v>120</v>
      </c>
      <c r="D6" s="114" t="s">
        <v>120</v>
      </c>
      <c r="E6" s="114" t="s">
        <v>120</v>
      </c>
      <c r="F6" s="114" t="s">
        <v>120</v>
      </c>
      <c r="G6" s="114" t="s">
        <v>120</v>
      </c>
      <c r="H6" s="114" t="s">
        <v>120</v>
      </c>
      <c r="I6" s="114" t="s">
        <v>120</v>
      </c>
      <c r="J6" s="114" t="s">
        <v>120</v>
      </c>
      <c r="K6" s="114" t="s">
        <v>120</v>
      </c>
    </row>
    <row r="7" spans="1:11" x14ac:dyDescent="0.25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</row>
    <row r="8" spans="1:11" x14ac:dyDescent="0.25">
      <c r="A8" s="114" t="s">
        <v>122</v>
      </c>
      <c r="B8" s="115" t="s">
        <v>121</v>
      </c>
      <c r="C8" s="114">
        <v>0</v>
      </c>
      <c r="D8" s="114">
        <v>281</v>
      </c>
      <c r="E8" s="114">
        <v>359</v>
      </c>
      <c r="F8" s="114">
        <v>309</v>
      </c>
      <c r="G8" s="114">
        <v>368</v>
      </c>
      <c r="H8" s="114">
        <v>410</v>
      </c>
      <c r="I8" s="114">
        <v>377</v>
      </c>
      <c r="J8" s="114">
        <v>283</v>
      </c>
      <c r="K8" s="114">
        <v>298</v>
      </c>
    </row>
    <row r="9" spans="1:11" x14ac:dyDescent="0.25">
      <c r="A9" s="114" t="s">
        <v>122</v>
      </c>
      <c r="B9" s="115" t="s">
        <v>123</v>
      </c>
      <c r="C9" s="114">
        <v>0</v>
      </c>
      <c r="D9" s="114">
        <v>281</v>
      </c>
      <c r="E9" s="114">
        <v>261</v>
      </c>
      <c r="F9" s="114">
        <v>232</v>
      </c>
      <c r="G9" s="114">
        <v>316</v>
      </c>
      <c r="H9" s="114">
        <v>427</v>
      </c>
      <c r="I9" s="114">
        <v>379</v>
      </c>
      <c r="J9" s="114">
        <v>194</v>
      </c>
      <c r="K9" s="114">
        <v>239</v>
      </c>
    </row>
    <row r="10" spans="1:11" x14ac:dyDescent="0.25">
      <c r="A10" s="114" t="s">
        <v>122</v>
      </c>
      <c r="B10" s="115" t="s">
        <v>124</v>
      </c>
      <c r="C10" s="114">
        <v>0</v>
      </c>
      <c r="D10" s="114">
        <v>243</v>
      </c>
      <c r="E10" s="114">
        <v>237</v>
      </c>
      <c r="F10" s="114">
        <v>307</v>
      </c>
      <c r="G10" s="114">
        <v>382</v>
      </c>
      <c r="H10" s="114">
        <v>415</v>
      </c>
      <c r="I10" s="114">
        <v>314</v>
      </c>
      <c r="J10" s="114">
        <v>109</v>
      </c>
      <c r="K10" s="114">
        <v>205</v>
      </c>
    </row>
    <row r="11" spans="1:11" x14ac:dyDescent="0.25">
      <c r="A11" s="114" t="s">
        <v>122</v>
      </c>
      <c r="B11" s="115" t="s">
        <v>125</v>
      </c>
      <c r="C11" s="114">
        <v>0</v>
      </c>
      <c r="D11" s="114">
        <v>206</v>
      </c>
      <c r="E11" s="114">
        <v>341</v>
      </c>
      <c r="F11" s="114">
        <v>350</v>
      </c>
      <c r="G11" s="114">
        <v>421</v>
      </c>
      <c r="H11" s="114">
        <v>388</v>
      </c>
      <c r="I11" s="114">
        <v>210</v>
      </c>
      <c r="J11" s="114">
        <v>85</v>
      </c>
      <c r="K11" s="114">
        <v>178</v>
      </c>
    </row>
    <row r="12" spans="1:11" x14ac:dyDescent="0.25">
      <c r="A12" s="114" t="s">
        <v>122</v>
      </c>
      <c r="B12" s="115" t="s">
        <v>126</v>
      </c>
      <c r="C12" s="114">
        <v>0</v>
      </c>
      <c r="D12" s="114">
        <v>240</v>
      </c>
      <c r="E12" s="114">
        <v>414</v>
      </c>
      <c r="F12" s="114">
        <v>337</v>
      </c>
      <c r="G12" s="114">
        <v>400</v>
      </c>
      <c r="H12" s="114">
        <v>287</v>
      </c>
      <c r="I12" s="114">
        <v>157</v>
      </c>
      <c r="J12" s="114">
        <v>85</v>
      </c>
      <c r="K12" s="114">
        <v>195</v>
      </c>
    </row>
    <row r="13" spans="1:11" x14ac:dyDescent="0.25">
      <c r="A13" s="114" t="s">
        <v>122</v>
      </c>
      <c r="B13" s="115" t="s">
        <v>127</v>
      </c>
      <c r="C13" s="114">
        <v>0</v>
      </c>
      <c r="D13" s="114">
        <v>296</v>
      </c>
      <c r="E13" s="114">
        <v>408</v>
      </c>
      <c r="F13" s="114">
        <v>342</v>
      </c>
      <c r="G13" s="114">
        <v>341</v>
      </c>
      <c r="H13" s="114">
        <v>250</v>
      </c>
      <c r="I13" s="114">
        <v>146</v>
      </c>
      <c r="J13" s="114">
        <v>87</v>
      </c>
      <c r="K13" s="114">
        <v>221</v>
      </c>
    </row>
    <row r="14" spans="1:11" x14ac:dyDescent="0.25">
      <c r="A14" s="114" t="s">
        <v>122</v>
      </c>
      <c r="B14" s="115" t="s">
        <v>128</v>
      </c>
      <c r="C14" s="114">
        <v>0</v>
      </c>
      <c r="D14" s="114">
        <v>287</v>
      </c>
      <c r="E14" s="114">
        <v>428</v>
      </c>
      <c r="F14" s="114">
        <v>370</v>
      </c>
      <c r="G14" s="114">
        <v>337</v>
      </c>
      <c r="H14" s="114">
        <v>300</v>
      </c>
      <c r="I14" s="114">
        <v>174</v>
      </c>
      <c r="J14" s="114">
        <v>96</v>
      </c>
      <c r="K14" s="114">
        <v>283</v>
      </c>
    </row>
    <row r="15" spans="1:11" x14ac:dyDescent="0.25">
      <c r="A15" s="114" t="s">
        <v>122</v>
      </c>
      <c r="B15" s="115" t="s">
        <v>129</v>
      </c>
      <c r="C15" s="114">
        <v>0</v>
      </c>
      <c r="D15" s="114">
        <v>294</v>
      </c>
      <c r="E15" s="114">
        <v>349</v>
      </c>
      <c r="F15" s="114">
        <v>302</v>
      </c>
      <c r="G15" s="114">
        <v>398</v>
      </c>
      <c r="H15" s="114">
        <v>385</v>
      </c>
      <c r="I15" s="114">
        <v>219</v>
      </c>
      <c r="J15" s="114">
        <v>111</v>
      </c>
      <c r="K15" s="114">
        <v>277</v>
      </c>
    </row>
    <row r="16" spans="1:11" x14ac:dyDescent="0.25">
      <c r="A16" s="114" t="s">
        <v>122</v>
      </c>
      <c r="B16" s="115" t="s">
        <v>130</v>
      </c>
      <c r="C16" s="114">
        <v>0</v>
      </c>
      <c r="D16" s="114">
        <v>234</v>
      </c>
      <c r="E16" s="114">
        <v>377</v>
      </c>
      <c r="F16" s="114">
        <v>388</v>
      </c>
      <c r="G16" s="114">
        <v>413</v>
      </c>
      <c r="H16" s="114">
        <v>345</v>
      </c>
      <c r="I16" s="114">
        <v>190</v>
      </c>
      <c r="J16" s="114">
        <v>93</v>
      </c>
      <c r="K16" s="114">
        <v>133</v>
      </c>
    </row>
    <row r="17" spans="1:11" x14ac:dyDescent="0.25">
      <c r="A17" s="114" t="s">
        <v>122</v>
      </c>
      <c r="B17" s="115" t="s">
        <v>131</v>
      </c>
      <c r="C17" s="114">
        <v>0</v>
      </c>
      <c r="D17" s="114">
        <v>317</v>
      </c>
      <c r="E17" s="114">
        <v>392</v>
      </c>
      <c r="F17" s="114">
        <v>429</v>
      </c>
      <c r="G17" s="114">
        <v>397</v>
      </c>
      <c r="H17" s="114">
        <v>340</v>
      </c>
      <c r="I17" s="114">
        <v>217</v>
      </c>
      <c r="J17" s="114">
        <v>130</v>
      </c>
      <c r="K17" s="114">
        <v>68</v>
      </c>
    </row>
    <row r="18" spans="1:11" x14ac:dyDescent="0.25">
      <c r="A18" s="114" t="s">
        <v>122</v>
      </c>
      <c r="B18" s="115" t="s">
        <v>132</v>
      </c>
      <c r="C18" s="114">
        <v>0</v>
      </c>
      <c r="D18" s="114">
        <v>330</v>
      </c>
      <c r="E18" s="114">
        <v>379</v>
      </c>
      <c r="F18" s="114">
        <v>370</v>
      </c>
      <c r="G18" s="114">
        <v>324</v>
      </c>
      <c r="H18" s="114">
        <v>240</v>
      </c>
      <c r="I18" s="114">
        <v>232</v>
      </c>
      <c r="J18" s="114">
        <v>122</v>
      </c>
      <c r="K18" s="114">
        <v>64</v>
      </c>
    </row>
    <row r="19" spans="1:11" x14ac:dyDescent="0.25">
      <c r="A19" s="114" t="s">
        <v>122</v>
      </c>
      <c r="B19" s="115" t="s">
        <v>133</v>
      </c>
      <c r="C19" s="114">
        <v>0</v>
      </c>
      <c r="D19" s="114">
        <v>346</v>
      </c>
      <c r="E19" s="114">
        <v>332</v>
      </c>
      <c r="F19" s="114">
        <v>332</v>
      </c>
      <c r="G19" s="114">
        <v>427</v>
      </c>
      <c r="H19" s="114">
        <v>227</v>
      </c>
      <c r="I19" s="114">
        <v>192</v>
      </c>
      <c r="J19" s="114">
        <v>53</v>
      </c>
      <c r="K19" s="114">
        <v>83</v>
      </c>
    </row>
    <row r="20" spans="1:11" x14ac:dyDescent="0.25">
      <c r="A20" s="114" t="s">
        <v>122</v>
      </c>
      <c r="B20" s="115" t="s">
        <v>134</v>
      </c>
      <c r="C20" s="114">
        <v>0</v>
      </c>
      <c r="D20" s="114">
        <v>335</v>
      </c>
      <c r="E20" s="114">
        <v>244</v>
      </c>
      <c r="F20" s="114">
        <v>312</v>
      </c>
      <c r="G20" s="114">
        <v>357</v>
      </c>
      <c r="H20" s="114">
        <v>256</v>
      </c>
      <c r="I20" s="114">
        <v>369</v>
      </c>
      <c r="J20" s="114">
        <v>54</v>
      </c>
      <c r="K20" s="114">
        <v>140</v>
      </c>
    </row>
    <row r="21" spans="1:11" x14ac:dyDescent="0.25">
      <c r="A21" s="114" t="s">
        <v>122</v>
      </c>
      <c r="B21" s="115" t="s">
        <v>135</v>
      </c>
      <c r="C21" s="114">
        <v>0</v>
      </c>
      <c r="D21" s="114">
        <v>282</v>
      </c>
      <c r="E21" s="114">
        <v>324</v>
      </c>
      <c r="F21" s="114">
        <v>363</v>
      </c>
      <c r="G21" s="114">
        <v>348</v>
      </c>
      <c r="H21" s="114">
        <v>324</v>
      </c>
      <c r="I21" s="114">
        <v>369</v>
      </c>
      <c r="J21" s="114">
        <v>88</v>
      </c>
      <c r="K21" s="114">
        <v>294</v>
      </c>
    </row>
    <row r="22" spans="1:11" x14ac:dyDescent="0.25">
      <c r="A22" s="114" t="s">
        <v>122</v>
      </c>
      <c r="B22" s="115" t="s">
        <v>136</v>
      </c>
      <c r="C22" s="114">
        <v>0</v>
      </c>
      <c r="D22" s="114">
        <v>176</v>
      </c>
      <c r="E22" s="114">
        <v>319</v>
      </c>
      <c r="F22" s="114">
        <v>384</v>
      </c>
      <c r="G22" s="114">
        <v>382</v>
      </c>
      <c r="H22" s="114">
        <v>320</v>
      </c>
      <c r="I22" s="114">
        <v>407</v>
      </c>
      <c r="J22" s="114">
        <v>141</v>
      </c>
      <c r="K22" s="114">
        <v>359</v>
      </c>
    </row>
    <row r="23" spans="1:11" x14ac:dyDescent="0.25">
      <c r="A23" s="114" t="s">
        <v>122</v>
      </c>
      <c r="B23" s="115" t="s">
        <v>137</v>
      </c>
      <c r="C23" s="114">
        <v>0</v>
      </c>
      <c r="D23" s="114">
        <v>253</v>
      </c>
      <c r="E23" s="114">
        <v>371</v>
      </c>
      <c r="F23" s="114">
        <v>319</v>
      </c>
      <c r="G23" s="114">
        <v>391</v>
      </c>
      <c r="H23" s="114">
        <v>314</v>
      </c>
      <c r="I23" s="114">
        <v>407</v>
      </c>
      <c r="J23" s="114">
        <v>181</v>
      </c>
      <c r="K23" s="114">
        <v>354</v>
      </c>
    </row>
    <row r="24" spans="1:11" x14ac:dyDescent="0.25">
      <c r="A24" s="114" t="s">
        <v>122</v>
      </c>
      <c r="B24" s="115" t="s">
        <v>138</v>
      </c>
      <c r="C24" s="114">
        <v>0</v>
      </c>
      <c r="D24" s="114">
        <v>305</v>
      </c>
      <c r="E24" s="114">
        <v>337</v>
      </c>
      <c r="F24" s="114">
        <v>383</v>
      </c>
      <c r="G24" s="114">
        <v>275</v>
      </c>
      <c r="H24" s="114">
        <v>284</v>
      </c>
      <c r="I24" s="114">
        <v>388</v>
      </c>
      <c r="J24" s="114">
        <v>151</v>
      </c>
      <c r="K24" s="114">
        <v>316</v>
      </c>
    </row>
    <row r="25" spans="1:11" x14ac:dyDescent="0.25">
      <c r="A25" s="114" t="s">
        <v>122</v>
      </c>
      <c r="B25" s="115" t="s">
        <v>139</v>
      </c>
      <c r="C25" s="114">
        <v>0</v>
      </c>
      <c r="D25" s="114">
        <v>267</v>
      </c>
      <c r="E25" s="114">
        <v>226</v>
      </c>
      <c r="F25" s="114">
        <v>377</v>
      </c>
      <c r="G25" s="114">
        <v>247</v>
      </c>
      <c r="H25" s="114">
        <v>413</v>
      </c>
      <c r="I25" s="114">
        <v>394</v>
      </c>
      <c r="J25" s="114">
        <v>104</v>
      </c>
      <c r="K25" s="114">
        <v>314</v>
      </c>
    </row>
    <row r="26" spans="1:11" x14ac:dyDescent="0.25">
      <c r="A26" s="114" t="s">
        <v>122</v>
      </c>
      <c r="B26" s="115" t="s">
        <v>140</v>
      </c>
      <c r="C26" s="114">
        <v>0</v>
      </c>
      <c r="D26" s="114">
        <v>187</v>
      </c>
      <c r="E26" s="114">
        <v>346</v>
      </c>
      <c r="F26" s="114">
        <v>382</v>
      </c>
      <c r="G26" s="114">
        <v>219</v>
      </c>
      <c r="H26" s="114">
        <v>423</v>
      </c>
      <c r="I26" s="114">
        <v>377</v>
      </c>
      <c r="J26" s="114">
        <v>129</v>
      </c>
      <c r="K26" s="114">
        <v>280</v>
      </c>
    </row>
    <row r="27" spans="1:11" x14ac:dyDescent="0.25">
      <c r="A27" s="114" t="s">
        <v>122</v>
      </c>
      <c r="B27" s="115" t="s">
        <v>141</v>
      </c>
      <c r="C27" s="114">
        <v>0</v>
      </c>
      <c r="D27" s="114">
        <v>221</v>
      </c>
      <c r="E27" s="114">
        <v>412</v>
      </c>
      <c r="F27" s="114">
        <v>427</v>
      </c>
      <c r="G27" s="114">
        <v>253</v>
      </c>
      <c r="H27" s="114">
        <v>400</v>
      </c>
      <c r="I27" s="114">
        <v>387</v>
      </c>
      <c r="J27" s="114">
        <v>144</v>
      </c>
      <c r="K27" s="114">
        <v>244</v>
      </c>
    </row>
    <row r="28" spans="1:11" x14ac:dyDescent="0.25">
      <c r="A28" s="114" t="s">
        <v>122</v>
      </c>
      <c r="B28" s="115" t="s">
        <v>142</v>
      </c>
      <c r="C28" s="114">
        <v>0</v>
      </c>
      <c r="D28" s="114">
        <v>359</v>
      </c>
      <c r="E28" s="114">
        <v>409</v>
      </c>
      <c r="F28" s="114">
        <v>237</v>
      </c>
      <c r="G28" s="114">
        <v>225</v>
      </c>
      <c r="H28" s="114">
        <v>355</v>
      </c>
      <c r="I28" s="114">
        <v>344</v>
      </c>
      <c r="J28" s="114">
        <v>161</v>
      </c>
      <c r="K28" s="114">
        <v>279</v>
      </c>
    </row>
    <row r="29" spans="1:11" x14ac:dyDescent="0.25">
      <c r="A29" s="114" t="s">
        <v>122</v>
      </c>
      <c r="B29" s="115" t="s">
        <v>143</v>
      </c>
      <c r="C29" s="114">
        <v>0</v>
      </c>
      <c r="D29" s="114">
        <v>307</v>
      </c>
      <c r="E29" s="114">
        <v>320</v>
      </c>
      <c r="F29" s="114">
        <v>198</v>
      </c>
      <c r="G29" s="114">
        <v>285</v>
      </c>
      <c r="H29" s="114">
        <v>403</v>
      </c>
      <c r="I29" s="114">
        <v>401</v>
      </c>
      <c r="J29" s="114">
        <v>286</v>
      </c>
      <c r="K29" s="114">
        <v>262</v>
      </c>
    </row>
    <row r="30" spans="1:11" x14ac:dyDescent="0.25">
      <c r="A30" s="114" t="s">
        <v>122</v>
      </c>
      <c r="B30" s="115" t="s">
        <v>144</v>
      </c>
      <c r="C30" s="114">
        <v>0</v>
      </c>
      <c r="D30" s="114">
        <v>323</v>
      </c>
      <c r="E30" s="114">
        <v>313</v>
      </c>
      <c r="F30" s="114">
        <v>206</v>
      </c>
      <c r="G30" s="114">
        <v>323</v>
      </c>
      <c r="H30" s="114">
        <v>359</v>
      </c>
      <c r="I30" s="114">
        <v>392</v>
      </c>
      <c r="J30" s="114">
        <v>291</v>
      </c>
      <c r="K30" s="114">
        <v>225</v>
      </c>
    </row>
    <row r="31" spans="1:11" x14ac:dyDescent="0.25">
      <c r="A31" s="114" t="s">
        <v>122</v>
      </c>
      <c r="B31" s="115" t="s">
        <v>145</v>
      </c>
      <c r="C31" s="114">
        <v>0</v>
      </c>
      <c r="D31" s="114">
        <v>214</v>
      </c>
      <c r="E31" s="114">
        <v>197</v>
      </c>
      <c r="F31" s="114">
        <v>395</v>
      </c>
      <c r="G31" s="114">
        <v>322</v>
      </c>
      <c r="H31" s="114">
        <v>381</v>
      </c>
      <c r="I31" s="114">
        <v>416</v>
      </c>
      <c r="J31" s="114">
        <v>233</v>
      </c>
      <c r="K31" s="114">
        <v>245</v>
      </c>
    </row>
    <row r="32" spans="1:11" x14ac:dyDescent="0.25">
      <c r="A32" s="114" t="s">
        <v>122</v>
      </c>
      <c r="B32" s="115" t="s">
        <v>146</v>
      </c>
      <c r="C32" s="114">
        <v>0</v>
      </c>
      <c r="D32" s="114">
        <v>353</v>
      </c>
      <c r="E32" s="114">
        <v>253</v>
      </c>
      <c r="F32" s="114">
        <v>416</v>
      </c>
      <c r="G32" s="114">
        <v>264</v>
      </c>
      <c r="H32" s="114">
        <v>265</v>
      </c>
      <c r="I32" s="114">
        <v>237</v>
      </c>
      <c r="J32" s="114">
        <v>210</v>
      </c>
      <c r="K32" s="114">
        <v>59</v>
      </c>
    </row>
    <row r="33" spans="1:11" x14ac:dyDescent="0.25">
      <c r="A33" s="114" t="s">
        <v>122</v>
      </c>
      <c r="B33" s="115" t="s">
        <v>147</v>
      </c>
      <c r="C33" s="114">
        <v>0</v>
      </c>
      <c r="D33" s="114">
        <v>358</v>
      </c>
      <c r="E33" s="114">
        <v>295</v>
      </c>
      <c r="F33" s="114">
        <v>413</v>
      </c>
      <c r="G33" s="114">
        <v>249</v>
      </c>
      <c r="H33" s="114">
        <v>352</v>
      </c>
      <c r="I33" s="114">
        <v>374</v>
      </c>
      <c r="J33" s="114">
        <v>73</v>
      </c>
      <c r="K33" s="114">
        <v>63</v>
      </c>
    </row>
    <row r="34" spans="1:11" x14ac:dyDescent="0.25">
      <c r="A34" s="114" t="s">
        <v>122</v>
      </c>
      <c r="B34" s="115" t="s">
        <v>148</v>
      </c>
      <c r="C34" s="114">
        <v>0</v>
      </c>
      <c r="D34" s="114">
        <v>342</v>
      </c>
      <c r="E34" s="114">
        <v>331</v>
      </c>
      <c r="F34" s="114">
        <v>417</v>
      </c>
      <c r="G34" s="114">
        <v>345</v>
      </c>
      <c r="H34" s="114">
        <v>345</v>
      </c>
      <c r="I34" s="114">
        <v>383</v>
      </c>
      <c r="J34" s="114">
        <v>66</v>
      </c>
      <c r="K34" s="114">
        <v>92</v>
      </c>
    </row>
    <row r="35" spans="1:11" x14ac:dyDescent="0.25">
      <c r="A35" s="114" t="s">
        <v>122</v>
      </c>
      <c r="B35" s="115" t="s">
        <v>149</v>
      </c>
      <c r="C35" s="114">
        <v>0</v>
      </c>
      <c r="D35" s="114">
        <v>172</v>
      </c>
      <c r="E35" s="114">
        <v>369</v>
      </c>
      <c r="F35" s="114">
        <v>382</v>
      </c>
      <c r="G35" s="114">
        <v>411</v>
      </c>
      <c r="H35" s="114">
        <v>364</v>
      </c>
      <c r="I35" s="114">
        <v>352</v>
      </c>
      <c r="J35" s="114">
        <v>88</v>
      </c>
      <c r="K35" s="114">
        <v>134</v>
      </c>
    </row>
    <row r="36" spans="1:11" x14ac:dyDescent="0.25">
      <c r="A36" s="114" t="s">
        <v>122</v>
      </c>
      <c r="B36" s="115" t="s">
        <v>150</v>
      </c>
      <c r="C36" s="114">
        <v>0</v>
      </c>
      <c r="D36" s="114">
        <v>197</v>
      </c>
      <c r="E36" s="114">
        <v>383</v>
      </c>
      <c r="F36" s="114">
        <v>260</v>
      </c>
      <c r="G36" s="114">
        <v>383</v>
      </c>
      <c r="H36" s="114">
        <v>344</v>
      </c>
      <c r="I36" s="114">
        <v>407</v>
      </c>
      <c r="J36" s="114">
        <v>136</v>
      </c>
      <c r="K36" s="114">
        <v>135</v>
      </c>
    </row>
    <row r="37" spans="1:11" x14ac:dyDescent="0.25">
      <c r="A37" s="114" t="s">
        <v>122</v>
      </c>
      <c r="B37" s="115" t="s">
        <v>151</v>
      </c>
      <c r="C37" s="114">
        <v>0</v>
      </c>
      <c r="D37" s="114">
        <v>121</v>
      </c>
      <c r="E37" s="114">
        <v>412</v>
      </c>
      <c r="F37" s="114">
        <v>413</v>
      </c>
      <c r="G37" s="114">
        <v>372</v>
      </c>
      <c r="H37" s="114">
        <v>340</v>
      </c>
      <c r="I37" s="114">
        <v>364</v>
      </c>
      <c r="J37" s="114">
        <v>150</v>
      </c>
      <c r="K37" s="114">
        <v>89</v>
      </c>
    </row>
    <row r="38" spans="1:11" x14ac:dyDescent="0.25">
      <c r="A38" s="114" t="s">
        <v>122</v>
      </c>
      <c r="B38" s="115" t="s">
        <v>152</v>
      </c>
      <c r="C38" s="114">
        <v>0</v>
      </c>
      <c r="D38" s="114">
        <v>152</v>
      </c>
      <c r="E38" s="114">
        <v>256</v>
      </c>
      <c r="F38" s="114">
        <v>415</v>
      </c>
      <c r="G38" s="114">
        <v>274</v>
      </c>
      <c r="H38" s="114">
        <v>296</v>
      </c>
      <c r="I38" s="114">
        <v>246</v>
      </c>
      <c r="J38" s="114">
        <v>78</v>
      </c>
      <c r="K38" s="114">
        <v>152</v>
      </c>
    </row>
    <row r="39" spans="1:11" x14ac:dyDescent="0.25">
      <c r="A39" s="114" t="s">
        <v>153</v>
      </c>
      <c r="B39" s="115" t="s">
        <v>121</v>
      </c>
      <c r="C39" s="114">
        <v>0</v>
      </c>
      <c r="D39" s="114">
        <v>208</v>
      </c>
      <c r="E39" s="114">
        <v>386</v>
      </c>
      <c r="F39" s="114">
        <v>226</v>
      </c>
      <c r="G39" s="114">
        <v>311</v>
      </c>
      <c r="H39" s="114">
        <v>305</v>
      </c>
      <c r="I39" s="114">
        <v>264</v>
      </c>
      <c r="J39" s="114">
        <v>110</v>
      </c>
      <c r="K39" s="114">
        <v>157</v>
      </c>
    </row>
    <row r="40" spans="1:11" x14ac:dyDescent="0.25">
      <c r="A40" s="114" t="s">
        <v>153</v>
      </c>
      <c r="B40" s="115" t="s">
        <v>123</v>
      </c>
      <c r="C40" s="114">
        <v>0</v>
      </c>
      <c r="D40" s="114">
        <v>279</v>
      </c>
      <c r="E40" s="114">
        <v>398</v>
      </c>
      <c r="F40" s="114">
        <v>265</v>
      </c>
      <c r="G40" s="114">
        <v>239</v>
      </c>
      <c r="H40" s="114">
        <v>365</v>
      </c>
      <c r="I40" s="114">
        <v>271</v>
      </c>
      <c r="J40" s="114">
        <v>111</v>
      </c>
      <c r="K40" s="114">
        <v>277</v>
      </c>
    </row>
    <row r="41" spans="1:11" x14ac:dyDescent="0.25">
      <c r="A41" s="114" t="s">
        <v>153</v>
      </c>
      <c r="B41" s="115" t="s">
        <v>124</v>
      </c>
      <c r="C41" s="114">
        <v>0</v>
      </c>
      <c r="D41" s="114">
        <v>263</v>
      </c>
      <c r="E41" s="114">
        <v>355</v>
      </c>
      <c r="F41" s="114">
        <v>296</v>
      </c>
      <c r="G41" s="114">
        <v>218</v>
      </c>
      <c r="H41" s="114">
        <v>268</v>
      </c>
      <c r="I41" s="114">
        <v>418</v>
      </c>
      <c r="J41" s="114">
        <v>132</v>
      </c>
      <c r="K41" s="114">
        <v>273</v>
      </c>
    </row>
    <row r="42" spans="1:11" x14ac:dyDescent="0.25">
      <c r="A42" s="114" t="s">
        <v>153</v>
      </c>
      <c r="B42" s="115" t="s">
        <v>125</v>
      </c>
      <c r="C42" s="114">
        <v>0</v>
      </c>
      <c r="D42" s="114">
        <v>183</v>
      </c>
      <c r="E42" s="114">
        <v>206</v>
      </c>
      <c r="F42" s="114">
        <v>310</v>
      </c>
      <c r="G42" s="114">
        <v>212</v>
      </c>
      <c r="H42" s="114">
        <v>308</v>
      </c>
      <c r="I42" s="114">
        <v>417</v>
      </c>
      <c r="J42" s="114">
        <v>87</v>
      </c>
      <c r="K42" s="114">
        <v>298</v>
      </c>
    </row>
    <row r="43" spans="1:11" x14ac:dyDescent="0.25">
      <c r="A43" s="114" t="s">
        <v>153</v>
      </c>
      <c r="B43" s="115" t="s">
        <v>126</v>
      </c>
      <c r="C43" s="114">
        <v>0</v>
      </c>
      <c r="D43" s="114">
        <v>134</v>
      </c>
      <c r="E43" s="114">
        <v>278</v>
      </c>
      <c r="F43" s="114">
        <v>317</v>
      </c>
      <c r="G43" s="114">
        <v>365</v>
      </c>
      <c r="H43" s="114">
        <v>231</v>
      </c>
      <c r="I43" s="114">
        <v>349</v>
      </c>
      <c r="J43" s="114">
        <v>111</v>
      </c>
      <c r="K43" s="114">
        <v>318</v>
      </c>
    </row>
    <row r="44" spans="1:11" x14ac:dyDescent="0.25">
      <c r="A44" s="114" t="s">
        <v>153</v>
      </c>
      <c r="B44" s="115" t="s">
        <v>127</v>
      </c>
      <c r="C44" s="114">
        <v>0</v>
      </c>
      <c r="D44" s="114">
        <v>161</v>
      </c>
      <c r="E44" s="114">
        <v>285</v>
      </c>
      <c r="F44" s="114">
        <v>308</v>
      </c>
      <c r="G44" s="114">
        <v>393</v>
      </c>
      <c r="H44" s="114">
        <v>410</v>
      </c>
      <c r="I44" s="114">
        <v>354</v>
      </c>
      <c r="J44" s="114">
        <v>126</v>
      </c>
      <c r="K44" s="114">
        <v>135</v>
      </c>
    </row>
    <row r="45" spans="1:11" x14ac:dyDescent="0.25">
      <c r="A45" s="114" t="s">
        <v>153</v>
      </c>
      <c r="B45" s="115" t="s">
        <v>128</v>
      </c>
      <c r="C45" s="114">
        <v>0</v>
      </c>
      <c r="D45" s="114">
        <v>175</v>
      </c>
      <c r="E45" s="114">
        <v>345</v>
      </c>
      <c r="F45" s="114">
        <v>332</v>
      </c>
      <c r="G45" s="114">
        <v>345</v>
      </c>
      <c r="H45" s="114">
        <v>404</v>
      </c>
      <c r="I45" s="114">
        <v>404</v>
      </c>
      <c r="J45" s="114">
        <v>71</v>
      </c>
      <c r="K45" s="114">
        <v>99</v>
      </c>
    </row>
    <row r="46" spans="1:11" x14ac:dyDescent="0.25">
      <c r="A46" s="114" t="s">
        <v>153</v>
      </c>
      <c r="B46" s="115" t="s">
        <v>129</v>
      </c>
      <c r="C46" s="114">
        <v>0</v>
      </c>
      <c r="D46" s="114">
        <v>137</v>
      </c>
      <c r="E46" s="114">
        <v>419</v>
      </c>
      <c r="F46" s="114">
        <v>327</v>
      </c>
      <c r="G46" s="114">
        <v>364</v>
      </c>
      <c r="H46" s="114">
        <v>432</v>
      </c>
      <c r="I46" s="114">
        <v>349</v>
      </c>
      <c r="J46" s="114">
        <v>58</v>
      </c>
      <c r="K46" s="114">
        <v>79</v>
      </c>
    </row>
    <row r="47" spans="1:11" x14ac:dyDescent="0.25">
      <c r="A47" s="114" t="s">
        <v>153</v>
      </c>
      <c r="B47" s="115" t="s">
        <v>130</v>
      </c>
      <c r="C47" s="114">
        <v>0</v>
      </c>
      <c r="D47" s="114">
        <v>230</v>
      </c>
      <c r="E47" s="114">
        <v>390</v>
      </c>
      <c r="F47" s="114">
        <v>327</v>
      </c>
      <c r="G47" s="114">
        <v>330</v>
      </c>
      <c r="H47" s="114">
        <v>216</v>
      </c>
      <c r="I47" s="114">
        <v>296</v>
      </c>
      <c r="J47" s="114">
        <v>62</v>
      </c>
      <c r="K47" s="114">
        <v>107</v>
      </c>
    </row>
    <row r="48" spans="1:11" x14ac:dyDescent="0.25">
      <c r="A48" s="114" t="s">
        <v>153</v>
      </c>
      <c r="B48" s="115" t="s">
        <v>131</v>
      </c>
      <c r="C48" s="114">
        <v>0</v>
      </c>
      <c r="D48" s="114">
        <v>243</v>
      </c>
      <c r="E48" s="114">
        <v>395</v>
      </c>
      <c r="F48" s="114">
        <v>328</v>
      </c>
      <c r="G48" s="114">
        <v>332</v>
      </c>
      <c r="H48" s="114">
        <v>240</v>
      </c>
      <c r="I48" s="114">
        <v>290</v>
      </c>
      <c r="J48" s="114">
        <v>81</v>
      </c>
      <c r="K48" s="114">
        <v>135</v>
      </c>
    </row>
    <row r="49" spans="1:11" x14ac:dyDescent="0.25">
      <c r="A49" s="114" t="s">
        <v>153</v>
      </c>
      <c r="B49" s="115" t="s">
        <v>132</v>
      </c>
      <c r="C49" s="114">
        <v>0</v>
      </c>
      <c r="D49" s="114">
        <v>212</v>
      </c>
      <c r="E49" s="114">
        <v>347</v>
      </c>
      <c r="F49" s="114">
        <v>263</v>
      </c>
      <c r="G49" s="114">
        <v>326</v>
      </c>
      <c r="H49" s="114">
        <v>407</v>
      </c>
      <c r="I49" s="114">
        <v>232</v>
      </c>
      <c r="J49" s="114">
        <v>133</v>
      </c>
      <c r="K49" s="114">
        <v>210</v>
      </c>
    </row>
    <row r="50" spans="1:11" x14ac:dyDescent="0.25">
      <c r="A50" s="114" t="s">
        <v>153</v>
      </c>
      <c r="B50" s="115" t="s">
        <v>133</v>
      </c>
      <c r="C50" s="114">
        <v>0</v>
      </c>
      <c r="D50" s="114">
        <v>226</v>
      </c>
      <c r="E50" s="114">
        <v>331</v>
      </c>
      <c r="F50" s="114">
        <v>248</v>
      </c>
      <c r="G50" s="114">
        <v>340</v>
      </c>
      <c r="H50" s="114">
        <v>405</v>
      </c>
      <c r="I50" s="114">
        <v>267</v>
      </c>
      <c r="J50" s="114">
        <v>210</v>
      </c>
      <c r="K50" s="114">
        <v>265</v>
      </c>
    </row>
    <row r="51" spans="1:11" x14ac:dyDescent="0.25">
      <c r="A51" s="114" t="s">
        <v>153</v>
      </c>
      <c r="B51" s="115" t="s">
        <v>134</v>
      </c>
      <c r="C51" s="114">
        <v>0</v>
      </c>
      <c r="D51" s="114">
        <v>321</v>
      </c>
      <c r="E51" s="114">
        <v>406</v>
      </c>
      <c r="F51" s="114">
        <v>327</v>
      </c>
      <c r="G51" s="114">
        <v>389</v>
      </c>
      <c r="H51" s="114">
        <v>242</v>
      </c>
      <c r="I51" s="114">
        <v>329</v>
      </c>
      <c r="J51" s="114">
        <v>218</v>
      </c>
      <c r="K51" s="114">
        <v>232</v>
      </c>
    </row>
    <row r="52" spans="1:11" x14ac:dyDescent="0.25">
      <c r="A52" s="114" t="s">
        <v>153</v>
      </c>
      <c r="B52" s="115" t="s">
        <v>135</v>
      </c>
      <c r="C52" s="114">
        <v>0</v>
      </c>
      <c r="D52" s="114">
        <v>409</v>
      </c>
      <c r="E52" s="114">
        <v>428</v>
      </c>
      <c r="F52" s="114">
        <v>359</v>
      </c>
      <c r="G52" s="114">
        <v>317</v>
      </c>
      <c r="H52" s="114">
        <v>317</v>
      </c>
      <c r="I52" s="114">
        <v>377</v>
      </c>
      <c r="J52" s="114">
        <v>179</v>
      </c>
      <c r="K52" s="114">
        <v>287</v>
      </c>
    </row>
    <row r="53" spans="1:11" x14ac:dyDescent="0.25">
      <c r="A53" s="114" t="s">
        <v>153</v>
      </c>
      <c r="B53" s="115" t="s">
        <v>136</v>
      </c>
      <c r="C53" s="114">
        <v>0</v>
      </c>
      <c r="D53" s="114">
        <v>381</v>
      </c>
      <c r="E53" s="114">
        <v>410</v>
      </c>
      <c r="F53" s="114">
        <v>392</v>
      </c>
      <c r="G53" s="114">
        <v>384</v>
      </c>
      <c r="H53" s="114">
        <v>404</v>
      </c>
      <c r="I53" s="114">
        <v>435</v>
      </c>
      <c r="J53" s="114">
        <v>145</v>
      </c>
      <c r="K53" s="114">
        <v>270</v>
      </c>
    </row>
    <row r="54" spans="1:11" x14ac:dyDescent="0.25">
      <c r="A54" s="114" t="s">
        <v>153</v>
      </c>
      <c r="B54" s="115" t="s">
        <v>137</v>
      </c>
      <c r="C54" s="114">
        <v>0</v>
      </c>
      <c r="D54" s="114">
        <v>275</v>
      </c>
      <c r="E54" s="114">
        <v>386</v>
      </c>
      <c r="F54" s="114">
        <v>373</v>
      </c>
      <c r="G54" s="114">
        <v>433</v>
      </c>
      <c r="H54" s="114">
        <v>432</v>
      </c>
      <c r="I54" s="114">
        <v>425</v>
      </c>
      <c r="J54" s="114">
        <v>145</v>
      </c>
      <c r="K54" s="114">
        <v>272</v>
      </c>
    </row>
    <row r="55" spans="1:11" x14ac:dyDescent="0.25">
      <c r="A55" s="114" t="s">
        <v>153</v>
      </c>
      <c r="B55" s="115" t="s">
        <v>138</v>
      </c>
      <c r="C55" s="114">
        <v>0</v>
      </c>
      <c r="D55" s="114">
        <v>208</v>
      </c>
      <c r="E55" s="114">
        <v>395</v>
      </c>
      <c r="F55" s="114">
        <v>424</v>
      </c>
      <c r="G55" s="114">
        <v>435</v>
      </c>
      <c r="H55" s="114">
        <v>406</v>
      </c>
      <c r="I55" s="114">
        <v>317</v>
      </c>
      <c r="J55" s="114">
        <v>152</v>
      </c>
      <c r="K55" s="114">
        <v>347</v>
      </c>
    </row>
    <row r="56" spans="1:11" x14ac:dyDescent="0.25">
      <c r="A56" s="114" t="s">
        <v>153</v>
      </c>
      <c r="B56" s="115" t="s">
        <v>139</v>
      </c>
      <c r="C56" s="114">
        <v>0</v>
      </c>
      <c r="D56" s="114">
        <v>250</v>
      </c>
      <c r="E56" s="114">
        <v>373</v>
      </c>
      <c r="F56" s="114">
        <v>440</v>
      </c>
      <c r="G56" s="114">
        <v>433</v>
      </c>
      <c r="H56" s="114">
        <v>346</v>
      </c>
      <c r="I56" s="114">
        <v>317</v>
      </c>
      <c r="J56" s="114">
        <v>153</v>
      </c>
      <c r="K56" s="114">
        <v>398</v>
      </c>
    </row>
    <row r="57" spans="1:11" x14ac:dyDescent="0.25">
      <c r="A57" s="114" t="s">
        <v>153</v>
      </c>
      <c r="B57" s="115" t="s">
        <v>140</v>
      </c>
      <c r="C57" s="114">
        <v>0</v>
      </c>
      <c r="D57" s="114">
        <v>254</v>
      </c>
      <c r="E57" s="114">
        <v>409</v>
      </c>
      <c r="F57" s="114">
        <v>440</v>
      </c>
      <c r="G57" s="114">
        <v>392</v>
      </c>
      <c r="H57" s="114">
        <v>434</v>
      </c>
      <c r="I57" s="114">
        <v>436</v>
      </c>
      <c r="J57" s="114">
        <v>197</v>
      </c>
      <c r="K57" s="114">
        <v>411</v>
      </c>
    </row>
    <row r="58" spans="1:11" x14ac:dyDescent="0.25">
      <c r="A58" s="114" t="s">
        <v>153</v>
      </c>
      <c r="B58" s="115" t="s">
        <v>141</v>
      </c>
      <c r="C58" s="114">
        <v>0</v>
      </c>
      <c r="D58" s="114">
        <v>248</v>
      </c>
      <c r="E58" s="114">
        <v>399</v>
      </c>
      <c r="F58" s="114">
        <v>350</v>
      </c>
      <c r="G58" s="114">
        <v>415</v>
      </c>
      <c r="H58" s="114">
        <v>436</v>
      </c>
      <c r="I58" s="114">
        <v>432</v>
      </c>
      <c r="J58" s="114">
        <v>188</v>
      </c>
      <c r="K58" s="114">
        <v>404</v>
      </c>
    </row>
    <row r="59" spans="1:11" x14ac:dyDescent="0.25">
      <c r="A59" s="114" t="s">
        <v>153</v>
      </c>
      <c r="B59" s="115" t="s">
        <v>142</v>
      </c>
      <c r="C59" s="114">
        <v>0</v>
      </c>
      <c r="D59" s="114">
        <v>225</v>
      </c>
      <c r="E59" s="114">
        <v>360</v>
      </c>
      <c r="F59" s="114">
        <v>305</v>
      </c>
      <c r="G59" s="114">
        <v>420</v>
      </c>
      <c r="H59" s="114">
        <v>309</v>
      </c>
      <c r="I59" s="114">
        <v>369</v>
      </c>
      <c r="J59" s="114">
        <v>104</v>
      </c>
      <c r="K59" s="114">
        <v>346</v>
      </c>
    </row>
    <row r="60" spans="1:11" x14ac:dyDescent="0.25">
      <c r="A60" s="114" t="s">
        <v>153</v>
      </c>
      <c r="B60" s="115" t="s">
        <v>143</v>
      </c>
      <c r="C60" s="114">
        <v>0</v>
      </c>
      <c r="D60" s="114">
        <v>201</v>
      </c>
      <c r="E60" s="114">
        <v>219</v>
      </c>
      <c r="F60" s="114">
        <v>376</v>
      </c>
      <c r="G60" s="114">
        <v>342</v>
      </c>
      <c r="H60" s="114">
        <v>363</v>
      </c>
      <c r="I60" s="114">
        <v>388</v>
      </c>
      <c r="J60" s="114">
        <v>125</v>
      </c>
      <c r="K60" s="114">
        <v>389</v>
      </c>
    </row>
    <row r="61" spans="1:11" x14ac:dyDescent="0.25">
      <c r="A61" s="114" t="s">
        <v>153</v>
      </c>
      <c r="B61" s="115" t="s">
        <v>144</v>
      </c>
      <c r="C61" s="114">
        <v>0</v>
      </c>
      <c r="D61" s="114">
        <v>256</v>
      </c>
      <c r="E61" s="114">
        <v>219</v>
      </c>
      <c r="F61" s="114">
        <v>422</v>
      </c>
      <c r="G61" s="114">
        <v>355</v>
      </c>
      <c r="H61" s="114">
        <v>390</v>
      </c>
      <c r="I61" s="114">
        <v>364</v>
      </c>
      <c r="J61" s="114">
        <v>131</v>
      </c>
      <c r="K61" s="114">
        <v>395</v>
      </c>
    </row>
    <row r="62" spans="1:11" x14ac:dyDescent="0.25">
      <c r="A62" s="114" t="s">
        <v>153</v>
      </c>
      <c r="B62" s="115" t="s">
        <v>145</v>
      </c>
      <c r="C62" s="114">
        <v>0</v>
      </c>
      <c r="D62" s="114">
        <v>258</v>
      </c>
      <c r="E62" s="114">
        <v>352</v>
      </c>
      <c r="F62" s="114">
        <v>416</v>
      </c>
      <c r="G62" s="114">
        <v>390</v>
      </c>
      <c r="H62" s="114">
        <v>399</v>
      </c>
      <c r="I62" s="114">
        <v>382</v>
      </c>
      <c r="J62" s="114">
        <v>181</v>
      </c>
      <c r="K62" s="114">
        <v>402</v>
      </c>
    </row>
    <row r="63" spans="1:11" x14ac:dyDescent="0.25">
      <c r="A63" s="114" t="s">
        <v>153</v>
      </c>
      <c r="B63" s="115" t="s">
        <v>146</v>
      </c>
      <c r="C63" s="114">
        <v>0</v>
      </c>
      <c r="D63" s="114">
        <v>156</v>
      </c>
      <c r="E63" s="114">
        <v>336</v>
      </c>
      <c r="F63" s="114">
        <v>390</v>
      </c>
      <c r="G63" s="114">
        <v>320</v>
      </c>
      <c r="H63" s="114">
        <v>370</v>
      </c>
      <c r="I63" s="114">
        <v>334</v>
      </c>
      <c r="J63" s="114">
        <v>236</v>
      </c>
      <c r="K63" s="114">
        <v>317</v>
      </c>
    </row>
    <row r="64" spans="1:11" x14ac:dyDescent="0.25">
      <c r="A64" s="114" t="s">
        <v>153</v>
      </c>
      <c r="B64" s="115" t="s">
        <v>147</v>
      </c>
      <c r="C64" s="114">
        <v>0</v>
      </c>
      <c r="D64" s="114">
        <v>125</v>
      </c>
      <c r="E64" s="114">
        <v>227</v>
      </c>
      <c r="F64" s="114">
        <v>291</v>
      </c>
      <c r="G64" s="114">
        <v>309</v>
      </c>
      <c r="H64" s="114">
        <v>329</v>
      </c>
      <c r="I64" s="114">
        <v>389</v>
      </c>
      <c r="J64" s="114">
        <v>282</v>
      </c>
      <c r="K64" s="114">
        <v>303</v>
      </c>
    </row>
    <row r="65" spans="1:11" x14ac:dyDescent="0.25">
      <c r="A65" s="114" t="s">
        <v>153</v>
      </c>
      <c r="B65" s="115" t="s">
        <v>148</v>
      </c>
      <c r="C65" s="114">
        <v>0</v>
      </c>
      <c r="D65" s="114">
        <v>138</v>
      </c>
      <c r="E65" s="114">
        <v>267</v>
      </c>
      <c r="F65" s="114">
        <v>384</v>
      </c>
      <c r="G65" s="114">
        <v>206</v>
      </c>
      <c r="H65" s="114">
        <v>343</v>
      </c>
      <c r="I65" s="114">
        <v>355</v>
      </c>
      <c r="J65" s="114">
        <v>284</v>
      </c>
      <c r="K65" s="114">
        <v>310</v>
      </c>
    </row>
    <row r="66" spans="1:11" x14ac:dyDescent="0.25">
      <c r="A66" s="114" t="s">
        <v>153</v>
      </c>
      <c r="B66" s="115" t="s">
        <v>149</v>
      </c>
      <c r="C66" s="114">
        <v>0</v>
      </c>
      <c r="D66" s="114">
        <v>150</v>
      </c>
      <c r="E66" s="114">
        <v>293</v>
      </c>
      <c r="F66" s="114">
        <v>363</v>
      </c>
      <c r="G66" s="114">
        <v>408</v>
      </c>
      <c r="H66" s="114">
        <v>407</v>
      </c>
      <c r="I66" s="114">
        <v>274</v>
      </c>
      <c r="J66" s="114">
        <v>188</v>
      </c>
      <c r="K66" s="114">
        <v>321</v>
      </c>
    </row>
    <row r="67" spans="1:11" x14ac:dyDescent="0.25">
      <c r="A67" s="114" t="s">
        <v>153</v>
      </c>
      <c r="B67" s="115" t="s">
        <v>150</v>
      </c>
      <c r="C67" s="114">
        <v>0</v>
      </c>
      <c r="D67" s="114">
        <v>0</v>
      </c>
      <c r="E67" s="114">
        <v>311</v>
      </c>
      <c r="F67" s="114">
        <v>0</v>
      </c>
      <c r="G67" s="114">
        <v>0</v>
      </c>
      <c r="H67" s="114">
        <v>0</v>
      </c>
      <c r="I67" s="114">
        <v>284</v>
      </c>
      <c r="J67" s="114">
        <v>0</v>
      </c>
      <c r="K67" s="120">
        <v>0</v>
      </c>
    </row>
    <row r="68" spans="1:11" x14ac:dyDescent="0.25">
      <c r="A68" s="114" t="s">
        <v>154</v>
      </c>
      <c r="B68" s="115" t="s">
        <v>121</v>
      </c>
      <c r="C68" s="114">
        <v>0</v>
      </c>
      <c r="D68" s="114">
        <v>128</v>
      </c>
      <c r="E68" s="114">
        <v>325</v>
      </c>
      <c r="F68" s="114">
        <v>366</v>
      </c>
      <c r="G68" s="114">
        <v>414</v>
      </c>
      <c r="H68" s="114">
        <v>366</v>
      </c>
      <c r="I68" s="114">
        <v>260</v>
      </c>
      <c r="J68" s="114">
        <v>191</v>
      </c>
      <c r="K68" s="114">
        <v>286</v>
      </c>
    </row>
    <row r="69" spans="1:11" x14ac:dyDescent="0.25">
      <c r="A69" s="114" t="s">
        <v>154</v>
      </c>
      <c r="B69" s="115" t="s">
        <v>123</v>
      </c>
      <c r="C69" s="114">
        <v>0</v>
      </c>
      <c r="D69" s="114">
        <v>115</v>
      </c>
      <c r="E69" s="114">
        <v>343</v>
      </c>
      <c r="F69" s="114">
        <v>336</v>
      </c>
      <c r="G69" s="114">
        <v>416</v>
      </c>
      <c r="H69" s="114">
        <v>407</v>
      </c>
      <c r="I69" s="114">
        <v>311</v>
      </c>
      <c r="J69" s="114">
        <v>141</v>
      </c>
      <c r="K69" s="114">
        <v>299</v>
      </c>
    </row>
    <row r="70" spans="1:11" x14ac:dyDescent="0.25">
      <c r="A70" s="114" t="s">
        <v>154</v>
      </c>
      <c r="B70" s="115" t="s">
        <v>124</v>
      </c>
      <c r="C70" s="114">
        <v>0</v>
      </c>
      <c r="D70" s="114">
        <v>142</v>
      </c>
      <c r="E70" s="114">
        <v>372</v>
      </c>
      <c r="F70" s="114">
        <v>387</v>
      </c>
      <c r="G70" s="114">
        <v>277</v>
      </c>
      <c r="H70" s="114">
        <v>307</v>
      </c>
      <c r="I70" s="114">
        <v>314</v>
      </c>
      <c r="J70" s="114">
        <v>87</v>
      </c>
      <c r="K70" s="114">
        <v>295</v>
      </c>
    </row>
    <row r="71" spans="1:11" x14ac:dyDescent="0.25">
      <c r="A71" s="114" t="s">
        <v>154</v>
      </c>
      <c r="B71" s="115" t="s">
        <v>125</v>
      </c>
      <c r="C71" s="114">
        <v>0</v>
      </c>
      <c r="D71" s="114">
        <v>168</v>
      </c>
      <c r="E71" s="114">
        <v>371</v>
      </c>
      <c r="F71" s="114">
        <v>419</v>
      </c>
      <c r="G71" s="114">
        <v>348</v>
      </c>
      <c r="H71" s="114">
        <v>392</v>
      </c>
      <c r="I71" s="114">
        <v>368</v>
      </c>
      <c r="J71" s="114">
        <v>122</v>
      </c>
      <c r="K71" s="114">
        <v>369</v>
      </c>
    </row>
    <row r="72" spans="1:11" x14ac:dyDescent="0.25">
      <c r="A72" s="114" t="s">
        <v>154</v>
      </c>
      <c r="B72" s="115" t="s">
        <v>126</v>
      </c>
      <c r="C72" s="114">
        <v>0</v>
      </c>
      <c r="D72" s="114">
        <v>172</v>
      </c>
      <c r="E72" s="114">
        <v>396</v>
      </c>
      <c r="F72" s="114">
        <v>351</v>
      </c>
      <c r="G72" s="114">
        <v>408</v>
      </c>
      <c r="H72" s="114">
        <v>393</v>
      </c>
      <c r="I72" s="114">
        <v>332</v>
      </c>
      <c r="J72" s="114">
        <v>175</v>
      </c>
      <c r="K72" s="114">
        <v>350</v>
      </c>
    </row>
    <row r="73" spans="1:11" x14ac:dyDescent="0.25">
      <c r="A73" s="114" t="s">
        <v>154</v>
      </c>
      <c r="B73" s="115" t="s">
        <v>127</v>
      </c>
      <c r="C73" s="114">
        <v>0</v>
      </c>
      <c r="D73" s="114">
        <v>184</v>
      </c>
      <c r="E73" s="114">
        <v>250</v>
      </c>
      <c r="F73" s="114">
        <v>367</v>
      </c>
      <c r="G73" s="114">
        <v>290</v>
      </c>
      <c r="H73" s="114">
        <v>407</v>
      </c>
      <c r="I73" s="114">
        <v>291</v>
      </c>
      <c r="J73" s="114">
        <v>203</v>
      </c>
      <c r="K73" s="114">
        <v>233</v>
      </c>
    </row>
    <row r="74" spans="1:11" x14ac:dyDescent="0.25">
      <c r="A74" s="114" t="s">
        <v>154</v>
      </c>
      <c r="B74" s="115" t="s">
        <v>128</v>
      </c>
      <c r="C74" s="114">
        <v>0</v>
      </c>
      <c r="D74" s="114">
        <v>330</v>
      </c>
      <c r="E74" s="114">
        <v>248</v>
      </c>
      <c r="F74" s="114">
        <v>331</v>
      </c>
      <c r="G74" s="114">
        <v>356</v>
      </c>
      <c r="H74" s="114">
        <v>431</v>
      </c>
      <c r="I74" s="114">
        <v>220</v>
      </c>
      <c r="J74" s="114">
        <v>163</v>
      </c>
      <c r="K74" s="114">
        <v>267</v>
      </c>
    </row>
    <row r="75" spans="1:11" x14ac:dyDescent="0.25">
      <c r="A75" s="114" t="s">
        <v>154</v>
      </c>
      <c r="B75" s="115" t="s">
        <v>129</v>
      </c>
      <c r="C75" s="114">
        <v>0</v>
      </c>
      <c r="D75" s="114">
        <v>408</v>
      </c>
      <c r="E75" s="114">
        <v>247</v>
      </c>
      <c r="F75" s="114">
        <v>293</v>
      </c>
      <c r="G75" s="114">
        <v>361</v>
      </c>
      <c r="H75" s="114">
        <v>358</v>
      </c>
      <c r="I75" s="114">
        <v>204</v>
      </c>
      <c r="J75" s="114">
        <v>154</v>
      </c>
      <c r="K75" s="114">
        <v>288</v>
      </c>
    </row>
    <row r="76" spans="1:11" x14ac:dyDescent="0.25">
      <c r="A76" s="114" t="s">
        <v>154</v>
      </c>
      <c r="B76" s="115" t="s">
        <v>130</v>
      </c>
      <c r="C76" s="114">
        <v>0</v>
      </c>
      <c r="D76" s="114">
        <v>388</v>
      </c>
      <c r="E76" s="114">
        <v>261</v>
      </c>
      <c r="F76" s="114">
        <v>310</v>
      </c>
      <c r="G76" s="114">
        <v>331</v>
      </c>
      <c r="H76" s="114">
        <v>362</v>
      </c>
      <c r="I76" s="114">
        <v>229</v>
      </c>
      <c r="J76" s="114">
        <v>135</v>
      </c>
      <c r="K76" s="114">
        <v>368</v>
      </c>
    </row>
    <row r="77" spans="1:11" x14ac:dyDescent="0.25">
      <c r="A77" s="114" t="s">
        <v>154</v>
      </c>
      <c r="B77" s="115" t="s">
        <v>131</v>
      </c>
      <c r="C77" s="114">
        <v>0</v>
      </c>
      <c r="D77" s="114">
        <v>202</v>
      </c>
      <c r="E77" s="114">
        <v>289</v>
      </c>
      <c r="F77" s="114">
        <v>373</v>
      </c>
      <c r="G77" s="114">
        <v>345</v>
      </c>
      <c r="H77" s="114">
        <v>327</v>
      </c>
      <c r="I77" s="114">
        <v>210</v>
      </c>
      <c r="J77" s="114">
        <v>151</v>
      </c>
      <c r="K77" s="114">
        <v>384</v>
      </c>
    </row>
    <row r="78" spans="1:11" x14ac:dyDescent="0.25">
      <c r="A78" s="114" t="s">
        <v>154</v>
      </c>
      <c r="B78" s="115" t="s">
        <v>132</v>
      </c>
      <c r="C78" s="114">
        <v>0</v>
      </c>
      <c r="D78" s="114">
        <v>298</v>
      </c>
      <c r="E78" s="114">
        <v>315</v>
      </c>
      <c r="F78" s="114">
        <v>400</v>
      </c>
      <c r="G78" s="114">
        <v>322</v>
      </c>
      <c r="H78" s="114">
        <v>413</v>
      </c>
      <c r="I78" s="114">
        <v>198</v>
      </c>
      <c r="J78" s="114">
        <v>161</v>
      </c>
      <c r="K78" s="114">
        <v>389</v>
      </c>
    </row>
    <row r="79" spans="1:11" x14ac:dyDescent="0.25">
      <c r="A79" s="114" t="s">
        <v>154</v>
      </c>
      <c r="B79" s="115" t="s">
        <v>133</v>
      </c>
      <c r="C79" s="114">
        <v>0</v>
      </c>
      <c r="D79" s="114">
        <v>229</v>
      </c>
      <c r="E79" s="114">
        <v>334</v>
      </c>
      <c r="F79" s="114">
        <v>395</v>
      </c>
      <c r="G79" s="114">
        <v>393</v>
      </c>
      <c r="H79" s="114">
        <v>409</v>
      </c>
      <c r="I79" s="114">
        <v>207</v>
      </c>
      <c r="J79" s="114">
        <v>209</v>
      </c>
      <c r="K79" s="114">
        <v>367</v>
      </c>
    </row>
    <row r="80" spans="1:11" x14ac:dyDescent="0.25">
      <c r="A80" s="114" t="s">
        <v>154</v>
      </c>
      <c r="B80" s="115" t="s">
        <v>134</v>
      </c>
      <c r="C80" s="114">
        <v>0</v>
      </c>
      <c r="D80" s="114">
        <v>295</v>
      </c>
      <c r="E80" s="114">
        <v>317</v>
      </c>
      <c r="F80" s="114">
        <v>439</v>
      </c>
      <c r="G80" s="114">
        <v>399</v>
      </c>
      <c r="H80" s="114">
        <v>356</v>
      </c>
      <c r="I80" s="114">
        <v>234</v>
      </c>
      <c r="J80" s="114">
        <v>242</v>
      </c>
      <c r="K80" s="114">
        <v>353</v>
      </c>
    </row>
    <row r="81" spans="1:11" x14ac:dyDescent="0.25">
      <c r="A81" s="114" t="s">
        <v>154</v>
      </c>
      <c r="B81" s="115" t="s">
        <v>135</v>
      </c>
      <c r="C81" s="114">
        <v>0</v>
      </c>
      <c r="D81" s="114">
        <v>383</v>
      </c>
      <c r="E81" s="114">
        <v>423</v>
      </c>
      <c r="F81" s="114">
        <v>436</v>
      </c>
      <c r="G81" s="114">
        <v>378</v>
      </c>
      <c r="H81" s="114">
        <v>324</v>
      </c>
      <c r="I81" s="114">
        <v>180</v>
      </c>
      <c r="J81" s="114">
        <v>233</v>
      </c>
      <c r="K81" s="114">
        <v>372</v>
      </c>
    </row>
    <row r="82" spans="1:11" x14ac:dyDescent="0.25">
      <c r="A82" s="114" t="s">
        <v>154</v>
      </c>
      <c r="B82" s="115" t="s">
        <v>136</v>
      </c>
      <c r="C82" s="114">
        <v>0</v>
      </c>
      <c r="D82" s="114">
        <v>358</v>
      </c>
      <c r="E82" s="114">
        <v>433</v>
      </c>
      <c r="F82" s="114">
        <v>407</v>
      </c>
      <c r="G82" s="114">
        <v>372</v>
      </c>
      <c r="H82" s="114">
        <v>319</v>
      </c>
      <c r="I82" s="114">
        <v>96</v>
      </c>
      <c r="J82" s="114">
        <v>242</v>
      </c>
      <c r="K82" s="114">
        <v>402</v>
      </c>
    </row>
    <row r="83" spans="1:11" x14ac:dyDescent="0.25">
      <c r="A83" s="114" t="s">
        <v>154</v>
      </c>
      <c r="B83" s="115" t="s">
        <v>137</v>
      </c>
      <c r="C83" s="114">
        <v>0</v>
      </c>
      <c r="D83" s="114">
        <v>414</v>
      </c>
      <c r="E83" s="114">
        <v>375</v>
      </c>
      <c r="F83" s="114">
        <v>410</v>
      </c>
      <c r="G83" s="114">
        <v>373</v>
      </c>
      <c r="H83" s="114">
        <v>290</v>
      </c>
      <c r="I83" s="114">
        <v>61</v>
      </c>
      <c r="J83" s="114">
        <v>244</v>
      </c>
      <c r="K83" s="114">
        <v>409</v>
      </c>
    </row>
    <row r="84" spans="1:11" x14ac:dyDescent="0.25">
      <c r="A84" s="114" t="s">
        <v>154</v>
      </c>
      <c r="B84" s="115" t="s">
        <v>138</v>
      </c>
      <c r="C84" s="114">
        <v>0</v>
      </c>
      <c r="D84" s="114">
        <v>424</v>
      </c>
      <c r="E84" s="114">
        <v>286</v>
      </c>
      <c r="F84" s="114">
        <v>401</v>
      </c>
      <c r="G84" s="114">
        <v>394</v>
      </c>
      <c r="H84" s="114">
        <v>351</v>
      </c>
      <c r="I84" s="114">
        <v>58</v>
      </c>
      <c r="J84" s="114">
        <v>237</v>
      </c>
      <c r="K84" s="114">
        <v>400</v>
      </c>
    </row>
    <row r="85" spans="1:11" x14ac:dyDescent="0.25">
      <c r="A85" s="114" t="s">
        <v>154</v>
      </c>
      <c r="B85" s="115" t="s">
        <v>139</v>
      </c>
      <c r="C85" s="114">
        <v>0</v>
      </c>
      <c r="D85" s="114">
        <v>351</v>
      </c>
      <c r="E85" s="114">
        <v>339</v>
      </c>
      <c r="F85" s="114">
        <v>411</v>
      </c>
      <c r="G85" s="114">
        <v>379</v>
      </c>
      <c r="H85" s="114">
        <v>373</v>
      </c>
      <c r="I85" s="114">
        <v>49</v>
      </c>
      <c r="J85" s="114">
        <v>233</v>
      </c>
      <c r="K85" s="114">
        <v>403</v>
      </c>
    </row>
    <row r="86" spans="1:11" x14ac:dyDescent="0.25">
      <c r="A86" s="114" t="s">
        <v>154</v>
      </c>
      <c r="B86" s="115" t="s">
        <v>140</v>
      </c>
      <c r="C86" s="114">
        <v>0</v>
      </c>
      <c r="D86" s="114">
        <v>281</v>
      </c>
      <c r="E86" s="114">
        <v>417</v>
      </c>
      <c r="F86" s="114">
        <v>331</v>
      </c>
      <c r="G86" s="114">
        <v>408</v>
      </c>
      <c r="H86" s="114">
        <v>363</v>
      </c>
      <c r="I86" s="114">
        <v>32</v>
      </c>
      <c r="J86" s="114">
        <v>229</v>
      </c>
      <c r="K86" s="114">
        <v>379</v>
      </c>
    </row>
    <row r="87" spans="1:11" x14ac:dyDescent="0.25">
      <c r="A87" s="114" t="s">
        <v>154</v>
      </c>
      <c r="B87" s="115" t="s">
        <v>141</v>
      </c>
      <c r="C87" s="114">
        <v>0</v>
      </c>
      <c r="D87" s="114">
        <v>284</v>
      </c>
      <c r="E87" s="114">
        <v>405</v>
      </c>
      <c r="F87" s="114">
        <v>396</v>
      </c>
      <c r="G87" s="114">
        <v>405</v>
      </c>
      <c r="H87" s="114">
        <v>377</v>
      </c>
      <c r="I87" s="114">
        <v>23</v>
      </c>
      <c r="J87" s="114">
        <v>237</v>
      </c>
      <c r="K87" s="114">
        <v>322</v>
      </c>
    </row>
    <row r="88" spans="1:11" x14ac:dyDescent="0.25">
      <c r="A88" s="114" t="s">
        <v>154</v>
      </c>
      <c r="B88" s="115" t="s">
        <v>142</v>
      </c>
      <c r="C88" s="114">
        <v>0</v>
      </c>
      <c r="D88" s="114">
        <v>315</v>
      </c>
      <c r="E88" s="114">
        <v>426</v>
      </c>
      <c r="F88" s="114">
        <v>417</v>
      </c>
      <c r="G88" s="114">
        <v>406</v>
      </c>
      <c r="H88" s="114">
        <v>333</v>
      </c>
      <c r="I88" s="114">
        <v>14</v>
      </c>
      <c r="J88" s="114">
        <v>207</v>
      </c>
      <c r="K88" s="114">
        <v>342</v>
      </c>
    </row>
    <row r="89" spans="1:11" x14ac:dyDescent="0.25">
      <c r="A89" s="114" t="s">
        <v>154</v>
      </c>
      <c r="B89" s="115" t="s">
        <v>143</v>
      </c>
      <c r="C89" s="114">
        <v>0</v>
      </c>
      <c r="D89" s="114">
        <v>248</v>
      </c>
      <c r="E89" s="114">
        <v>418</v>
      </c>
      <c r="F89" s="114">
        <v>425</v>
      </c>
      <c r="G89" s="114">
        <v>347</v>
      </c>
      <c r="H89" s="114">
        <v>397</v>
      </c>
      <c r="I89" s="114">
        <v>5</v>
      </c>
      <c r="J89" s="114">
        <v>213</v>
      </c>
      <c r="K89" s="114">
        <v>329</v>
      </c>
    </row>
    <row r="90" spans="1:11" x14ac:dyDescent="0.25">
      <c r="A90" s="114" t="s">
        <v>154</v>
      </c>
      <c r="B90" s="115" t="s">
        <v>144</v>
      </c>
      <c r="C90" s="114">
        <v>0</v>
      </c>
      <c r="D90" s="114">
        <v>247</v>
      </c>
      <c r="E90" s="114">
        <v>411</v>
      </c>
      <c r="F90" s="114">
        <v>405</v>
      </c>
      <c r="G90" s="114">
        <v>354</v>
      </c>
      <c r="H90" s="114">
        <v>416</v>
      </c>
      <c r="I90" s="114">
        <v>0</v>
      </c>
      <c r="J90" s="114">
        <v>237</v>
      </c>
      <c r="K90" s="114">
        <v>357</v>
      </c>
    </row>
    <row r="91" spans="1:11" x14ac:dyDescent="0.25">
      <c r="A91" s="114" t="s">
        <v>154</v>
      </c>
      <c r="B91" s="115" t="s">
        <v>145</v>
      </c>
      <c r="C91" s="114">
        <v>0</v>
      </c>
      <c r="D91" s="114">
        <v>255</v>
      </c>
      <c r="E91" s="114">
        <v>418</v>
      </c>
      <c r="F91" s="114">
        <v>366</v>
      </c>
      <c r="G91" s="114">
        <v>398</v>
      </c>
      <c r="H91" s="114">
        <v>351</v>
      </c>
      <c r="I91" s="114">
        <v>0</v>
      </c>
      <c r="J91" s="114">
        <v>209</v>
      </c>
      <c r="K91" s="114">
        <v>374</v>
      </c>
    </row>
    <row r="92" spans="1:11" x14ac:dyDescent="0.25">
      <c r="A92" s="114" t="s">
        <v>154</v>
      </c>
      <c r="B92" s="115" t="s">
        <v>146</v>
      </c>
      <c r="C92" s="114">
        <v>0</v>
      </c>
      <c r="D92" s="114">
        <v>237</v>
      </c>
      <c r="E92" s="114">
        <v>414</v>
      </c>
      <c r="F92" s="114">
        <v>392</v>
      </c>
      <c r="G92" s="114">
        <v>373</v>
      </c>
      <c r="H92" s="114">
        <v>417</v>
      </c>
      <c r="I92" s="114">
        <v>0</v>
      </c>
      <c r="J92" s="114">
        <v>185</v>
      </c>
      <c r="K92" s="114">
        <v>378</v>
      </c>
    </row>
    <row r="93" spans="1:11" x14ac:dyDescent="0.25">
      <c r="A93" s="114" t="s">
        <v>154</v>
      </c>
      <c r="B93" s="115" t="s">
        <v>147</v>
      </c>
      <c r="C93" s="114">
        <v>0</v>
      </c>
      <c r="D93" s="114">
        <v>246</v>
      </c>
      <c r="E93" s="114">
        <v>398</v>
      </c>
      <c r="F93" s="114">
        <v>319</v>
      </c>
      <c r="G93" s="114">
        <v>426</v>
      </c>
      <c r="H93" s="114">
        <v>422</v>
      </c>
      <c r="I93" s="114">
        <v>0</v>
      </c>
      <c r="J93" s="114">
        <v>222</v>
      </c>
      <c r="K93" s="114">
        <v>364</v>
      </c>
    </row>
    <row r="94" spans="1:11" x14ac:dyDescent="0.25">
      <c r="A94" s="114" t="s">
        <v>154</v>
      </c>
      <c r="B94" s="115" t="s">
        <v>148</v>
      </c>
      <c r="C94" s="114">
        <v>0</v>
      </c>
      <c r="D94" s="114">
        <v>256</v>
      </c>
      <c r="E94" s="114">
        <v>345</v>
      </c>
      <c r="F94" s="114">
        <v>327</v>
      </c>
      <c r="G94" s="114">
        <v>434</v>
      </c>
      <c r="H94" s="114">
        <v>413</v>
      </c>
      <c r="I94" s="114">
        <v>0</v>
      </c>
      <c r="J94" s="114">
        <v>228</v>
      </c>
      <c r="K94" s="114">
        <v>359</v>
      </c>
    </row>
    <row r="95" spans="1:11" x14ac:dyDescent="0.25">
      <c r="A95" s="114" t="s">
        <v>154</v>
      </c>
      <c r="B95" s="115" t="s">
        <v>149</v>
      </c>
      <c r="C95" s="114">
        <v>0</v>
      </c>
      <c r="D95" s="114">
        <v>265</v>
      </c>
      <c r="E95" s="114">
        <v>403</v>
      </c>
      <c r="F95" s="114">
        <v>359</v>
      </c>
      <c r="G95" s="114">
        <v>398</v>
      </c>
      <c r="H95" s="114">
        <v>383</v>
      </c>
      <c r="I95" s="114">
        <v>0</v>
      </c>
      <c r="J95" s="114">
        <v>215</v>
      </c>
      <c r="K95" s="114">
        <v>366</v>
      </c>
    </row>
    <row r="96" spans="1:11" x14ac:dyDescent="0.25">
      <c r="A96" s="114" t="s">
        <v>154</v>
      </c>
      <c r="B96" s="115" t="s">
        <v>150</v>
      </c>
      <c r="C96" s="114">
        <v>0</v>
      </c>
      <c r="D96" s="114">
        <v>227</v>
      </c>
      <c r="E96" s="114">
        <v>409</v>
      </c>
      <c r="F96" s="114">
        <v>343</v>
      </c>
      <c r="G96" s="114">
        <v>429</v>
      </c>
      <c r="H96" s="114">
        <v>313</v>
      </c>
      <c r="I96" s="114">
        <v>0</v>
      </c>
      <c r="J96" s="114">
        <v>208</v>
      </c>
      <c r="K96" s="114">
        <v>376</v>
      </c>
    </row>
    <row r="97" spans="1:11" x14ac:dyDescent="0.25">
      <c r="A97" s="114" t="s">
        <v>154</v>
      </c>
      <c r="B97" s="115" t="s">
        <v>151</v>
      </c>
      <c r="C97" s="114">
        <v>0</v>
      </c>
      <c r="D97" s="114">
        <v>282</v>
      </c>
      <c r="E97" s="114">
        <v>411</v>
      </c>
      <c r="F97" s="114">
        <v>364</v>
      </c>
      <c r="G97" s="114">
        <v>425</v>
      </c>
      <c r="H97" s="114">
        <v>319</v>
      </c>
      <c r="I97" s="114">
        <v>0</v>
      </c>
      <c r="J97" s="114">
        <v>210</v>
      </c>
      <c r="K97" s="114">
        <v>359</v>
      </c>
    </row>
    <row r="98" spans="1:11" x14ac:dyDescent="0.25">
      <c r="A98" s="114" t="s">
        <v>154</v>
      </c>
      <c r="B98" s="115" t="s">
        <v>152</v>
      </c>
      <c r="C98" s="114">
        <v>0</v>
      </c>
      <c r="D98" s="114">
        <v>323</v>
      </c>
      <c r="E98" s="114">
        <v>400</v>
      </c>
      <c r="F98" s="114">
        <v>337</v>
      </c>
      <c r="G98" s="114">
        <v>424</v>
      </c>
      <c r="H98" s="114">
        <v>224</v>
      </c>
      <c r="I98" s="114">
        <v>0</v>
      </c>
      <c r="J98" s="114">
        <v>214</v>
      </c>
      <c r="K98" s="114">
        <v>348</v>
      </c>
    </row>
    <row r="99" spans="1:11" x14ac:dyDescent="0.25">
      <c r="A99" s="114" t="s">
        <v>155</v>
      </c>
      <c r="B99" s="115" t="s">
        <v>121</v>
      </c>
      <c r="C99" s="114">
        <v>0</v>
      </c>
      <c r="D99" s="114">
        <v>371</v>
      </c>
      <c r="E99" s="114">
        <v>332</v>
      </c>
      <c r="F99" s="114">
        <v>363</v>
      </c>
      <c r="G99" s="114">
        <v>410</v>
      </c>
      <c r="H99" s="114">
        <v>292</v>
      </c>
      <c r="I99" s="114">
        <v>0</v>
      </c>
      <c r="J99" s="114">
        <v>225</v>
      </c>
      <c r="K99" s="114">
        <v>272</v>
      </c>
    </row>
    <row r="100" spans="1:11" x14ac:dyDescent="0.25">
      <c r="A100" s="114" t="s">
        <v>155</v>
      </c>
      <c r="B100" s="115" t="s">
        <v>123</v>
      </c>
      <c r="C100" s="114">
        <v>0</v>
      </c>
      <c r="D100" s="114">
        <v>399</v>
      </c>
      <c r="E100" s="114">
        <v>402</v>
      </c>
      <c r="F100" s="114">
        <v>272</v>
      </c>
      <c r="G100" s="114">
        <v>431</v>
      </c>
      <c r="H100" s="114">
        <v>333</v>
      </c>
      <c r="I100" s="114">
        <v>0</v>
      </c>
      <c r="J100" s="114">
        <v>233</v>
      </c>
      <c r="K100" s="114">
        <v>288</v>
      </c>
    </row>
    <row r="101" spans="1:11" x14ac:dyDescent="0.25">
      <c r="A101" s="114" t="s">
        <v>155</v>
      </c>
      <c r="B101" s="115" t="s">
        <v>124</v>
      </c>
      <c r="C101" s="114">
        <v>0</v>
      </c>
      <c r="D101" s="114">
        <v>405</v>
      </c>
      <c r="E101" s="114">
        <v>416</v>
      </c>
      <c r="F101" s="114">
        <v>286</v>
      </c>
      <c r="G101" s="114">
        <v>431</v>
      </c>
      <c r="H101" s="114">
        <v>373</v>
      </c>
      <c r="I101" s="114">
        <v>0</v>
      </c>
      <c r="J101" s="114">
        <v>220</v>
      </c>
      <c r="K101" s="114">
        <v>331</v>
      </c>
    </row>
    <row r="102" spans="1:11" x14ac:dyDescent="0.25">
      <c r="A102" s="114" t="s">
        <v>155</v>
      </c>
      <c r="B102" s="115" t="s">
        <v>125</v>
      </c>
      <c r="C102" s="114">
        <v>0</v>
      </c>
      <c r="D102" s="114">
        <v>392</v>
      </c>
      <c r="E102" s="114">
        <v>394</v>
      </c>
      <c r="F102" s="114">
        <v>289</v>
      </c>
      <c r="G102" s="114">
        <v>431</v>
      </c>
      <c r="H102" s="114">
        <v>354</v>
      </c>
      <c r="I102" s="114">
        <v>0</v>
      </c>
      <c r="J102" s="114">
        <v>189</v>
      </c>
      <c r="K102" s="114">
        <v>365</v>
      </c>
    </row>
    <row r="103" spans="1:11" x14ac:dyDescent="0.25">
      <c r="A103" s="114" t="s">
        <v>155</v>
      </c>
      <c r="B103" s="115" t="s">
        <v>126</v>
      </c>
      <c r="C103" s="114">
        <v>0</v>
      </c>
      <c r="D103" s="114">
        <v>346</v>
      </c>
      <c r="E103" s="114">
        <v>231</v>
      </c>
      <c r="F103" s="114">
        <v>302</v>
      </c>
      <c r="G103" s="114">
        <v>418</v>
      </c>
      <c r="H103" s="114">
        <v>328</v>
      </c>
      <c r="I103" s="114">
        <v>0</v>
      </c>
      <c r="J103" s="114">
        <v>183</v>
      </c>
      <c r="K103" s="114">
        <v>373</v>
      </c>
    </row>
    <row r="104" spans="1:11" x14ac:dyDescent="0.25">
      <c r="A104" s="114" t="s">
        <v>155</v>
      </c>
      <c r="B104" s="115" t="s">
        <v>127</v>
      </c>
      <c r="C104" s="114">
        <v>0</v>
      </c>
      <c r="D104" s="114">
        <v>391</v>
      </c>
      <c r="E104" s="114">
        <v>266</v>
      </c>
      <c r="F104" s="114">
        <v>292</v>
      </c>
      <c r="G104" s="114">
        <v>366</v>
      </c>
      <c r="H104" s="114">
        <v>320</v>
      </c>
      <c r="I104" s="114">
        <v>0</v>
      </c>
      <c r="J104" s="114">
        <v>181</v>
      </c>
      <c r="K104" s="114">
        <v>345</v>
      </c>
    </row>
    <row r="105" spans="1:11" x14ac:dyDescent="0.25">
      <c r="A105" s="114" t="s">
        <v>155</v>
      </c>
      <c r="B105" s="115" t="s">
        <v>128</v>
      </c>
      <c r="C105" s="114">
        <v>0</v>
      </c>
      <c r="D105" s="114">
        <v>398</v>
      </c>
      <c r="E105" s="114">
        <v>362</v>
      </c>
      <c r="F105" s="114">
        <v>338</v>
      </c>
      <c r="G105" s="114">
        <v>412</v>
      </c>
      <c r="H105" s="114">
        <v>286</v>
      </c>
      <c r="I105" s="114">
        <v>0</v>
      </c>
      <c r="J105" s="114">
        <v>190</v>
      </c>
      <c r="K105" s="114">
        <v>368</v>
      </c>
    </row>
    <row r="106" spans="1:11" x14ac:dyDescent="0.25">
      <c r="A106" s="114" t="s">
        <v>155</v>
      </c>
      <c r="B106" s="115" t="s">
        <v>129</v>
      </c>
      <c r="C106" s="114">
        <v>0</v>
      </c>
      <c r="D106" s="114">
        <v>399</v>
      </c>
      <c r="E106" s="114">
        <v>377</v>
      </c>
      <c r="F106" s="114">
        <v>392</v>
      </c>
      <c r="G106" s="114">
        <v>425</v>
      </c>
      <c r="H106" s="114">
        <v>328</v>
      </c>
      <c r="I106" s="114">
        <v>0</v>
      </c>
      <c r="J106" s="114">
        <v>191</v>
      </c>
      <c r="K106" s="114">
        <v>385</v>
      </c>
    </row>
    <row r="107" spans="1:11" x14ac:dyDescent="0.25">
      <c r="A107" s="114" t="s">
        <v>155</v>
      </c>
      <c r="B107" s="115" t="s">
        <v>130</v>
      </c>
      <c r="C107" s="114">
        <v>0</v>
      </c>
      <c r="D107" s="114">
        <v>418</v>
      </c>
      <c r="E107" s="114">
        <v>365</v>
      </c>
      <c r="F107" s="114">
        <v>387</v>
      </c>
      <c r="G107" s="114">
        <v>414</v>
      </c>
      <c r="H107" s="114">
        <v>383</v>
      </c>
      <c r="I107" s="114">
        <v>0</v>
      </c>
      <c r="J107" s="114">
        <v>208</v>
      </c>
      <c r="K107" s="114">
        <v>390</v>
      </c>
    </row>
    <row r="108" spans="1:11" x14ac:dyDescent="0.25">
      <c r="A108" s="114" t="s">
        <v>155</v>
      </c>
      <c r="B108" s="115" t="s">
        <v>131</v>
      </c>
      <c r="C108" s="114">
        <v>0</v>
      </c>
      <c r="D108" s="114">
        <v>408</v>
      </c>
      <c r="E108" s="114">
        <v>250</v>
      </c>
      <c r="F108" s="114">
        <v>389</v>
      </c>
      <c r="G108" s="114">
        <v>205</v>
      </c>
      <c r="H108" s="114">
        <v>355</v>
      </c>
      <c r="I108" s="114">
        <v>0</v>
      </c>
      <c r="J108" s="114">
        <v>246</v>
      </c>
      <c r="K108" s="114">
        <v>356</v>
      </c>
    </row>
    <row r="109" spans="1:11" x14ac:dyDescent="0.25">
      <c r="A109" s="114" t="s">
        <v>155</v>
      </c>
      <c r="B109" s="115" t="s">
        <v>132</v>
      </c>
      <c r="C109" s="114">
        <v>0</v>
      </c>
      <c r="D109" s="114">
        <v>383</v>
      </c>
      <c r="E109" s="114">
        <v>409</v>
      </c>
      <c r="F109" s="114">
        <v>391</v>
      </c>
      <c r="G109" s="114">
        <v>361</v>
      </c>
      <c r="H109" s="114">
        <v>361</v>
      </c>
      <c r="I109" s="114">
        <v>0</v>
      </c>
      <c r="J109" s="114">
        <v>178</v>
      </c>
      <c r="K109" s="114">
        <v>370</v>
      </c>
    </row>
    <row r="110" spans="1:11" x14ac:dyDescent="0.25">
      <c r="A110" s="114" t="s">
        <v>155</v>
      </c>
      <c r="B110" s="115" t="s">
        <v>133</v>
      </c>
      <c r="C110" s="114">
        <v>0</v>
      </c>
      <c r="D110" s="114">
        <v>332</v>
      </c>
      <c r="E110" s="114">
        <v>416</v>
      </c>
      <c r="F110" s="114">
        <v>419</v>
      </c>
      <c r="G110" s="114">
        <v>419</v>
      </c>
      <c r="H110" s="114">
        <v>326</v>
      </c>
      <c r="I110" s="114">
        <v>0</v>
      </c>
      <c r="J110" s="114">
        <v>181</v>
      </c>
      <c r="K110" s="114">
        <v>374</v>
      </c>
    </row>
    <row r="111" spans="1:11" x14ac:dyDescent="0.25">
      <c r="A111" s="114" t="s">
        <v>155</v>
      </c>
      <c r="B111" s="115" t="s">
        <v>134</v>
      </c>
      <c r="C111" s="114">
        <v>0</v>
      </c>
      <c r="D111" s="114">
        <v>398</v>
      </c>
      <c r="E111" s="114">
        <v>370</v>
      </c>
      <c r="F111" s="114">
        <v>436</v>
      </c>
      <c r="G111" s="114">
        <v>401</v>
      </c>
      <c r="H111" s="114">
        <v>400</v>
      </c>
      <c r="I111" s="114">
        <v>0</v>
      </c>
      <c r="J111" s="114">
        <v>139</v>
      </c>
      <c r="K111" s="114">
        <v>355</v>
      </c>
    </row>
    <row r="112" spans="1:11" x14ac:dyDescent="0.25">
      <c r="A112" s="114" t="s">
        <v>155</v>
      </c>
      <c r="B112" s="115" t="s">
        <v>135</v>
      </c>
      <c r="C112" s="114">
        <v>0</v>
      </c>
      <c r="D112" s="114">
        <v>402</v>
      </c>
      <c r="E112" s="114">
        <v>374</v>
      </c>
      <c r="F112" s="114">
        <v>438</v>
      </c>
      <c r="G112" s="114">
        <v>407</v>
      </c>
      <c r="H112" s="114">
        <v>337</v>
      </c>
      <c r="I112" s="114">
        <v>0</v>
      </c>
      <c r="J112" s="114">
        <v>147</v>
      </c>
      <c r="K112" s="114">
        <v>382</v>
      </c>
    </row>
    <row r="113" spans="1:11" x14ac:dyDescent="0.25">
      <c r="A113" s="114" t="s">
        <v>155</v>
      </c>
      <c r="B113" s="115" t="s">
        <v>136</v>
      </c>
      <c r="C113" s="114">
        <v>0</v>
      </c>
      <c r="D113" s="114">
        <v>320</v>
      </c>
      <c r="E113" s="114">
        <v>416</v>
      </c>
      <c r="F113" s="114">
        <v>397</v>
      </c>
      <c r="G113" s="114">
        <v>269</v>
      </c>
      <c r="H113" s="114">
        <v>384</v>
      </c>
      <c r="I113" s="114">
        <v>0</v>
      </c>
      <c r="J113" s="114">
        <v>164</v>
      </c>
      <c r="K113" s="114">
        <v>372</v>
      </c>
    </row>
    <row r="114" spans="1:11" x14ac:dyDescent="0.25">
      <c r="A114" s="114" t="s">
        <v>155</v>
      </c>
      <c r="B114" s="115" t="s">
        <v>137</v>
      </c>
      <c r="C114" s="114">
        <v>0</v>
      </c>
      <c r="D114" s="114">
        <v>303</v>
      </c>
      <c r="E114" s="114">
        <v>382</v>
      </c>
      <c r="F114" s="114">
        <v>338</v>
      </c>
      <c r="G114" s="114">
        <v>260</v>
      </c>
      <c r="H114" s="114">
        <v>404</v>
      </c>
      <c r="I114" s="114">
        <v>0</v>
      </c>
      <c r="J114" s="114">
        <v>196</v>
      </c>
      <c r="K114" s="114">
        <v>386</v>
      </c>
    </row>
    <row r="115" spans="1:11" x14ac:dyDescent="0.25">
      <c r="A115" s="114" t="s">
        <v>155</v>
      </c>
      <c r="B115" s="115" t="s">
        <v>138</v>
      </c>
      <c r="C115" s="114">
        <v>0</v>
      </c>
      <c r="D115" s="114">
        <v>233</v>
      </c>
      <c r="E115" s="114">
        <v>215</v>
      </c>
      <c r="F115" s="114">
        <v>356</v>
      </c>
      <c r="G115" s="114">
        <v>303</v>
      </c>
      <c r="H115" s="114">
        <v>408</v>
      </c>
      <c r="I115" s="114">
        <v>0</v>
      </c>
      <c r="J115" s="114">
        <v>219</v>
      </c>
      <c r="K115" s="114">
        <v>337</v>
      </c>
    </row>
    <row r="116" spans="1:11" x14ac:dyDescent="0.25">
      <c r="A116" s="114" t="s">
        <v>155</v>
      </c>
      <c r="B116" s="115" t="s">
        <v>139</v>
      </c>
      <c r="C116" s="114">
        <v>0</v>
      </c>
      <c r="D116" s="114">
        <v>293</v>
      </c>
      <c r="E116" s="114">
        <v>313</v>
      </c>
      <c r="F116" s="114">
        <v>340</v>
      </c>
      <c r="G116" s="114">
        <v>315</v>
      </c>
      <c r="H116" s="114">
        <v>430</v>
      </c>
      <c r="I116" s="114">
        <v>0</v>
      </c>
      <c r="J116" s="114">
        <v>124</v>
      </c>
      <c r="K116" s="114">
        <v>332</v>
      </c>
    </row>
    <row r="117" spans="1:11" x14ac:dyDescent="0.25">
      <c r="A117" s="114" t="s">
        <v>155</v>
      </c>
      <c r="B117" s="115" t="s">
        <v>140</v>
      </c>
      <c r="C117" s="114">
        <v>0</v>
      </c>
      <c r="D117" s="114">
        <v>326</v>
      </c>
      <c r="E117" s="114">
        <v>336</v>
      </c>
      <c r="F117" s="114">
        <v>429</v>
      </c>
      <c r="G117" s="114">
        <v>366</v>
      </c>
      <c r="H117" s="114">
        <v>421</v>
      </c>
      <c r="I117" s="114">
        <v>0</v>
      </c>
      <c r="J117" s="114">
        <v>125</v>
      </c>
      <c r="K117" s="114">
        <v>360</v>
      </c>
    </row>
    <row r="118" spans="1:11" x14ac:dyDescent="0.25">
      <c r="A118" s="114" t="s">
        <v>155</v>
      </c>
      <c r="B118" s="115" t="s">
        <v>141</v>
      </c>
      <c r="C118" s="114">
        <v>0</v>
      </c>
      <c r="D118" s="114">
        <v>316</v>
      </c>
      <c r="E118" s="114">
        <v>327</v>
      </c>
      <c r="F118" s="114">
        <v>414</v>
      </c>
      <c r="G118" s="114">
        <v>400</v>
      </c>
      <c r="H118" s="114">
        <v>401</v>
      </c>
      <c r="I118" s="114">
        <v>0</v>
      </c>
      <c r="J118" s="114">
        <v>115</v>
      </c>
      <c r="K118" s="114">
        <v>370</v>
      </c>
    </row>
    <row r="119" spans="1:11" x14ac:dyDescent="0.25">
      <c r="A119" s="114" t="s">
        <v>155</v>
      </c>
      <c r="B119" s="115" t="s">
        <v>142</v>
      </c>
      <c r="C119" s="114">
        <v>0</v>
      </c>
      <c r="D119" s="114">
        <v>314</v>
      </c>
      <c r="E119" s="114">
        <v>344</v>
      </c>
      <c r="F119" s="114">
        <v>408</v>
      </c>
      <c r="G119" s="114">
        <v>402</v>
      </c>
      <c r="H119" s="114">
        <v>284</v>
      </c>
      <c r="I119" s="114">
        <v>0</v>
      </c>
      <c r="J119" s="114">
        <v>123</v>
      </c>
      <c r="K119" s="114">
        <v>372</v>
      </c>
    </row>
    <row r="120" spans="1:11" x14ac:dyDescent="0.25">
      <c r="A120" s="114" t="s">
        <v>155</v>
      </c>
      <c r="B120" s="115" t="s">
        <v>143</v>
      </c>
      <c r="C120" s="114">
        <v>0</v>
      </c>
      <c r="D120" s="114">
        <v>334</v>
      </c>
      <c r="E120" s="114">
        <v>282</v>
      </c>
      <c r="F120" s="114">
        <v>423</v>
      </c>
      <c r="G120" s="114">
        <v>199</v>
      </c>
      <c r="H120" s="114">
        <v>268</v>
      </c>
      <c r="I120" s="114">
        <v>0</v>
      </c>
      <c r="J120" s="114">
        <v>158</v>
      </c>
      <c r="K120" s="114">
        <v>369</v>
      </c>
    </row>
    <row r="121" spans="1:11" x14ac:dyDescent="0.25">
      <c r="A121" s="114" t="s">
        <v>155</v>
      </c>
      <c r="B121" s="115" t="s">
        <v>144</v>
      </c>
      <c r="C121" s="114">
        <v>0</v>
      </c>
      <c r="D121" s="114">
        <v>255</v>
      </c>
      <c r="E121" s="114">
        <v>315</v>
      </c>
      <c r="F121" s="114">
        <v>366</v>
      </c>
      <c r="G121" s="114">
        <v>328</v>
      </c>
      <c r="H121" s="114">
        <v>246</v>
      </c>
      <c r="I121" s="114">
        <v>0</v>
      </c>
      <c r="J121" s="114">
        <v>221</v>
      </c>
      <c r="K121" s="114">
        <v>294</v>
      </c>
    </row>
    <row r="122" spans="1:11" x14ac:dyDescent="0.25">
      <c r="A122" s="114" t="s">
        <v>155</v>
      </c>
      <c r="B122" s="115" t="s">
        <v>145</v>
      </c>
      <c r="C122" s="114">
        <v>0</v>
      </c>
      <c r="D122" s="114">
        <v>336</v>
      </c>
      <c r="E122" s="114">
        <v>293</v>
      </c>
      <c r="F122" s="114">
        <v>312</v>
      </c>
      <c r="G122" s="114">
        <v>347</v>
      </c>
      <c r="H122" s="114">
        <v>266</v>
      </c>
      <c r="I122" s="114">
        <v>0</v>
      </c>
      <c r="J122" s="114">
        <v>242</v>
      </c>
      <c r="K122" s="114">
        <v>332</v>
      </c>
    </row>
    <row r="123" spans="1:11" x14ac:dyDescent="0.25">
      <c r="A123" s="114" t="s">
        <v>155</v>
      </c>
      <c r="B123" s="115" t="s">
        <v>146</v>
      </c>
      <c r="C123" s="114">
        <v>0</v>
      </c>
      <c r="D123" s="114">
        <v>351</v>
      </c>
      <c r="E123" s="114">
        <v>352</v>
      </c>
      <c r="F123" s="114">
        <v>338</v>
      </c>
      <c r="G123" s="114">
        <v>404</v>
      </c>
      <c r="H123" s="114">
        <v>310</v>
      </c>
      <c r="I123" s="114">
        <v>0</v>
      </c>
      <c r="J123" s="114">
        <v>209</v>
      </c>
      <c r="K123" s="114">
        <v>288</v>
      </c>
    </row>
    <row r="124" spans="1:11" x14ac:dyDescent="0.25">
      <c r="A124" s="114" t="s">
        <v>155</v>
      </c>
      <c r="B124" s="115" t="s">
        <v>147</v>
      </c>
      <c r="C124" s="114">
        <v>0</v>
      </c>
      <c r="D124" s="114">
        <v>253</v>
      </c>
      <c r="E124" s="114">
        <v>357</v>
      </c>
      <c r="F124" s="114">
        <v>231</v>
      </c>
      <c r="G124" s="114">
        <v>379</v>
      </c>
      <c r="H124" s="114">
        <v>312</v>
      </c>
      <c r="I124" s="114">
        <v>0</v>
      </c>
      <c r="J124" s="114">
        <v>111</v>
      </c>
      <c r="K124" s="114">
        <v>274</v>
      </c>
    </row>
    <row r="125" spans="1:11" x14ac:dyDescent="0.25">
      <c r="A125" s="114" t="s">
        <v>155</v>
      </c>
      <c r="B125" s="115" t="s">
        <v>148</v>
      </c>
      <c r="C125" s="114">
        <v>0</v>
      </c>
      <c r="D125" s="114">
        <v>249</v>
      </c>
      <c r="E125" s="114">
        <v>340</v>
      </c>
      <c r="F125" s="114">
        <v>265</v>
      </c>
      <c r="G125" s="114">
        <v>418</v>
      </c>
      <c r="H125" s="114">
        <v>307</v>
      </c>
      <c r="I125" s="114">
        <v>0</v>
      </c>
      <c r="J125" s="114">
        <v>94</v>
      </c>
      <c r="K125" s="114">
        <v>324</v>
      </c>
    </row>
    <row r="126" spans="1:11" x14ac:dyDescent="0.25">
      <c r="A126" s="114" t="s">
        <v>155</v>
      </c>
      <c r="B126" s="115" t="s">
        <v>149</v>
      </c>
      <c r="C126" s="114">
        <v>0</v>
      </c>
      <c r="D126" s="114">
        <v>261</v>
      </c>
      <c r="E126" s="114">
        <v>397</v>
      </c>
      <c r="F126" s="114">
        <v>333</v>
      </c>
      <c r="G126" s="114">
        <v>416</v>
      </c>
      <c r="H126" s="114">
        <v>373</v>
      </c>
      <c r="I126" s="114">
        <v>0</v>
      </c>
      <c r="J126" s="114">
        <v>125</v>
      </c>
      <c r="K126" s="114">
        <v>320</v>
      </c>
    </row>
    <row r="127" spans="1:11" x14ac:dyDescent="0.25">
      <c r="A127" s="114" t="s">
        <v>155</v>
      </c>
      <c r="B127" s="115" t="s">
        <v>150</v>
      </c>
      <c r="C127" s="114">
        <v>0</v>
      </c>
      <c r="D127" s="114">
        <v>261</v>
      </c>
      <c r="E127" s="114">
        <v>405</v>
      </c>
      <c r="F127" s="114">
        <v>412</v>
      </c>
      <c r="G127" s="114">
        <v>392</v>
      </c>
      <c r="H127" s="114">
        <v>419</v>
      </c>
      <c r="I127" s="114">
        <v>0</v>
      </c>
      <c r="J127" s="114">
        <v>164</v>
      </c>
      <c r="K127" s="114">
        <v>371</v>
      </c>
    </row>
    <row r="128" spans="1:11" x14ac:dyDescent="0.25">
      <c r="A128" s="114" t="s">
        <v>155</v>
      </c>
      <c r="B128" s="115" t="s">
        <v>151</v>
      </c>
      <c r="C128" s="114">
        <v>0</v>
      </c>
      <c r="D128" s="114">
        <v>298</v>
      </c>
      <c r="E128" s="114">
        <v>383</v>
      </c>
      <c r="F128" s="114">
        <v>277</v>
      </c>
      <c r="G128" s="114">
        <v>419</v>
      </c>
      <c r="H128" s="114">
        <v>380</v>
      </c>
      <c r="I128" s="114">
        <v>0</v>
      </c>
      <c r="J128" s="114">
        <v>237</v>
      </c>
      <c r="K128" s="114">
        <v>357</v>
      </c>
    </row>
    <row r="129" spans="1:11" x14ac:dyDescent="0.25">
      <c r="A129" s="114" t="s">
        <v>156</v>
      </c>
      <c r="B129" s="115" t="s">
        <v>121</v>
      </c>
      <c r="C129" s="114">
        <v>0</v>
      </c>
      <c r="D129" s="114">
        <v>280</v>
      </c>
      <c r="E129" s="114">
        <v>236</v>
      </c>
      <c r="F129" s="114">
        <v>389</v>
      </c>
      <c r="G129" s="114">
        <v>363</v>
      </c>
      <c r="H129" s="114">
        <v>226</v>
      </c>
      <c r="I129" s="114">
        <v>0</v>
      </c>
      <c r="J129" s="114">
        <v>277</v>
      </c>
      <c r="K129" s="114">
        <v>305</v>
      </c>
    </row>
    <row r="130" spans="1:11" x14ac:dyDescent="0.25">
      <c r="A130" s="114" t="s">
        <v>156</v>
      </c>
      <c r="B130" s="115" t="s">
        <v>123</v>
      </c>
      <c r="C130" s="114">
        <v>0</v>
      </c>
      <c r="D130" s="114">
        <v>315</v>
      </c>
      <c r="E130" s="114">
        <v>220</v>
      </c>
      <c r="F130" s="114">
        <v>380</v>
      </c>
      <c r="G130" s="114">
        <v>248</v>
      </c>
      <c r="H130" s="114">
        <v>314</v>
      </c>
      <c r="I130" s="114">
        <v>0</v>
      </c>
      <c r="J130" s="114">
        <v>254</v>
      </c>
      <c r="K130" s="114">
        <v>263</v>
      </c>
    </row>
    <row r="131" spans="1:11" x14ac:dyDescent="0.25">
      <c r="A131" s="114" t="s">
        <v>156</v>
      </c>
      <c r="B131" s="115" t="s">
        <v>124</v>
      </c>
      <c r="C131" s="114">
        <v>0</v>
      </c>
      <c r="D131" s="114">
        <v>180</v>
      </c>
      <c r="E131" s="114">
        <v>231</v>
      </c>
      <c r="F131" s="114">
        <v>428</v>
      </c>
      <c r="G131" s="114">
        <v>371</v>
      </c>
      <c r="H131" s="114">
        <v>396</v>
      </c>
      <c r="I131" s="114">
        <v>0</v>
      </c>
      <c r="J131" s="114">
        <v>279</v>
      </c>
      <c r="K131" s="114">
        <v>221</v>
      </c>
    </row>
    <row r="132" spans="1:11" x14ac:dyDescent="0.25">
      <c r="A132" s="114" t="s">
        <v>156</v>
      </c>
      <c r="B132" s="115" t="s">
        <v>125</v>
      </c>
      <c r="C132" s="114">
        <v>0</v>
      </c>
      <c r="D132" s="114">
        <v>234</v>
      </c>
      <c r="E132" s="114">
        <v>364</v>
      </c>
      <c r="F132" s="114">
        <v>407</v>
      </c>
      <c r="G132" s="114">
        <v>397</v>
      </c>
      <c r="H132" s="114">
        <v>401</v>
      </c>
      <c r="I132" s="114">
        <v>0</v>
      </c>
      <c r="J132" s="114">
        <v>323</v>
      </c>
      <c r="K132" s="114">
        <v>338</v>
      </c>
    </row>
    <row r="133" spans="1:11" x14ac:dyDescent="0.25">
      <c r="A133" s="114" t="s">
        <v>156</v>
      </c>
      <c r="B133" s="115" t="s">
        <v>126</v>
      </c>
      <c r="C133" s="114">
        <v>0</v>
      </c>
      <c r="D133" s="114">
        <v>338</v>
      </c>
      <c r="E133" s="114">
        <v>318</v>
      </c>
      <c r="F133" s="114">
        <v>430</v>
      </c>
      <c r="G133" s="114">
        <v>408</v>
      </c>
      <c r="H133" s="114">
        <v>343</v>
      </c>
      <c r="I133" s="114">
        <v>0</v>
      </c>
      <c r="J133" s="114">
        <v>332</v>
      </c>
      <c r="K133" s="114">
        <v>375</v>
      </c>
    </row>
    <row r="134" spans="1:11" x14ac:dyDescent="0.25">
      <c r="A134" s="114" t="s">
        <v>156</v>
      </c>
      <c r="B134" s="115" t="s">
        <v>127</v>
      </c>
      <c r="C134" s="114">
        <v>0</v>
      </c>
      <c r="D134" s="114">
        <v>373</v>
      </c>
      <c r="E134" s="114">
        <v>309</v>
      </c>
      <c r="F134" s="114">
        <v>419</v>
      </c>
      <c r="G134" s="114">
        <v>301</v>
      </c>
      <c r="H134" s="114">
        <v>389</v>
      </c>
      <c r="I134" s="114">
        <v>0</v>
      </c>
      <c r="J134" s="114">
        <v>307</v>
      </c>
      <c r="K134" s="114">
        <v>376</v>
      </c>
    </row>
    <row r="135" spans="1:11" x14ac:dyDescent="0.25">
      <c r="A135" s="114" t="s">
        <v>156</v>
      </c>
      <c r="B135" s="115" t="s">
        <v>128</v>
      </c>
      <c r="C135" s="114">
        <v>0</v>
      </c>
      <c r="D135" s="114">
        <v>347</v>
      </c>
      <c r="E135" s="114">
        <v>370</v>
      </c>
      <c r="F135" s="114">
        <v>235</v>
      </c>
      <c r="G135" s="114">
        <v>333</v>
      </c>
      <c r="H135" s="114">
        <v>395</v>
      </c>
      <c r="I135" s="114">
        <v>0</v>
      </c>
      <c r="J135" s="114">
        <v>266</v>
      </c>
      <c r="K135" s="114">
        <v>398</v>
      </c>
    </row>
    <row r="136" spans="1:11" x14ac:dyDescent="0.25">
      <c r="A136" s="114" t="s">
        <v>156</v>
      </c>
      <c r="B136" s="115" t="s">
        <v>129</v>
      </c>
      <c r="C136" s="114">
        <v>0</v>
      </c>
      <c r="D136" s="114">
        <v>234</v>
      </c>
      <c r="E136" s="114">
        <v>255</v>
      </c>
      <c r="F136" s="114">
        <v>217</v>
      </c>
      <c r="G136" s="114">
        <v>289</v>
      </c>
      <c r="H136" s="114">
        <v>401</v>
      </c>
      <c r="I136" s="114">
        <v>0</v>
      </c>
      <c r="J136" s="114">
        <v>307</v>
      </c>
      <c r="K136" s="114">
        <v>255</v>
      </c>
    </row>
    <row r="137" spans="1:11" x14ac:dyDescent="0.25">
      <c r="A137" s="114" t="s">
        <v>156</v>
      </c>
      <c r="B137" s="115" t="s">
        <v>130</v>
      </c>
      <c r="C137" s="114">
        <v>0</v>
      </c>
      <c r="D137" s="114">
        <v>247</v>
      </c>
      <c r="E137" s="114">
        <v>391</v>
      </c>
      <c r="F137" s="114">
        <v>211</v>
      </c>
      <c r="G137" s="114">
        <v>375</v>
      </c>
      <c r="H137" s="114">
        <v>373</v>
      </c>
      <c r="I137" s="114">
        <v>0</v>
      </c>
      <c r="J137" s="114">
        <v>218</v>
      </c>
      <c r="K137" s="114">
        <v>321</v>
      </c>
    </row>
    <row r="138" spans="1:11" x14ac:dyDescent="0.25">
      <c r="A138" s="114" t="s">
        <v>156</v>
      </c>
      <c r="B138" s="115" t="s">
        <v>131</v>
      </c>
      <c r="C138" s="114">
        <v>0</v>
      </c>
      <c r="D138" s="114">
        <v>137</v>
      </c>
      <c r="E138" s="114">
        <v>395</v>
      </c>
      <c r="F138" s="114">
        <v>229</v>
      </c>
      <c r="G138" s="114">
        <v>398</v>
      </c>
      <c r="H138" s="114">
        <v>358</v>
      </c>
      <c r="I138" s="114">
        <v>0</v>
      </c>
      <c r="J138" s="114">
        <v>137</v>
      </c>
      <c r="K138" s="114">
        <v>283</v>
      </c>
    </row>
    <row r="139" spans="1:11" x14ac:dyDescent="0.25">
      <c r="A139" s="114" t="s">
        <v>156</v>
      </c>
      <c r="B139" s="115" t="s">
        <v>132</v>
      </c>
      <c r="C139" s="114">
        <v>0</v>
      </c>
      <c r="D139" s="114">
        <v>110</v>
      </c>
      <c r="E139" s="114">
        <v>321</v>
      </c>
      <c r="F139" s="114">
        <v>273</v>
      </c>
      <c r="G139" s="114">
        <v>384</v>
      </c>
      <c r="H139" s="114">
        <v>423</v>
      </c>
      <c r="I139" s="114">
        <v>0</v>
      </c>
      <c r="J139" s="114">
        <v>134</v>
      </c>
      <c r="K139" s="114">
        <v>302</v>
      </c>
    </row>
    <row r="140" spans="1:11" x14ac:dyDescent="0.25">
      <c r="A140" s="114" t="s">
        <v>156</v>
      </c>
      <c r="B140" s="115" t="s">
        <v>133</v>
      </c>
      <c r="C140" s="114">
        <v>0</v>
      </c>
      <c r="D140" s="114">
        <v>130</v>
      </c>
      <c r="E140" s="114">
        <v>368</v>
      </c>
      <c r="F140" s="114">
        <v>350</v>
      </c>
      <c r="G140" s="114">
        <v>357</v>
      </c>
      <c r="H140" s="114">
        <v>252</v>
      </c>
      <c r="I140" s="114">
        <v>0</v>
      </c>
      <c r="J140" s="114">
        <v>166</v>
      </c>
      <c r="K140" s="114">
        <v>373</v>
      </c>
    </row>
    <row r="141" spans="1:11" x14ac:dyDescent="0.25">
      <c r="A141" s="114" t="s">
        <v>156</v>
      </c>
      <c r="B141" s="115" t="s">
        <v>134</v>
      </c>
      <c r="C141" s="114">
        <v>0</v>
      </c>
      <c r="D141" s="114">
        <v>141</v>
      </c>
      <c r="E141" s="114">
        <v>377</v>
      </c>
      <c r="F141" s="114">
        <v>392</v>
      </c>
      <c r="G141" s="114">
        <v>193</v>
      </c>
      <c r="H141" s="114">
        <v>339</v>
      </c>
      <c r="I141" s="114">
        <v>0</v>
      </c>
      <c r="J141" s="114">
        <v>232</v>
      </c>
      <c r="K141" s="114">
        <v>327</v>
      </c>
    </row>
    <row r="142" spans="1:11" x14ac:dyDescent="0.25">
      <c r="A142" s="114" t="s">
        <v>156</v>
      </c>
      <c r="B142" s="115" t="s">
        <v>135</v>
      </c>
      <c r="C142" s="114">
        <v>0</v>
      </c>
      <c r="D142" s="114">
        <v>240</v>
      </c>
      <c r="E142" s="114">
        <v>364</v>
      </c>
      <c r="F142" s="114">
        <v>180</v>
      </c>
      <c r="G142" s="114">
        <v>307</v>
      </c>
      <c r="H142" s="114">
        <v>344</v>
      </c>
      <c r="I142" s="114">
        <v>0</v>
      </c>
      <c r="J142" s="114">
        <v>293</v>
      </c>
      <c r="K142" s="114">
        <v>343</v>
      </c>
    </row>
    <row r="143" spans="1:11" x14ac:dyDescent="0.25">
      <c r="A143" s="114" t="s">
        <v>156</v>
      </c>
      <c r="B143" s="115" t="s">
        <v>136</v>
      </c>
      <c r="C143" s="114">
        <v>0</v>
      </c>
      <c r="D143" s="114">
        <v>304</v>
      </c>
      <c r="E143" s="114">
        <v>234</v>
      </c>
      <c r="F143" s="114">
        <v>201</v>
      </c>
      <c r="G143" s="114">
        <v>373</v>
      </c>
      <c r="H143" s="114">
        <v>325</v>
      </c>
      <c r="I143" s="114">
        <v>0</v>
      </c>
      <c r="J143" s="114">
        <v>276</v>
      </c>
      <c r="K143" s="114">
        <v>335</v>
      </c>
    </row>
    <row r="144" spans="1:11" x14ac:dyDescent="0.25">
      <c r="A144" s="114" t="s">
        <v>156</v>
      </c>
      <c r="B144" s="115" t="s">
        <v>137</v>
      </c>
      <c r="C144" s="114">
        <v>0</v>
      </c>
      <c r="D144" s="114">
        <v>360</v>
      </c>
      <c r="E144" s="114">
        <v>280</v>
      </c>
      <c r="F144" s="114">
        <v>413</v>
      </c>
      <c r="G144" s="114">
        <v>382</v>
      </c>
      <c r="H144" s="114">
        <v>285</v>
      </c>
      <c r="I144" s="114">
        <v>0</v>
      </c>
      <c r="J144" s="114">
        <v>207</v>
      </c>
      <c r="K144" s="114">
        <v>338</v>
      </c>
    </row>
    <row r="145" spans="1:11" x14ac:dyDescent="0.25">
      <c r="A145" s="114" t="s">
        <v>156</v>
      </c>
      <c r="B145" s="115" t="s">
        <v>138</v>
      </c>
      <c r="C145" s="114">
        <v>0</v>
      </c>
      <c r="D145" s="114">
        <v>292</v>
      </c>
      <c r="E145" s="114">
        <v>313</v>
      </c>
      <c r="F145" s="114">
        <v>408</v>
      </c>
      <c r="G145" s="114">
        <v>273</v>
      </c>
      <c r="H145" s="114">
        <v>327</v>
      </c>
      <c r="I145" s="114">
        <v>0</v>
      </c>
      <c r="J145" s="114">
        <v>211</v>
      </c>
      <c r="K145" s="114">
        <v>354</v>
      </c>
    </row>
    <row r="146" spans="1:11" x14ac:dyDescent="0.25">
      <c r="A146" s="114" t="s">
        <v>156</v>
      </c>
      <c r="B146" s="115" t="s">
        <v>139</v>
      </c>
      <c r="C146" s="114">
        <v>0</v>
      </c>
      <c r="D146" s="114">
        <v>319</v>
      </c>
      <c r="E146" s="114">
        <v>303</v>
      </c>
      <c r="F146" s="114">
        <v>397</v>
      </c>
      <c r="G146" s="114">
        <v>336</v>
      </c>
      <c r="H146" s="114">
        <v>353</v>
      </c>
      <c r="I146" s="114">
        <v>0</v>
      </c>
      <c r="J146" s="114">
        <v>219</v>
      </c>
      <c r="K146" s="114">
        <v>355</v>
      </c>
    </row>
    <row r="147" spans="1:11" x14ac:dyDescent="0.25">
      <c r="A147" s="114" t="s">
        <v>156</v>
      </c>
      <c r="B147" s="115" t="s">
        <v>140</v>
      </c>
      <c r="C147" s="114">
        <v>0</v>
      </c>
      <c r="D147" s="114">
        <v>277</v>
      </c>
      <c r="E147" s="114">
        <v>371</v>
      </c>
      <c r="F147" s="114">
        <v>293</v>
      </c>
      <c r="G147" s="114">
        <v>365</v>
      </c>
      <c r="H147" s="114">
        <v>371</v>
      </c>
      <c r="I147" s="114">
        <v>0</v>
      </c>
      <c r="J147" s="114">
        <v>204</v>
      </c>
      <c r="K147" s="114">
        <v>282</v>
      </c>
    </row>
    <row r="148" spans="1:11" x14ac:dyDescent="0.25">
      <c r="A148" s="114" t="s">
        <v>156</v>
      </c>
      <c r="B148" s="115" t="s">
        <v>141</v>
      </c>
      <c r="C148" s="114">
        <v>0</v>
      </c>
      <c r="D148" s="114">
        <v>224</v>
      </c>
      <c r="E148" s="114">
        <v>351</v>
      </c>
      <c r="F148" s="114">
        <v>369</v>
      </c>
      <c r="G148" s="114">
        <v>303</v>
      </c>
      <c r="H148" s="114">
        <v>393</v>
      </c>
      <c r="I148" s="114">
        <v>0</v>
      </c>
      <c r="J148" s="114">
        <v>217</v>
      </c>
      <c r="K148" s="114">
        <v>335</v>
      </c>
    </row>
    <row r="149" spans="1:11" x14ac:dyDescent="0.25">
      <c r="A149" s="114" t="s">
        <v>156</v>
      </c>
      <c r="B149" s="115" t="s">
        <v>142</v>
      </c>
      <c r="C149" s="114">
        <v>0</v>
      </c>
      <c r="D149" s="114">
        <v>241</v>
      </c>
      <c r="E149" s="114">
        <v>321</v>
      </c>
      <c r="F149" s="114">
        <v>302</v>
      </c>
      <c r="G149" s="114">
        <v>284</v>
      </c>
      <c r="H149" s="114">
        <v>412</v>
      </c>
      <c r="I149" s="114">
        <v>0</v>
      </c>
      <c r="J149" s="114">
        <v>290</v>
      </c>
      <c r="K149" s="114">
        <v>363</v>
      </c>
    </row>
    <row r="150" spans="1:11" x14ac:dyDescent="0.25">
      <c r="A150" s="114" t="s">
        <v>156</v>
      </c>
      <c r="B150" s="115" t="s">
        <v>143</v>
      </c>
      <c r="C150" s="114">
        <v>0</v>
      </c>
      <c r="D150" s="114">
        <v>313</v>
      </c>
      <c r="E150" s="114">
        <v>262</v>
      </c>
      <c r="F150" s="114">
        <v>347</v>
      </c>
      <c r="G150" s="114">
        <v>286</v>
      </c>
      <c r="H150" s="114">
        <v>262</v>
      </c>
      <c r="I150" s="114">
        <v>0</v>
      </c>
      <c r="J150" s="114">
        <v>286</v>
      </c>
      <c r="K150" s="114">
        <v>354</v>
      </c>
    </row>
    <row r="151" spans="1:11" x14ac:dyDescent="0.25">
      <c r="A151" s="114" t="s">
        <v>156</v>
      </c>
      <c r="B151" s="115" t="s">
        <v>144</v>
      </c>
      <c r="C151" s="114">
        <v>0</v>
      </c>
      <c r="D151" s="114">
        <v>396</v>
      </c>
      <c r="E151" s="114">
        <v>379</v>
      </c>
      <c r="F151" s="114">
        <v>317</v>
      </c>
      <c r="G151" s="114">
        <v>268</v>
      </c>
      <c r="H151" s="114">
        <v>343</v>
      </c>
      <c r="I151" s="114">
        <v>0</v>
      </c>
      <c r="J151" s="114">
        <v>209</v>
      </c>
      <c r="K151" s="114">
        <v>308</v>
      </c>
    </row>
    <row r="152" spans="1:11" x14ac:dyDescent="0.25">
      <c r="A152" s="114" t="s">
        <v>156</v>
      </c>
      <c r="B152" s="115" t="s">
        <v>145</v>
      </c>
      <c r="C152" s="114">
        <v>0</v>
      </c>
      <c r="D152" s="114">
        <v>381</v>
      </c>
      <c r="E152" s="114">
        <v>366</v>
      </c>
      <c r="F152" s="114">
        <v>303</v>
      </c>
      <c r="G152" s="114">
        <v>246</v>
      </c>
      <c r="H152" s="114">
        <v>378</v>
      </c>
      <c r="I152" s="114">
        <v>0</v>
      </c>
      <c r="J152" s="114">
        <v>174</v>
      </c>
      <c r="K152" s="114">
        <v>307</v>
      </c>
    </row>
    <row r="153" spans="1:11" x14ac:dyDescent="0.25">
      <c r="A153" s="114" t="s">
        <v>156</v>
      </c>
      <c r="B153" s="115" t="s">
        <v>146</v>
      </c>
      <c r="C153" s="114">
        <v>0</v>
      </c>
      <c r="D153" s="114">
        <v>169</v>
      </c>
      <c r="E153" s="114">
        <v>365</v>
      </c>
      <c r="F153" s="114">
        <v>234</v>
      </c>
      <c r="G153" s="114">
        <v>378</v>
      </c>
      <c r="H153" s="114">
        <v>435</v>
      </c>
      <c r="I153" s="114">
        <v>0</v>
      </c>
      <c r="J153" s="114">
        <v>186</v>
      </c>
      <c r="K153" s="114">
        <v>241</v>
      </c>
    </row>
    <row r="154" spans="1:11" x14ac:dyDescent="0.25">
      <c r="A154" s="114" t="s">
        <v>156</v>
      </c>
      <c r="B154" s="115" t="s">
        <v>147</v>
      </c>
      <c r="C154" s="114">
        <v>0</v>
      </c>
      <c r="D154" s="114">
        <v>136</v>
      </c>
      <c r="E154" s="114">
        <v>373</v>
      </c>
      <c r="F154" s="114">
        <v>387</v>
      </c>
      <c r="G154" s="114">
        <v>408</v>
      </c>
      <c r="H154" s="114">
        <v>423</v>
      </c>
      <c r="I154" s="114">
        <v>0</v>
      </c>
      <c r="J154" s="114">
        <v>165</v>
      </c>
      <c r="K154" s="114">
        <v>309</v>
      </c>
    </row>
    <row r="155" spans="1:11" x14ac:dyDescent="0.25">
      <c r="A155" s="114" t="s">
        <v>156</v>
      </c>
      <c r="B155" s="115" t="s">
        <v>148</v>
      </c>
      <c r="C155" s="114">
        <v>0</v>
      </c>
      <c r="D155" s="114">
        <v>155</v>
      </c>
      <c r="E155" s="114">
        <v>367</v>
      </c>
      <c r="F155" s="114">
        <v>439</v>
      </c>
      <c r="G155" s="114">
        <v>381</v>
      </c>
      <c r="H155" s="114">
        <v>304</v>
      </c>
      <c r="I155" s="114">
        <v>0</v>
      </c>
      <c r="J155" s="114">
        <v>227</v>
      </c>
      <c r="K155" s="114">
        <v>349</v>
      </c>
    </row>
    <row r="156" spans="1:11" x14ac:dyDescent="0.25">
      <c r="A156" s="114" t="s">
        <v>156</v>
      </c>
      <c r="B156" s="115" t="s">
        <v>149</v>
      </c>
      <c r="C156" s="114">
        <v>0</v>
      </c>
      <c r="D156" s="114">
        <v>164</v>
      </c>
      <c r="E156" s="114">
        <v>421</v>
      </c>
      <c r="F156" s="114">
        <v>418</v>
      </c>
      <c r="G156" s="114">
        <v>272</v>
      </c>
      <c r="H156" s="114">
        <v>270</v>
      </c>
      <c r="I156" s="114">
        <v>0</v>
      </c>
      <c r="J156" s="114">
        <v>275</v>
      </c>
      <c r="K156" s="114">
        <v>391</v>
      </c>
    </row>
    <row r="157" spans="1:11" x14ac:dyDescent="0.25">
      <c r="A157" s="114" t="s">
        <v>156</v>
      </c>
      <c r="B157" s="115" t="s">
        <v>150</v>
      </c>
      <c r="C157" s="114">
        <v>0</v>
      </c>
      <c r="D157" s="114">
        <v>201</v>
      </c>
      <c r="E157" s="114">
        <v>411</v>
      </c>
      <c r="F157" s="114">
        <v>269</v>
      </c>
      <c r="G157" s="114">
        <v>366</v>
      </c>
      <c r="H157" s="114">
        <v>277</v>
      </c>
      <c r="I157" s="114">
        <v>0</v>
      </c>
      <c r="J157" s="114">
        <v>281</v>
      </c>
      <c r="K157" s="114">
        <v>375</v>
      </c>
    </row>
    <row r="158" spans="1:11" x14ac:dyDescent="0.25">
      <c r="A158" s="114" t="s">
        <v>156</v>
      </c>
      <c r="B158" s="115" t="s">
        <v>151</v>
      </c>
      <c r="C158" s="114">
        <v>0</v>
      </c>
      <c r="D158" s="114">
        <v>234</v>
      </c>
      <c r="E158" s="114">
        <v>217</v>
      </c>
      <c r="F158" s="114">
        <v>261</v>
      </c>
      <c r="G158" s="114">
        <v>405</v>
      </c>
      <c r="H158" s="114">
        <v>298</v>
      </c>
      <c r="I158" s="114">
        <v>0</v>
      </c>
      <c r="J158" s="114">
        <v>279</v>
      </c>
      <c r="K158" s="114">
        <v>231</v>
      </c>
    </row>
    <row r="159" spans="1:11" x14ac:dyDescent="0.25">
      <c r="A159" s="114" t="s">
        <v>156</v>
      </c>
      <c r="B159" s="115" t="s">
        <v>152</v>
      </c>
      <c r="C159" s="114">
        <v>0</v>
      </c>
      <c r="D159" s="114">
        <v>211</v>
      </c>
      <c r="E159" s="114">
        <v>223</v>
      </c>
      <c r="F159" s="114">
        <v>271</v>
      </c>
      <c r="G159" s="114">
        <v>396</v>
      </c>
      <c r="H159" s="114">
        <v>343</v>
      </c>
      <c r="I159" s="114">
        <v>0</v>
      </c>
      <c r="J159" s="114">
        <v>191</v>
      </c>
      <c r="K159" s="114">
        <v>200</v>
      </c>
    </row>
    <row r="160" spans="1:11" x14ac:dyDescent="0.25">
      <c r="A160" s="114" t="s">
        <v>157</v>
      </c>
      <c r="B160" s="115" t="s">
        <v>121</v>
      </c>
      <c r="C160" s="114">
        <v>0</v>
      </c>
      <c r="D160" s="114">
        <v>272</v>
      </c>
      <c r="E160" s="114">
        <v>242</v>
      </c>
      <c r="F160" s="114">
        <v>275</v>
      </c>
      <c r="G160" s="114">
        <v>347</v>
      </c>
      <c r="H160" s="114">
        <v>386</v>
      </c>
      <c r="I160" s="114">
        <v>0</v>
      </c>
      <c r="J160" s="114">
        <v>211</v>
      </c>
      <c r="K160" s="114">
        <v>224</v>
      </c>
    </row>
    <row r="161" spans="1:11" x14ac:dyDescent="0.25">
      <c r="A161" s="114" t="s">
        <v>157</v>
      </c>
      <c r="B161" s="115" t="s">
        <v>123</v>
      </c>
      <c r="C161" s="114">
        <v>0</v>
      </c>
      <c r="D161" s="114">
        <v>269</v>
      </c>
      <c r="E161" s="114">
        <v>279</v>
      </c>
      <c r="F161" s="114">
        <v>370</v>
      </c>
      <c r="G161" s="114">
        <v>344</v>
      </c>
      <c r="H161" s="114">
        <v>386</v>
      </c>
      <c r="I161" s="114">
        <v>0</v>
      </c>
      <c r="J161" s="114">
        <v>230</v>
      </c>
      <c r="K161" s="114">
        <v>245</v>
      </c>
    </row>
    <row r="162" spans="1:11" x14ac:dyDescent="0.25">
      <c r="A162" s="114" t="s">
        <v>157</v>
      </c>
      <c r="B162" s="115" t="s">
        <v>124</v>
      </c>
      <c r="C162" s="114">
        <v>0</v>
      </c>
      <c r="D162" s="114">
        <v>209</v>
      </c>
      <c r="E162" s="114">
        <v>333</v>
      </c>
      <c r="F162" s="114">
        <v>338</v>
      </c>
      <c r="G162" s="114">
        <v>226</v>
      </c>
      <c r="H162" s="114">
        <v>388</v>
      </c>
      <c r="I162" s="114">
        <v>0</v>
      </c>
      <c r="J162" s="114">
        <v>247</v>
      </c>
      <c r="K162" s="114">
        <v>313</v>
      </c>
    </row>
    <row r="163" spans="1:11" x14ac:dyDescent="0.25">
      <c r="A163" s="114" t="s">
        <v>157</v>
      </c>
      <c r="B163" s="115" t="s">
        <v>125</v>
      </c>
      <c r="C163" s="114">
        <v>0</v>
      </c>
      <c r="D163" s="114">
        <v>164</v>
      </c>
      <c r="E163" s="114">
        <v>342</v>
      </c>
      <c r="F163" s="114">
        <v>205</v>
      </c>
      <c r="G163" s="114">
        <v>263</v>
      </c>
      <c r="H163" s="114">
        <v>380</v>
      </c>
      <c r="I163" s="114">
        <v>0</v>
      </c>
      <c r="J163" s="114">
        <v>253</v>
      </c>
      <c r="K163" s="114">
        <v>374</v>
      </c>
    </row>
    <row r="164" spans="1:11" x14ac:dyDescent="0.25">
      <c r="A164" s="114" t="s">
        <v>157</v>
      </c>
      <c r="B164" s="115" t="s">
        <v>126</v>
      </c>
      <c r="C164" s="114">
        <v>0</v>
      </c>
      <c r="D164" s="114">
        <v>191</v>
      </c>
      <c r="E164" s="114">
        <v>213</v>
      </c>
      <c r="F164" s="114">
        <v>217</v>
      </c>
      <c r="G164" s="114">
        <v>272</v>
      </c>
      <c r="H164" s="114">
        <v>364</v>
      </c>
      <c r="I164" s="114">
        <v>0</v>
      </c>
      <c r="J164" s="114">
        <v>241</v>
      </c>
      <c r="K164" s="114">
        <v>392</v>
      </c>
    </row>
    <row r="165" spans="1:11" x14ac:dyDescent="0.25">
      <c r="A165" s="114" t="s">
        <v>157</v>
      </c>
      <c r="B165" s="115" t="s">
        <v>127</v>
      </c>
      <c r="C165" s="114">
        <v>0</v>
      </c>
      <c r="D165" s="114">
        <v>235</v>
      </c>
      <c r="E165" s="114">
        <v>191</v>
      </c>
      <c r="F165" s="114">
        <v>225</v>
      </c>
      <c r="G165" s="114">
        <v>362</v>
      </c>
      <c r="H165" s="114">
        <v>331</v>
      </c>
      <c r="I165" s="114">
        <v>0</v>
      </c>
      <c r="J165" s="114">
        <v>169</v>
      </c>
      <c r="K165" s="114">
        <v>385</v>
      </c>
    </row>
    <row r="166" spans="1:11" x14ac:dyDescent="0.25">
      <c r="A166" s="114" t="s">
        <v>157</v>
      </c>
      <c r="B166" s="115" t="s">
        <v>128</v>
      </c>
      <c r="C166" s="114">
        <v>0</v>
      </c>
      <c r="D166" s="114">
        <v>159</v>
      </c>
      <c r="E166" s="114">
        <v>252</v>
      </c>
      <c r="F166" s="114">
        <v>243</v>
      </c>
      <c r="G166" s="114">
        <v>370</v>
      </c>
      <c r="H166" s="114">
        <v>277</v>
      </c>
      <c r="I166" s="114">
        <v>0</v>
      </c>
      <c r="J166" s="114">
        <v>172</v>
      </c>
      <c r="K166" s="114">
        <v>363</v>
      </c>
    </row>
    <row r="167" spans="1:11" x14ac:dyDescent="0.25">
      <c r="A167" s="114" t="s">
        <v>157</v>
      </c>
      <c r="B167" s="115" t="s">
        <v>129</v>
      </c>
      <c r="C167" s="114">
        <v>0</v>
      </c>
      <c r="D167" s="114">
        <v>149</v>
      </c>
      <c r="E167" s="114">
        <v>325</v>
      </c>
      <c r="F167" s="114">
        <v>329</v>
      </c>
      <c r="G167" s="114">
        <v>329</v>
      </c>
      <c r="H167" s="114">
        <v>315</v>
      </c>
      <c r="I167" s="114">
        <v>0</v>
      </c>
      <c r="J167" s="114">
        <v>253</v>
      </c>
      <c r="K167" s="114">
        <v>236</v>
      </c>
    </row>
    <row r="168" spans="1:11" x14ac:dyDescent="0.25">
      <c r="A168" s="114" t="s">
        <v>157</v>
      </c>
      <c r="B168" s="115" t="s">
        <v>130</v>
      </c>
      <c r="C168" s="114">
        <v>0</v>
      </c>
      <c r="D168" s="114">
        <v>140</v>
      </c>
      <c r="E168" s="114">
        <v>325</v>
      </c>
      <c r="F168" s="114">
        <v>402</v>
      </c>
      <c r="G168" s="114">
        <v>327</v>
      </c>
      <c r="H168" s="114">
        <v>322</v>
      </c>
      <c r="I168" s="114">
        <v>0</v>
      </c>
      <c r="J168" s="114">
        <v>324</v>
      </c>
      <c r="K168" s="114">
        <v>215</v>
      </c>
    </row>
    <row r="169" spans="1:11" x14ac:dyDescent="0.25">
      <c r="A169" s="114" t="s">
        <v>157</v>
      </c>
      <c r="B169" s="115" t="s">
        <v>131</v>
      </c>
      <c r="C169" s="114">
        <v>0</v>
      </c>
      <c r="D169" s="114">
        <v>195</v>
      </c>
      <c r="E169" s="114">
        <v>291</v>
      </c>
      <c r="F169" s="114">
        <v>380</v>
      </c>
      <c r="G169" s="114">
        <v>335</v>
      </c>
      <c r="H169" s="114">
        <v>405</v>
      </c>
      <c r="I169" s="114">
        <v>0</v>
      </c>
      <c r="J169" s="114">
        <v>334</v>
      </c>
      <c r="K169" s="114">
        <v>283</v>
      </c>
    </row>
    <row r="170" spans="1:11" x14ac:dyDescent="0.25">
      <c r="A170" s="114" t="s">
        <v>157</v>
      </c>
      <c r="B170" s="115" t="s">
        <v>132</v>
      </c>
      <c r="C170" s="114">
        <v>0</v>
      </c>
      <c r="D170" s="114">
        <v>245</v>
      </c>
      <c r="E170" s="114">
        <v>378</v>
      </c>
      <c r="F170" s="114">
        <v>236</v>
      </c>
      <c r="G170" s="114">
        <v>341</v>
      </c>
      <c r="H170" s="114">
        <v>380</v>
      </c>
      <c r="I170" s="114">
        <v>0</v>
      </c>
      <c r="J170" s="114">
        <v>279</v>
      </c>
      <c r="K170" s="114">
        <v>353</v>
      </c>
    </row>
    <row r="171" spans="1:11" x14ac:dyDescent="0.25">
      <c r="A171" s="114" t="s">
        <v>157</v>
      </c>
      <c r="B171" s="115" t="s">
        <v>133</v>
      </c>
      <c r="C171" s="114">
        <v>0</v>
      </c>
      <c r="D171" s="114">
        <v>345</v>
      </c>
      <c r="E171" s="114">
        <v>370</v>
      </c>
      <c r="F171" s="114">
        <v>278</v>
      </c>
      <c r="G171" s="114">
        <v>330</v>
      </c>
      <c r="H171" s="114">
        <v>339</v>
      </c>
      <c r="I171" s="114">
        <v>0</v>
      </c>
      <c r="J171" s="114">
        <v>235</v>
      </c>
      <c r="K171" s="114">
        <v>369</v>
      </c>
    </row>
    <row r="172" spans="1:11" x14ac:dyDescent="0.25">
      <c r="A172" s="114" t="s">
        <v>157</v>
      </c>
      <c r="B172" s="115" t="s">
        <v>134</v>
      </c>
      <c r="C172" s="114">
        <v>0</v>
      </c>
      <c r="D172" s="114">
        <v>324</v>
      </c>
      <c r="E172" s="114">
        <v>365</v>
      </c>
      <c r="F172" s="114">
        <v>380</v>
      </c>
      <c r="G172" s="114">
        <v>336</v>
      </c>
      <c r="H172" s="114">
        <v>292</v>
      </c>
      <c r="I172" s="114">
        <v>0</v>
      </c>
      <c r="J172" s="114">
        <v>213</v>
      </c>
      <c r="K172" s="114">
        <v>375</v>
      </c>
    </row>
    <row r="173" spans="1:11" x14ac:dyDescent="0.25">
      <c r="A173" s="114" t="s">
        <v>157</v>
      </c>
      <c r="B173" s="115" t="s">
        <v>135</v>
      </c>
      <c r="C173" s="114">
        <v>0</v>
      </c>
      <c r="D173" s="114">
        <v>213</v>
      </c>
      <c r="E173" s="114">
        <v>376</v>
      </c>
      <c r="F173" s="114">
        <v>408</v>
      </c>
      <c r="G173" s="114">
        <v>351</v>
      </c>
      <c r="H173" s="114">
        <v>391</v>
      </c>
      <c r="I173" s="114">
        <v>0</v>
      </c>
      <c r="J173" s="114">
        <v>242</v>
      </c>
      <c r="K173" s="114">
        <v>366</v>
      </c>
    </row>
    <row r="174" spans="1:11" x14ac:dyDescent="0.25">
      <c r="A174" s="114" t="s">
        <v>157</v>
      </c>
      <c r="B174" s="115" t="s">
        <v>136</v>
      </c>
      <c r="C174" s="114">
        <v>0</v>
      </c>
      <c r="D174" s="114">
        <v>176</v>
      </c>
      <c r="E174" s="114">
        <v>369</v>
      </c>
      <c r="F174" s="114">
        <v>409</v>
      </c>
      <c r="G174" s="114">
        <v>338</v>
      </c>
      <c r="H174" s="114">
        <v>406</v>
      </c>
      <c r="I174" s="114">
        <v>0</v>
      </c>
      <c r="J174" s="114">
        <v>250</v>
      </c>
      <c r="K174" s="114">
        <v>316</v>
      </c>
    </row>
    <row r="175" spans="1:11" x14ac:dyDescent="0.25">
      <c r="A175" s="114" t="s">
        <v>157</v>
      </c>
      <c r="B175" s="115" t="s">
        <v>137</v>
      </c>
      <c r="C175" s="114">
        <v>0</v>
      </c>
      <c r="D175" s="114">
        <v>207</v>
      </c>
      <c r="E175" s="114">
        <v>288</v>
      </c>
      <c r="F175" s="114">
        <v>396</v>
      </c>
      <c r="G175" s="114">
        <v>366</v>
      </c>
      <c r="H175" s="114">
        <v>300</v>
      </c>
      <c r="I175" s="114">
        <v>0</v>
      </c>
      <c r="J175" s="114">
        <v>312</v>
      </c>
      <c r="K175" s="114">
        <v>315</v>
      </c>
    </row>
    <row r="176" spans="1:11" x14ac:dyDescent="0.25">
      <c r="A176" s="114" t="s">
        <v>157</v>
      </c>
      <c r="B176" s="115" t="s">
        <v>138</v>
      </c>
      <c r="C176" s="114">
        <v>0</v>
      </c>
      <c r="D176" s="114">
        <v>196</v>
      </c>
      <c r="E176" s="114">
        <v>282</v>
      </c>
      <c r="F176" s="114">
        <v>400</v>
      </c>
      <c r="G176" s="114">
        <v>261</v>
      </c>
      <c r="H176" s="114">
        <v>405</v>
      </c>
      <c r="I176" s="114">
        <v>0</v>
      </c>
      <c r="J176" s="114">
        <v>318</v>
      </c>
      <c r="K176" s="114">
        <v>331</v>
      </c>
    </row>
    <row r="177" spans="1:11" x14ac:dyDescent="0.25">
      <c r="A177" s="114" t="s">
        <v>157</v>
      </c>
      <c r="B177" s="115" t="s">
        <v>139</v>
      </c>
      <c r="C177" s="114">
        <v>0</v>
      </c>
      <c r="D177" s="114">
        <v>185</v>
      </c>
      <c r="E177" s="114">
        <v>288</v>
      </c>
      <c r="F177" s="114">
        <v>216</v>
      </c>
      <c r="G177" s="114">
        <v>253</v>
      </c>
      <c r="H177" s="114">
        <v>310</v>
      </c>
      <c r="I177" s="114">
        <v>0</v>
      </c>
      <c r="J177" s="114">
        <v>305</v>
      </c>
      <c r="K177" s="114">
        <v>322</v>
      </c>
    </row>
    <row r="178" spans="1:11" x14ac:dyDescent="0.25">
      <c r="A178" s="114" t="s">
        <v>157</v>
      </c>
      <c r="B178" s="115" t="s">
        <v>140</v>
      </c>
      <c r="C178" s="114">
        <v>0</v>
      </c>
      <c r="D178" s="114">
        <v>215</v>
      </c>
      <c r="E178" s="114">
        <v>237</v>
      </c>
      <c r="F178" s="114">
        <v>299</v>
      </c>
      <c r="G178" s="114">
        <v>274</v>
      </c>
      <c r="H178" s="114">
        <v>404</v>
      </c>
      <c r="I178" s="114">
        <v>0</v>
      </c>
      <c r="J178" s="114">
        <v>306</v>
      </c>
      <c r="K178" s="114">
        <v>295</v>
      </c>
    </row>
    <row r="179" spans="1:11" x14ac:dyDescent="0.25">
      <c r="A179" s="114" t="s">
        <v>157</v>
      </c>
      <c r="B179" s="115" t="s">
        <v>141</v>
      </c>
      <c r="C179" s="114">
        <v>0</v>
      </c>
      <c r="D179" s="114">
        <v>200</v>
      </c>
      <c r="E179" s="114">
        <v>298</v>
      </c>
      <c r="F179" s="114">
        <v>292</v>
      </c>
      <c r="G179" s="114">
        <v>361</v>
      </c>
      <c r="H179" s="114">
        <v>397</v>
      </c>
      <c r="I179" s="114">
        <v>0</v>
      </c>
      <c r="J179" s="114">
        <v>278</v>
      </c>
      <c r="K179" s="114">
        <v>313</v>
      </c>
    </row>
    <row r="180" spans="1:11" x14ac:dyDescent="0.25">
      <c r="A180" s="114" t="s">
        <v>157</v>
      </c>
      <c r="B180" s="115" t="s">
        <v>142</v>
      </c>
      <c r="C180" s="114">
        <v>0</v>
      </c>
      <c r="D180" s="114">
        <v>189</v>
      </c>
      <c r="E180" s="114">
        <v>324</v>
      </c>
      <c r="F180" s="114">
        <v>396</v>
      </c>
      <c r="G180" s="114">
        <v>340</v>
      </c>
      <c r="H180" s="114">
        <v>316</v>
      </c>
      <c r="I180" s="114">
        <v>0</v>
      </c>
      <c r="J180" s="114">
        <v>312</v>
      </c>
      <c r="K180" s="114">
        <v>301</v>
      </c>
    </row>
    <row r="181" spans="1:11" x14ac:dyDescent="0.25">
      <c r="A181" s="114" t="s">
        <v>157</v>
      </c>
      <c r="B181" s="115" t="s">
        <v>143</v>
      </c>
      <c r="C181" s="114">
        <v>0</v>
      </c>
      <c r="D181" s="114">
        <v>263</v>
      </c>
      <c r="E181" s="114">
        <v>295</v>
      </c>
      <c r="F181" s="114">
        <v>407</v>
      </c>
      <c r="G181" s="114">
        <v>391</v>
      </c>
      <c r="H181" s="114">
        <v>368</v>
      </c>
      <c r="I181" s="114">
        <v>0</v>
      </c>
      <c r="J181" s="114">
        <v>317</v>
      </c>
      <c r="K181" s="114">
        <v>319</v>
      </c>
    </row>
    <row r="182" spans="1:11" x14ac:dyDescent="0.25">
      <c r="A182" s="114" t="s">
        <v>157</v>
      </c>
      <c r="B182" s="115" t="s">
        <v>144</v>
      </c>
      <c r="C182" s="114">
        <v>0</v>
      </c>
      <c r="D182" s="114">
        <v>245</v>
      </c>
      <c r="E182" s="114">
        <v>307</v>
      </c>
      <c r="F182" s="114">
        <v>418</v>
      </c>
      <c r="G182" s="114">
        <v>401</v>
      </c>
      <c r="H182" s="114">
        <v>411</v>
      </c>
      <c r="I182" s="114">
        <v>0</v>
      </c>
      <c r="J182" s="114">
        <v>313</v>
      </c>
      <c r="K182" s="114">
        <v>340</v>
      </c>
    </row>
    <row r="183" spans="1:11" x14ac:dyDescent="0.25">
      <c r="A183" s="114" t="s">
        <v>157</v>
      </c>
      <c r="B183" s="115" t="s">
        <v>145</v>
      </c>
      <c r="C183" s="114">
        <v>0</v>
      </c>
      <c r="D183" s="114">
        <v>256</v>
      </c>
      <c r="E183" s="114">
        <v>338</v>
      </c>
      <c r="F183" s="114">
        <v>422</v>
      </c>
      <c r="G183" s="114">
        <v>279</v>
      </c>
      <c r="H183" s="114">
        <v>409</v>
      </c>
      <c r="I183" s="114">
        <v>0</v>
      </c>
      <c r="J183" s="114">
        <v>303</v>
      </c>
      <c r="K183" s="114">
        <v>340</v>
      </c>
    </row>
    <row r="184" spans="1:11" x14ac:dyDescent="0.25">
      <c r="A184" s="114" t="s">
        <v>157</v>
      </c>
      <c r="B184" s="115" t="s">
        <v>146</v>
      </c>
      <c r="C184" s="114">
        <v>0</v>
      </c>
      <c r="D184" s="114">
        <v>284</v>
      </c>
      <c r="E184" s="114">
        <v>340</v>
      </c>
      <c r="F184" s="114">
        <v>212</v>
      </c>
      <c r="G184" s="114">
        <v>392</v>
      </c>
      <c r="H184" s="114">
        <v>409</v>
      </c>
      <c r="I184" s="114">
        <v>0</v>
      </c>
      <c r="J184" s="114">
        <v>277</v>
      </c>
      <c r="K184" s="114">
        <v>342</v>
      </c>
    </row>
    <row r="185" spans="1:11" x14ac:dyDescent="0.25">
      <c r="A185" s="114" t="s">
        <v>157</v>
      </c>
      <c r="B185" s="115" t="s">
        <v>147</v>
      </c>
      <c r="C185" s="114">
        <v>0</v>
      </c>
      <c r="D185" s="114">
        <v>303</v>
      </c>
      <c r="E185" s="114">
        <v>399</v>
      </c>
      <c r="F185" s="114">
        <v>264</v>
      </c>
      <c r="G185" s="114">
        <v>399</v>
      </c>
      <c r="H185" s="114">
        <v>410</v>
      </c>
      <c r="I185" s="114">
        <v>0</v>
      </c>
      <c r="J185" s="114">
        <v>273</v>
      </c>
      <c r="K185" s="114">
        <v>382</v>
      </c>
    </row>
    <row r="186" spans="1:11" x14ac:dyDescent="0.25">
      <c r="A186" s="114" t="s">
        <v>157</v>
      </c>
      <c r="B186" s="115" t="s">
        <v>148</v>
      </c>
      <c r="C186" s="114">
        <v>0</v>
      </c>
      <c r="D186" s="114">
        <v>316</v>
      </c>
      <c r="E186" s="114">
        <v>408</v>
      </c>
      <c r="F186" s="114">
        <v>298</v>
      </c>
      <c r="G186" s="114">
        <v>403</v>
      </c>
      <c r="H186" s="114">
        <v>323</v>
      </c>
      <c r="I186" s="114">
        <v>0</v>
      </c>
      <c r="J186" s="114">
        <v>232</v>
      </c>
      <c r="K186" s="114">
        <v>391</v>
      </c>
    </row>
    <row r="187" spans="1:11" x14ac:dyDescent="0.25">
      <c r="A187" s="114" t="s">
        <v>157</v>
      </c>
      <c r="B187" s="115" t="s">
        <v>149</v>
      </c>
      <c r="C187" s="114">
        <v>0</v>
      </c>
      <c r="D187" s="114">
        <v>162</v>
      </c>
      <c r="E187" s="114">
        <v>421</v>
      </c>
      <c r="F187" s="114">
        <v>321</v>
      </c>
      <c r="G187" s="114">
        <v>281</v>
      </c>
      <c r="H187" s="114">
        <v>327</v>
      </c>
      <c r="I187" s="114">
        <v>0</v>
      </c>
      <c r="J187" s="114">
        <v>278</v>
      </c>
      <c r="K187" s="114">
        <v>374</v>
      </c>
    </row>
    <row r="188" spans="1:11" x14ac:dyDescent="0.25">
      <c r="A188" s="114" t="s">
        <v>157</v>
      </c>
      <c r="B188" s="115" t="s">
        <v>150</v>
      </c>
      <c r="C188" s="114">
        <v>0</v>
      </c>
      <c r="D188" s="114">
        <v>138</v>
      </c>
      <c r="E188" s="114">
        <v>231</v>
      </c>
      <c r="F188" s="114">
        <v>396</v>
      </c>
      <c r="G188" s="114">
        <v>333</v>
      </c>
      <c r="H188" s="114">
        <v>335</v>
      </c>
      <c r="I188" s="114">
        <v>0</v>
      </c>
      <c r="J188" s="114">
        <v>272</v>
      </c>
      <c r="K188" s="114">
        <v>261</v>
      </c>
    </row>
    <row r="189" spans="1:11" x14ac:dyDescent="0.25">
      <c r="A189" s="114" t="s">
        <v>157</v>
      </c>
      <c r="B189" s="115" t="s">
        <v>151</v>
      </c>
      <c r="C189" s="114">
        <v>0</v>
      </c>
      <c r="D189" s="114">
        <v>124</v>
      </c>
      <c r="E189" s="114">
        <v>248</v>
      </c>
      <c r="F189" s="114">
        <v>417</v>
      </c>
      <c r="G189" s="114">
        <v>320</v>
      </c>
      <c r="H189" s="114">
        <v>276</v>
      </c>
      <c r="I189" s="114">
        <v>0</v>
      </c>
      <c r="J189" s="114">
        <v>282</v>
      </c>
      <c r="K189" s="114">
        <v>198</v>
      </c>
    </row>
    <row r="190" spans="1:11" x14ac:dyDescent="0.25">
      <c r="A190" s="114" t="s">
        <v>158</v>
      </c>
      <c r="B190" s="115" t="s">
        <v>121</v>
      </c>
      <c r="C190" s="114">
        <v>0</v>
      </c>
      <c r="D190" s="114">
        <v>142</v>
      </c>
      <c r="E190" s="114">
        <v>313</v>
      </c>
      <c r="F190" s="114">
        <v>397</v>
      </c>
      <c r="G190" s="114">
        <v>285</v>
      </c>
      <c r="H190" s="114">
        <v>416</v>
      </c>
      <c r="I190" s="114">
        <v>79</v>
      </c>
      <c r="J190" s="114">
        <v>266</v>
      </c>
      <c r="K190" s="114">
        <v>222</v>
      </c>
    </row>
    <row r="191" spans="1:11" x14ac:dyDescent="0.25">
      <c r="A191" s="114" t="s">
        <v>158</v>
      </c>
      <c r="B191" s="115" t="s">
        <v>123</v>
      </c>
      <c r="C191" s="114">
        <v>0</v>
      </c>
      <c r="D191" s="114">
        <v>175</v>
      </c>
      <c r="E191" s="114">
        <v>382</v>
      </c>
      <c r="F191" s="114">
        <v>312</v>
      </c>
      <c r="G191" s="114">
        <v>298</v>
      </c>
      <c r="H191" s="114">
        <v>413</v>
      </c>
      <c r="I191" s="114">
        <v>124</v>
      </c>
      <c r="J191" s="114">
        <v>272</v>
      </c>
      <c r="K191" s="114">
        <v>274</v>
      </c>
    </row>
    <row r="192" spans="1:11" x14ac:dyDescent="0.25">
      <c r="A192" s="114" t="s">
        <v>158</v>
      </c>
      <c r="B192" s="115" t="s">
        <v>124</v>
      </c>
      <c r="C192" s="114">
        <v>0</v>
      </c>
      <c r="D192" s="114">
        <v>199</v>
      </c>
      <c r="E192" s="114">
        <v>402</v>
      </c>
      <c r="F192" s="114">
        <v>316</v>
      </c>
      <c r="G192" s="114">
        <v>327</v>
      </c>
      <c r="H192" s="114">
        <v>337</v>
      </c>
      <c r="I192" s="114">
        <v>208</v>
      </c>
      <c r="J192" s="114">
        <v>299</v>
      </c>
      <c r="K192" s="114">
        <v>294</v>
      </c>
    </row>
    <row r="193" spans="1:11" x14ac:dyDescent="0.25">
      <c r="A193" s="114" t="s">
        <v>158</v>
      </c>
      <c r="B193" s="115" t="s">
        <v>125</v>
      </c>
      <c r="C193" s="114">
        <v>0</v>
      </c>
      <c r="D193" s="114">
        <v>229</v>
      </c>
      <c r="E193" s="114">
        <v>348</v>
      </c>
      <c r="F193" s="114">
        <v>287</v>
      </c>
      <c r="G193" s="114">
        <v>350</v>
      </c>
      <c r="H193" s="114">
        <v>401</v>
      </c>
      <c r="I193" s="114">
        <v>218</v>
      </c>
      <c r="J193" s="114">
        <v>281</v>
      </c>
      <c r="K193" s="114">
        <v>265</v>
      </c>
    </row>
    <row r="194" spans="1:11" x14ac:dyDescent="0.25">
      <c r="A194" s="114" t="s">
        <v>158</v>
      </c>
      <c r="B194" s="115" t="s">
        <v>126</v>
      </c>
      <c r="C194" s="114">
        <v>0</v>
      </c>
      <c r="D194" s="114">
        <v>142</v>
      </c>
      <c r="E194" s="114">
        <v>389</v>
      </c>
      <c r="F194" s="114">
        <v>386</v>
      </c>
      <c r="G194" s="114">
        <v>325</v>
      </c>
      <c r="H194" s="114">
        <v>399</v>
      </c>
      <c r="I194" s="114">
        <v>88</v>
      </c>
      <c r="J194" s="114">
        <v>218</v>
      </c>
      <c r="K194" s="114">
        <v>229</v>
      </c>
    </row>
    <row r="195" spans="1:11" x14ac:dyDescent="0.25">
      <c r="A195" s="114" t="s">
        <v>158</v>
      </c>
      <c r="B195" s="115" t="s">
        <v>127</v>
      </c>
      <c r="C195" s="114">
        <v>0</v>
      </c>
      <c r="D195" s="114">
        <v>156</v>
      </c>
      <c r="E195" s="114">
        <v>387</v>
      </c>
      <c r="F195" s="114">
        <v>388</v>
      </c>
      <c r="G195" s="114">
        <v>329</v>
      </c>
      <c r="H195" s="114">
        <v>416</v>
      </c>
      <c r="I195" s="114">
        <v>69</v>
      </c>
      <c r="J195" s="114">
        <v>213</v>
      </c>
      <c r="K195" s="114">
        <v>242</v>
      </c>
    </row>
    <row r="196" spans="1:11" x14ac:dyDescent="0.25">
      <c r="A196" s="114" t="s">
        <v>158</v>
      </c>
      <c r="B196" s="115" t="s">
        <v>128</v>
      </c>
      <c r="C196" s="114">
        <v>0</v>
      </c>
      <c r="D196" s="114">
        <v>164</v>
      </c>
      <c r="E196" s="114">
        <v>256</v>
      </c>
      <c r="F196" s="114">
        <v>267</v>
      </c>
      <c r="G196" s="114">
        <v>305</v>
      </c>
      <c r="H196" s="114">
        <v>316</v>
      </c>
      <c r="I196" s="114">
        <v>55</v>
      </c>
      <c r="J196" s="114">
        <v>268</v>
      </c>
      <c r="K196" s="114">
        <v>245</v>
      </c>
    </row>
    <row r="197" spans="1:11" x14ac:dyDescent="0.25">
      <c r="A197" s="114" t="s">
        <v>158</v>
      </c>
      <c r="B197" s="115" t="s">
        <v>129</v>
      </c>
      <c r="C197" s="114">
        <v>0</v>
      </c>
      <c r="D197" s="114">
        <v>170</v>
      </c>
      <c r="E197" s="114">
        <v>346</v>
      </c>
      <c r="F197" s="114">
        <v>289</v>
      </c>
      <c r="G197" s="114">
        <v>242</v>
      </c>
      <c r="H197" s="114">
        <v>332</v>
      </c>
      <c r="I197" s="114">
        <v>48</v>
      </c>
      <c r="J197" s="114">
        <v>314</v>
      </c>
      <c r="K197" s="114">
        <v>272</v>
      </c>
    </row>
    <row r="198" spans="1:11" x14ac:dyDescent="0.25">
      <c r="A198" s="114" t="s">
        <v>158</v>
      </c>
      <c r="B198" s="115" t="s">
        <v>130</v>
      </c>
      <c r="C198" s="114">
        <v>0</v>
      </c>
      <c r="D198" s="114">
        <v>161</v>
      </c>
      <c r="E198" s="114">
        <v>356</v>
      </c>
      <c r="F198" s="114">
        <v>259</v>
      </c>
      <c r="G198" s="114">
        <v>318</v>
      </c>
      <c r="H198" s="114">
        <v>384</v>
      </c>
      <c r="I198" s="114">
        <v>67</v>
      </c>
      <c r="J198" s="114">
        <v>314</v>
      </c>
      <c r="K198" s="114">
        <v>270</v>
      </c>
    </row>
    <row r="199" spans="1:11" x14ac:dyDescent="0.25">
      <c r="A199" s="114" t="s">
        <v>158</v>
      </c>
      <c r="B199" s="115" t="s">
        <v>131</v>
      </c>
      <c r="C199" s="114">
        <v>0</v>
      </c>
      <c r="D199" s="114">
        <v>168</v>
      </c>
      <c r="E199" s="114">
        <v>310</v>
      </c>
      <c r="F199" s="114">
        <v>295</v>
      </c>
      <c r="G199" s="114">
        <v>316</v>
      </c>
      <c r="H199" s="114">
        <v>420</v>
      </c>
      <c r="I199" s="114">
        <v>100</v>
      </c>
      <c r="J199" s="114">
        <v>295</v>
      </c>
      <c r="K199" s="114">
        <v>321</v>
      </c>
    </row>
    <row r="200" spans="1:11" x14ac:dyDescent="0.25">
      <c r="A200" s="114" t="s">
        <v>158</v>
      </c>
      <c r="B200" s="115" t="s">
        <v>132</v>
      </c>
      <c r="C200" s="114">
        <v>0</v>
      </c>
      <c r="D200" s="114">
        <v>183</v>
      </c>
      <c r="E200" s="114">
        <v>354</v>
      </c>
      <c r="F200" s="114">
        <v>312</v>
      </c>
      <c r="G200" s="114">
        <v>388</v>
      </c>
      <c r="H200" s="114">
        <v>394</v>
      </c>
      <c r="I200" s="114">
        <v>111</v>
      </c>
      <c r="J200" s="114">
        <v>209</v>
      </c>
      <c r="K200" s="114">
        <v>385</v>
      </c>
    </row>
    <row r="201" spans="1:11" x14ac:dyDescent="0.25">
      <c r="A201" s="114" t="s">
        <v>158</v>
      </c>
      <c r="B201" s="115" t="s">
        <v>133</v>
      </c>
      <c r="C201" s="114">
        <v>0</v>
      </c>
      <c r="D201" s="114">
        <v>178</v>
      </c>
      <c r="E201" s="114">
        <v>409</v>
      </c>
      <c r="F201" s="114">
        <v>353</v>
      </c>
      <c r="G201" s="114">
        <v>388</v>
      </c>
      <c r="H201" s="114">
        <v>284</v>
      </c>
      <c r="I201" s="114">
        <v>59</v>
      </c>
      <c r="J201" s="114">
        <v>246</v>
      </c>
      <c r="K201" s="114">
        <v>395</v>
      </c>
    </row>
    <row r="202" spans="1:11" x14ac:dyDescent="0.25">
      <c r="A202" s="114" t="s">
        <v>158</v>
      </c>
      <c r="B202" s="115" t="s">
        <v>134</v>
      </c>
      <c r="C202" s="114">
        <v>0</v>
      </c>
      <c r="D202" s="114">
        <v>214</v>
      </c>
      <c r="E202" s="114">
        <v>391</v>
      </c>
      <c r="F202" s="114">
        <v>403</v>
      </c>
      <c r="G202" s="114">
        <v>274</v>
      </c>
      <c r="H202" s="114">
        <v>291</v>
      </c>
      <c r="I202" s="114">
        <v>39</v>
      </c>
      <c r="J202" s="114">
        <v>260</v>
      </c>
      <c r="K202" s="114">
        <v>380</v>
      </c>
    </row>
    <row r="203" spans="1:11" x14ac:dyDescent="0.25">
      <c r="A203" s="114" t="s">
        <v>158</v>
      </c>
      <c r="B203" s="115" t="s">
        <v>135</v>
      </c>
      <c r="C203" s="114">
        <v>0</v>
      </c>
      <c r="D203" s="114">
        <v>250</v>
      </c>
      <c r="E203" s="114">
        <v>383</v>
      </c>
      <c r="F203" s="114">
        <v>418</v>
      </c>
      <c r="G203" s="114">
        <v>333</v>
      </c>
      <c r="H203" s="114">
        <v>282</v>
      </c>
      <c r="I203" s="114">
        <v>42</v>
      </c>
      <c r="J203" s="114">
        <v>265</v>
      </c>
      <c r="K203" s="114">
        <v>307</v>
      </c>
    </row>
    <row r="204" spans="1:11" x14ac:dyDescent="0.25">
      <c r="A204" s="114" t="s">
        <v>158</v>
      </c>
      <c r="B204" s="115" t="s">
        <v>136</v>
      </c>
      <c r="C204" s="114">
        <v>0</v>
      </c>
      <c r="D204" s="114">
        <v>257</v>
      </c>
      <c r="E204" s="114">
        <v>362</v>
      </c>
      <c r="F204" s="114">
        <v>421</v>
      </c>
      <c r="G204" s="114">
        <v>286</v>
      </c>
      <c r="H204" s="114">
        <v>300</v>
      </c>
      <c r="I204" s="114">
        <v>55</v>
      </c>
      <c r="J204" s="114">
        <v>290</v>
      </c>
      <c r="K204" s="118">
        <v>294</v>
      </c>
    </row>
    <row r="205" spans="1:11" x14ac:dyDescent="0.25">
      <c r="A205" s="114" t="s">
        <v>158</v>
      </c>
      <c r="B205" s="115" t="s">
        <v>137</v>
      </c>
      <c r="C205" s="114">
        <v>0</v>
      </c>
      <c r="D205" s="114">
        <v>251</v>
      </c>
      <c r="E205" s="114">
        <v>378</v>
      </c>
      <c r="F205" s="114">
        <v>261</v>
      </c>
      <c r="G205" s="114">
        <v>287</v>
      </c>
      <c r="H205" s="114">
        <v>314</v>
      </c>
      <c r="I205" s="114">
        <v>84</v>
      </c>
      <c r="J205" s="114">
        <v>309</v>
      </c>
      <c r="K205" s="114">
        <v>288</v>
      </c>
    </row>
    <row r="206" spans="1:11" x14ac:dyDescent="0.25">
      <c r="A206" s="114" t="s">
        <v>158</v>
      </c>
      <c r="B206" s="115" t="s">
        <v>138</v>
      </c>
      <c r="C206" s="114">
        <v>0</v>
      </c>
      <c r="D206" s="114">
        <v>280</v>
      </c>
      <c r="E206" s="114">
        <v>333</v>
      </c>
      <c r="F206" s="114">
        <v>235</v>
      </c>
      <c r="G206" s="114">
        <v>286</v>
      </c>
      <c r="H206" s="114">
        <v>317</v>
      </c>
      <c r="I206" s="114">
        <v>123</v>
      </c>
      <c r="J206" s="114">
        <v>314</v>
      </c>
      <c r="K206" s="114">
        <v>355</v>
      </c>
    </row>
    <row r="207" spans="1:11" x14ac:dyDescent="0.25">
      <c r="A207" s="114" t="s">
        <v>158</v>
      </c>
      <c r="B207" s="115" t="s">
        <v>139</v>
      </c>
      <c r="C207" s="114">
        <v>0</v>
      </c>
      <c r="D207" s="114">
        <v>311</v>
      </c>
      <c r="E207" s="114">
        <v>340</v>
      </c>
      <c r="F207" s="114">
        <v>255</v>
      </c>
      <c r="G207" s="114">
        <v>278</v>
      </c>
      <c r="H207" s="114">
        <v>360</v>
      </c>
      <c r="I207" s="114">
        <v>152</v>
      </c>
      <c r="J207" s="114">
        <v>263</v>
      </c>
      <c r="K207" s="114">
        <v>368</v>
      </c>
    </row>
    <row r="208" spans="1:11" x14ac:dyDescent="0.25">
      <c r="A208" s="114" t="s">
        <v>158</v>
      </c>
      <c r="B208" s="115" t="s">
        <v>140</v>
      </c>
      <c r="C208" s="114">
        <v>0</v>
      </c>
      <c r="D208" s="114">
        <v>198</v>
      </c>
      <c r="E208" s="114">
        <v>323</v>
      </c>
      <c r="F208" s="114">
        <v>371</v>
      </c>
      <c r="G208" s="114">
        <v>275</v>
      </c>
      <c r="H208" s="114">
        <v>424</v>
      </c>
      <c r="I208" s="114">
        <v>92</v>
      </c>
      <c r="J208" s="114">
        <v>270</v>
      </c>
      <c r="K208" s="114">
        <v>351</v>
      </c>
    </row>
    <row r="209" spans="1:11" x14ac:dyDescent="0.25">
      <c r="A209" s="114" t="s">
        <v>158</v>
      </c>
      <c r="B209" s="115" t="s">
        <v>141</v>
      </c>
      <c r="C209" s="114">
        <v>0</v>
      </c>
      <c r="D209" s="114">
        <v>206</v>
      </c>
      <c r="E209" s="114">
        <v>373</v>
      </c>
      <c r="F209" s="114">
        <v>402</v>
      </c>
      <c r="G209" s="114">
        <v>274</v>
      </c>
      <c r="H209" s="114">
        <v>416</v>
      </c>
      <c r="I209" s="114">
        <v>63</v>
      </c>
      <c r="J209" s="114">
        <v>296</v>
      </c>
      <c r="K209" s="114">
        <v>337</v>
      </c>
    </row>
    <row r="210" spans="1:11" x14ac:dyDescent="0.25">
      <c r="A210" s="114" t="s">
        <v>158</v>
      </c>
      <c r="B210" s="115" t="s">
        <v>142</v>
      </c>
      <c r="C210" s="114">
        <v>0</v>
      </c>
      <c r="D210" s="114">
        <v>215</v>
      </c>
      <c r="E210" s="114">
        <v>368</v>
      </c>
      <c r="F210" s="114">
        <v>368</v>
      </c>
      <c r="G210" s="114">
        <v>324</v>
      </c>
      <c r="H210" s="114">
        <v>392</v>
      </c>
      <c r="I210" s="114">
        <v>50</v>
      </c>
      <c r="J210" s="114">
        <v>327</v>
      </c>
      <c r="K210" s="114">
        <v>366</v>
      </c>
    </row>
    <row r="211" spans="1:11" x14ac:dyDescent="0.25">
      <c r="A211" s="114" t="s">
        <v>158</v>
      </c>
      <c r="B211" s="115" t="s">
        <v>143</v>
      </c>
      <c r="C211" s="114">
        <v>0</v>
      </c>
      <c r="D211" s="114">
        <v>257</v>
      </c>
      <c r="E211" s="114">
        <v>351</v>
      </c>
      <c r="F211" s="114">
        <v>403</v>
      </c>
      <c r="G211" s="114">
        <v>377</v>
      </c>
      <c r="H211" s="114">
        <v>341</v>
      </c>
      <c r="I211" s="114">
        <v>66</v>
      </c>
      <c r="J211" s="114">
        <v>319</v>
      </c>
      <c r="K211" s="114">
        <v>334</v>
      </c>
    </row>
    <row r="212" spans="1:11" x14ac:dyDescent="0.25">
      <c r="A212" s="114" t="s">
        <v>158</v>
      </c>
      <c r="B212" s="115" t="s">
        <v>144</v>
      </c>
      <c r="C212" s="114">
        <v>0</v>
      </c>
      <c r="D212" s="114">
        <v>299</v>
      </c>
      <c r="E212" s="114">
        <v>362</v>
      </c>
      <c r="F212" s="114">
        <v>246</v>
      </c>
      <c r="G212" s="114">
        <v>400</v>
      </c>
      <c r="H212" s="114">
        <v>312</v>
      </c>
      <c r="I212" s="114">
        <v>72</v>
      </c>
      <c r="J212" s="114">
        <v>334</v>
      </c>
      <c r="K212" s="114">
        <v>318</v>
      </c>
    </row>
    <row r="213" spans="1:11" x14ac:dyDescent="0.25">
      <c r="A213" s="114" t="s">
        <v>158</v>
      </c>
      <c r="B213" s="115" t="s">
        <v>145</v>
      </c>
      <c r="C213" s="114">
        <v>0</v>
      </c>
      <c r="D213" s="114">
        <v>346</v>
      </c>
      <c r="E213" s="114">
        <v>305</v>
      </c>
      <c r="F213" s="114">
        <v>281</v>
      </c>
      <c r="G213" s="114">
        <v>368</v>
      </c>
      <c r="H213" s="114">
        <v>325</v>
      </c>
      <c r="I213" s="114">
        <v>125</v>
      </c>
      <c r="J213" s="114">
        <v>325</v>
      </c>
      <c r="K213" s="114">
        <v>261</v>
      </c>
    </row>
    <row r="214" spans="1:11" x14ac:dyDescent="0.25">
      <c r="A214" s="114" t="s">
        <v>158</v>
      </c>
      <c r="B214" s="115" t="s">
        <v>146</v>
      </c>
      <c r="C214" s="114">
        <v>74</v>
      </c>
      <c r="D214" s="114">
        <v>378</v>
      </c>
      <c r="E214" s="114">
        <v>240</v>
      </c>
      <c r="F214" s="114">
        <v>302</v>
      </c>
      <c r="G214" s="114">
        <v>269</v>
      </c>
      <c r="H214" s="114">
        <v>378</v>
      </c>
      <c r="I214" s="114">
        <v>138</v>
      </c>
      <c r="J214" s="114">
        <v>261</v>
      </c>
      <c r="K214" s="114">
        <v>264</v>
      </c>
    </row>
    <row r="215" spans="1:11" x14ac:dyDescent="0.25">
      <c r="A215" s="114" t="s">
        <v>158</v>
      </c>
      <c r="B215" s="115" t="s">
        <v>147</v>
      </c>
      <c r="C215" s="114">
        <v>101</v>
      </c>
      <c r="D215" s="114">
        <v>309</v>
      </c>
      <c r="E215" s="114">
        <v>251</v>
      </c>
      <c r="F215" s="114">
        <v>312</v>
      </c>
      <c r="G215" s="114">
        <v>270</v>
      </c>
      <c r="H215" s="114">
        <v>411</v>
      </c>
      <c r="I215" s="114">
        <v>78</v>
      </c>
      <c r="J215" s="114">
        <v>270</v>
      </c>
      <c r="K215" s="114">
        <v>266</v>
      </c>
    </row>
    <row r="216" spans="1:11" x14ac:dyDescent="0.25">
      <c r="A216" s="114" t="s">
        <v>158</v>
      </c>
      <c r="B216" s="115" t="s">
        <v>148</v>
      </c>
      <c r="C216" s="114">
        <v>96</v>
      </c>
      <c r="D216" s="114">
        <v>335</v>
      </c>
      <c r="E216" s="114">
        <v>268</v>
      </c>
      <c r="F216" s="114">
        <v>394</v>
      </c>
      <c r="G216" s="114">
        <v>287</v>
      </c>
      <c r="H216" s="114">
        <v>411</v>
      </c>
      <c r="I216" s="114">
        <v>68</v>
      </c>
      <c r="J216" s="114">
        <v>261</v>
      </c>
      <c r="K216" s="114">
        <v>262</v>
      </c>
    </row>
    <row r="217" spans="1:11" x14ac:dyDescent="0.25">
      <c r="A217" s="114" t="s">
        <v>158</v>
      </c>
      <c r="B217" s="115" t="s">
        <v>149</v>
      </c>
      <c r="C217" s="114">
        <v>93</v>
      </c>
      <c r="D217" s="114">
        <v>318</v>
      </c>
      <c r="E217" s="114">
        <v>286</v>
      </c>
      <c r="F217" s="114">
        <v>430</v>
      </c>
      <c r="G217" s="114">
        <v>310</v>
      </c>
      <c r="H217" s="114">
        <v>334</v>
      </c>
      <c r="I217" s="114">
        <v>71</v>
      </c>
      <c r="J217" s="114">
        <v>271</v>
      </c>
      <c r="K217" s="114">
        <v>271</v>
      </c>
    </row>
    <row r="218" spans="1:11" x14ac:dyDescent="0.25">
      <c r="A218" s="114" t="s">
        <v>158</v>
      </c>
      <c r="B218" s="115" t="s">
        <v>150</v>
      </c>
      <c r="C218" s="114">
        <v>72</v>
      </c>
      <c r="D218" s="114">
        <v>258</v>
      </c>
      <c r="E218" s="114">
        <v>397</v>
      </c>
      <c r="F218" s="114">
        <v>422</v>
      </c>
      <c r="G218" s="114">
        <v>287</v>
      </c>
      <c r="H218" s="114">
        <v>338</v>
      </c>
      <c r="I218" s="114">
        <v>68</v>
      </c>
      <c r="J218" s="114">
        <v>272</v>
      </c>
      <c r="K218" s="114">
        <v>268</v>
      </c>
    </row>
    <row r="219" spans="1:11" x14ac:dyDescent="0.25">
      <c r="A219" s="114" t="s">
        <v>158</v>
      </c>
      <c r="B219" s="115" t="s">
        <v>151</v>
      </c>
      <c r="C219" s="114">
        <v>73</v>
      </c>
      <c r="D219" s="114">
        <v>295</v>
      </c>
      <c r="E219" s="114">
        <v>363</v>
      </c>
      <c r="F219" s="114">
        <v>298</v>
      </c>
      <c r="G219" s="114">
        <v>352</v>
      </c>
      <c r="H219" s="114">
        <v>327</v>
      </c>
      <c r="I219" s="114">
        <v>84</v>
      </c>
      <c r="J219" s="114">
        <v>296</v>
      </c>
      <c r="K219" s="114">
        <v>247</v>
      </c>
    </row>
    <row r="220" spans="1:11" x14ac:dyDescent="0.25">
      <c r="A220" s="114" t="s">
        <v>158</v>
      </c>
      <c r="B220" s="115" t="s">
        <v>152</v>
      </c>
      <c r="C220" s="114">
        <v>86</v>
      </c>
      <c r="D220" s="114">
        <v>342</v>
      </c>
      <c r="E220" s="114">
        <v>253</v>
      </c>
      <c r="F220" s="114">
        <v>251</v>
      </c>
      <c r="G220" s="114">
        <v>339</v>
      </c>
      <c r="H220" s="114">
        <v>335</v>
      </c>
      <c r="I220" s="114">
        <v>120</v>
      </c>
      <c r="J220" s="114">
        <v>303</v>
      </c>
      <c r="K220" s="114">
        <v>215</v>
      </c>
    </row>
    <row r="221" spans="1:11" x14ac:dyDescent="0.25">
      <c r="A221" s="114" t="s">
        <v>159</v>
      </c>
      <c r="B221" s="115" t="s">
        <v>121</v>
      </c>
      <c r="C221" s="114">
        <v>81</v>
      </c>
      <c r="D221" s="114">
        <v>355</v>
      </c>
      <c r="E221" s="114">
        <v>238</v>
      </c>
      <c r="F221" s="114">
        <v>314</v>
      </c>
      <c r="G221" s="114">
        <v>379</v>
      </c>
      <c r="H221" s="114">
        <v>339</v>
      </c>
      <c r="I221" s="114">
        <v>124</v>
      </c>
      <c r="J221" s="114">
        <v>261</v>
      </c>
      <c r="K221" s="114">
        <v>301</v>
      </c>
    </row>
    <row r="222" spans="1:11" x14ac:dyDescent="0.25">
      <c r="A222" s="114" t="s">
        <v>159</v>
      </c>
      <c r="B222" s="115" t="s">
        <v>123</v>
      </c>
      <c r="C222" s="114">
        <v>28</v>
      </c>
      <c r="D222" s="114">
        <v>299</v>
      </c>
      <c r="E222" s="114">
        <v>251</v>
      </c>
      <c r="F222" s="114">
        <v>352</v>
      </c>
      <c r="G222" s="114">
        <v>342</v>
      </c>
      <c r="H222" s="114">
        <v>366</v>
      </c>
      <c r="I222" s="114">
        <v>67</v>
      </c>
      <c r="J222" s="114">
        <v>275</v>
      </c>
      <c r="K222" s="114">
        <v>376</v>
      </c>
    </row>
    <row r="223" spans="1:11" x14ac:dyDescent="0.25">
      <c r="A223" s="114" t="s">
        <v>159</v>
      </c>
      <c r="B223" s="115" t="s">
        <v>124</v>
      </c>
      <c r="C223" s="114">
        <v>86</v>
      </c>
      <c r="D223" s="114">
        <v>315</v>
      </c>
      <c r="E223" s="114">
        <v>281</v>
      </c>
      <c r="F223" s="114">
        <v>355</v>
      </c>
      <c r="G223" s="114">
        <v>339</v>
      </c>
      <c r="H223" s="114">
        <v>387</v>
      </c>
      <c r="I223" s="114">
        <v>69</v>
      </c>
      <c r="J223" s="114">
        <v>277</v>
      </c>
      <c r="K223" s="114">
        <v>426</v>
      </c>
    </row>
    <row r="224" spans="1:11" x14ac:dyDescent="0.25">
      <c r="A224" s="114" t="s">
        <v>159</v>
      </c>
      <c r="B224" s="115" t="s">
        <v>125</v>
      </c>
      <c r="C224" s="114">
        <v>113</v>
      </c>
      <c r="D224" s="114">
        <v>303</v>
      </c>
      <c r="E224" s="114">
        <v>306</v>
      </c>
      <c r="F224" s="114">
        <v>416</v>
      </c>
      <c r="G224" s="114">
        <v>362</v>
      </c>
      <c r="H224" s="114">
        <v>328</v>
      </c>
      <c r="I224" s="114">
        <v>92</v>
      </c>
      <c r="J224" s="114">
        <v>270</v>
      </c>
      <c r="K224" s="114">
        <v>408</v>
      </c>
    </row>
    <row r="225" spans="1:11" x14ac:dyDescent="0.25">
      <c r="A225" s="114" t="s">
        <v>159</v>
      </c>
      <c r="B225" s="115" t="s">
        <v>126</v>
      </c>
      <c r="C225" s="114">
        <v>143</v>
      </c>
      <c r="D225" s="114">
        <v>359</v>
      </c>
      <c r="E225" s="114">
        <v>346</v>
      </c>
      <c r="F225" s="114">
        <v>436</v>
      </c>
      <c r="G225" s="114">
        <v>368</v>
      </c>
      <c r="H225" s="114">
        <v>359</v>
      </c>
      <c r="I225" s="114">
        <v>122</v>
      </c>
      <c r="J225" s="114">
        <v>292</v>
      </c>
      <c r="K225" s="114">
        <v>317</v>
      </c>
    </row>
    <row r="226" spans="1:11" x14ac:dyDescent="0.25">
      <c r="A226" s="114" t="s">
        <v>159</v>
      </c>
      <c r="B226" s="115" t="s">
        <v>127</v>
      </c>
      <c r="C226" s="114">
        <v>131</v>
      </c>
      <c r="D226" s="114">
        <v>368</v>
      </c>
      <c r="E226" s="114">
        <v>348</v>
      </c>
      <c r="F226" s="114">
        <v>311</v>
      </c>
      <c r="G226" s="114">
        <v>332</v>
      </c>
      <c r="H226" s="114">
        <v>333</v>
      </c>
      <c r="I226" s="114">
        <v>141</v>
      </c>
      <c r="J226" s="114">
        <v>320</v>
      </c>
      <c r="K226" s="114">
        <v>266</v>
      </c>
    </row>
    <row r="227" spans="1:11" x14ac:dyDescent="0.25">
      <c r="A227" s="114" t="s">
        <v>159</v>
      </c>
      <c r="B227" s="115" t="s">
        <v>128</v>
      </c>
      <c r="C227" s="114">
        <v>136</v>
      </c>
      <c r="D227" s="114">
        <v>385</v>
      </c>
      <c r="E227" s="114">
        <v>303</v>
      </c>
      <c r="F227" s="114">
        <v>315</v>
      </c>
      <c r="G227" s="114">
        <v>271</v>
      </c>
      <c r="H227" s="114">
        <v>342</v>
      </c>
      <c r="I227" s="114">
        <v>194</v>
      </c>
      <c r="J227" s="114">
        <v>330</v>
      </c>
      <c r="K227" s="114">
        <v>232</v>
      </c>
    </row>
    <row r="228" spans="1:11" x14ac:dyDescent="0.25">
      <c r="A228" s="114" t="s">
        <v>159</v>
      </c>
      <c r="B228" s="115" t="s">
        <v>129</v>
      </c>
      <c r="C228" s="114">
        <v>135</v>
      </c>
      <c r="D228" s="114">
        <v>328</v>
      </c>
      <c r="E228" s="114">
        <v>314</v>
      </c>
      <c r="F228" s="114">
        <v>321</v>
      </c>
      <c r="G228" s="114">
        <v>257</v>
      </c>
      <c r="H228" s="114">
        <v>356</v>
      </c>
      <c r="I228" s="114">
        <v>183</v>
      </c>
      <c r="J228" s="114">
        <v>255</v>
      </c>
      <c r="K228" s="114">
        <v>233</v>
      </c>
    </row>
    <row r="229" spans="1:11" x14ac:dyDescent="0.25">
      <c r="A229" s="114" t="s">
        <v>159</v>
      </c>
      <c r="B229" s="115" t="s">
        <v>130</v>
      </c>
      <c r="C229" s="114">
        <v>137</v>
      </c>
      <c r="D229" s="114">
        <v>278</v>
      </c>
      <c r="E229" s="114">
        <v>364</v>
      </c>
      <c r="F229" s="114">
        <v>349</v>
      </c>
      <c r="G229" s="114">
        <v>287</v>
      </c>
      <c r="H229" s="114">
        <v>353</v>
      </c>
      <c r="I229" s="114">
        <v>106</v>
      </c>
      <c r="J229" s="114">
        <v>246</v>
      </c>
      <c r="K229" s="114">
        <v>252</v>
      </c>
    </row>
    <row r="230" spans="1:11" x14ac:dyDescent="0.25">
      <c r="A230" s="114" t="s">
        <v>159</v>
      </c>
      <c r="B230" s="115" t="s">
        <v>131</v>
      </c>
      <c r="C230" s="114">
        <v>140</v>
      </c>
      <c r="D230" s="114">
        <v>288</v>
      </c>
      <c r="E230" s="114">
        <v>402</v>
      </c>
      <c r="F230" s="114">
        <v>337</v>
      </c>
      <c r="G230" s="114">
        <v>334</v>
      </c>
      <c r="H230" s="114">
        <v>322</v>
      </c>
      <c r="I230" s="114">
        <v>102</v>
      </c>
      <c r="J230" s="114">
        <v>223</v>
      </c>
      <c r="K230" s="114">
        <v>294</v>
      </c>
    </row>
    <row r="231" spans="1:11" x14ac:dyDescent="0.25">
      <c r="A231" s="114" t="s">
        <v>159</v>
      </c>
      <c r="B231" s="115" t="s">
        <v>132</v>
      </c>
      <c r="C231" s="114">
        <v>144</v>
      </c>
      <c r="D231" s="114">
        <v>288</v>
      </c>
      <c r="E231" s="114">
        <v>422</v>
      </c>
      <c r="F231" s="114">
        <v>349</v>
      </c>
      <c r="G231" s="114">
        <v>364</v>
      </c>
      <c r="H231" s="114">
        <v>285</v>
      </c>
      <c r="I231" s="114">
        <v>95</v>
      </c>
      <c r="J231" s="114">
        <v>234</v>
      </c>
      <c r="K231" s="114">
        <v>273</v>
      </c>
    </row>
    <row r="232" spans="1:11" x14ac:dyDescent="0.25">
      <c r="A232" s="114" t="s">
        <v>159</v>
      </c>
      <c r="B232" s="115" t="s">
        <v>133</v>
      </c>
      <c r="C232" s="114">
        <v>146</v>
      </c>
      <c r="D232" s="114">
        <v>283</v>
      </c>
      <c r="E232" s="114">
        <v>424</v>
      </c>
      <c r="F232" s="114">
        <v>345</v>
      </c>
      <c r="G232" s="114">
        <v>346</v>
      </c>
      <c r="H232" s="114">
        <v>315</v>
      </c>
      <c r="I232" s="114">
        <v>95</v>
      </c>
      <c r="J232" s="114">
        <v>258</v>
      </c>
      <c r="K232" s="114">
        <v>264</v>
      </c>
    </row>
    <row r="233" spans="1:11" x14ac:dyDescent="0.25">
      <c r="A233" s="114" t="s">
        <v>159</v>
      </c>
      <c r="B233" s="115" t="s">
        <v>134</v>
      </c>
      <c r="C233" s="114">
        <v>160</v>
      </c>
      <c r="D233" s="114">
        <v>250</v>
      </c>
      <c r="E233" s="114">
        <v>410</v>
      </c>
      <c r="F233" s="114">
        <v>295</v>
      </c>
      <c r="G233" s="114">
        <v>367</v>
      </c>
      <c r="H233" s="114">
        <v>277</v>
      </c>
      <c r="I233" s="114">
        <v>125</v>
      </c>
      <c r="J233" s="114">
        <v>270</v>
      </c>
      <c r="K233" s="114">
        <v>264</v>
      </c>
    </row>
    <row r="234" spans="1:11" x14ac:dyDescent="0.25">
      <c r="A234" s="114" t="s">
        <v>159</v>
      </c>
      <c r="B234" s="115" t="s">
        <v>135</v>
      </c>
      <c r="C234" s="114">
        <v>151</v>
      </c>
      <c r="D234" s="114">
        <v>273</v>
      </c>
      <c r="E234" s="114">
        <v>222</v>
      </c>
      <c r="F234" s="114">
        <v>305</v>
      </c>
      <c r="G234" s="114">
        <v>332</v>
      </c>
      <c r="H234" s="114">
        <v>262</v>
      </c>
      <c r="I234" s="114">
        <v>195</v>
      </c>
      <c r="J234" s="114">
        <v>278</v>
      </c>
      <c r="K234" s="114">
        <v>423</v>
      </c>
    </row>
    <row r="235" spans="1:11" x14ac:dyDescent="0.25">
      <c r="A235" s="114" t="s">
        <v>159</v>
      </c>
      <c r="B235" s="115" t="s">
        <v>136</v>
      </c>
      <c r="C235" s="114">
        <v>161</v>
      </c>
      <c r="D235" s="114">
        <v>293</v>
      </c>
      <c r="E235" s="114">
        <v>279</v>
      </c>
      <c r="F235" s="114">
        <v>302</v>
      </c>
      <c r="G235" s="114">
        <v>346</v>
      </c>
      <c r="H235" s="114">
        <v>307</v>
      </c>
      <c r="I235" s="114">
        <v>209</v>
      </c>
      <c r="J235" s="114">
        <v>191</v>
      </c>
      <c r="K235" s="114">
        <v>421</v>
      </c>
    </row>
    <row r="236" spans="1:11" x14ac:dyDescent="0.25">
      <c r="A236" s="114" t="s">
        <v>159</v>
      </c>
      <c r="B236" s="115" t="s">
        <v>137</v>
      </c>
      <c r="C236" s="114">
        <v>147</v>
      </c>
      <c r="D236" s="114">
        <v>255</v>
      </c>
      <c r="E236" s="114">
        <v>288</v>
      </c>
      <c r="F236" s="114">
        <v>270</v>
      </c>
      <c r="G236" s="114">
        <v>329</v>
      </c>
      <c r="H236" s="114">
        <v>319</v>
      </c>
      <c r="I236" s="114">
        <v>77</v>
      </c>
      <c r="J236" s="114">
        <v>170</v>
      </c>
      <c r="K236" s="114">
        <v>417</v>
      </c>
    </row>
    <row r="237" spans="1:11" x14ac:dyDescent="0.25">
      <c r="A237" s="114" t="s">
        <v>159</v>
      </c>
      <c r="B237" s="115" t="s">
        <v>138</v>
      </c>
      <c r="C237" s="114">
        <v>132</v>
      </c>
      <c r="D237" s="114">
        <v>241</v>
      </c>
      <c r="E237" s="114">
        <v>264</v>
      </c>
      <c r="F237" s="114">
        <v>308</v>
      </c>
      <c r="G237" s="114">
        <v>357</v>
      </c>
      <c r="H237" s="114">
        <v>367</v>
      </c>
      <c r="I237" s="114">
        <v>60</v>
      </c>
      <c r="J237" s="114">
        <v>142</v>
      </c>
      <c r="K237" s="114">
        <v>418</v>
      </c>
    </row>
    <row r="238" spans="1:11" x14ac:dyDescent="0.25">
      <c r="A238" s="114" t="s">
        <v>159</v>
      </c>
      <c r="B238" s="115" t="s">
        <v>139</v>
      </c>
      <c r="C238" s="114">
        <v>121</v>
      </c>
      <c r="D238" s="114">
        <v>233</v>
      </c>
      <c r="E238" s="114">
        <v>267</v>
      </c>
      <c r="F238" s="114">
        <v>365</v>
      </c>
      <c r="G238" s="114">
        <v>390</v>
      </c>
      <c r="H238" s="114">
        <v>265</v>
      </c>
      <c r="I238" s="114">
        <v>75</v>
      </c>
      <c r="J238" s="114">
        <v>151</v>
      </c>
      <c r="K238" s="114">
        <v>233</v>
      </c>
    </row>
    <row r="239" spans="1:11" x14ac:dyDescent="0.25">
      <c r="A239" s="114" t="s">
        <v>159</v>
      </c>
      <c r="B239" s="115" t="s">
        <v>140</v>
      </c>
      <c r="C239" s="114">
        <v>133</v>
      </c>
      <c r="D239" s="114">
        <v>227</v>
      </c>
      <c r="E239" s="114">
        <v>332</v>
      </c>
      <c r="F239" s="114">
        <v>402</v>
      </c>
      <c r="G239" s="114">
        <v>238</v>
      </c>
      <c r="H239" s="114">
        <v>250</v>
      </c>
      <c r="I239" s="114">
        <v>68</v>
      </c>
      <c r="J239" s="114">
        <v>178</v>
      </c>
      <c r="K239" s="114">
        <v>232</v>
      </c>
    </row>
    <row r="240" spans="1:11" x14ac:dyDescent="0.25">
      <c r="A240" s="114" t="s">
        <v>159</v>
      </c>
      <c r="B240" s="115" t="s">
        <v>141</v>
      </c>
      <c r="C240" s="114">
        <v>134</v>
      </c>
      <c r="D240" s="114">
        <v>235</v>
      </c>
      <c r="E240" s="114">
        <v>344</v>
      </c>
      <c r="F240" s="114">
        <v>253</v>
      </c>
      <c r="G240" s="114">
        <v>257</v>
      </c>
      <c r="H240" s="114">
        <v>300</v>
      </c>
      <c r="I240" s="114">
        <v>90</v>
      </c>
      <c r="J240" s="114">
        <v>205</v>
      </c>
      <c r="K240" s="114">
        <v>258</v>
      </c>
    </row>
    <row r="241" spans="1:11" x14ac:dyDescent="0.25">
      <c r="A241" s="114" t="s">
        <v>159</v>
      </c>
      <c r="B241" s="115" t="s">
        <v>142</v>
      </c>
      <c r="C241" s="114">
        <v>143</v>
      </c>
      <c r="D241" s="114">
        <v>285</v>
      </c>
      <c r="E241" s="114">
        <v>268</v>
      </c>
      <c r="F241" s="114">
        <v>274</v>
      </c>
      <c r="G241" s="114">
        <v>249</v>
      </c>
      <c r="H241" s="114">
        <v>281</v>
      </c>
      <c r="I241" s="114">
        <v>180</v>
      </c>
      <c r="J241" s="114">
        <v>203</v>
      </c>
      <c r="K241" s="114">
        <v>242</v>
      </c>
    </row>
    <row r="242" spans="1:11" x14ac:dyDescent="0.25">
      <c r="A242" s="114" t="s">
        <v>159</v>
      </c>
      <c r="B242" s="115" t="s">
        <v>143</v>
      </c>
      <c r="C242" s="114">
        <v>159</v>
      </c>
      <c r="D242" s="114">
        <v>318</v>
      </c>
      <c r="E242" s="114">
        <v>279</v>
      </c>
      <c r="F242" s="114">
        <v>290</v>
      </c>
      <c r="G242" s="114">
        <v>258</v>
      </c>
      <c r="H242" s="114">
        <v>264</v>
      </c>
      <c r="I242" s="114">
        <v>223</v>
      </c>
      <c r="J242" s="114">
        <v>75</v>
      </c>
      <c r="K242" s="114">
        <v>345</v>
      </c>
    </row>
    <row r="243" spans="1:11" x14ac:dyDescent="0.25">
      <c r="A243" s="114" t="s">
        <v>159</v>
      </c>
      <c r="B243" s="115" t="s">
        <v>144</v>
      </c>
      <c r="C243" s="114">
        <v>156</v>
      </c>
      <c r="D243" s="114">
        <v>189</v>
      </c>
      <c r="E243" s="114">
        <v>246</v>
      </c>
      <c r="F243" s="114">
        <v>429</v>
      </c>
      <c r="G243" s="114">
        <v>282</v>
      </c>
      <c r="H243" s="114">
        <v>356</v>
      </c>
      <c r="I243" s="114">
        <v>99</v>
      </c>
      <c r="J243" s="114">
        <v>73</v>
      </c>
      <c r="K243" s="114">
        <v>353</v>
      </c>
    </row>
    <row r="244" spans="1:11" x14ac:dyDescent="0.25">
      <c r="A244" s="114" t="s">
        <v>159</v>
      </c>
      <c r="B244" s="115" t="s">
        <v>145</v>
      </c>
      <c r="C244" s="114">
        <v>102</v>
      </c>
      <c r="D244" s="114">
        <v>199</v>
      </c>
      <c r="E244" s="114">
        <v>250</v>
      </c>
      <c r="F244" s="114">
        <v>296</v>
      </c>
      <c r="G244" s="114">
        <v>341</v>
      </c>
      <c r="H244" s="114">
        <v>390</v>
      </c>
      <c r="I244" s="114">
        <v>60</v>
      </c>
      <c r="J244" s="114">
        <v>84</v>
      </c>
      <c r="K244" s="114">
        <v>358</v>
      </c>
    </row>
    <row r="245" spans="1:11" x14ac:dyDescent="0.25">
      <c r="A245" s="114" t="s">
        <v>159</v>
      </c>
      <c r="B245" s="115" t="s">
        <v>146</v>
      </c>
      <c r="C245" s="114">
        <v>98</v>
      </c>
      <c r="D245" s="114">
        <v>193</v>
      </c>
      <c r="E245" s="114">
        <v>274</v>
      </c>
      <c r="F245" s="114">
        <v>338</v>
      </c>
      <c r="G245" s="114">
        <v>366</v>
      </c>
      <c r="H245" s="114">
        <v>242</v>
      </c>
      <c r="I245" s="114">
        <v>56</v>
      </c>
      <c r="J245" s="114">
        <v>99</v>
      </c>
      <c r="K245" s="114">
        <v>351</v>
      </c>
    </row>
    <row r="246" spans="1:11" x14ac:dyDescent="0.25">
      <c r="A246" s="114" t="s">
        <v>159</v>
      </c>
      <c r="B246" s="115" t="s">
        <v>147</v>
      </c>
      <c r="C246" s="114">
        <v>88</v>
      </c>
      <c r="D246" s="114">
        <v>184</v>
      </c>
      <c r="E246" s="114">
        <v>300</v>
      </c>
      <c r="F246" s="114">
        <v>386</v>
      </c>
      <c r="G246" s="114">
        <v>250</v>
      </c>
      <c r="H246" s="114">
        <v>223</v>
      </c>
      <c r="I246" s="114">
        <v>67</v>
      </c>
      <c r="J246" s="114">
        <v>99</v>
      </c>
      <c r="K246" s="114">
        <v>278</v>
      </c>
    </row>
    <row r="247" spans="1:11" x14ac:dyDescent="0.25">
      <c r="A247" s="114" t="s">
        <v>159</v>
      </c>
      <c r="B247" s="115" t="s">
        <v>148</v>
      </c>
      <c r="C247" s="114">
        <v>89</v>
      </c>
      <c r="D247" s="114">
        <v>185</v>
      </c>
      <c r="E247" s="114">
        <v>316</v>
      </c>
      <c r="F247" s="114">
        <v>270</v>
      </c>
      <c r="G247" s="114">
        <v>327</v>
      </c>
      <c r="H247" s="114">
        <v>215</v>
      </c>
      <c r="I247" s="114">
        <v>82</v>
      </c>
      <c r="J247" s="114">
        <v>152</v>
      </c>
      <c r="K247" s="114">
        <v>289</v>
      </c>
    </row>
    <row r="248" spans="1:11" x14ac:dyDescent="0.25">
      <c r="A248" s="114" t="s">
        <v>159</v>
      </c>
      <c r="B248" s="115" t="s">
        <v>149</v>
      </c>
      <c r="C248" s="114">
        <v>113</v>
      </c>
      <c r="D248" s="114">
        <v>218</v>
      </c>
      <c r="E248" s="114">
        <v>256</v>
      </c>
      <c r="F248" s="114">
        <v>294</v>
      </c>
      <c r="G248" s="114">
        <v>306</v>
      </c>
      <c r="H248" s="114">
        <v>201</v>
      </c>
      <c r="I248" s="114">
        <v>145</v>
      </c>
      <c r="J248" s="114">
        <v>163</v>
      </c>
      <c r="K248" s="114">
        <v>344</v>
      </c>
    </row>
    <row r="249" spans="1:11" x14ac:dyDescent="0.25">
      <c r="A249" s="114" t="s">
        <v>159</v>
      </c>
      <c r="B249" s="115" t="s">
        <v>150</v>
      </c>
      <c r="C249" s="114">
        <v>144</v>
      </c>
      <c r="D249" s="114">
        <v>200</v>
      </c>
      <c r="E249" s="114">
        <v>207</v>
      </c>
      <c r="F249" s="114">
        <v>289</v>
      </c>
      <c r="G249" s="114">
        <v>307</v>
      </c>
      <c r="H249" s="114">
        <v>194</v>
      </c>
      <c r="I249" s="114">
        <v>185</v>
      </c>
      <c r="J249" s="114">
        <v>119</v>
      </c>
      <c r="K249" s="114">
        <v>320</v>
      </c>
    </row>
    <row r="250" spans="1:11" x14ac:dyDescent="0.25">
      <c r="A250" s="114" t="s">
        <v>159</v>
      </c>
      <c r="B250" s="115" t="s">
        <v>151</v>
      </c>
      <c r="C250" s="114">
        <v>163</v>
      </c>
      <c r="D250" s="114">
        <v>141</v>
      </c>
      <c r="E250" s="114">
        <v>220</v>
      </c>
      <c r="F250" s="114">
        <v>325</v>
      </c>
      <c r="G250" s="114">
        <v>256</v>
      </c>
      <c r="H250" s="114">
        <v>211</v>
      </c>
      <c r="I250" s="114">
        <v>68</v>
      </c>
      <c r="J250" s="114">
        <v>86</v>
      </c>
      <c r="K250" s="114">
        <v>361</v>
      </c>
    </row>
    <row r="251" spans="1:11" x14ac:dyDescent="0.25">
      <c r="A251" s="114" t="s">
        <v>159</v>
      </c>
      <c r="B251" s="115" t="s">
        <v>152</v>
      </c>
      <c r="C251" s="114">
        <v>156</v>
      </c>
      <c r="D251" s="114">
        <v>125</v>
      </c>
      <c r="E251" s="114">
        <v>218</v>
      </c>
      <c r="F251" s="114">
        <v>286</v>
      </c>
      <c r="G251" s="114">
        <v>349</v>
      </c>
      <c r="H251" s="114">
        <v>206</v>
      </c>
      <c r="I251" s="114">
        <v>56</v>
      </c>
      <c r="J251" s="114">
        <v>83</v>
      </c>
      <c r="K251" s="114">
        <v>273</v>
      </c>
    </row>
    <row r="252" spans="1:11" x14ac:dyDescent="0.25">
      <c r="A252" s="114" t="s">
        <v>160</v>
      </c>
      <c r="B252" s="115" t="s">
        <v>121</v>
      </c>
      <c r="C252" s="114">
        <v>68</v>
      </c>
      <c r="D252" s="114">
        <v>120</v>
      </c>
      <c r="E252" s="114">
        <v>248</v>
      </c>
      <c r="F252" s="114">
        <v>374</v>
      </c>
      <c r="G252" s="114">
        <v>419</v>
      </c>
      <c r="H252" s="114">
        <v>195</v>
      </c>
      <c r="I252" s="114">
        <v>45</v>
      </c>
      <c r="J252" s="114">
        <v>99</v>
      </c>
      <c r="K252" s="114">
        <v>171</v>
      </c>
    </row>
    <row r="253" spans="1:11" x14ac:dyDescent="0.25">
      <c r="A253" s="114" t="s">
        <v>160</v>
      </c>
      <c r="B253" s="115" t="s">
        <v>123</v>
      </c>
      <c r="C253" s="114">
        <v>63</v>
      </c>
      <c r="D253" s="114">
        <v>152</v>
      </c>
      <c r="E253" s="114">
        <v>313</v>
      </c>
      <c r="F253" s="114">
        <v>439</v>
      </c>
      <c r="G253" s="114">
        <v>375</v>
      </c>
      <c r="H253" s="114">
        <v>151</v>
      </c>
      <c r="I253" s="114">
        <v>53</v>
      </c>
      <c r="J253" s="114">
        <v>129</v>
      </c>
      <c r="K253" s="114">
        <v>269</v>
      </c>
    </row>
    <row r="254" spans="1:11" x14ac:dyDescent="0.25">
      <c r="A254" s="114" t="s">
        <v>160</v>
      </c>
      <c r="B254" s="115" t="s">
        <v>124</v>
      </c>
      <c r="C254" s="114">
        <v>74</v>
      </c>
      <c r="D254" s="114">
        <v>145</v>
      </c>
      <c r="E254" s="114">
        <v>390</v>
      </c>
      <c r="F254" s="114">
        <v>401</v>
      </c>
      <c r="G254" s="114">
        <v>90</v>
      </c>
      <c r="H254" s="114">
        <v>121</v>
      </c>
      <c r="I254" s="114">
        <v>69</v>
      </c>
      <c r="J254" s="114">
        <v>246</v>
      </c>
      <c r="K254" s="114">
        <v>299</v>
      </c>
    </row>
    <row r="255" spans="1:11" x14ac:dyDescent="0.25">
      <c r="A255" s="114" t="s">
        <v>160</v>
      </c>
      <c r="B255" s="115" t="s">
        <v>125</v>
      </c>
      <c r="C255" s="114">
        <v>89</v>
      </c>
      <c r="D255" s="114">
        <v>220</v>
      </c>
      <c r="E255" s="114">
        <v>365</v>
      </c>
      <c r="F255" s="114">
        <v>138</v>
      </c>
      <c r="G255" s="114">
        <v>93</v>
      </c>
      <c r="H255" s="114">
        <v>95</v>
      </c>
      <c r="I255" s="114">
        <v>177</v>
      </c>
      <c r="J255" s="114">
        <v>325</v>
      </c>
      <c r="K255" s="114">
        <v>257</v>
      </c>
    </row>
    <row r="256" spans="1:11" x14ac:dyDescent="0.25">
      <c r="A256" s="114" t="s">
        <v>160</v>
      </c>
      <c r="B256" s="115" t="s">
        <v>126</v>
      </c>
      <c r="C256" s="114">
        <v>114</v>
      </c>
      <c r="D256" s="114">
        <v>327</v>
      </c>
      <c r="E256" s="114">
        <v>172</v>
      </c>
      <c r="F256" s="114">
        <v>114</v>
      </c>
      <c r="G256" s="114">
        <v>145</v>
      </c>
      <c r="H256" s="114">
        <v>104</v>
      </c>
      <c r="I256" s="114">
        <v>244</v>
      </c>
      <c r="J256" s="114">
        <v>314</v>
      </c>
      <c r="K256" s="114">
        <v>164</v>
      </c>
    </row>
    <row r="257" spans="1:11" x14ac:dyDescent="0.25">
      <c r="A257" s="114" t="s">
        <v>160</v>
      </c>
      <c r="B257" s="115" t="s">
        <v>127</v>
      </c>
      <c r="C257" s="114">
        <v>123</v>
      </c>
      <c r="D257" s="114">
        <v>287</v>
      </c>
      <c r="E257" s="114">
        <v>152</v>
      </c>
      <c r="F257" s="114">
        <v>216</v>
      </c>
      <c r="G257" s="114">
        <v>182</v>
      </c>
      <c r="H257" s="114">
        <v>196</v>
      </c>
      <c r="I257" s="114">
        <v>235</v>
      </c>
      <c r="J257" s="114">
        <v>124</v>
      </c>
      <c r="K257" s="114">
        <v>210</v>
      </c>
    </row>
    <row r="258" spans="1:11" x14ac:dyDescent="0.25">
      <c r="A258" s="114" t="s">
        <v>160</v>
      </c>
      <c r="B258" s="115" t="s">
        <v>128</v>
      </c>
      <c r="C258" s="114">
        <v>100</v>
      </c>
      <c r="D258" s="114">
        <v>90</v>
      </c>
      <c r="E258" s="114">
        <v>165</v>
      </c>
      <c r="F258" s="114">
        <v>233</v>
      </c>
      <c r="G258" s="114">
        <v>228</v>
      </c>
      <c r="H258" s="114">
        <v>243</v>
      </c>
      <c r="I258" s="114">
        <v>59</v>
      </c>
      <c r="J258" s="114">
        <v>78</v>
      </c>
      <c r="K258" s="114">
        <v>224</v>
      </c>
    </row>
    <row r="259" spans="1:11" x14ac:dyDescent="0.25">
      <c r="A259" s="114" t="s">
        <v>160</v>
      </c>
      <c r="B259" s="115" t="s">
        <v>129</v>
      </c>
      <c r="C259" s="114">
        <v>165</v>
      </c>
      <c r="D259" s="114">
        <v>81</v>
      </c>
      <c r="E259" s="114">
        <v>183</v>
      </c>
      <c r="F259" s="114">
        <v>204</v>
      </c>
      <c r="G259" s="114">
        <v>301</v>
      </c>
      <c r="H259" s="114">
        <v>153</v>
      </c>
      <c r="I259" s="114">
        <v>65</v>
      </c>
      <c r="J259" s="114">
        <v>76</v>
      </c>
      <c r="K259" s="114">
        <v>256</v>
      </c>
    </row>
    <row r="260" spans="1:11" x14ac:dyDescent="0.25">
      <c r="A260" s="114" t="s">
        <v>160</v>
      </c>
      <c r="B260" s="115" t="s">
        <v>130</v>
      </c>
      <c r="C260" s="114">
        <v>161</v>
      </c>
      <c r="D260" s="114">
        <v>98</v>
      </c>
      <c r="E260" s="114">
        <v>204</v>
      </c>
      <c r="F260" s="114">
        <v>202</v>
      </c>
      <c r="G260" s="114">
        <v>164</v>
      </c>
      <c r="H260" s="114">
        <v>192</v>
      </c>
      <c r="I260" s="114">
        <v>77</v>
      </c>
      <c r="J260" s="114">
        <v>94</v>
      </c>
      <c r="K260" s="114">
        <v>321</v>
      </c>
    </row>
    <row r="261" spans="1:11" x14ac:dyDescent="0.25">
      <c r="A261" s="114" t="s">
        <v>160</v>
      </c>
      <c r="B261" s="115" t="s">
        <v>131</v>
      </c>
      <c r="C261" s="114">
        <v>99</v>
      </c>
      <c r="D261" s="114">
        <v>128</v>
      </c>
      <c r="E261" s="114">
        <v>211</v>
      </c>
      <c r="F261" s="114">
        <v>197</v>
      </c>
      <c r="G261" s="114">
        <v>220</v>
      </c>
      <c r="H261" s="114">
        <v>378</v>
      </c>
      <c r="I261" s="114">
        <v>90</v>
      </c>
      <c r="J261" s="114">
        <v>141</v>
      </c>
      <c r="K261" s="114">
        <v>329</v>
      </c>
    </row>
    <row r="262" spans="1:11" x14ac:dyDescent="0.25">
      <c r="A262" s="114" t="s">
        <v>160</v>
      </c>
      <c r="B262" s="115" t="s">
        <v>132</v>
      </c>
      <c r="C262" s="114">
        <v>70</v>
      </c>
      <c r="D262" s="114">
        <v>213</v>
      </c>
      <c r="E262" s="114">
        <v>215</v>
      </c>
      <c r="F262" s="114">
        <v>176</v>
      </c>
      <c r="G262" s="114">
        <v>250</v>
      </c>
      <c r="H262" s="114">
        <v>360</v>
      </c>
      <c r="I262" s="114">
        <v>165</v>
      </c>
      <c r="J262" s="114">
        <v>148</v>
      </c>
      <c r="K262" s="114">
        <v>130</v>
      </c>
    </row>
    <row r="263" spans="1:11" x14ac:dyDescent="0.25">
      <c r="A263" s="114" t="s">
        <v>160</v>
      </c>
      <c r="B263" s="115" t="s">
        <v>133</v>
      </c>
      <c r="C263" s="114">
        <v>118</v>
      </c>
      <c r="D263" s="114">
        <v>287</v>
      </c>
      <c r="E263" s="114">
        <v>277</v>
      </c>
      <c r="F263" s="114">
        <v>103</v>
      </c>
      <c r="G263" s="114">
        <v>394</v>
      </c>
      <c r="H263" s="114">
        <v>334</v>
      </c>
      <c r="I263" s="114">
        <v>199</v>
      </c>
      <c r="J263" s="114">
        <v>84</v>
      </c>
      <c r="K263" s="114">
        <v>150</v>
      </c>
    </row>
    <row r="264" spans="1:11" x14ac:dyDescent="0.25">
      <c r="A264" s="114" t="s">
        <v>160</v>
      </c>
      <c r="B264" s="115" t="s">
        <v>134</v>
      </c>
      <c r="C264" s="114">
        <v>153</v>
      </c>
      <c r="D264" s="114">
        <v>235</v>
      </c>
      <c r="E264" s="114">
        <v>298</v>
      </c>
      <c r="F264" s="114">
        <v>90</v>
      </c>
      <c r="G264" s="114">
        <v>396</v>
      </c>
      <c r="H264" s="114">
        <v>195</v>
      </c>
      <c r="I264" s="114">
        <v>64</v>
      </c>
      <c r="J264" s="114">
        <v>92</v>
      </c>
      <c r="K264" s="114">
        <v>360</v>
      </c>
    </row>
    <row r="265" spans="1:11" x14ac:dyDescent="0.25">
      <c r="A265" s="114" t="s">
        <v>160</v>
      </c>
      <c r="B265" s="115" t="s">
        <v>135</v>
      </c>
      <c r="C265" s="114">
        <v>153</v>
      </c>
      <c r="D265" s="114">
        <v>238</v>
      </c>
      <c r="E265" s="114">
        <v>300</v>
      </c>
      <c r="F265" s="114">
        <v>159</v>
      </c>
      <c r="G265" s="114">
        <v>250</v>
      </c>
      <c r="H265" s="114">
        <v>227</v>
      </c>
      <c r="I265" s="114">
        <v>40</v>
      </c>
      <c r="J265" s="114">
        <v>126</v>
      </c>
      <c r="K265" s="114">
        <v>366</v>
      </c>
    </row>
    <row r="266" spans="1:11" x14ac:dyDescent="0.25">
      <c r="A266" s="114" t="s">
        <v>160</v>
      </c>
      <c r="B266" s="115" t="s">
        <v>136</v>
      </c>
      <c r="C266" s="114">
        <v>206</v>
      </c>
      <c r="D266" s="114">
        <v>205</v>
      </c>
      <c r="E266" s="114">
        <v>256</v>
      </c>
      <c r="F266" s="114">
        <v>329</v>
      </c>
      <c r="G266" s="114">
        <v>285</v>
      </c>
      <c r="H266" s="114">
        <v>280</v>
      </c>
      <c r="I266" s="114">
        <v>41</v>
      </c>
      <c r="J266" s="114">
        <v>175</v>
      </c>
      <c r="K266" s="114">
        <v>373</v>
      </c>
    </row>
    <row r="267" spans="1:11" x14ac:dyDescent="0.25">
      <c r="A267" s="114" t="s">
        <v>160</v>
      </c>
      <c r="B267" s="115" t="s">
        <v>137</v>
      </c>
      <c r="C267" s="114">
        <v>190</v>
      </c>
      <c r="D267" s="114">
        <v>177</v>
      </c>
      <c r="E267" s="114">
        <v>251</v>
      </c>
      <c r="F267" s="114">
        <v>285</v>
      </c>
      <c r="G267" s="114">
        <v>155</v>
      </c>
      <c r="H267" s="114">
        <v>385</v>
      </c>
      <c r="I267" s="114">
        <v>36</v>
      </c>
      <c r="J267" s="114">
        <v>165</v>
      </c>
      <c r="K267" s="114">
        <v>168</v>
      </c>
    </row>
    <row r="268" spans="1:11" x14ac:dyDescent="0.25">
      <c r="A268" s="114" t="s">
        <v>160</v>
      </c>
      <c r="B268" s="115" t="s">
        <v>138</v>
      </c>
      <c r="C268" s="114">
        <v>192</v>
      </c>
      <c r="D268" s="114">
        <v>223</v>
      </c>
      <c r="E268" s="114">
        <v>295</v>
      </c>
      <c r="F268" s="114">
        <v>256</v>
      </c>
      <c r="G268" s="114">
        <v>153</v>
      </c>
      <c r="H268" s="114">
        <v>382</v>
      </c>
      <c r="I268" s="114">
        <v>57</v>
      </c>
      <c r="J268" s="114">
        <v>235</v>
      </c>
      <c r="K268" s="114">
        <v>190</v>
      </c>
    </row>
    <row r="269" spans="1:11" x14ac:dyDescent="0.25">
      <c r="A269" s="114" t="s">
        <v>160</v>
      </c>
      <c r="B269" s="115" t="s">
        <v>139</v>
      </c>
      <c r="C269" s="114">
        <v>109</v>
      </c>
      <c r="D269" s="114">
        <v>236</v>
      </c>
      <c r="E269" s="114">
        <v>199</v>
      </c>
      <c r="F269" s="114">
        <v>274</v>
      </c>
      <c r="G269" s="114">
        <v>147</v>
      </c>
      <c r="H269" s="114">
        <v>391</v>
      </c>
      <c r="I269" s="114">
        <v>157</v>
      </c>
      <c r="J269" s="114">
        <v>247</v>
      </c>
      <c r="K269" s="114">
        <v>149</v>
      </c>
    </row>
    <row r="270" spans="1:11" x14ac:dyDescent="0.25">
      <c r="A270" s="114" t="s">
        <v>160</v>
      </c>
      <c r="B270" s="115" t="s">
        <v>140</v>
      </c>
      <c r="C270" s="114">
        <v>146</v>
      </c>
      <c r="D270" s="114">
        <v>374</v>
      </c>
      <c r="E270" s="114">
        <v>266</v>
      </c>
      <c r="F270" s="114">
        <v>287</v>
      </c>
      <c r="G270" s="114">
        <v>170</v>
      </c>
      <c r="H270" s="114">
        <v>118</v>
      </c>
      <c r="I270" s="114">
        <v>196</v>
      </c>
      <c r="J270" s="114">
        <v>131</v>
      </c>
      <c r="K270" s="114">
        <v>190</v>
      </c>
    </row>
    <row r="271" spans="1:11" x14ac:dyDescent="0.25">
      <c r="A271" s="114" t="s">
        <v>160</v>
      </c>
      <c r="B271" s="115" t="s">
        <v>141</v>
      </c>
      <c r="C271" s="114">
        <v>157</v>
      </c>
      <c r="D271" s="114">
        <v>287</v>
      </c>
      <c r="E271" s="114">
        <v>266</v>
      </c>
      <c r="F271" s="114">
        <v>372</v>
      </c>
      <c r="G271" s="114">
        <v>191</v>
      </c>
      <c r="H271" s="114">
        <v>231</v>
      </c>
      <c r="I271" s="114">
        <v>69</v>
      </c>
      <c r="J271" s="114">
        <v>154</v>
      </c>
      <c r="K271" s="114">
        <v>363</v>
      </c>
    </row>
    <row r="272" spans="1:11" x14ac:dyDescent="0.25">
      <c r="A272" s="114" t="s">
        <v>160</v>
      </c>
      <c r="B272" s="115" t="s">
        <v>142</v>
      </c>
      <c r="C272" s="114">
        <v>208</v>
      </c>
      <c r="D272" s="114">
        <v>283</v>
      </c>
      <c r="E272" s="114">
        <v>291</v>
      </c>
      <c r="F272" s="114">
        <v>360</v>
      </c>
      <c r="G272" s="114">
        <v>261</v>
      </c>
      <c r="H272" s="114">
        <v>275</v>
      </c>
      <c r="I272" s="114">
        <v>69</v>
      </c>
      <c r="J272" s="114">
        <v>258</v>
      </c>
      <c r="K272" s="114">
        <v>390</v>
      </c>
    </row>
    <row r="273" spans="1:11" x14ac:dyDescent="0.25">
      <c r="A273" s="114" t="s">
        <v>160</v>
      </c>
      <c r="B273" s="115" t="s">
        <v>143</v>
      </c>
      <c r="C273" s="114">
        <v>200</v>
      </c>
      <c r="D273" s="114">
        <v>244</v>
      </c>
      <c r="E273" s="114">
        <v>202</v>
      </c>
      <c r="F273" s="114">
        <v>356</v>
      </c>
      <c r="G273" s="114">
        <v>306</v>
      </c>
      <c r="H273" s="114">
        <v>174</v>
      </c>
      <c r="I273" s="114">
        <v>65</v>
      </c>
      <c r="J273" s="114">
        <v>270</v>
      </c>
      <c r="K273" s="114">
        <v>328</v>
      </c>
    </row>
    <row r="274" spans="1:11" x14ac:dyDescent="0.25">
      <c r="A274" s="114" t="s">
        <v>160</v>
      </c>
      <c r="B274" s="115" t="s">
        <v>144</v>
      </c>
      <c r="C274" s="114">
        <v>204</v>
      </c>
      <c r="D274" s="114">
        <v>263</v>
      </c>
      <c r="E274" s="114">
        <v>243</v>
      </c>
      <c r="F274" s="114">
        <v>369</v>
      </c>
      <c r="G274" s="114">
        <v>290</v>
      </c>
      <c r="H274" s="114">
        <v>171</v>
      </c>
      <c r="I274" s="114">
        <v>79</v>
      </c>
      <c r="J274" s="114">
        <v>229</v>
      </c>
      <c r="K274" s="114">
        <v>395</v>
      </c>
    </row>
    <row r="275" spans="1:11" x14ac:dyDescent="0.25">
      <c r="A275" s="114" t="s">
        <v>160</v>
      </c>
      <c r="B275" s="115" t="s">
        <v>145</v>
      </c>
      <c r="C275" s="114">
        <v>105</v>
      </c>
      <c r="D275" s="114">
        <v>338</v>
      </c>
      <c r="E275" s="114">
        <v>375</v>
      </c>
      <c r="F275" s="114">
        <v>306</v>
      </c>
      <c r="G275" s="114">
        <v>347</v>
      </c>
      <c r="H275" s="114">
        <v>232</v>
      </c>
      <c r="I275" s="114">
        <v>142</v>
      </c>
      <c r="J275" s="114">
        <v>225</v>
      </c>
      <c r="K275" s="114">
        <v>399</v>
      </c>
    </row>
    <row r="276" spans="1:11" x14ac:dyDescent="0.25">
      <c r="A276" s="114" t="s">
        <v>160</v>
      </c>
      <c r="B276" s="115" t="s">
        <v>146</v>
      </c>
      <c r="C276" s="114">
        <v>151</v>
      </c>
      <c r="D276" s="114">
        <v>293</v>
      </c>
      <c r="E276" s="114">
        <v>341</v>
      </c>
      <c r="F276" s="114">
        <v>331</v>
      </c>
      <c r="G276" s="114">
        <v>381</v>
      </c>
      <c r="H276" s="114">
        <v>318</v>
      </c>
      <c r="I276" s="114">
        <v>226</v>
      </c>
      <c r="J276" s="114">
        <v>246</v>
      </c>
      <c r="K276" s="114">
        <v>359</v>
      </c>
    </row>
    <row r="277" spans="1:11" x14ac:dyDescent="0.25">
      <c r="A277" s="114" t="s">
        <v>160</v>
      </c>
      <c r="B277" s="115" t="s">
        <v>147</v>
      </c>
      <c r="C277" s="114">
        <v>178</v>
      </c>
      <c r="D277" s="114">
        <v>326</v>
      </c>
      <c r="E277" s="114">
        <v>364</v>
      </c>
      <c r="F277" s="114">
        <v>321</v>
      </c>
      <c r="G277" s="114">
        <v>354</v>
      </c>
      <c r="H277" s="114">
        <v>379</v>
      </c>
      <c r="I277" s="114">
        <v>239</v>
      </c>
      <c r="J277" s="114">
        <v>128</v>
      </c>
      <c r="K277" s="114">
        <v>326</v>
      </c>
    </row>
    <row r="278" spans="1:11" x14ac:dyDescent="0.25">
      <c r="A278" s="114" t="s">
        <v>160</v>
      </c>
      <c r="B278" s="115" t="s">
        <v>148</v>
      </c>
      <c r="C278" s="114">
        <v>182</v>
      </c>
      <c r="D278" s="114">
        <v>305</v>
      </c>
      <c r="E278" s="114">
        <v>345</v>
      </c>
      <c r="F278" s="114">
        <v>237</v>
      </c>
      <c r="G278" s="114">
        <v>332</v>
      </c>
      <c r="H278" s="114">
        <v>414</v>
      </c>
      <c r="I278" s="114">
        <v>136</v>
      </c>
      <c r="J278" s="114">
        <v>100</v>
      </c>
      <c r="K278" s="114">
        <v>275</v>
      </c>
    </row>
    <row r="279" spans="1:11" x14ac:dyDescent="0.25">
      <c r="A279" s="114" t="s">
        <v>160</v>
      </c>
      <c r="B279" s="115" t="s">
        <v>149</v>
      </c>
      <c r="C279" s="114">
        <v>140</v>
      </c>
      <c r="D279" s="114">
        <v>410</v>
      </c>
      <c r="E279" s="114">
        <v>379</v>
      </c>
      <c r="F279" s="114">
        <v>237</v>
      </c>
      <c r="G279" s="114">
        <v>395</v>
      </c>
      <c r="H279" s="114">
        <v>427</v>
      </c>
      <c r="I279" s="114">
        <v>93</v>
      </c>
      <c r="J279" s="114">
        <v>85</v>
      </c>
      <c r="K279" s="114">
        <v>281</v>
      </c>
    </row>
    <row r="280" spans="1:11" x14ac:dyDescent="0.25">
      <c r="A280" s="114" t="s">
        <v>160</v>
      </c>
      <c r="B280" s="115" t="s">
        <v>150</v>
      </c>
      <c r="C280" s="114">
        <v>164</v>
      </c>
      <c r="D280" s="114">
        <v>404</v>
      </c>
      <c r="E280" s="114">
        <v>371</v>
      </c>
      <c r="F280" s="114">
        <v>312</v>
      </c>
      <c r="G280" s="114">
        <v>364</v>
      </c>
      <c r="H280" s="114">
        <v>425</v>
      </c>
      <c r="I280" s="114">
        <v>67</v>
      </c>
      <c r="J280" s="114">
        <v>84</v>
      </c>
      <c r="K280" s="114">
        <v>281</v>
      </c>
    </row>
    <row r="281" spans="1:11" x14ac:dyDescent="0.25">
      <c r="A281" s="114" t="s">
        <v>160</v>
      </c>
      <c r="B281" s="115" t="s">
        <v>151</v>
      </c>
      <c r="C281" s="114">
        <v>178</v>
      </c>
      <c r="D281" s="114">
        <v>404</v>
      </c>
      <c r="E281" s="114">
        <v>289</v>
      </c>
      <c r="F281" s="114">
        <v>374</v>
      </c>
      <c r="G281" s="114">
        <v>227</v>
      </c>
      <c r="H281" s="114">
        <v>283</v>
      </c>
      <c r="I281" s="114">
        <v>68</v>
      </c>
      <c r="J281" s="114">
        <v>174</v>
      </c>
      <c r="K281" s="114">
        <v>334</v>
      </c>
    </row>
    <row r="282" spans="1:11" x14ac:dyDescent="0.25">
      <c r="A282" s="114" t="s">
        <v>161</v>
      </c>
      <c r="B282" s="115" t="s">
        <v>121</v>
      </c>
      <c r="C282" s="114">
        <v>175</v>
      </c>
      <c r="D282" s="114">
        <v>316</v>
      </c>
      <c r="E282" s="114">
        <v>367</v>
      </c>
      <c r="F282" s="114">
        <v>221</v>
      </c>
      <c r="G282" s="114">
        <v>351</v>
      </c>
      <c r="H282" s="114">
        <v>245</v>
      </c>
      <c r="I282" s="114">
        <v>74</v>
      </c>
      <c r="J282" s="114">
        <v>240</v>
      </c>
      <c r="K282" s="114">
        <v>420</v>
      </c>
    </row>
    <row r="283" spans="1:11" x14ac:dyDescent="0.25">
      <c r="A283" s="114" t="s">
        <v>161</v>
      </c>
      <c r="B283" s="115" t="s">
        <v>123</v>
      </c>
      <c r="C283" s="114">
        <v>227</v>
      </c>
      <c r="D283" s="114">
        <v>310</v>
      </c>
      <c r="E283" s="114">
        <v>232</v>
      </c>
      <c r="F283" s="114">
        <v>371</v>
      </c>
      <c r="G283" s="114">
        <v>367</v>
      </c>
      <c r="H283" s="114">
        <v>276</v>
      </c>
      <c r="I283" s="114">
        <v>122</v>
      </c>
      <c r="J283" s="114">
        <v>232</v>
      </c>
      <c r="K283" s="114">
        <v>353</v>
      </c>
    </row>
    <row r="284" spans="1:11" x14ac:dyDescent="0.25">
      <c r="A284" s="114" t="s">
        <v>161</v>
      </c>
      <c r="B284" s="115" t="s">
        <v>124</v>
      </c>
      <c r="C284" s="114">
        <v>281</v>
      </c>
      <c r="D284" s="114">
        <v>389</v>
      </c>
      <c r="E284" s="114">
        <v>122</v>
      </c>
      <c r="F284" s="114">
        <v>382</v>
      </c>
      <c r="G284" s="114">
        <v>386</v>
      </c>
      <c r="H284" s="114">
        <v>271</v>
      </c>
      <c r="I284" s="114">
        <v>131</v>
      </c>
      <c r="J284" s="114">
        <v>109</v>
      </c>
      <c r="K284" s="114">
        <v>343</v>
      </c>
    </row>
    <row r="285" spans="1:11" x14ac:dyDescent="0.25">
      <c r="A285" s="114" t="s">
        <v>161</v>
      </c>
      <c r="B285" s="115" t="s">
        <v>125</v>
      </c>
      <c r="C285" s="114">
        <v>300</v>
      </c>
      <c r="D285" s="114">
        <v>244</v>
      </c>
      <c r="E285" s="114">
        <v>85</v>
      </c>
      <c r="F285" s="114">
        <v>199</v>
      </c>
      <c r="G285" s="114">
        <v>389</v>
      </c>
      <c r="H285" s="114">
        <v>343</v>
      </c>
      <c r="I285" s="114">
        <v>65</v>
      </c>
      <c r="J285" s="114">
        <v>91</v>
      </c>
      <c r="K285" s="114">
        <v>345</v>
      </c>
    </row>
    <row r="286" spans="1:11" x14ac:dyDescent="0.25">
      <c r="A286" s="114" t="s">
        <v>161</v>
      </c>
      <c r="B286" s="115" t="s">
        <v>126</v>
      </c>
      <c r="C286" s="114">
        <v>188</v>
      </c>
      <c r="D286" s="114">
        <v>390</v>
      </c>
      <c r="E286" s="114">
        <v>170</v>
      </c>
      <c r="F286" s="114">
        <v>249</v>
      </c>
      <c r="G286" s="114">
        <v>329</v>
      </c>
      <c r="H286" s="114">
        <v>315</v>
      </c>
      <c r="I286" s="114">
        <v>70</v>
      </c>
      <c r="J286" s="114">
        <v>97</v>
      </c>
      <c r="K286" s="114">
        <v>368</v>
      </c>
    </row>
    <row r="287" spans="1:11" x14ac:dyDescent="0.25">
      <c r="A287" s="114" t="s">
        <v>161</v>
      </c>
      <c r="B287" s="115" t="s">
        <v>127</v>
      </c>
      <c r="C287" s="114">
        <v>201</v>
      </c>
      <c r="D287" s="114">
        <v>354</v>
      </c>
      <c r="E287" s="114">
        <v>223</v>
      </c>
      <c r="F287" s="114">
        <v>393</v>
      </c>
      <c r="G287" s="114">
        <v>385</v>
      </c>
      <c r="H287" s="114">
        <v>180</v>
      </c>
      <c r="I287" s="114">
        <v>67</v>
      </c>
      <c r="J287" s="114">
        <v>131</v>
      </c>
      <c r="K287" s="114">
        <v>262</v>
      </c>
    </row>
    <row r="288" spans="1:11" x14ac:dyDescent="0.25">
      <c r="A288" s="114" t="s">
        <v>161</v>
      </c>
      <c r="B288" s="115" t="s">
        <v>128</v>
      </c>
      <c r="C288" s="114">
        <v>217</v>
      </c>
      <c r="D288" s="114">
        <v>345</v>
      </c>
      <c r="E288" s="114">
        <v>232</v>
      </c>
      <c r="F288" s="114">
        <v>418</v>
      </c>
      <c r="G288" s="114">
        <v>302</v>
      </c>
      <c r="H288" s="114">
        <v>151</v>
      </c>
      <c r="I288" s="114">
        <v>81</v>
      </c>
      <c r="J288" s="114">
        <v>220</v>
      </c>
      <c r="K288" s="114">
        <v>378</v>
      </c>
    </row>
    <row r="289" spans="1:11" x14ac:dyDescent="0.25">
      <c r="A289" s="114" t="s">
        <v>161</v>
      </c>
      <c r="B289" s="115" t="s">
        <v>129</v>
      </c>
      <c r="C289" s="114">
        <v>258</v>
      </c>
      <c r="D289" s="114">
        <v>378</v>
      </c>
      <c r="E289" s="114">
        <v>254</v>
      </c>
      <c r="F289" s="114">
        <v>365</v>
      </c>
      <c r="G289" s="114">
        <v>204</v>
      </c>
      <c r="H289" s="114">
        <v>216</v>
      </c>
      <c r="I289" s="114">
        <v>125</v>
      </c>
      <c r="J289" s="114">
        <v>307</v>
      </c>
      <c r="K289" s="114">
        <v>421</v>
      </c>
    </row>
    <row r="290" spans="1:11" x14ac:dyDescent="0.25">
      <c r="A290" s="114" t="s">
        <v>161</v>
      </c>
      <c r="B290" s="115" t="s">
        <v>130</v>
      </c>
      <c r="C290" s="114">
        <v>307</v>
      </c>
      <c r="D290" s="114">
        <v>337</v>
      </c>
      <c r="E290" s="114">
        <v>238</v>
      </c>
      <c r="F290" s="114">
        <v>256</v>
      </c>
      <c r="G290" s="114">
        <v>171</v>
      </c>
      <c r="H290" s="114">
        <v>270</v>
      </c>
      <c r="I290" s="114">
        <v>200</v>
      </c>
      <c r="J290" s="114">
        <v>329</v>
      </c>
      <c r="K290" s="114">
        <v>394</v>
      </c>
    </row>
    <row r="291" spans="1:11" x14ac:dyDescent="0.25">
      <c r="A291" s="114" t="s">
        <v>161</v>
      </c>
      <c r="B291" s="115" t="s">
        <v>131</v>
      </c>
      <c r="C291" s="114">
        <v>294</v>
      </c>
      <c r="D291" s="114">
        <v>376</v>
      </c>
      <c r="E291" s="114">
        <v>255</v>
      </c>
      <c r="F291" s="114">
        <v>235</v>
      </c>
      <c r="G291" s="114">
        <v>223</v>
      </c>
      <c r="H291" s="114">
        <v>348</v>
      </c>
      <c r="I291" s="114">
        <v>205</v>
      </c>
      <c r="J291" s="114">
        <v>254</v>
      </c>
      <c r="K291" s="114">
        <v>304</v>
      </c>
    </row>
    <row r="292" spans="1:11" x14ac:dyDescent="0.25">
      <c r="A292" s="114" t="s">
        <v>161</v>
      </c>
      <c r="B292" s="115" t="s">
        <v>132</v>
      </c>
      <c r="C292" s="114">
        <v>306</v>
      </c>
      <c r="D292" s="114">
        <v>359</v>
      </c>
      <c r="E292" s="114">
        <v>265</v>
      </c>
      <c r="F292" s="114">
        <v>253</v>
      </c>
      <c r="G292" s="114">
        <v>276</v>
      </c>
      <c r="H292" s="114">
        <v>394</v>
      </c>
      <c r="I292" s="114">
        <v>124</v>
      </c>
      <c r="J292" s="114">
        <v>230</v>
      </c>
      <c r="K292" s="114">
        <v>376</v>
      </c>
    </row>
    <row r="293" spans="1:11" x14ac:dyDescent="0.25">
      <c r="A293" s="114" t="s">
        <v>161</v>
      </c>
      <c r="B293" s="115" t="s">
        <v>133</v>
      </c>
      <c r="C293" s="114">
        <v>307</v>
      </c>
      <c r="D293" s="114">
        <v>317</v>
      </c>
      <c r="E293" s="114">
        <v>251</v>
      </c>
      <c r="F293" s="114">
        <v>340</v>
      </c>
      <c r="G293" s="114">
        <v>335</v>
      </c>
      <c r="H293" s="114">
        <v>405</v>
      </c>
      <c r="I293" s="114">
        <v>82</v>
      </c>
      <c r="J293" s="114">
        <v>269</v>
      </c>
      <c r="K293" s="114">
        <v>434</v>
      </c>
    </row>
    <row r="294" spans="1:11" x14ac:dyDescent="0.25">
      <c r="A294" s="114" t="s">
        <v>161</v>
      </c>
      <c r="B294" s="115" t="s">
        <v>134</v>
      </c>
      <c r="C294" s="114">
        <v>220</v>
      </c>
      <c r="D294" s="114">
        <v>333</v>
      </c>
      <c r="E294" s="114">
        <v>307</v>
      </c>
      <c r="F294" s="114">
        <v>405</v>
      </c>
      <c r="G294" s="114">
        <v>352</v>
      </c>
      <c r="H294" s="114">
        <v>354</v>
      </c>
      <c r="I294" s="114">
        <v>51</v>
      </c>
      <c r="J294" s="114">
        <v>314</v>
      </c>
      <c r="K294" s="114">
        <v>434</v>
      </c>
    </row>
    <row r="295" spans="1:11" x14ac:dyDescent="0.25">
      <c r="A295" s="114" t="s">
        <v>161</v>
      </c>
      <c r="B295" s="115" t="s">
        <v>135</v>
      </c>
      <c r="C295" s="114">
        <v>262</v>
      </c>
      <c r="D295" s="114">
        <v>368</v>
      </c>
      <c r="E295" s="114">
        <v>356</v>
      </c>
      <c r="F295" s="114">
        <v>426</v>
      </c>
      <c r="G295" s="114">
        <v>282</v>
      </c>
      <c r="H295" s="114">
        <v>249</v>
      </c>
      <c r="I295" s="114">
        <v>90</v>
      </c>
      <c r="J295" s="114">
        <v>349</v>
      </c>
      <c r="K295" s="114">
        <v>374</v>
      </c>
    </row>
    <row r="296" spans="1:11" x14ac:dyDescent="0.25">
      <c r="A296" s="114" t="s">
        <v>161</v>
      </c>
      <c r="B296" s="115" t="s">
        <v>136</v>
      </c>
      <c r="C296" s="114">
        <v>302</v>
      </c>
      <c r="D296" s="114">
        <v>316</v>
      </c>
      <c r="E296" s="114">
        <v>348</v>
      </c>
      <c r="F296" s="114">
        <v>200</v>
      </c>
      <c r="G296" s="114">
        <v>264</v>
      </c>
      <c r="H296" s="114">
        <v>268</v>
      </c>
      <c r="I296" s="114">
        <v>111</v>
      </c>
      <c r="J296" s="114">
        <v>237</v>
      </c>
      <c r="K296" s="114">
        <v>365</v>
      </c>
    </row>
    <row r="297" spans="1:11" x14ac:dyDescent="0.25">
      <c r="A297" s="114" t="s">
        <v>161</v>
      </c>
      <c r="B297" s="115" t="s">
        <v>137</v>
      </c>
      <c r="C297" s="114">
        <v>340</v>
      </c>
      <c r="D297" s="114">
        <v>334</v>
      </c>
      <c r="E297" s="114">
        <v>262</v>
      </c>
      <c r="F297" s="114">
        <v>149</v>
      </c>
      <c r="G297" s="114">
        <v>277</v>
      </c>
      <c r="H297" s="114">
        <v>404</v>
      </c>
      <c r="I297" s="114">
        <v>149</v>
      </c>
      <c r="J297" s="114">
        <v>263</v>
      </c>
      <c r="K297" s="114">
        <v>396</v>
      </c>
    </row>
    <row r="298" spans="1:11" x14ac:dyDescent="0.25">
      <c r="A298" s="114" t="s">
        <v>161</v>
      </c>
      <c r="B298" s="115" t="s">
        <v>138</v>
      </c>
      <c r="C298" s="114">
        <v>349</v>
      </c>
      <c r="D298" s="114">
        <v>386</v>
      </c>
      <c r="E298" s="114">
        <v>415</v>
      </c>
      <c r="F298" s="114">
        <v>151</v>
      </c>
      <c r="G298" s="114">
        <v>284</v>
      </c>
      <c r="H298" s="114">
        <v>433</v>
      </c>
      <c r="I298" s="114">
        <v>165</v>
      </c>
      <c r="J298" s="114">
        <v>309</v>
      </c>
      <c r="K298" s="114">
        <v>387</v>
      </c>
    </row>
    <row r="299" spans="1:11" x14ac:dyDescent="0.25">
      <c r="A299" s="114" t="s">
        <v>161</v>
      </c>
      <c r="B299" s="115" t="s">
        <v>139</v>
      </c>
      <c r="C299" s="114">
        <v>374</v>
      </c>
      <c r="D299" s="114">
        <v>353</v>
      </c>
      <c r="E299" s="114">
        <v>402</v>
      </c>
      <c r="F299" s="114">
        <v>194</v>
      </c>
      <c r="G299" s="114">
        <v>277</v>
      </c>
      <c r="H299" s="114">
        <v>355</v>
      </c>
      <c r="I299" s="114">
        <v>95</v>
      </c>
      <c r="J299" s="114">
        <v>267</v>
      </c>
      <c r="K299" s="114">
        <v>381</v>
      </c>
    </row>
    <row r="300" spans="1:11" x14ac:dyDescent="0.25">
      <c r="A300" s="114" t="s">
        <v>161</v>
      </c>
      <c r="B300" s="115" t="s">
        <v>140</v>
      </c>
      <c r="C300" s="114">
        <v>184</v>
      </c>
      <c r="D300" s="114">
        <v>329</v>
      </c>
      <c r="E300" s="114">
        <v>296</v>
      </c>
      <c r="F300" s="114">
        <v>274</v>
      </c>
      <c r="G300" s="114">
        <v>344</v>
      </c>
      <c r="H300" s="114">
        <v>430</v>
      </c>
      <c r="I300" s="114">
        <v>70</v>
      </c>
      <c r="J300" s="114">
        <v>277</v>
      </c>
      <c r="K300" s="114">
        <v>254</v>
      </c>
    </row>
    <row r="301" spans="1:11" x14ac:dyDescent="0.25">
      <c r="A301" s="114" t="s">
        <v>161</v>
      </c>
      <c r="B301" s="115" t="s">
        <v>141</v>
      </c>
      <c r="C301" s="114">
        <v>275</v>
      </c>
      <c r="D301" s="114">
        <v>348</v>
      </c>
      <c r="E301" s="114">
        <v>382</v>
      </c>
      <c r="F301" s="114">
        <v>377</v>
      </c>
      <c r="G301" s="114">
        <v>379</v>
      </c>
      <c r="H301" s="114">
        <v>337</v>
      </c>
      <c r="I301" s="114">
        <v>68</v>
      </c>
      <c r="J301" s="114">
        <v>298</v>
      </c>
      <c r="K301" s="114">
        <v>267</v>
      </c>
    </row>
    <row r="302" spans="1:11" x14ac:dyDescent="0.25">
      <c r="A302" s="114" t="s">
        <v>161</v>
      </c>
      <c r="B302" s="115" t="s">
        <v>142</v>
      </c>
      <c r="C302" s="114">
        <v>287</v>
      </c>
      <c r="D302" s="114">
        <v>382</v>
      </c>
      <c r="E302" s="114">
        <v>398</v>
      </c>
      <c r="F302" s="114">
        <v>399</v>
      </c>
      <c r="G302" s="114">
        <v>387</v>
      </c>
      <c r="H302" s="114">
        <v>389</v>
      </c>
      <c r="I302" s="114">
        <v>58</v>
      </c>
      <c r="J302" s="114">
        <v>170</v>
      </c>
      <c r="K302" s="114">
        <v>247</v>
      </c>
    </row>
    <row r="303" spans="1:11" x14ac:dyDescent="0.25">
      <c r="A303" s="114" t="s">
        <v>161</v>
      </c>
      <c r="B303" s="115" t="s">
        <v>143</v>
      </c>
      <c r="C303" s="114">
        <v>235</v>
      </c>
      <c r="D303" s="114">
        <v>309</v>
      </c>
      <c r="E303" s="114">
        <v>431</v>
      </c>
      <c r="F303" s="114">
        <v>426</v>
      </c>
      <c r="G303" s="114">
        <v>388</v>
      </c>
      <c r="H303" s="114">
        <v>399</v>
      </c>
      <c r="I303" s="114">
        <v>83</v>
      </c>
      <c r="J303" s="114">
        <v>192</v>
      </c>
      <c r="K303" s="114">
        <v>250</v>
      </c>
    </row>
    <row r="304" spans="1:11" x14ac:dyDescent="0.25">
      <c r="A304" s="114" t="s">
        <v>161</v>
      </c>
      <c r="B304" s="115" t="s">
        <v>144</v>
      </c>
      <c r="C304" s="114">
        <v>246</v>
      </c>
      <c r="D304" s="114">
        <v>357</v>
      </c>
      <c r="E304" s="114">
        <v>331</v>
      </c>
      <c r="F304" s="114">
        <v>390</v>
      </c>
      <c r="G304" s="114">
        <v>253</v>
      </c>
      <c r="H304" s="114">
        <v>362</v>
      </c>
      <c r="I304" s="114">
        <v>131</v>
      </c>
      <c r="J304" s="114">
        <v>240</v>
      </c>
      <c r="K304" s="114">
        <v>254</v>
      </c>
    </row>
    <row r="305" spans="1:11" x14ac:dyDescent="0.25">
      <c r="A305" s="114" t="s">
        <v>161</v>
      </c>
      <c r="B305" s="115" t="s">
        <v>145</v>
      </c>
      <c r="C305" s="114">
        <v>228</v>
      </c>
      <c r="D305" s="114">
        <v>369</v>
      </c>
      <c r="E305" s="114">
        <v>346</v>
      </c>
      <c r="F305" s="114">
        <v>407</v>
      </c>
      <c r="G305" s="114">
        <v>264</v>
      </c>
      <c r="H305" s="114">
        <v>345</v>
      </c>
      <c r="I305" s="114">
        <v>151</v>
      </c>
      <c r="J305" s="114">
        <v>208</v>
      </c>
      <c r="K305" s="114">
        <v>422</v>
      </c>
    </row>
    <row r="306" spans="1:11" x14ac:dyDescent="0.25">
      <c r="A306" s="114" t="s">
        <v>161</v>
      </c>
      <c r="B306" s="115" t="s">
        <v>146</v>
      </c>
      <c r="C306" s="114">
        <v>204</v>
      </c>
      <c r="D306" s="114">
        <v>309</v>
      </c>
      <c r="E306" s="114">
        <v>266</v>
      </c>
      <c r="F306" s="114">
        <v>296</v>
      </c>
      <c r="G306" s="114">
        <v>340</v>
      </c>
      <c r="H306" s="114">
        <v>407</v>
      </c>
      <c r="I306" s="114">
        <v>62</v>
      </c>
      <c r="J306" s="114">
        <v>277</v>
      </c>
      <c r="K306" s="114">
        <v>423</v>
      </c>
    </row>
    <row r="307" spans="1:11" x14ac:dyDescent="0.25">
      <c r="A307" s="114" t="s">
        <v>161</v>
      </c>
      <c r="B307" s="115" t="s">
        <v>147</v>
      </c>
      <c r="C307" s="114">
        <v>214</v>
      </c>
      <c r="D307" s="114">
        <v>313</v>
      </c>
      <c r="E307" s="114">
        <v>241</v>
      </c>
      <c r="F307" s="114">
        <v>373</v>
      </c>
      <c r="G307" s="114">
        <v>391</v>
      </c>
      <c r="H307" s="114">
        <v>421</v>
      </c>
      <c r="I307" s="114">
        <v>59</v>
      </c>
      <c r="J307" s="114">
        <v>307</v>
      </c>
      <c r="K307" s="114">
        <v>414</v>
      </c>
    </row>
    <row r="308" spans="1:11" x14ac:dyDescent="0.25">
      <c r="A308" s="114" t="s">
        <v>161</v>
      </c>
      <c r="B308" s="115" t="s">
        <v>148</v>
      </c>
      <c r="C308" s="114">
        <v>197</v>
      </c>
      <c r="D308" s="114">
        <v>379</v>
      </c>
      <c r="E308" s="114">
        <v>266</v>
      </c>
      <c r="F308" s="114">
        <v>418</v>
      </c>
      <c r="G308" s="114">
        <v>398</v>
      </c>
      <c r="H308" s="114">
        <v>313</v>
      </c>
      <c r="I308" s="114">
        <v>56</v>
      </c>
      <c r="J308" s="114">
        <v>340</v>
      </c>
      <c r="K308" s="114">
        <v>176</v>
      </c>
    </row>
    <row r="309" spans="1:11" x14ac:dyDescent="0.25">
      <c r="A309" s="114" t="s">
        <v>161</v>
      </c>
      <c r="B309" s="115" t="s">
        <v>149</v>
      </c>
      <c r="C309" s="114">
        <v>202</v>
      </c>
      <c r="D309" s="114">
        <v>325</v>
      </c>
      <c r="E309" s="114">
        <v>354</v>
      </c>
      <c r="F309" s="114">
        <v>361</v>
      </c>
      <c r="G309" s="114">
        <v>296</v>
      </c>
      <c r="H309" s="114">
        <v>266</v>
      </c>
      <c r="I309" s="114">
        <v>57</v>
      </c>
      <c r="J309" s="114">
        <v>370</v>
      </c>
      <c r="K309" s="114">
        <v>184</v>
      </c>
    </row>
    <row r="310" spans="1:11" x14ac:dyDescent="0.25">
      <c r="A310" s="114" t="s">
        <v>161</v>
      </c>
      <c r="B310" s="115" t="s">
        <v>150</v>
      </c>
      <c r="C310" s="114">
        <v>174</v>
      </c>
      <c r="D310" s="114">
        <v>365</v>
      </c>
      <c r="E310" s="114">
        <v>371</v>
      </c>
      <c r="F310" s="114">
        <v>229</v>
      </c>
      <c r="G310" s="114">
        <v>273</v>
      </c>
      <c r="H310" s="114">
        <v>262</v>
      </c>
      <c r="I310" s="114">
        <v>66</v>
      </c>
      <c r="J310" s="114">
        <v>260</v>
      </c>
      <c r="K310" s="114">
        <v>247</v>
      </c>
    </row>
    <row r="311" spans="1:11" x14ac:dyDescent="0.25">
      <c r="A311" s="114" t="s">
        <v>161</v>
      </c>
      <c r="B311" s="115" t="s">
        <v>151</v>
      </c>
      <c r="C311" s="114">
        <v>149</v>
      </c>
      <c r="D311" s="114">
        <v>262</v>
      </c>
      <c r="E311" s="114">
        <v>280</v>
      </c>
      <c r="F311" s="114">
        <v>207</v>
      </c>
      <c r="G311" s="114">
        <v>252</v>
      </c>
      <c r="H311" s="114">
        <v>326</v>
      </c>
      <c r="I311" s="114">
        <v>110</v>
      </c>
      <c r="J311" s="114">
        <v>243</v>
      </c>
      <c r="K311" s="114">
        <v>181</v>
      </c>
    </row>
    <row r="312" spans="1:11" x14ac:dyDescent="0.25">
      <c r="A312" s="114" t="s">
        <v>161</v>
      </c>
      <c r="B312" s="115" t="s">
        <v>152</v>
      </c>
      <c r="C312" s="114">
        <v>154</v>
      </c>
      <c r="D312" s="114">
        <v>266</v>
      </c>
      <c r="E312" s="114">
        <v>288</v>
      </c>
      <c r="F312" s="114">
        <v>261</v>
      </c>
      <c r="G312" s="114">
        <v>254</v>
      </c>
      <c r="H312" s="114">
        <v>331</v>
      </c>
      <c r="I312" s="114">
        <v>125</v>
      </c>
      <c r="J312" s="114">
        <v>167</v>
      </c>
      <c r="K312" s="114">
        <v>193</v>
      </c>
    </row>
    <row r="313" spans="1:11" x14ac:dyDescent="0.25">
      <c r="A313" s="114" t="s">
        <v>213</v>
      </c>
      <c r="B313" s="115" t="s">
        <v>121</v>
      </c>
      <c r="C313" s="114">
        <v>178</v>
      </c>
      <c r="D313" s="114">
        <v>272</v>
      </c>
      <c r="E313" s="114">
        <v>325</v>
      </c>
      <c r="F313" s="114">
        <v>352</v>
      </c>
      <c r="G313" s="114">
        <v>285</v>
      </c>
      <c r="H313" s="114">
        <v>333</v>
      </c>
      <c r="I313" s="114">
        <v>78</v>
      </c>
      <c r="J313" s="114">
        <v>289</v>
      </c>
      <c r="K313" s="114">
        <v>248</v>
      </c>
    </row>
    <row r="314" spans="1:11" x14ac:dyDescent="0.25">
      <c r="A314" s="114" t="s">
        <v>213</v>
      </c>
      <c r="B314" s="115" t="s">
        <v>123</v>
      </c>
      <c r="C314" s="114">
        <v>221</v>
      </c>
      <c r="D314" s="114">
        <v>267</v>
      </c>
      <c r="E314" s="114">
        <v>417</v>
      </c>
      <c r="F314" s="114">
        <v>341</v>
      </c>
      <c r="G314" s="114">
        <v>327</v>
      </c>
      <c r="H314" s="114">
        <v>331</v>
      </c>
      <c r="I314" s="114">
        <v>56</v>
      </c>
      <c r="J314" s="114">
        <v>304</v>
      </c>
      <c r="K314" s="114">
        <v>389</v>
      </c>
    </row>
    <row r="315" spans="1:11" x14ac:dyDescent="0.25">
      <c r="A315" s="114" t="s">
        <v>213</v>
      </c>
      <c r="B315" s="115" t="s">
        <v>124</v>
      </c>
      <c r="C315" s="114">
        <v>376</v>
      </c>
      <c r="D315" s="114">
        <v>255</v>
      </c>
      <c r="E315" s="114">
        <v>426</v>
      </c>
      <c r="F315" s="114">
        <v>417</v>
      </c>
      <c r="G315" s="114">
        <v>341</v>
      </c>
      <c r="H315" s="114">
        <v>181</v>
      </c>
      <c r="I315" s="114">
        <v>58</v>
      </c>
      <c r="J315" s="114">
        <v>309</v>
      </c>
      <c r="K315" s="114">
        <v>390</v>
      </c>
    </row>
    <row r="316" spans="1:11" x14ac:dyDescent="0.25">
      <c r="A316" s="114" t="s">
        <v>213</v>
      </c>
      <c r="B316" s="115" t="s">
        <v>125</v>
      </c>
      <c r="C316" s="114">
        <v>379</v>
      </c>
      <c r="D316" s="114">
        <v>296</v>
      </c>
      <c r="E316" s="114">
        <v>356</v>
      </c>
      <c r="F316" s="114">
        <v>417</v>
      </c>
      <c r="G316" s="114">
        <v>279</v>
      </c>
      <c r="H316" s="114">
        <v>199</v>
      </c>
      <c r="I316" s="114">
        <v>75</v>
      </c>
      <c r="J316" s="114">
        <v>285</v>
      </c>
      <c r="K316" s="114">
        <v>376</v>
      </c>
    </row>
    <row r="317" spans="1:11" x14ac:dyDescent="0.25">
      <c r="A317" s="114" t="s">
        <v>213</v>
      </c>
      <c r="B317" s="115" t="s">
        <v>126</v>
      </c>
      <c r="C317" s="114">
        <v>233</v>
      </c>
      <c r="D317" s="114">
        <v>394</v>
      </c>
      <c r="E317" s="114">
        <v>304</v>
      </c>
      <c r="F317" s="114">
        <v>258</v>
      </c>
      <c r="G317" s="114">
        <v>289</v>
      </c>
      <c r="H317" s="114">
        <v>256</v>
      </c>
      <c r="I317" s="114">
        <v>98</v>
      </c>
      <c r="J317" s="114">
        <v>321</v>
      </c>
      <c r="K317" s="114">
        <v>303</v>
      </c>
    </row>
    <row r="318" spans="1:11" x14ac:dyDescent="0.25">
      <c r="A318" s="114" t="s">
        <v>213</v>
      </c>
      <c r="B318" s="115" t="s">
        <v>127</v>
      </c>
      <c r="C318" s="114">
        <v>252</v>
      </c>
      <c r="D318" s="114">
        <v>336</v>
      </c>
      <c r="E318" s="114">
        <v>344</v>
      </c>
      <c r="F318" s="114">
        <v>245</v>
      </c>
      <c r="G318" s="114">
        <v>284</v>
      </c>
      <c r="H318" s="114">
        <v>352</v>
      </c>
      <c r="I318" s="114">
        <v>162</v>
      </c>
      <c r="J318" s="114">
        <v>293</v>
      </c>
      <c r="K318" s="114">
        <v>153</v>
      </c>
    </row>
    <row r="319" spans="1:11" x14ac:dyDescent="0.25">
      <c r="A319" s="114" t="s">
        <v>213</v>
      </c>
      <c r="B319" s="115" t="s">
        <v>128</v>
      </c>
      <c r="C319" s="114">
        <v>320</v>
      </c>
      <c r="D319" s="114">
        <v>373</v>
      </c>
      <c r="E319" s="114">
        <v>356</v>
      </c>
      <c r="F319" s="114">
        <v>231</v>
      </c>
      <c r="G319" s="114">
        <v>333</v>
      </c>
      <c r="H319" s="114">
        <v>408</v>
      </c>
      <c r="I319" s="114">
        <v>165</v>
      </c>
      <c r="J319" s="114">
        <v>170</v>
      </c>
      <c r="K319" s="114">
        <v>142</v>
      </c>
    </row>
    <row r="320" spans="1:11" x14ac:dyDescent="0.25">
      <c r="A320" s="114" t="s">
        <v>213</v>
      </c>
      <c r="B320" s="115" t="s">
        <v>129</v>
      </c>
      <c r="C320" s="114">
        <v>351</v>
      </c>
      <c r="D320" s="114">
        <v>382</v>
      </c>
      <c r="E320" s="114">
        <v>352</v>
      </c>
      <c r="F320" s="114">
        <v>352</v>
      </c>
      <c r="G320" s="114">
        <v>364</v>
      </c>
      <c r="H320" s="114">
        <v>434</v>
      </c>
      <c r="I320" s="114">
        <v>76</v>
      </c>
      <c r="J320" s="114">
        <v>116</v>
      </c>
      <c r="K320" s="114">
        <v>187</v>
      </c>
    </row>
    <row r="321" spans="1:11" x14ac:dyDescent="0.25">
      <c r="A321" s="114" t="s">
        <v>213</v>
      </c>
      <c r="B321" s="115" t="s">
        <v>130</v>
      </c>
      <c r="C321" s="114">
        <v>232</v>
      </c>
      <c r="D321" s="114">
        <v>395</v>
      </c>
      <c r="E321" s="114">
        <v>277</v>
      </c>
      <c r="F321" s="114">
        <v>418</v>
      </c>
      <c r="G321" s="114">
        <v>326</v>
      </c>
      <c r="H321" s="114">
        <v>430</v>
      </c>
      <c r="I321" s="114">
        <v>51</v>
      </c>
      <c r="J321" s="114">
        <v>101</v>
      </c>
      <c r="K321" s="114">
        <v>271</v>
      </c>
    </row>
    <row r="322" spans="1:11" x14ac:dyDescent="0.25">
      <c r="A322" s="114" t="s">
        <v>213</v>
      </c>
      <c r="B322" s="115" t="s">
        <v>131</v>
      </c>
      <c r="C322" s="114">
        <v>208</v>
      </c>
      <c r="D322" s="114">
        <v>385</v>
      </c>
      <c r="E322" s="114">
        <v>357</v>
      </c>
      <c r="F322" s="114">
        <v>425</v>
      </c>
      <c r="G322" s="114">
        <v>369</v>
      </c>
      <c r="H322" s="114">
        <v>263</v>
      </c>
      <c r="I322" s="114">
        <v>45</v>
      </c>
      <c r="J322" s="114">
        <v>181</v>
      </c>
      <c r="K322" s="114">
        <v>301</v>
      </c>
    </row>
    <row r="323" spans="1:11" x14ac:dyDescent="0.25">
      <c r="A323" s="114" t="s">
        <v>213</v>
      </c>
      <c r="B323" s="115" t="s">
        <v>132</v>
      </c>
      <c r="C323" s="114">
        <v>224</v>
      </c>
      <c r="D323" s="114">
        <v>408</v>
      </c>
      <c r="E323" s="114">
        <v>363</v>
      </c>
      <c r="F323" s="114">
        <v>423</v>
      </c>
      <c r="G323" s="114">
        <v>270</v>
      </c>
      <c r="H323" s="114">
        <v>359</v>
      </c>
      <c r="I323" s="114">
        <v>46</v>
      </c>
      <c r="J323" s="114">
        <v>213</v>
      </c>
      <c r="K323" s="114">
        <v>326</v>
      </c>
    </row>
    <row r="324" spans="1:11" x14ac:dyDescent="0.25">
      <c r="A324" s="114" t="s">
        <v>213</v>
      </c>
      <c r="B324" s="115" t="s">
        <v>133</v>
      </c>
      <c r="C324" s="114">
        <v>309</v>
      </c>
      <c r="D324" s="114">
        <v>299</v>
      </c>
      <c r="E324" s="114">
        <v>385</v>
      </c>
      <c r="F324" s="114">
        <v>217</v>
      </c>
      <c r="G324" s="114">
        <v>346</v>
      </c>
      <c r="H324" s="114">
        <v>324</v>
      </c>
      <c r="I324" s="114">
        <v>87</v>
      </c>
      <c r="J324" s="114">
        <v>178</v>
      </c>
      <c r="K324" s="114">
        <v>342</v>
      </c>
    </row>
    <row r="325" spans="1:11" x14ac:dyDescent="0.25">
      <c r="A325" s="114" t="s">
        <v>213</v>
      </c>
      <c r="B325" s="115" t="s">
        <v>134</v>
      </c>
      <c r="C325" s="114">
        <v>252</v>
      </c>
      <c r="D325" s="114">
        <v>368</v>
      </c>
      <c r="E325" s="114">
        <v>338</v>
      </c>
      <c r="F325" s="114">
        <v>397</v>
      </c>
      <c r="G325" s="114">
        <v>350</v>
      </c>
      <c r="H325" s="114">
        <v>349</v>
      </c>
      <c r="I325" s="114">
        <v>134</v>
      </c>
      <c r="J325" s="114">
        <v>210</v>
      </c>
      <c r="K325" s="114">
        <v>279</v>
      </c>
    </row>
    <row r="326" spans="1:11" x14ac:dyDescent="0.25">
      <c r="A326" s="114" t="s">
        <v>213</v>
      </c>
      <c r="B326" s="115" t="s">
        <v>135</v>
      </c>
      <c r="C326" s="114">
        <v>273</v>
      </c>
      <c r="D326" s="114">
        <v>386</v>
      </c>
      <c r="E326" s="114">
        <v>373</v>
      </c>
      <c r="F326" s="114">
        <v>414</v>
      </c>
      <c r="G326" s="114">
        <v>403</v>
      </c>
      <c r="H326" s="114">
        <v>395</v>
      </c>
      <c r="I326" s="114">
        <v>154</v>
      </c>
      <c r="J326" s="114">
        <v>192</v>
      </c>
      <c r="K326" s="114">
        <v>407</v>
      </c>
    </row>
    <row r="327" spans="1:11" x14ac:dyDescent="0.25">
      <c r="A327" s="114" t="s">
        <v>213</v>
      </c>
      <c r="B327" s="115" t="s">
        <v>136</v>
      </c>
      <c r="C327" s="114">
        <v>258</v>
      </c>
      <c r="D327" s="114">
        <v>216</v>
      </c>
      <c r="E327" s="114">
        <v>396</v>
      </c>
      <c r="F327" s="114">
        <v>327</v>
      </c>
      <c r="G327" s="114">
        <v>347</v>
      </c>
      <c r="H327" s="114">
        <v>330</v>
      </c>
      <c r="I327" s="114">
        <v>66</v>
      </c>
      <c r="J327" s="114">
        <v>180</v>
      </c>
      <c r="K327" s="114">
        <v>402</v>
      </c>
    </row>
    <row r="328" spans="1:11" x14ac:dyDescent="0.25">
      <c r="A328" s="114" t="s">
        <v>213</v>
      </c>
      <c r="B328" s="115" t="s">
        <v>137</v>
      </c>
      <c r="C328" s="114">
        <v>184</v>
      </c>
      <c r="D328" s="114">
        <v>300</v>
      </c>
      <c r="E328" s="114">
        <v>202</v>
      </c>
      <c r="F328" s="114">
        <v>287</v>
      </c>
      <c r="G328" s="114">
        <v>334</v>
      </c>
      <c r="H328" s="114">
        <v>383</v>
      </c>
      <c r="I328" s="114">
        <v>54</v>
      </c>
      <c r="J328" s="114">
        <v>171</v>
      </c>
      <c r="K328" s="114">
        <v>376</v>
      </c>
    </row>
    <row r="329" spans="1:11" x14ac:dyDescent="0.25">
      <c r="A329" s="114" t="s">
        <v>213</v>
      </c>
      <c r="B329" s="115" t="s">
        <v>138</v>
      </c>
      <c r="C329" s="114">
        <v>227</v>
      </c>
      <c r="D329" s="114">
        <v>396</v>
      </c>
      <c r="E329" s="114">
        <v>205</v>
      </c>
      <c r="F329" s="114">
        <v>348</v>
      </c>
      <c r="G329" s="114">
        <v>374</v>
      </c>
      <c r="H329" s="114">
        <v>330</v>
      </c>
      <c r="I329" s="114">
        <v>60</v>
      </c>
      <c r="J329" s="114">
        <v>186</v>
      </c>
      <c r="K329" s="114">
        <v>197</v>
      </c>
    </row>
    <row r="330" spans="1:11" x14ac:dyDescent="0.25">
      <c r="A330" s="114" t="s">
        <v>213</v>
      </c>
      <c r="B330" s="115" t="s">
        <v>139</v>
      </c>
      <c r="C330" s="114">
        <v>234</v>
      </c>
      <c r="D330" s="114">
        <v>385</v>
      </c>
      <c r="E330" s="114">
        <v>291</v>
      </c>
      <c r="F330" s="114">
        <v>414</v>
      </c>
      <c r="G330" s="114">
        <v>364</v>
      </c>
      <c r="H330" s="114">
        <v>332</v>
      </c>
      <c r="I330" s="114">
        <v>70</v>
      </c>
      <c r="J330" s="114">
        <v>228</v>
      </c>
      <c r="K330" s="114">
        <v>293</v>
      </c>
    </row>
    <row r="331" spans="1:11" x14ac:dyDescent="0.25">
      <c r="A331" s="114" t="s">
        <v>213</v>
      </c>
      <c r="B331" s="115" t="s">
        <v>140</v>
      </c>
      <c r="C331" s="114">
        <v>232</v>
      </c>
      <c r="D331" s="114">
        <v>401</v>
      </c>
      <c r="E331" s="114">
        <v>348</v>
      </c>
      <c r="F331" s="114">
        <v>363</v>
      </c>
      <c r="G331" s="114">
        <v>348</v>
      </c>
      <c r="H331" s="114">
        <v>324</v>
      </c>
      <c r="I331" s="114">
        <v>72</v>
      </c>
      <c r="J331" s="114">
        <v>265</v>
      </c>
      <c r="K331" s="114">
        <v>304</v>
      </c>
    </row>
    <row r="332" spans="1:11" x14ac:dyDescent="0.25">
      <c r="A332" s="114" t="s">
        <v>213</v>
      </c>
      <c r="B332" s="115" t="s">
        <v>141</v>
      </c>
      <c r="C332" s="114">
        <v>291</v>
      </c>
      <c r="D332" s="114">
        <v>364</v>
      </c>
      <c r="E332" s="114">
        <v>237</v>
      </c>
      <c r="F332" s="114">
        <v>332</v>
      </c>
      <c r="G332" s="114">
        <v>350</v>
      </c>
      <c r="H332" s="114">
        <v>299</v>
      </c>
      <c r="I332" s="114">
        <v>194</v>
      </c>
      <c r="J332" s="114">
        <v>266</v>
      </c>
      <c r="K332" s="114">
        <v>256</v>
      </c>
    </row>
    <row r="333" spans="1:11" x14ac:dyDescent="0.25">
      <c r="A333" s="114" t="s">
        <v>213</v>
      </c>
      <c r="B333" s="115" t="s">
        <v>142</v>
      </c>
      <c r="C333" s="114">
        <v>250</v>
      </c>
      <c r="D333" s="114">
        <v>353</v>
      </c>
      <c r="E333" s="114">
        <v>221</v>
      </c>
      <c r="F333" s="114">
        <v>332</v>
      </c>
      <c r="G333" s="114">
        <v>387</v>
      </c>
      <c r="H333" s="114">
        <v>172</v>
      </c>
      <c r="I333" s="114">
        <v>246</v>
      </c>
      <c r="J333" s="114">
        <v>267</v>
      </c>
      <c r="K333" s="114">
        <v>274</v>
      </c>
    </row>
    <row r="334" spans="1:11" x14ac:dyDescent="0.25">
      <c r="A334" s="114" t="s">
        <v>213</v>
      </c>
      <c r="B334" s="115" t="s">
        <v>143</v>
      </c>
      <c r="C334" s="114">
        <v>290</v>
      </c>
      <c r="D334" s="114">
        <v>335</v>
      </c>
      <c r="E334" s="114">
        <v>277</v>
      </c>
      <c r="F334" s="114">
        <v>376</v>
      </c>
      <c r="G334" s="114">
        <v>383</v>
      </c>
      <c r="H334" s="114">
        <v>323</v>
      </c>
      <c r="I334" s="114">
        <v>156</v>
      </c>
      <c r="J334" s="114">
        <v>265</v>
      </c>
      <c r="K334" s="114">
        <v>314</v>
      </c>
    </row>
    <row r="335" spans="1:11" x14ac:dyDescent="0.25">
      <c r="A335" s="114" t="s">
        <v>213</v>
      </c>
      <c r="B335" s="115" t="s">
        <v>144</v>
      </c>
      <c r="C335" s="114">
        <v>205</v>
      </c>
      <c r="D335" s="114">
        <v>357</v>
      </c>
      <c r="E335" s="114">
        <v>302</v>
      </c>
      <c r="F335" s="114">
        <v>415</v>
      </c>
      <c r="G335" s="114">
        <v>390</v>
      </c>
      <c r="H335" s="114">
        <v>381</v>
      </c>
      <c r="I335" s="114">
        <v>144</v>
      </c>
      <c r="J335" s="114">
        <v>258</v>
      </c>
      <c r="K335" s="114">
        <v>363</v>
      </c>
    </row>
    <row r="336" spans="1:11" x14ac:dyDescent="0.25">
      <c r="A336" s="114" t="s">
        <v>213</v>
      </c>
      <c r="B336" s="115" t="s">
        <v>145</v>
      </c>
      <c r="C336" s="114">
        <v>203</v>
      </c>
      <c r="D336" s="114">
        <v>324</v>
      </c>
      <c r="E336" s="114">
        <v>321</v>
      </c>
      <c r="F336" s="114">
        <v>429</v>
      </c>
      <c r="G336" s="114">
        <v>346</v>
      </c>
      <c r="H336" s="114">
        <v>294</v>
      </c>
      <c r="I336" s="114">
        <v>161</v>
      </c>
      <c r="J336" s="114">
        <v>282</v>
      </c>
      <c r="K336" s="114">
        <v>380</v>
      </c>
    </row>
    <row r="337" spans="1:11" x14ac:dyDescent="0.25">
      <c r="A337" s="114" t="s">
        <v>213</v>
      </c>
      <c r="B337" s="115" t="s">
        <v>146</v>
      </c>
      <c r="C337" s="114">
        <v>247</v>
      </c>
      <c r="D337" s="114">
        <v>329</v>
      </c>
      <c r="E337" s="114">
        <v>340</v>
      </c>
      <c r="F337" s="114">
        <v>349</v>
      </c>
      <c r="G337" s="114">
        <v>195</v>
      </c>
      <c r="H337" s="114">
        <v>281</v>
      </c>
      <c r="I337" s="114">
        <v>181</v>
      </c>
      <c r="J337" s="114">
        <v>289</v>
      </c>
      <c r="K337" s="114">
        <v>354</v>
      </c>
    </row>
    <row r="338" spans="1:11" x14ac:dyDescent="0.25">
      <c r="A338" s="114" t="s">
        <v>213</v>
      </c>
      <c r="B338" s="115" t="s">
        <v>147</v>
      </c>
      <c r="C338" s="114">
        <v>293</v>
      </c>
      <c r="D338" s="114">
        <v>361</v>
      </c>
      <c r="E338" s="114">
        <v>255</v>
      </c>
      <c r="F338" s="114">
        <v>113</v>
      </c>
      <c r="G338" s="114">
        <v>190</v>
      </c>
      <c r="H338" s="114">
        <v>297</v>
      </c>
      <c r="I338" s="114">
        <v>195</v>
      </c>
      <c r="J338" s="114">
        <v>298</v>
      </c>
      <c r="K338" s="114">
        <v>237</v>
      </c>
    </row>
    <row r="339" spans="1:11" x14ac:dyDescent="0.25">
      <c r="A339" s="114" t="s">
        <v>213</v>
      </c>
      <c r="B339" s="115" t="s">
        <v>148</v>
      </c>
      <c r="C339" s="114">
        <v>329</v>
      </c>
      <c r="D339" s="114">
        <v>376</v>
      </c>
      <c r="E339" s="114">
        <v>100</v>
      </c>
      <c r="F339" s="114">
        <v>128</v>
      </c>
      <c r="G339" s="114">
        <v>417</v>
      </c>
      <c r="H339" s="114">
        <v>330</v>
      </c>
      <c r="I339" s="114">
        <v>222</v>
      </c>
      <c r="J339" s="114">
        <v>262</v>
      </c>
      <c r="K339" s="114">
        <v>187</v>
      </c>
    </row>
    <row r="340" spans="1:11" x14ac:dyDescent="0.25">
      <c r="A340" s="114" t="s">
        <v>213</v>
      </c>
      <c r="B340" s="115" t="s">
        <v>149</v>
      </c>
      <c r="C340" s="114">
        <v>332</v>
      </c>
      <c r="D340" s="114">
        <v>311</v>
      </c>
      <c r="E340" s="114">
        <v>121</v>
      </c>
      <c r="F340" s="114">
        <v>410</v>
      </c>
      <c r="G340" s="114">
        <v>401</v>
      </c>
      <c r="H340" s="114">
        <v>370</v>
      </c>
      <c r="I340" s="114">
        <v>188</v>
      </c>
      <c r="J340" s="114">
        <v>157</v>
      </c>
      <c r="K340" s="114">
        <v>192</v>
      </c>
    </row>
    <row r="341" spans="1:11" x14ac:dyDescent="0.25">
      <c r="A341" s="114" t="s">
        <v>213</v>
      </c>
      <c r="B341" s="115" t="s">
        <v>150</v>
      </c>
      <c r="C341" s="114">
        <v>268</v>
      </c>
      <c r="D341" s="114">
        <v>171</v>
      </c>
      <c r="E341" s="114">
        <v>393</v>
      </c>
      <c r="F341" s="114">
        <v>419</v>
      </c>
      <c r="G341" s="114">
        <v>256</v>
      </c>
      <c r="H341" s="114">
        <v>384</v>
      </c>
      <c r="I341" s="114">
        <v>87</v>
      </c>
      <c r="J341" s="114">
        <v>135</v>
      </c>
      <c r="K341" s="114">
        <v>194</v>
      </c>
    </row>
    <row r="342" spans="1:11" x14ac:dyDescent="0.25">
      <c r="A342" s="114" t="s">
        <v>213</v>
      </c>
      <c r="B342" s="115" t="s">
        <v>151</v>
      </c>
      <c r="C342" s="114">
        <v>209</v>
      </c>
      <c r="D342" s="114">
        <v>141</v>
      </c>
      <c r="E342" s="114">
        <v>406</v>
      </c>
      <c r="F342" s="114">
        <v>207</v>
      </c>
      <c r="G342" s="114">
        <v>273</v>
      </c>
      <c r="H342" s="114">
        <v>312</v>
      </c>
      <c r="I342" s="114">
        <v>97</v>
      </c>
      <c r="J342" s="114">
        <v>186</v>
      </c>
      <c r="K342" s="114">
        <v>185</v>
      </c>
    </row>
    <row r="343" spans="1:11" x14ac:dyDescent="0.25">
      <c r="A343" s="114" t="s">
        <v>214</v>
      </c>
      <c r="B343" s="115" t="s">
        <v>121</v>
      </c>
      <c r="C343" s="114">
        <v>240</v>
      </c>
      <c r="D343" s="114">
        <v>304</v>
      </c>
      <c r="E343" s="114">
        <v>265</v>
      </c>
      <c r="F343" s="114">
        <v>296</v>
      </c>
      <c r="G343" s="114">
        <v>276</v>
      </c>
      <c r="H343" s="114">
        <v>208</v>
      </c>
      <c r="I343" s="114">
        <v>58</v>
      </c>
      <c r="J343" s="114">
        <v>217</v>
      </c>
      <c r="K343" s="114">
        <v>385</v>
      </c>
    </row>
    <row r="344" spans="1:11" x14ac:dyDescent="0.25">
      <c r="A344" s="114" t="s">
        <v>214</v>
      </c>
      <c r="B344" s="115" t="s">
        <v>123</v>
      </c>
      <c r="C344" s="114">
        <v>286</v>
      </c>
      <c r="D344" s="114">
        <v>339</v>
      </c>
      <c r="E344" s="114">
        <v>356</v>
      </c>
      <c r="F344" s="114">
        <v>301</v>
      </c>
      <c r="G344" s="114">
        <v>151</v>
      </c>
      <c r="H344" s="114">
        <v>229</v>
      </c>
      <c r="I344" s="114">
        <v>67</v>
      </c>
      <c r="J344" s="114">
        <v>224</v>
      </c>
      <c r="K344" s="114">
        <v>395</v>
      </c>
    </row>
    <row r="345" spans="1:11" x14ac:dyDescent="0.25">
      <c r="A345" s="114" t="s">
        <v>214</v>
      </c>
      <c r="B345" s="115" t="s">
        <v>124</v>
      </c>
      <c r="C345" s="114">
        <v>310</v>
      </c>
      <c r="D345" s="114">
        <v>394</v>
      </c>
      <c r="E345" s="114">
        <v>346</v>
      </c>
      <c r="F345" s="114">
        <v>236</v>
      </c>
      <c r="G345" s="114">
        <v>194</v>
      </c>
      <c r="H345" s="114">
        <v>230</v>
      </c>
      <c r="I345" s="114">
        <v>89</v>
      </c>
      <c r="J345" s="114">
        <v>306</v>
      </c>
      <c r="K345" s="114">
        <v>397</v>
      </c>
    </row>
    <row r="346" spans="1:11" x14ac:dyDescent="0.25">
      <c r="A346" s="114" t="s">
        <v>214</v>
      </c>
      <c r="B346" s="115" t="s">
        <v>125</v>
      </c>
      <c r="C346" s="114">
        <v>357</v>
      </c>
      <c r="D346" s="114">
        <v>376</v>
      </c>
      <c r="E346" s="114">
        <v>172</v>
      </c>
      <c r="F346" s="114">
        <v>248</v>
      </c>
      <c r="G346" s="114">
        <v>243</v>
      </c>
      <c r="H346" s="114">
        <v>302</v>
      </c>
      <c r="I346" s="114">
        <v>157</v>
      </c>
      <c r="J346" s="114">
        <v>312</v>
      </c>
      <c r="K346" s="114">
        <v>208</v>
      </c>
    </row>
    <row r="347" spans="1:11" x14ac:dyDescent="0.25">
      <c r="A347" s="114" t="s">
        <v>214</v>
      </c>
      <c r="B347" s="115" t="s">
        <v>126</v>
      </c>
      <c r="C347" s="114">
        <v>306</v>
      </c>
      <c r="D347" s="114">
        <v>390</v>
      </c>
      <c r="E347" s="114">
        <v>291</v>
      </c>
      <c r="F347" s="114">
        <v>277</v>
      </c>
      <c r="G347" s="114">
        <v>299</v>
      </c>
      <c r="H347" s="114">
        <v>358</v>
      </c>
      <c r="I347" s="114">
        <v>192</v>
      </c>
      <c r="J347" s="114">
        <v>207</v>
      </c>
      <c r="K347" s="114">
        <v>179</v>
      </c>
    </row>
    <row r="348" spans="1:11" x14ac:dyDescent="0.25">
      <c r="A348" s="114" t="s">
        <v>214</v>
      </c>
      <c r="B348" s="115" t="s">
        <v>127</v>
      </c>
      <c r="C348" s="114">
        <v>353</v>
      </c>
      <c r="D348" s="114">
        <v>386</v>
      </c>
      <c r="E348" s="114">
        <v>289</v>
      </c>
      <c r="F348" s="114">
        <v>261</v>
      </c>
      <c r="G348" s="114">
        <v>370</v>
      </c>
      <c r="H348" s="114">
        <v>383</v>
      </c>
      <c r="I348" s="114">
        <v>81</v>
      </c>
      <c r="J348" s="114">
        <v>173</v>
      </c>
      <c r="K348" s="114">
        <v>175</v>
      </c>
    </row>
    <row r="349" spans="1:11" x14ac:dyDescent="0.25">
      <c r="A349" s="114" t="s">
        <v>214</v>
      </c>
      <c r="B349" s="115" t="s">
        <v>128</v>
      </c>
      <c r="C349" s="114">
        <v>256</v>
      </c>
      <c r="D349" s="114">
        <v>235</v>
      </c>
      <c r="E349" s="114">
        <v>180</v>
      </c>
      <c r="F349" s="114">
        <v>383</v>
      </c>
      <c r="G349" s="114">
        <v>392</v>
      </c>
      <c r="H349" s="114">
        <v>408</v>
      </c>
      <c r="I349" s="114">
        <v>59</v>
      </c>
      <c r="J349" s="114">
        <v>207</v>
      </c>
      <c r="K349" s="114">
        <v>290</v>
      </c>
    </row>
    <row r="350" spans="1:11" x14ac:dyDescent="0.25">
      <c r="A350" s="114" t="s">
        <v>214</v>
      </c>
      <c r="B350" s="115" t="s">
        <v>129</v>
      </c>
      <c r="C350" s="114">
        <v>256</v>
      </c>
      <c r="D350" s="114">
        <v>165</v>
      </c>
      <c r="E350" s="114">
        <v>216</v>
      </c>
      <c r="F350" s="114">
        <v>344</v>
      </c>
      <c r="G350" s="114">
        <v>257</v>
      </c>
      <c r="H350" s="114">
        <v>254</v>
      </c>
      <c r="I350" s="114">
        <v>45</v>
      </c>
      <c r="J350" s="114">
        <v>240</v>
      </c>
      <c r="K350" s="114">
        <v>337</v>
      </c>
    </row>
    <row r="351" spans="1:11" x14ac:dyDescent="0.25">
      <c r="A351" s="114" t="s">
        <v>214</v>
      </c>
      <c r="B351" s="115" t="s">
        <v>130</v>
      </c>
      <c r="C351" s="114">
        <v>258</v>
      </c>
      <c r="D351" s="114">
        <v>162</v>
      </c>
      <c r="E351" s="114">
        <v>261</v>
      </c>
      <c r="F351" s="114">
        <v>389</v>
      </c>
      <c r="G351" s="114">
        <v>158</v>
      </c>
      <c r="H351" s="114">
        <v>222</v>
      </c>
      <c r="I351" s="114">
        <v>43</v>
      </c>
      <c r="J351" s="114">
        <v>266</v>
      </c>
      <c r="K351" s="114">
        <v>379</v>
      </c>
    </row>
    <row r="352" spans="1:11" x14ac:dyDescent="0.25">
      <c r="A352" s="114" t="s">
        <v>214</v>
      </c>
      <c r="B352" s="115" t="s">
        <v>131</v>
      </c>
      <c r="C352" s="114">
        <v>172</v>
      </c>
      <c r="D352" s="114">
        <v>206</v>
      </c>
      <c r="E352" s="114">
        <v>322</v>
      </c>
      <c r="F352" s="114">
        <v>198</v>
      </c>
      <c r="G352" s="114">
        <v>147</v>
      </c>
      <c r="H352" s="114">
        <v>195</v>
      </c>
      <c r="I352" s="114">
        <v>66</v>
      </c>
      <c r="J352" s="114">
        <v>271</v>
      </c>
      <c r="K352" s="114">
        <v>281</v>
      </c>
    </row>
    <row r="353" spans="1:11" x14ac:dyDescent="0.25">
      <c r="A353" s="114" t="s">
        <v>214</v>
      </c>
      <c r="B353" s="115" t="s">
        <v>132</v>
      </c>
      <c r="C353" s="114">
        <v>190</v>
      </c>
      <c r="D353" s="114">
        <v>281</v>
      </c>
      <c r="E353" s="114">
        <v>193</v>
      </c>
      <c r="F353" s="114">
        <v>170</v>
      </c>
      <c r="G353" s="114">
        <v>151</v>
      </c>
      <c r="H353" s="114">
        <v>181</v>
      </c>
      <c r="I353" s="114">
        <v>112</v>
      </c>
      <c r="J353" s="114">
        <v>262</v>
      </c>
      <c r="K353" s="114">
        <v>183</v>
      </c>
    </row>
    <row r="354" spans="1:11" x14ac:dyDescent="0.25">
      <c r="A354" s="114" t="s">
        <v>214</v>
      </c>
      <c r="B354" s="115" t="s">
        <v>133</v>
      </c>
      <c r="C354" s="114">
        <v>267</v>
      </c>
      <c r="D354" s="114">
        <v>327</v>
      </c>
      <c r="E354" s="114">
        <v>309</v>
      </c>
      <c r="F354" s="114">
        <v>170</v>
      </c>
      <c r="G354" s="114">
        <v>178</v>
      </c>
      <c r="H354" s="114">
        <v>234</v>
      </c>
      <c r="I354" s="114">
        <v>112</v>
      </c>
      <c r="J354" s="114">
        <v>256</v>
      </c>
      <c r="K354" s="114">
        <v>168</v>
      </c>
    </row>
    <row r="355" spans="1:11" x14ac:dyDescent="0.25">
      <c r="A355" s="114" t="s">
        <v>214</v>
      </c>
      <c r="B355" s="115" t="s">
        <v>134</v>
      </c>
      <c r="C355" s="114">
        <v>345</v>
      </c>
      <c r="D355" s="114">
        <v>138</v>
      </c>
      <c r="E355" s="114">
        <v>331</v>
      </c>
      <c r="F355" s="114">
        <v>236</v>
      </c>
      <c r="G355" s="114">
        <v>219</v>
      </c>
      <c r="H355" s="114">
        <v>310</v>
      </c>
      <c r="I355" s="114">
        <v>65</v>
      </c>
      <c r="J355" s="114">
        <v>238</v>
      </c>
      <c r="K355" s="114">
        <v>220</v>
      </c>
    </row>
    <row r="356" spans="1:11" x14ac:dyDescent="0.25">
      <c r="A356" s="114" t="s">
        <v>214</v>
      </c>
      <c r="B356" s="115" t="s">
        <v>135</v>
      </c>
      <c r="C356" s="114">
        <v>207</v>
      </c>
      <c r="D356" s="114">
        <v>132</v>
      </c>
      <c r="E356" s="114">
        <v>299</v>
      </c>
      <c r="F356" s="114">
        <v>307</v>
      </c>
      <c r="G356" s="114">
        <v>330</v>
      </c>
      <c r="H356" s="114">
        <v>331</v>
      </c>
      <c r="I356" s="114">
        <v>56</v>
      </c>
      <c r="J356" s="114">
        <v>255</v>
      </c>
      <c r="K356" s="114">
        <v>330</v>
      </c>
    </row>
    <row r="357" spans="1:11" x14ac:dyDescent="0.25">
      <c r="A357" s="114" t="s">
        <v>214</v>
      </c>
      <c r="B357" s="115" t="s">
        <v>136</v>
      </c>
      <c r="C357" s="114">
        <v>124</v>
      </c>
      <c r="D357" s="114">
        <v>156</v>
      </c>
      <c r="E357" s="114">
        <v>186</v>
      </c>
      <c r="F357" s="114">
        <v>351</v>
      </c>
      <c r="G357" s="114">
        <v>363</v>
      </c>
      <c r="H357" s="114">
        <v>202</v>
      </c>
      <c r="I357" s="114">
        <v>52</v>
      </c>
      <c r="J357" s="114">
        <v>255</v>
      </c>
      <c r="K357" s="114">
        <v>328</v>
      </c>
    </row>
    <row r="358" spans="1:11" x14ac:dyDescent="0.25">
      <c r="A358" s="114" t="s">
        <v>214</v>
      </c>
      <c r="B358" s="115" t="s">
        <v>137</v>
      </c>
      <c r="C358" s="114">
        <v>103</v>
      </c>
      <c r="D358" s="114">
        <v>173</v>
      </c>
      <c r="E358" s="114">
        <v>234</v>
      </c>
      <c r="F358" s="114">
        <v>364</v>
      </c>
      <c r="G358" s="114">
        <v>238</v>
      </c>
      <c r="H358" s="114">
        <v>212</v>
      </c>
      <c r="I358" s="114">
        <v>47</v>
      </c>
      <c r="J358" s="114">
        <v>243</v>
      </c>
      <c r="K358" s="114">
        <v>199</v>
      </c>
    </row>
    <row r="359" spans="1:11" x14ac:dyDescent="0.25">
      <c r="A359" s="114" t="s">
        <v>214</v>
      </c>
      <c r="B359" s="115" t="s">
        <v>138</v>
      </c>
      <c r="C359" s="114">
        <v>87</v>
      </c>
      <c r="D359" s="114">
        <v>207</v>
      </c>
      <c r="E359" s="114">
        <v>302</v>
      </c>
      <c r="F359" s="114">
        <v>267</v>
      </c>
      <c r="G359" s="114">
        <v>203</v>
      </c>
      <c r="H359" s="114">
        <v>141</v>
      </c>
      <c r="I359" s="114">
        <v>66</v>
      </c>
      <c r="J359" s="114">
        <v>271</v>
      </c>
      <c r="K359" s="114">
        <v>261</v>
      </c>
    </row>
    <row r="360" spans="1:11" x14ac:dyDescent="0.25">
      <c r="A360" s="114" t="s">
        <v>214</v>
      </c>
      <c r="B360" s="115" t="s">
        <v>139</v>
      </c>
      <c r="C360" s="114">
        <v>118</v>
      </c>
      <c r="D360" s="114">
        <v>281</v>
      </c>
      <c r="E360" s="114">
        <v>247</v>
      </c>
      <c r="F360" s="114">
        <v>263</v>
      </c>
      <c r="G360" s="114">
        <v>195</v>
      </c>
      <c r="H360" s="114">
        <v>154</v>
      </c>
      <c r="I360" s="114">
        <v>122</v>
      </c>
      <c r="J360" s="114">
        <v>258</v>
      </c>
      <c r="K360" s="114">
        <v>183</v>
      </c>
    </row>
    <row r="361" spans="1:11" x14ac:dyDescent="0.25">
      <c r="A361" s="114" t="s">
        <v>214</v>
      </c>
      <c r="B361" s="115" t="s">
        <v>140</v>
      </c>
      <c r="C361" s="114">
        <v>157</v>
      </c>
      <c r="D361" s="114">
        <v>335</v>
      </c>
      <c r="E361" s="114">
        <v>239</v>
      </c>
      <c r="F361" s="114">
        <v>284</v>
      </c>
      <c r="G361" s="114">
        <v>206</v>
      </c>
      <c r="H361" s="114">
        <v>239</v>
      </c>
      <c r="I361" s="114">
        <v>173</v>
      </c>
      <c r="J361" s="114">
        <v>245</v>
      </c>
      <c r="K361" s="114">
        <v>190</v>
      </c>
    </row>
    <row r="362" spans="1:11" x14ac:dyDescent="0.25">
      <c r="A362" s="114" t="s">
        <v>214</v>
      </c>
      <c r="B362" s="115" t="s">
        <v>141</v>
      </c>
      <c r="C362" s="114">
        <v>172</v>
      </c>
      <c r="D362" s="114">
        <v>310</v>
      </c>
      <c r="E362" s="114">
        <v>257</v>
      </c>
      <c r="F362" s="114">
        <v>290</v>
      </c>
      <c r="G362" s="114">
        <v>251</v>
      </c>
      <c r="H362" s="114">
        <v>352</v>
      </c>
      <c r="I362" s="114">
        <v>166</v>
      </c>
      <c r="J362" s="114">
        <v>271</v>
      </c>
      <c r="K362" s="114">
        <v>188</v>
      </c>
    </row>
    <row r="363" spans="1:11" x14ac:dyDescent="0.25">
      <c r="A363" s="114" t="s">
        <v>214</v>
      </c>
      <c r="B363" s="115" t="s">
        <v>142</v>
      </c>
      <c r="C363" s="114">
        <v>177</v>
      </c>
      <c r="D363" s="114">
        <v>263</v>
      </c>
      <c r="E363" s="114">
        <v>258</v>
      </c>
      <c r="F363" s="114">
        <v>324</v>
      </c>
      <c r="G363" s="114">
        <v>266</v>
      </c>
      <c r="H363" s="114">
        <v>370</v>
      </c>
      <c r="I363" s="114">
        <v>168</v>
      </c>
      <c r="J363" s="114">
        <v>295</v>
      </c>
      <c r="K363" s="114">
        <v>224</v>
      </c>
    </row>
    <row r="364" spans="1:11" x14ac:dyDescent="0.25">
      <c r="A364" s="114" t="s">
        <v>214</v>
      </c>
      <c r="B364" s="115" t="s">
        <v>143</v>
      </c>
      <c r="C364" s="114">
        <v>177</v>
      </c>
      <c r="D364" s="114">
        <v>234</v>
      </c>
      <c r="E364" s="114">
        <v>216</v>
      </c>
      <c r="F364" s="114">
        <v>342</v>
      </c>
      <c r="G364" s="114">
        <v>279</v>
      </c>
      <c r="H364" s="114">
        <v>343</v>
      </c>
      <c r="I364" s="114">
        <v>160</v>
      </c>
      <c r="J364" s="114">
        <v>289</v>
      </c>
      <c r="K364" s="114">
        <v>252</v>
      </c>
    </row>
    <row r="365" spans="1:11" x14ac:dyDescent="0.25">
      <c r="A365" s="114" t="s">
        <v>214</v>
      </c>
      <c r="B365" s="115" t="s">
        <v>144</v>
      </c>
      <c r="C365" s="114">
        <v>152</v>
      </c>
      <c r="D365" s="114">
        <v>216</v>
      </c>
      <c r="E365" s="114">
        <v>224</v>
      </c>
      <c r="F365" s="114">
        <v>334</v>
      </c>
      <c r="G365" s="114">
        <v>292</v>
      </c>
      <c r="H365" s="114">
        <v>309</v>
      </c>
      <c r="I365" s="114">
        <v>166</v>
      </c>
      <c r="J365" s="114">
        <v>269</v>
      </c>
      <c r="K365" s="114">
        <v>327</v>
      </c>
    </row>
    <row r="366" spans="1:11" x14ac:dyDescent="0.25">
      <c r="A366" s="114" t="s">
        <v>214</v>
      </c>
      <c r="B366" s="115" t="s">
        <v>145</v>
      </c>
      <c r="C366" s="114">
        <v>146</v>
      </c>
      <c r="D366" s="114">
        <v>200</v>
      </c>
      <c r="E366" s="114">
        <v>226</v>
      </c>
      <c r="F366" s="114">
        <v>333</v>
      </c>
      <c r="G366" s="114">
        <v>291</v>
      </c>
      <c r="H366" s="114">
        <v>290</v>
      </c>
      <c r="I366" s="114">
        <v>172</v>
      </c>
      <c r="J366" s="114">
        <v>265</v>
      </c>
      <c r="K366" s="114">
        <v>357</v>
      </c>
    </row>
    <row r="367" spans="1:11" x14ac:dyDescent="0.25">
      <c r="A367" s="114" t="s">
        <v>214</v>
      </c>
      <c r="B367" s="115" t="s">
        <v>146</v>
      </c>
      <c r="C367" s="114">
        <v>152</v>
      </c>
      <c r="D367" s="114">
        <v>207</v>
      </c>
      <c r="E367" s="114">
        <v>213</v>
      </c>
      <c r="F367" s="114">
        <v>335</v>
      </c>
      <c r="G367" s="114">
        <v>288</v>
      </c>
      <c r="H367" s="114">
        <v>294</v>
      </c>
      <c r="I367" s="114">
        <v>194</v>
      </c>
      <c r="J367" s="114">
        <v>299</v>
      </c>
      <c r="K367" s="114">
        <v>397</v>
      </c>
    </row>
    <row r="368" spans="1:11" x14ac:dyDescent="0.25">
      <c r="A368" s="114" t="s">
        <v>214</v>
      </c>
      <c r="B368" s="115" t="s">
        <v>147</v>
      </c>
      <c r="C368" s="114">
        <v>183</v>
      </c>
      <c r="D368" s="114">
        <v>256</v>
      </c>
      <c r="E368" s="114">
        <v>247</v>
      </c>
      <c r="F368" s="114">
        <v>372</v>
      </c>
      <c r="G368" s="114">
        <v>390</v>
      </c>
      <c r="H368" s="114">
        <v>327</v>
      </c>
      <c r="I368" s="114">
        <v>203</v>
      </c>
      <c r="J368" s="114">
        <v>289</v>
      </c>
      <c r="K368" s="114">
        <v>415</v>
      </c>
    </row>
    <row r="369" spans="1:11" x14ac:dyDescent="0.25">
      <c r="A369" s="114" t="s">
        <v>214</v>
      </c>
      <c r="B369" s="115" t="s">
        <v>148</v>
      </c>
      <c r="C369" s="114">
        <v>220</v>
      </c>
      <c r="D369" s="114">
        <v>308</v>
      </c>
      <c r="E369" s="114">
        <v>289</v>
      </c>
      <c r="F369" s="114">
        <v>415</v>
      </c>
      <c r="G369" s="114">
        <v>427</v>
      </c>
      <c r="H369" s="114">
        <v>394</v>
      </c>
      <c r="I369" s="114">
        <v>213</v>
      </c>
      <c r="J369" s="114">
        <v>312</v>
      </c>
      <c r="K369" s="114">
        <v>433</v>
      </c>
    </row>
    <row r="370" spans="1:11" x14ac:dyDescent="0.25">
      <c r="A370" s="114" t="s">
        <v>214</v>
      </c>
      <c r="B370" s="115" t="s">
        <v>149</v>
      </c>
      <c r="C370" s="114">
        <v>257</v>
      </c>
      <c r="D370" s="114">
        <v>353</v>
      </c>
      <c r="E370" s="114">
        <v>360</v>
      </c>
      <c r="F370" s="114">
        <v>430</v>
      </c>
      <c r="G370" s="114">
        <v>430</v>
      </c>
      <c r="H370" s="114">
        <v>412</v>
      </c>
      <c r="I370" s="114">
        <v>263</v>
      </c>
      <c r="J370" s="114">
        <v>331</v>
      </c>
      <c r="K370" s="114">
        <v>436</v>
      </c>
    </row>
    <row r="371" spans="1:11" x14ac:dyDescent="0.25">
      <c r="A371" s="114" t="s">
        <v>214</v>
      </c>
      <c r="B371" s="115" t="s">
        <v>150</v>
      </c>
      <c r="C371" s="114">
        <v>284</v>
      </c>
      <c r="D371" s="114">
        <v>365</v>
      </c>
      <c r="E371" s="114">
        <v>413</v>
      </c>
      <c r="F371" s="114">
        <v>439</v>
      </c>
      <c r="G371" s="114">
        <v>442</v>
      </c>
      <c r="H371" s="114">
        <v>397</v>
      </c>
      <c r="I371" s="114">
        <v>267</v>
      </c>
      <c r="J371" s="114">
        <v>330</v>
      </c>
      <c r="K371" s="114">
        <v>442</v>
      </c>
    </row>
    <row r="372" spans="1:11" x14ac:dyDescent="0.25">
      <c r="A372" s="114" t="s">
        <v>214</v>
      </c>
      <c r="B372" s="115" t="s">
        <v>151</v>
      </c>
      <c r="C372" s="114">
        <v>286</v>
      </c>
      <c r="D372" s="114">
        <v>386</v>
      </c>
      <c r="E372" s="114">
        <v>394</v>
      </c>
      <c r="F372" s="114">
        <v>440</v>
      </c>
      <c r="G372" s="114">
        <v>433</v>
      </c>
      <c r="H372" s="114">
        <v>378</v>
      </c>
      <c r="I372" s="114">
        <v>293</v>
      </c>
      <c r="J372" s="114">
        <v>328</v>
      </c>
      <c r="K372" s="114">
        <v>440</v>
      </c>
    </row>
    <row r="373" spans="1:11" x14ac:dyDescent="0.25">
      <c r="A373" s="114" t="s">
        <v>214</v>
      </c>
      <c r="B373" s="115" t="s">
        <v>152</v>
      </c>
      <c r="C373" s="114">
        <v>271</v>
      </c>
      <c r="D373" s="114">
        <v>414</v>
      </c>
      <c r="E373" s="114">
        <v>398</v>
      </c>
      <c r="F373" s="114">
        <v>441</v>
      </c>
      <c r="G373" s="114">
        <v>441</v>
      </c>
      <c r="H373" s="114">
        <v>402</v>
      </c>
      <c r="I373" s="114">
        <v>309</v>
      </c>
      <c r="J373" s="114">
        <v>320</v>
      </c>
      <c r="K373" s="114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2022-09-01T16:24:50Z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