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-225" windowWidth="13965" windowHeight="12060" tabRatio="578" firstSheet="1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30" i="5"/>
  <c r="X31" s="1"/>
  <c r="Y29"/>
  <c r="Y30"/>
  <c r="X32" l="1"/>
  <c r="Y31"/>
  <c r="X33" l="1"/>
  <c r="Y33" s="1"/>
  <c r="Y32"/>
  <c r="I24" i="2" l="1"/>
  <c r="D22" l="1"/>
  <c r="E22"/>
  <c r="F22"/>
  <c r="G22" s="1"/>
  <c r="H22"/>
  <c r="I22"/>
  <c r="J22"/>
  <c r="K22" s="1"/>
  <c r="L22"/>
  <c r="M22"/>
  <c r="P22"/>
  <c r="Q22"/>
  <c r="S22"/>
  <c r="N22" l="1"/>
  <c r="R22" s="1"/>
  <c r="R21" i="1" l="1"/>
  <c r="B13" i="3" l="1"/>
  <c r="B14" s="1"/>
  <c r="B20" s="1"/>
  <c r="B21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20" s="1"/>
  <c r="F21" s="1"/>
  <c r="F22" s="1"/>
  <c r="F23" s="1"/>
  <c r="F24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20" s="1"/>
  <c r="H21" s="1"/>
  <c r="H22" s="1"/>
  <c r="H23" s="1"/>
  <c r="H24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20" s="1"/>
  <c r="J21" s="1"/>
  <c r="J22" s="1"/>
  <c r="J23" s="1"/>
  <c r="J24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20" s="1"/>
  <c r="B21" s="1"/>
  <c r="B22" s="1"/>
  <c r="B23" s="1"/>
  <c r="B24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20" s="1"/>
  <c r="R21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7" s="1"/>
  <c r="AV29" s="1"/>
  <c r="AV30" s="1"/>
  <c r="AV31" s="1"/>
  <c r="AV32" s="1"/>
  <c r="AV33" s="1"/>
  <c r="AX9"/>
  <c r="AX10" s="1"/>
  <c r="AX13" s="1"/>
  <c r="AX16" s="1"/>
  <c r="AX17" s="1"/>
  <c r="AX23" s="1"/>
  <c r="AX24" s="1"/>
  <c r="AX27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2" s="1"/>
  <c r="C23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2" s="1"/>
  <c r="P23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2" s="1"/>
  <c r="Q23" s="1"/>
  <c r="Q27" s="1"/>
  <c r="Q28" s="1"/>
  <c r="Q29" s="1"/>
  <c r="Q30" s="1"/>
  <c r="Q31" s="1"/>
  <c r="Q32" s="1"/>
  <c r="B8"/>
  <c r="B9" s="1"/>
  <c r="B11" s="1"/>
  <c r="B12" s="1"/>
  <c r="B15" s="1"/>
  <c r="B16" s="1"/>
  <c r="B22" s="1"/>
  <c r="B23" s="1"/>
  <c r="B28" s="1"/>
  <c r="B29" s="1"/>
  <c r="B30" s="1"/>
  <c r="B31" s="1"/>
  <c r="B32" s="1"/>
  <c r="F7" i="2"/>
  <c r="F8" s="1"/>
  <c r="F11" s="1"/>
  <c r="F14" s="1"/>
  <c r="F15" s="1"/>
  <c r="F21" s="1"/>
  <c r="F27" s="1"/>
  <c r="F28" s="1"/>
  <c r="F29" s="1"/>
  <c r="F30" s="1"/>
  <c r="F31" s="1"/>
  <c r="H7"/>
  <c r="H8" s="1"/>
  <c r="H11" s="1"/>
  <c r="H14" s="1"/>
  <c r="H15" s="1"/>
  <c r="H21" s="1"/>
  <c r="H27" s="1"/>
  <c r="H28" s="1"/>
  <c r="H29" s="1"/>
  <c r="H30" s="1"/>
  <c r="H31" s="1"/>
  <c r="J3"/>
  <c r="J7" s="1"/>
  <c r="J8" s="1"/>
  <c r="J11" s="1"/>
  <c r="J14" s="1"/>
  <c r="J15" s="1"/>
  <c r="J21" s="1"/>
  <c r="J27" s="1"/>
  <c r="J28" s="1"/>
  <c r="J29" s="1"/>
  <c r="J30" s="1"/>
  <c r="J31" s="1"/>
  <c r="K3"/>
  <c r="L3"/>
  <c r="L7" s="1"/>
  <c r="L8" s="1"/>
  <c r="L11" s="1"/>
  <c r="L14" s="1"/>
  <c r="L15" s="1"/>
  <c r="L21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21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1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3" s="1"/>
  <c r="AT24" s="1"/>
  <c r="AT27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6" s="1"/>
  <c r="G27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7" s="1"/>
  <c r="X28" s="1"/>
  <c r="X29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<sst xmlns="http://schemas.openxmlformats.org/spreadsheetml/2006/main" count="668" uniqueCount="417">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</sst>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0261632"/>
        <c:axId val="140267520"/>
      </c:lineChart>
      <c:catAx>
        <c:axId val="14026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67520"/>
        <c:crosses val="autoZero"/>
        <c:auto val="1"/>
        <c:lblAlgn val="ctr"/>
        <c:lblOffset val="100"/>
      </c:catAx>
      <c:valAx>
        <c:axId val="140267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6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0288384"/>
        <c:axId val="140289920"/>
      </c:lineChart>
      <c:catAx>
        <c:axId val="14028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89920"/>
        <c:crosses val="autoZero"/>
        <c:auto val="1"/>
        <c:lblAlgn val="ctr"/>
        <c:lblOffset val="100"/>
      </c:catAx>
      <c:valAx>
        <c:axId val="14028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8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07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0306304"/>
        <c:axId val="140307840"/>
      </c:lineChart>
      <c:catAx>
        <c:axId val="1403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07840"/>
        <c:crosses val="autoZero"/>
        <c:auto val="1"/>
        <c:lblAlgn val="ctr"/>
        <c:lblOffset val="100"/>
      </c:catAx>
      <c:valAx>
        <c:axId val="140307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0873088"/>
        <c:axId val="140887168"/>
      </c:lineChart>
      <c:catAx>
        <c:axId val="14087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87168"/>
        <c:crosses val="autoZero"/>
        <c:auto val="1"/>
        <c:lblAlgn val="ctr"/>
        <c:lblOffset val="100"/>
      </c:catAx>
      <c:valAx>
        <c:axId val="1408871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7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1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0792960"/>
        <c:axId val="140794496"/>
      </c:lineChart>
      <c:catAx>
        <c:axId val="14079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94496"/>
        <c:crosses val="autoZero"/>
        <c:auto val="1"/>
        <c:lblAlgn val="ctr"/>
        <c:lblOffset val="100"/>
      </c:catAx>
      <c:valAx>
        <c:axId val="1407944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9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46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1356032"/>
        <c:axId val="141374208"/>
      </c:lineChart>
      <c:catAx>
        <c:axId val="14135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74208"/>
        <c:crosses val="autoZero"/>
        <c:auto val="1"/>
        <c:lblAlgn val="ctr"/>
        <c:lblOffset val="100"/>
      </c:catAx>
      <c:valAx>
        <c:axId val="14137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5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1406976"/>
        <c:axId val="141408512"/>
      </c:lineChart>
      <c:catAx>
        <c:axId val="14140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08512"/>
        <c:crosses val="autoZero"/>
        <c:auto val="1"/>
        <c:lblAlgn val="ctr"/>
        <c:lblOffset val="100"/>
      </c:catAx>
      <c:valAx>
        <c:axId val="14140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0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1424512"/>
        <c:axId val="141426048"/>
      </c:lineChart>
      <c:catAx>
        <c:axId val="14142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26048"/>
        <c:crosses val="autoZero"/>
        <c:auto val="1"/>
        <c:lblAlgn val="ctr"/>
        <c:lblOffset val="100"/>
      </c:catAx>
      <c:valAx>
        <c:axId val="1414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2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1467008"/>
        <c:axId val="141472896"/>
      </c:lineChart>
      <c:catAx>
        <c:axId val="14146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72896"/>
        <c:crosses val="autoZero"/>
        <c:auto val="1"/>
        <c:lblAlgn val="ctr"/>
        <c:lblOffset val="100"/>
      </c:catAx>
      <c:valAx>
        <c:axId val="141472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6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855"/>
          <c:w val="0.1272403315177642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1100160"/>
        <c:axId val="141101696"/>
      </c:lineChart>
      <c:catAx>
        <c:axId val="14110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01696"/>
        <c:crosses val="autoZero"/>
        <c:auto val="1"/>
        <c:lblAlgn val="ctr"/>
        <c:lblOffset val="100"/>
      </c:catAx>
      <c:valAx>
        <c:axId val="14110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0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1613696"/>
        <c:axId val="141496704"/>
      </c:lineChart>
      <c:catAx>
        <c:axId val="14161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6704"/>
        <c:crosses val="autoZero"/>
        <c:auto val="1"/>
        <c:lblAlgn val="ctr"/>
        <c:lblOffset val="100"/>
      </c:catAx>
      <c:valAx>
        <c:axId val="141496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1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3418112"/>
        <c:axId val="143419648"/>
      </c:lineChart>
      <c:catAx>
        <c:axId val="14341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19648"/>
        <c:crosses val="autoZero"/>
        <c:auto val="1"/>
        <c:lblAlgn val="ctr"/>
        <c:lblOffset val="100"/>
      </c:catAx>
      <c:valAx>
        <c:axId val="143419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1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407</c:v>
                </c:pt>
                <c:pt idx="17">
                  <c:v>232</c:v>
                </c:pt>
                <c:pt idx="18">
                  <c:v>0</c:v>
                </c:pt>
                <c:pt idx="19">
                  <c:v>0</c:v>
                </c:pt>
                <c:pt idx="20">
                  <c:v>436</c:v>
                </c:pt>
                <c:pt idx="21">
                  <c:v>422</c:v>
                </c:pt>
                <c:pt idx="22">
                  <c:v>378</c:v>
                </c:pt>
                <c:pt idx="23">
                  <c:v>324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0204672"/>
        <c:axId val="140235136"/>
      </c:lineChart>
      <c:catAx>
        <c:axId val="14020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35136"/>
        <c:crosses val="autoZero"/>
        <c:auto val="1"/>
        <c:lblAlgn val="ctr"/>
        <c:lblOffset val="100"/>
      </c:catAx>
      <c:valAx>
        <c:axId val="14023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0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855"/>
          <c:w val="0.135416885389378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3544704"/>
        <c:axId val="143546240"/>
      </c:lineChart>
      <c:catAx>
        <c:axId val="1435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46240"/>
        <c:crosses val="autoZero"/>
        <c:auto val="1"/>
        <c:lblAlgn val="ctr"/>
        <c:lblOffset val="100"/>
      </c:catAx>
      <c:valAx>
        <c:axId val="143546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85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3579392"/>
        <c:axId val="143581184"/>
      </c:lineChart>
      <c:catAx>
        <c:axId val="14357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81184"/>
        <c:crosses val="autoZero"/>
        <c:auto val="1"/>
        <c:lblAlgn val="ctr"/>
        <c:lblOffset val="100"/>
      </c:catAx>
      <c:valAx>
        <c:axId val="143581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7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3478784"/>
        <c:axId val="143480320"/>
      </c:lineChart>
      <c:catAx>
        <c:axId val="14347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80320"/>
        <c:crosses val="autoZero"/>
        <c:auto val="1"/>
        <c:lblAlgn val="ctr"/>
        <c:lblOffset val="100"/>
      </c:catAx>
      <c:valAx>
        <c:axId val="14348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7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855"/>
          <c:w val="0.135416885389378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3504896"/>
        <c:axId val="143506432"/>
      </c:lineChart>
      <c:catAx>
        <c:axId val="14350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06432"/>
        <c:crosses val="autoZero"/>
        <c:auto val="1"/>
        <c:lblAlgn val="ctr"/>
        <c:lblOffset val="100"/>
      </c:catAx>
      <c:valAx>
        <c:axId val="143506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0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78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-106.3225806451519</c:v>
                </c:pt>
                <c:pt idx="17">
                  <c:v>0</c:v>
                </c:pt>
                <c:pt idx="18">
                  <c:v>0</c:v>
                </c:pt>
                <c:pt idx="19">
                  <c:v>-1106.3548387096962</c:v>
                </c:pt>
                <c:pt idx="20">
                  <c:v>-2528.3870967741823</c:v>
                </c:pt>
                <c:pt idx="21">
                  <c:v>-3066.7741935483937</c:v>
                </c:pt>
                <c:pt idx="22">
                  <c:v>-2453.4193548387047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3600640"/>
        <c:axId val="143631104"/>
      </c:lineChart>
      <c:catAx>
        <c:axId val="1436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1104"/>
        <c:crosses val="autoZero"/>
        <c:auto val="1"/>
        <c:lblAlgn val="ctr"/>
        <c:lblOffset val="100"/>
      </c:catAx>
      <c:valAx>
        <c:axId val="143631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3725696"/>
        <c:axId val="143727232"/>
      </c:lineChart>
      <c:catAx>
        <c:axId val="14372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7232"/>
        <c:crosses val="autoZero"/>
        <c:auto val="1"/>
        <c:lblAlgn val="ctr"/>
        <c:lblOffset val="100"/>
      </c:catAx>
      <c:valAx>
        <c:axId val="14372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1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3764096"/>
        <c:axId val="143769984"/>
      </c:lineChart>
      <c:catAx>
        <c:axId val="14376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69984"/>
        <c:crosses val="autoZero"/>
        <c:auto val="1"/>
        <c:lblAlgn val="ctr"/>
        <c:lblOffset val="100"/>
      </c:catAx>
      <c:valAx>
        <c:axId val="1437699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6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4908672"/>
        <c:axId val="144910208"/>
      </c:lineChart>
      <c:catAx>
        <c:axId val="14490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10208"/>
        <c:crosses val="autoZero"/>
        <c:auto val="1"/>
        <c:lblAlgn val="ctr"/>
        <c:lblOffset val="100"/>
      </c:catAx>
      <c:valAx>
        <c:axId val="144910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0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4938880"/>
        <c:axId val="144940416"/>
      </c:lineChart>
      <c:catAx>
        <c:axId val="14493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40416"/>
        <c:crosses val="autoZero"/>
        <c:auto val="1"/>
        <c:lblAlgn val="ctr"/>
        <c:lblOffset val="100"/>
      </c:catAx>
      <c:valAx>
        <c:axId val="14494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3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65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3658368"/>
        <c:axId val="143676544"/>
      </c:lineChart>
      <c:catAx>
        <c:axId val="14365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6544"/>
        <c:crosses val="autoZero"/>
        <c:auto val="1"/>
        <c:lblAlgn val="ctr"/>
        <c:lblOffset val="100"/>
      </c:catAx>
      <c:valAx>
        <c:axId val="14367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85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3697024"/>
        <c:axId val="143698560"/>
      </c:lineChart>
      <c:catAx>
        <c:axId val="1436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98560"/>
        <c:crosses val="autoZero"/>
        <c:auto val="1"/>
        <c:lblAlgn val="ctr"/>
        <c:lblOffset val="100"/>
      </c:catAx>
      <c:valAx>
        <c:axId val="14369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185"/>
          <c:w val="0.123431181980944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5068032"/>
        <c:axId val="145069568"/>
      </c:lineChart>
      <c:catAx>
        <c:axId val="145068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9568"/>
        <c:crosses val="autoZero"/>
        <c:auto val="1"/>
        <c:lblAlgn val="ctr"/>
        <c:lblOffset val="100"/>
      </c:catAx>
      <c:valAx>
        <c:axId val="145069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216"/>
          <c:w val="0.156903985328243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5093760"/>
        <c:axId val="145095296"/>
      </c:lineChart>
      <c:catAx>
        <c:axId val="14509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5296"/>
        <c:crosses val="autoZero"/>
        <c:auto val="1"/>
        <c:lblAlgn val="ctr"/>
        <c:lblOffset val="100"/>
      </c:catAx>
      <c:valAx>
        <c:axId val="145095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0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5234944"/>
        <c:axId val="145240832"/>
      </c:lineChart>
      <c:catAx>
        <c:axId val="14523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0832"/>
        <c:crosses val="autoZero"/>
        <c:auto val="1"/>
        <c:lblAlgn val="ctr"/>
        <c:lblOffset val="100"/>
      </c:catAx>
      <c:valAx>
        <c:axId val="14524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3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33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8604288"/>
        <c:axId val="178610176"/>
      </c:lineChart>
      <c:catAx>
        <c:axId val="178604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10176"/>
        <c:crosses val="autoZero"/>
        <c:auto val="1"/>
        <c:lblAlgn val="ctr"/>
        <c:lblOffset val="100"/>
      </c:catAx>
      <c:valAx>
        <c:axId val="178610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0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2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1" sqref="E21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0.25435071797299791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0.36862983885646938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0.30811797780625028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0.13893612910417444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0.27888286210579155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0.30604232507079038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0.29457637044292939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0.14009493303527765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0.25938529059554555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0.30127604961648019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0.319908584412396</v>
      </c>
      <c r="G17" s="203">
        <f>-tanks!AW21</f>
        <v>407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4858</v>
      </c>
      <c r="F18" s="315">
        <f>SUM('EDl log'!T20)</f>
        <v>1.548474812153534E-2</v>
      </c>
      <c r="G18" s="203">
        <f>-tanks!AW22</f>
        <v>232</v>
      </c>
      <c r="H18" s="315">
        <f>SUM(tanks!AV22)</f>
        <v>0.79500000000000004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0.79500000000000004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0.79500000000000004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6585</v>
      </c>
      <c r="F21" s="315">
        <f>SUM('EDl log'!T23)</f>
        <v>0.10392137522199026</v>
      </c>
      <c r="G21" s="203">
        <f>-tanks!AW25</f>
        <v>436</v>
      </c>
      <c r="H21" s="315">
        <f>SUM(tanks!AV25)</f>
        <v>0.79500000000000004</v>
      </c>
      <c r="I21" s="10">
        <f>('B5'!AU24)*0.51</f>
        <v>0</v>
      </c>
      <c r="J21" s="296">
        <f>'B5'!AX24/0.51</f>
        <v>1.5686274509803921</v>
      </c>
      <c r="K21" s="203">
        <f>WATER!I25</f>
        <v>81</v>
      </c>
      <c r="L21" s="316">
        <f>SUM(WATER!J25)</f>
        <v>3.3068783068783065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5728</v>
      </c>
      <c r="F22" s="315">
        <f>SUM('EDl log'!T24)</f>
        <v>0.31129997764766326</v>
      </c>
      <c r="G22" s="203">
        <f>-tanks!AW26</f>
        <v>422</v>
      </c>
      <c r="H22" s="315">
        <f>SUM(tanks!AV26)</f>
        <v>0.74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7227</v>
      </c>
      <c r="F23" s="315">
        <f>SUM('EDl log'!T25)</f>
        <v>0.31315327970292717</v>
      </c>
      <c r="G23" s="203">
        <f>-tanks!AW27</f>
        <v>378</v>
      </c>
      <c r="H23" s="315">
        <f>SUM(tanks!AV27)</f>
        <v>0.74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6719</v>
      </c>
      <c r="F24" s="315">
        <f>SUM('EDl log'!T26)</f>
        <v>0.27034330807173534</v>
      </c>
      <c r="G24" s="203">
        <f>-tanks!AW28</f>
        <v>324</v>
      </c>
      <c r="H24" s="315">
        <f>SUM(tanks!AV28)</f>
        <v>0.74</v>
      </c>
      <c r="I24" s="10">
        <f>('B5'!AU27)*0.51</f>
        <v>0</v>
      </c>
      <c r="J24" s="296">
        <f>'B5'!AX27/0.51</f>
        <v>1.5686274509803921</v>
      </c>
      <c r="K24" s="203">
        <f>WATER!I28</f>
        <v>120</v>
      </c>
      <c r="L24" s="316">
        <f>SUM(WATER!J28)</f>
        <v>2.2321428571428568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0.74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0.74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24" sqref="J2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748</v>
      </c>
      <c r="F18" s="203">
        <f>ELEC!K20</f>
        <v>1256</v>
      </c>
      <c r="G18" s="203">
        <f>ELEC!I20</f>
        <v>448</v>
      </c>
      <c r="H18" s="203">
        <f>ELEC!E20</f>
        <v>2170</v>
      </c>
      <c r="I18" s="203">
        <f>ELEC!G20</f>
        <v>236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1112</v>
      </c>
      <c r="F21" s="203">
        <f>ELEC!K23</f>
        <v>1796</v>
      </c>
      <c r="G21" s="203">
        <f>ELEC!I23</f>
        <v>526</v>
      </c>
      <c r="H21" s="203">
        <f>ELEC!E23</f>
        <v>2860</v>
      </c>
      <c r="I21" s="203">
        <f>ELEC!G23</f>
        <v>291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972</v>
      </c>
      <c r="F22" s="203">
        <f>ELEC!K24</f>
        <v>1668</v>
      </c>
      <c r="G22" s="203">
        <f>ELEC!I24</f>
        <v>350</v>
      </c>
      <c r="H22" s="203">
        <f>ELEC!E24</f>
        <v>2470</v>
      </c>
      <c r="I22" s="203">
        <f>ELEC!G24</f>
        <v>268</v>
      </c>
      <c r="J22" s="203">
        <f>WATER!Y26</f>
        <v>64</v>
      </c>
      <c r="K22" s="203">
        <f>WATER!AJ26</f>
        <v>43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1200</v>
      </c>
      <c r="F23" s="203">
        <f>ELEC!K25</f>
        <v>2084</v>
      </c>
      <c r="G23" s="203">
        <f>ELEC!I25</f>
        <v>570</v>
      </c>
      <c r="H23" s="203">
        <f>ELEC!E25</f>
        <v>3050</v>
      </c>
      <c r="I23" s="203">
        <f>ELEC!G25</f>
        <v>323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1076</v>
      </c>
      <c r="F24" s="203">
        <f>ELEC!K26</f>
        <v>1908</v>
      </c>
      <c r="G24" s="203">
        <f>ELEC!I26</f>
        <v>536</v>
      </c>
      <c r="H24" s="203">
        <f>ELEC!E26</f>
        <v>2900</v>
      </c>
      <c r="I24" s="203">
        <f>ELEC!G26</f>
        <v>299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N1" zoomScale="70" zoomScaleNormal="70" zoomScaleSheetLayoutView="100" workbookViewId="0">
      <pane ySplit="2" topLeftCell="A3" activePane="bottomLeft" state="frozen"/>
      <selection activeCell="C1" sqref="C1"/>
      <selection pane="bottomLeft" activeCell="Q26" sqref="Q2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v>191090</v>
      </c>
      <c r="E20" s="584">
        <f t="shared" si="7"/>
        <v>2170</v>
      </c>
      <c r="F20" s="573">
        <v>4117705</v>
      </c>
      <c r="G20" s="449">
        <f t="shared" si="15"/>
        <v>236</v>
      </c>
      <c r="H20" s="426">
        <v>18015854</v>
      </c>
      <c r="I20" s="449">
        <f t="shared" si="16"/>
        <v>448</v>
      </c>
      <c r="J20" s="426">
        <v>29705082</v>
      </c>
      <c r="K20" s="449">
        <f t="shared" si="17"/>
        <v>1256</v>
      </c>
      <c r="L20" s="426">
        <v>24532082</v>
      </c>
      <c r="M20" s="449">
        <f t="shared" si="18"/>
        <v>748</v>
      </c>
      <c r="N20" s="297">
        <f t="shared" si="19"/>
        <v>4858</v>
      </c>
      <c r="O20" s="445">
        <f t="shared" si="32"/>
        <v>0</v>
      </c>
      <c r="P20" s="564">
        <v>18953.817999999999</v>
      </c>
      <c r="Q20" s="446">
        <f>(P20-P19)*1000</f>
        <v>4622.9999999995925</v>
      </c>
      <c r="R20" s="603">
        <f>N20-Q20</f>
        <v>235.00000000040745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191090</v>
      </c>
      <c r="E21" s="584">
        <f t="shared" si="7"/>
        <v>0</v>
      </c>
      <c r="F21" s="573">
        <f t="shared" si="24"/>
        <v>4117705</v>
      </c>
      <c r="G21" s="449">
        <f t="shared" si="15"/>
        <v>0</v>
      </c>
      <c r="H21" s="426">
        <f t="shared" si="25"/>
        <v>18015854</v>
      </c>
      <c r="I21" s="449">
        <f t="shared" si="16"/>
        <v>0</v>
      </c>
      <c r="J21" s="426">
        <f t="shared" si="26"/>
        <v>29705082</v>
      </c>
      <c r="K21" s="449">
        <f t="shared" si="17"/>
        <v>0</v>
      </c>
      <c r="L21" s="426">
        <f t="shared" si="27"/>
        <v>24532082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18953.817999999999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191090</v>
      </c>
      <c r="E22" s="584">
        <f t="shared" ref="E22" si="36">D22-D21</f>
        <v>0</v>
      </c>
      <c r="F22" s="573">
        <f t="shared" si="24"/>
        <v>4117705</v>
      </c>
      <c r="G22" s="449">
        <f t="shared" ref="G22" si="37">F22-F21</f>
        <v>0</v>
      </c>
      <c r="H22" s="426">
        <f t="shared" si="25"/>
        <v>18015854</v>
      </c>
      <c r="I22" s="449">
        <f t="shared" ref="I22" si="38">H22-H21</f>
        <v>0</v>
      </c>
      <c r="J22" s="426">
        <f t="shared" si="26"/>
        <v>29705082</v>
      </c>
      <c r="K22" s="449">
        <f t="shared" ref="K22" si="39">J22-J21</f>
        <v>0</v>
      </c>
      <c r="L22" s="426">
        <f t="shared" si="27"/>
        <v>24532082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4">
        <f t="shared" si="28"/>
        <v>18953.817999999999</v>
      </c>
      <c r="Q22" s="446">
        <f t="shared" ref="Q22" si="43">(P22-P21)*1000</f>
        <v>0</v>
      </c>
      <c r="R22" s="603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v>193950</v>
      </c>
      <c r="E23" s="584">
        <f t="shared" si="7"/>
        <v>2860</v>
      </c>
      <c r="F23" s="573">
        <v>4117996</v>
      </c>
      <c r="G23" s="449">
        <f t="shared" si="15"/>
        <v>291</v>
      </c>
      <c r="H23" s="426">
        <v>18016380</v>
      </c>
      <c r="I23" s="449">
        <f t="shared" si="16"/>
        <v>526</v>
      </c>
      <c r="J23" s="426">
        <v>29706878</v>
      </c>
      <c r="K23" s="449">
        <f t="shared" si="17"/>
        <v>1796</v>
      </c>
      <c r="L23" s="426">
        <v>24533194</v>
      </c>
      <c r="M23" s="449">
        <f t="shared" si="18"/>
        <v>1112</v>
      </c>
      <c r="N23" s="297">
        <f t="shared" si="19"/>
        <v>6585</v>
      </c>
      <c r="O23" s="445">
        <f t="shared" si="32"/>
        <v>0</v>
      </c>
      <c r="P23" s="564">
        <v>18960.325000000001</v>
      </c>
      <c r="Q23" s="446">
        <f t="shared" si="1"/>
        <v>6507.0000000014261</v>
      </c>
      <c r="R23" s="603">
        <f t="shared" si="35"/>
        <v>77.999999998573912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v>196420</v>
      </c>
      <c r="E24" s="584">
        <f t="shared" si="7"/>
        <v>2470</v>
      </c>
      <c r="F24" s="573">
        <v>4118264</v>
      </c>
      <c r="G24" s="449">
        <f t="shared" si="15"/>
        <v>268</v>
      </c>
      <c r="H24" s="426">
        <v>18016730</v>
      </c>
      <c r="I24" s="613">
        <f t="shared" si="16"/>
        <v>350</v>
      </c>
      <c r="J24" s="426">
        <v>29708546</v>
      </c>
      <c r="K24" s="449">
        <f t="shared" si="17"/>
        <v>1668</v>
      </c>
      <c r="L24" s="426">
        <v>24534166</v>
      </c>
      <c r="M24" s="449">
        <f t="shared" si="18"/>
        <v>972</v>
      </c>
      <c r="N24" s="297">
        <f t="shared" si="19"/>
        <v>5728</v>
      </c>
      <c r="O24" s="445">
        <f t="shared" si="32"/>
        <v>0</v>
      </c>
      <c r="P24" s="564">
        <v>18965.924999999999</v>
      </c>
      <c r="Q24" s="446">
        <f t="shared" si="1"/>
        <v>5599.9999999985448</v>
      </c>
      <c r="R24" s="603">
        <f t="shared" si="35"/>
        <v>128.00000000145519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v>199470</v>
      </c>
      <c r="E25" s="584">
        <f t="shared" si="7"/>
        <v>3050</v>
      </c>
      <c r="F25" s="573">
        <v>4118587</v>
      </c>
      <c r="G25" s="449">
        <f t="shared" si="15"/>
        <v>323</v>
      </c>
      <c r="H25" s="426">
        <v>18017300</v>
      </c>
      <c r="I25" s="449">
        <f t="shared" si="16"/>
        <v>570</v>
      </c>
      <c r="J25" s="426">
        <v>29710630</v>
      </c>
      <c r="K25" s="449">
        <f t="shared" si="17"/>
        <v>2084</v>
      </c>
      <c r="L25" s="426">
        <v>24535366</v>
      </c>
      <c r="M25" s="449">
        <f t="shared" si="18"/>
        <v>1200</v>
      </c>
      <c r="N25" s="297">
        <f t="shared" si="19"/>
        <v>7227</v>
      </c>
      <c r="O25" s="445">
        <f t="shared" si="32"/>
        <v>0</v>
      </c>
      <c r="P25" s="564">
        <v>18973.125</v>
      </c>
      <c r="Q25" s="446">
        <f t="shared" si="1"/>
        <v>7200.0000000007276</v>
      </c>
      <c r="R25" s="603">
        <f t="shared" si="35"/>
        <v>26.999999999272404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v>202370</v>
      </c>
      <c r="E26" s="584">
        <f t="shared" si="7"/>
        <v>2900</v>
      </c>
      <c r="F26" s="573">
        <v>4118886</v>
      </c>
      <c r="G26" s="449">
        <f t="shared" si="15"/>
        <v>299</v>
      </c>
      <c r="H26" s="426">
        <v>18017836</v>
      </c>
      <c r="I26" s="449">
        <f t="shared" si="16"/>
        <v>536</v>
      </c>
      <c r="J26" s="426">
        <v>29712538</v>
      </c>
      <c r="K26" s="449">
        <f t="shared" si="17"/>
        <v>1908</v>
      </c>
      <c r="L26" s="426">
        <v>24536442</v>
      </c>
      <c r="M26" s="449">
        <f t="shared" si="18"/>
        <v>1076</v>
      </c>
      <c r="N26" s="297">
        <f t="shared" si="19"/>
        <v>6719</v>
      </c>
      <c r="O26" s="445">
        <f t="shared" si="32"/>
        <v>0</v>
      </c>
      <c r="P26" s="564">
        <v>18979.84</v>
      </c>
      <c r="Q26" s="446">
        <f t="shared" si="1"/>
        <v>6715.0000000001455</v>
      </c>
      <c r="R26" s="603">
        <f t="shared" si="35"/>
        <v>3.9999999998544808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202370</v>
      </c>
      <c r="E27" s="584">
        <f t="shared" si="7"/>
        <v>0</v>
      </c>
      <c r="F27" s="573">
        <f t="shared" si="24"/>
        <v>4118886</v>
      </c>
      <c r="G27" s="449">
        <f t="shared" si="15"/>
        <v>0</v>
      </c>
      <c r="H27" s="426">
        <f t="shared" si="25"/>
        <v>18017836</v>
      </c>
      <c r="I27" s="449">
        <f t="shared" si="16"/>
        <v>0</v>
      </c>
      <c r="J27" s="426">
        <f t="shared" si="26"/>
        <v>29712538</v>
      </c>
      <c r="K27" s="449">
        <f t="shared" si="17"/>
        <v>0</v>
      </c>
      <c r="L27" s="426">
        <f t="shared" si="27"/>
        <v>24536442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18979.84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202370</v>
      </c>
      <c r="E28" s="584">
        <f t="shared" si="7"/>
        <v>0</v>
      </c>
      <c r="F28" s="573">
        <f t="shared" si="24"/>
        <v>4118886</v>
      </c>
      <c r="G28" s="449">
        <f>F28-F27</f>
        <v>0</v>
      </c>
      <c r="H28" s="426">
        <f t="shared" si="25"/>
        <v>18017836</v>
      </c>
      <c r="I28" s="449">
        <f t="shared" si="16"/>
        <v>0</v>
      </c>
      <c r="J28" s="426">
        <f t="shared" si="26"/>
        <v>29712538</v>
      </c>
      <c r="K28" s="449">
        <f t="shared" si="17"/>
        <v>0</v>
      </c>
      <c r="L28" s="426">
        <f t="shared" si="27"/>
        <v>24536442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18979.84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202370</v>
      </c>
      <c r="E29" s="584">
        <f t="shared" si="7"/>
        <v>0</v>
      </c>
      <c r="F29" s="573">
        <f t="shared" si="24"/>
        <v>4118886</v>
      </c>
      <c r="G29" s="449">
        <f>F29-F28</f>
        <v>0</v>
      </c>
      <c r="H29" s="426">
        <f t="shared" si="25"/>
        <v>18017836</v>
      </c>
      <c r="I29" s="449">
        <f>H29-H28</f>
        <v>0</v>
      </c>
      <c r="J29" s="426">
        <f t="shared" si="26"/>
        <v>29712538</v>
      </c>
      <c r="K29" s="449">
        <f>J29-J28</f>
        <v>0</v>
      </c>
      <c r="L29" s="426">
        <f t="shared" si="27"/>
        <v>24536442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18979.84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202370</v>
      </c>
      <c r="E30" s="584">
        <f t="shared" si="7"/>
        <v>0</v>
      </c>
      <c r="F30" s="573">
        <f t="shared" si="24"/>
        <v>4118886</v>
      </c>
      <c r="G30" s="449">
        <f t="shared" si="15"/>
        <v>0</v>
      </c>
      <c r="H30" s="426">
        <f t="shared" si="25"/>
        <v>18017836</v>
      </c>
      <c r="I30" s="449">
        <f t="shared" si="16"/>
        <v>0</v>
      </c>
      <c r="J30" s="426">
        <f t="shared" si="26"/>
        <v>29712538</v>
      </c>
      <c r="K30" s="449">
        <f t="shared" si="17"/>
        <v>0</v>
      </c>
      <c r="L30" s="426">
        <f t="shared" si="27"/>
        <v>24536442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18979.84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202370</v>
      </c>
      <c r="E31" s="584">
        <f t="shared" si="7"/>
        <v>0</v>
      </c>
      <c r="F31" s="573">
        <f t="shared" si="24"/>
        <v>4118886</v>
      </c>
      <c r="G31" s="449">
        <f t="shared" si="15"/>
        <v>0</v>
      </c>
      <c r="H31" s="426">
        <f t="shared" si="25"/>
        <v>18017836</v>
      </c>
      <c r="I31" s="449">
        <f t="shared" si="16"/>
        <v>0</v>
      </c>
      <c r="J31" s="426">
        <f t="shared" si="26"/>
        <v>29712538</v>
      </c>
      <c r="K31" s="449">
        <f t="shared" si="17"/>
        <v>0</v>
      </c>
      <c r="L31" s="426">
        <f t="shared" si="27"/>
        <v>24536442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18979.84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F1" zoomScale="90" zoomScaleNormal="90" workbookViewId="0">
      <pane ySplit="1" topLeftCell="A2" activePane="bottomLeft" state="frozen"/>
      <selection activeCell="K1" sqref="K1"/>
      <selection pane="bottomLeft" activeCell="A27" sqref="A27:XFD2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65.082142857142856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181370</v>
      </c>
      <c r="R20" s="379">
        <f t="shared" si="44"/>
        <v>407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407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407</v>
      </c>
      <c r="AJ20" s="303">
        <f>-tanks!AW21</f>
        <v>407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v>179</v>
      </c>
      <c r="C21" s="537">
        <v>186</v>
      </c>
      <c r="D21" s="45">
        <f t="shared" ref="D21:D32" si="47">C20-C21</f>
        <v>-31</v>
      </c>
      <c r="E21" s="45">
        <f t="shared" si="12"/>
        <v>-259.78000000000003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v>2167</v>
      </c>
      <c r="Q21" s="537">
        <v>181602</v>
      </c>
      <c r="R21" s="379">
        <f t="shared" si="44"/>
        <v>232</v>
      </c>
      <c r="S21" s="52">
        <f t="shared" si="5"/>
        <v>3</v>
      </c>
      <c r="T21" s="67">
        <f t="shared" si="33"/>
        <v>0</v>
      </c>
      <c r="U21" s="386">
        <f t="shared" si="17"/>
        <v>3</v>
      </c>
      <c r="V21" s="62">
        <f t="shared" si="18"/>
        <v>232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232</v>
      </c>
      <c r="AJ21" s="303">
        <f>-tanks!AW22</f>
        <v>232</v>
      </c>
      <c r="AK21" s="303">
        <f t="shared" si="27"/>
        <v>0</v>
      </c>
      <c r="AL21" s="303">
        <f t="shared" si="8"/>
        <v>3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179</v>
      </c>
      <c r="C22" s="537">
        <f t="shared" si="41"/>
        <v>186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ref="P22:P32" si="48">P21</f>
        <v>2167</v>
      </c>
      <c r="Q22" s="537">
        <f t="shared" ref="Q22:Q32" si="49">Q21</f>
        <v>181602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179</v>
      </c>
      <c r="C23" s="537">
        <f t="shared" si="41"/>
        <v>186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2167</v>
      </c>
      <c r="Q23" s="537">
        <f t="shared" si="49"/>
        <v>181602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v>208</v>
      </c>
      <c r="C24" s="537">
        <v>215</v>
      </c>
      <c r="D24" s="45">
        <f t="shared" si="47"/>
        <v>-29</v>
      </c>
      <c r="E24" s="45">
        <f t="shared" si="12"/>
        <v>-243.02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v>2173</v>
      </c>
      <c r="Q24" s="537">
        <v>182038</v>
      </c>
      <c r="R24" s="379">
        <f t="shared" si="44"/>
        <v>436</v>
      </c>
      <c r="S24" s="52">
        <f t="shared" si="5"/>
        <v>6</v>
      </c>
      <c r="T24" s="67">
        <f t="shared" si="33"/>
        <v>0</v>
      </c>
      <c r="U24" s="386">
        <f t="shared" si="17"/>
        <v>6</v>
      </c>
      <c r="V24" s="62">
        <f t="shared" si="18"/>
        <v>436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436</v>
      </c>
      <c r="AJ24" s="303">
        <f>-tanks!AW25</f>
        <v>436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v>203</v>
      </c>
      <c r="C25" s="537">
        <v>210</v>
      </c>
      <c r="D25" s="45">
        <f t="shared" si="47"/>
        <v>5</v>
      </c>
      <c r="E25" s="45">
        <f t="shared" si="12"/>
        <v>41.900000000000006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v>2179</v>
      </c>
      <c r="Q25" s="537">
        <v>182460</v>
      </c>
      <c r="R25" s="379">
        <f t="shared" si="44"/>
        <v>422</v>
      </c>
      <c r="S25" s="52">
        <f t="shared" si="5"/>
        <v>6</v>
      </c>
      <c r="T25" s="67">
        <f t="shared" si="33"/>
        <v>0</v>
      </c>
      <c r="U25" s="386">
        <f t="shared" si="17"/>
        <v>6</v>
      </c>
      <c r="V25" s="62">
        <f t="shared" si="18"/>
        <v>422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422</v>
      </c>
      <c r="AJ25" s="303">
        <f>-tanks!AW26</f>
        <v>422</v>
      </c>
      <c r="AK25" s="303">
        <f t="shared" si="27"/>
        <v>0</v>
      </c>
      <c r="AL25" s="303">
        <f t="shared" si="8"/>
        <v>6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v>193</v>
      </c>
      <c r="C26" s="537">
        <v>200</v>
      </c>
      <c r="D26" s="45">
        <f t="shared" si="47"/>
        <v>10</v>
      </c>
      <c r="E26" s="45">
        <f t="shared" si="12"/>
        <v>83.800000000000011</v>
      </c>
      <c r="F26" s="537">
        <v>2090</v>
      </c>
      <c r="G26" s="52">
        <f t="shared" si="0"/>
        <v>4</v>
      </c>
      <c r="H26" s="537">
        <v>32039</v>
      </c>
      <c r="I26" s="380">
        <f t="shared" si="1"/>
        <v>305</v>
      </c>
      <c r="J26" s="66">
        <f t="shared" si="13"/>
        <v>76.25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2179</v>
      </c>
      <c r="Q26" s="537">
        <v>182533</v>
      </c>
      <c r="R26" s="379">
        <f t="shared" si="44"/>
        <v>73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378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378</v>
      </c>
      <c r="AJ26" s="303">
        <f>-tanks!AW27</f>
        <v>378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v>185</v>
      </c>
      <c r="C27" s="537">
        <v>192</v>
      </c>
      <c r="D27" s="45">
        <f t="shared" si="47"/>
        <v>8</v>
      </c>
      <c r="E27" s="45">
        <f t="shared" si="12"/>
        <v>67.040000000000006</v>
      </c>
      <c r="F27" s="537">
        <v>2095</v>
      </c>
      <c r="G27" s="52">
        <f t="shared" si="0"/>
        <v>5</v>
      </c>
      <c r="H27" s="537">
        <v>32363</v>
      </c>
      <c r="I27" s="380">
        <f t="shared" si="1"/>
        <v>324</v>
      </c>
      <c r="J27" s="66">
        <f t="shared" si="13"/>
        <v>64.8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8"/>
        <v>2179</v>
      </c>
      <c r="Q27" s="537">
        <f t="shared" si="49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5</v>
      </c>
      <c r="V27" s="62">
        <f t="shared" si="18"/>
        <v>324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324</v>
      </c>
      <c r="AJ27" s="303">
        <f>-tanks!AW28</f>
        <v>324</v>
      </c>
      <c r="AK27" s="303">
        <f t="shared" si="27"/>
        <v>0</v>
      </c>
      <c r="AL27" s="303">
        <f t="shared" si="8"/>
        <v>5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185</v>
      </c>
      <c r="C28" s="537">
        <f t="shared" si="41"/>
        <v>192</v>
      </c>
      <c r="D28" s="45">
        <f t="shared" si="47"/>
        <v>0</v>
      </c>
      <c r="E28" s="45">
        <f t="shared" si="12"/>
        <v>0</v>
      </c>
      <c r="F28" s="537">
        <f t="shared" si="42"/>
        <v>2095</v>
      </c>
      <c r="G28" s="52">
        <f t="shared" si="0"/>
        <v>0</v>
      </c>
      <c r="H28" s="537">
        <f t="shared" si="43"/>
        <v>32363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2179</v>
      </c>
      <c r="Q28" s="537">
        <f t="shared" si="49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185</v>
      </c>
      <c r="C29" s="537">
        <f t="shared" si="41"/>
        <v>192</v>
      </c>
      <c r="D29" s="45">
        <f t="shared" si="47"/>
        <v>0</v>
      </c>
      <c r="E29" s="45">
        <f t="shared" si="12"/>
        <v>0</v>
      </c>
      <c r="F29" s="537">
        <f t="shared" si="42"/>
        <v>2095</v>
      </c>
      <c r="G29" s="52">
        <f t="shared" si="0"/>
        <v>0</v>
      </c>
      <c r="H29" s="537">
        <f t="shared" si="43"/>
        <v>32363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2179</v>
      </c>
      <c r="Q29" s="537">
        <f t="shared" si="49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185</v>
      </c>
      <c r="C30" s="537">
        <f t="shared" si="41"/>
        <v>192</v>
      </c>
      <c r="D30" s="45">
        <f>C29-C30</f>
        <v>0</v>
      </c>
      <c r="E30" s="45">
        <f>D30*8.38</f>
        <v>0</v>
      </c>
      <c r="F30" s="537">
        <f t="shared" si="42"/>
        <v>2095</v>
      </c>
      <c r="G30" s="52">
        <f>F30-F29</f>
        <v>0</v>
      </c>
      <c r="H30" s="537">
        <f t="shared" si="43"/>
        <v>32363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2179</v>
      </c>
      <c r="Q30" s="537">
        <f t="shared" si="49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185</v>
      </c>
      <c r="C31" s="537">
        <f t="shared" si="41"/>
        <v>192</v>
      </c>
      <c r="D31" s="45">
        <f t="shared" si="47"/>
        <v>0</v>
      </c>
      <c r="E31" s="45">
        <f t="shared" si="12"/>
        <v>0</v>
      </c>
      <c r="F31" s="537">
        <f t="shared" si="42"/>
        <v>2095</v>
      </c>
      <c r="G31" s="52">
        <f t="shared" si="0"/>
        <v>0</v>
      </c>
      <c r="H31" s="537">
        <f t="shared" si="43"/>
        <v>32363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2179</v>
      </c>
      <c r="Q31" s="537">
        <f t="shared" si="49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185</v>
      </c>
      <c r="C32" s="537">
        <f t="shared" si="41"/>
        <v>192</v>
      </c>
      <c r="D32" s="45">
        <f t="shared" si="47"/>
        <v>0</v>
      </c>
      <c r="E32" s="45">
        <f t="shared" si="12"/>
        <v>0</v>
      </c>
      <c r="F32" s="537">
        <f t="shared" si="42"/>
        <v>2095</v>
      </c>
      <c r="G32" s="52">
        <f t="shared" si="0"/>
        <v>0</v>
      </c>
      <c r="H32" s="537">
        <f t="shared" si="43"/>
        <v>32363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2179</v>
      </c>
      <c r="Q32" s="537">
        <f t="shared" si="49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65.082142857142856</v>
      </c>
      <c r="U36" s="70">
        <f>SUM(U5:U35)</f>
        <v>85</v>
      </c>
      <c r="V36" s="62">
        <f>SUM(V5:V35)</f>
        <v>6444</v>
      </c>
      <c r="AE36" s="71" t="s">
        <v>379</v>
      </c>
      <c r="AG36" s="329"/>
      <c r="AH36" s="62">
        <f>SUM(AH5:AH35)</f>
        <v>0</v>
      </c>
      <c r="AL36" s="62">
        <f>SUM(AL5:AL35)</f>
        <v>85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75.811764705882354</v>
      </c>
      <c r="AH37" s="62">
        <f>AF37+AA37</f>
        <v>0</v>
      </c>
      <c r="AI37" s="306">
        <f>SUM(AI5:AI35)</f>
        <v>6444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O1" zoomScale="90" zoomScaleNormal="90" workbookViewId="0">
      <pane ySplit="3" topLeftCell="A4" activePane="bottomLeft" state="frozen"/>
      <selection pane="bottomLeft" activeCell="X28" sqref="X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8153008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v>150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v>98</v>
      </c>
      <c r="AY22" s="409">
        <f t="shared" si="36"/>
        <v>135</v>
      </c>
      <c r="AZ22" s="409">
        <f t="shared" si="37"/>
        <v>105.60000000000001</v>
      </c>
      <c r="BA22" s="409">
        <f t="shared" si="38"/>
        <v>284.2</v>
      </c>
      <c r="BB22" s="21">
        <f>AY22-AY21</f>
        <v>1.7999999999999829</v>
      </c>
      <c r="BC22" s="21">
        <f t="shared" si="49"/>
        <v>0</v>
      </c>
      <c r="BD22" s="21">
        <f t="shared" si="49"/>
        <v>-2.8999999999999773</v>
      </c>
      <c r="BE22" s="24">
        <f t="shared" si="31"/>
        <v>-1.0999999999999943</v>
      </c>
      <c r="BF22" s="96">
        <f t="shared" si="32"/>
        <v>1.0999999999999943</v>
      </c>
      <c r="BG22" s="82">
        <f t="shared" si="4"/>
        <v>-1.0999999999999943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150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98</v>
      </c>
      <c r="AY23" s="409">
        <f t="shared" si="36"/>
        <v>135</v>
      </c>
      <c r="AZ23" s="409">
        <f t="shared" si="37"/>
        <v>105.60000000000001</v>
      </c>
      <c r="BA23" s="409">
        <f t="shared" si="38"/>
        <v>284.2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150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98</v>
      </c>
      <c r="AY24" s="409">
        <f t="shared" si="36"/>
        <v>135</v>
      </c>
      <c r="AZ24" s="409">
        <f t="shared" si="37"/>
        <v>105.60000000000001</v>
      </c>
      <c r="BA24" s="409">
        <f t="shared" si="38"/>
        <v>284.2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v>627124</v>
      </c>
      <c r="H25" s="5">
        <f t="shared" si="9"/>
        <v>81</v>
      </c>
      <c r="I25" s="5">
        <f t="shared" si="10"/>
        <v>81</v>
      </c>
      <c r="J25" s="319">
        <f t="shared" si="0"/>
        <v>3.3068783068783065</v>
      </c>
      <c r="K25" s="5">
        <f>'Swimming Pool quality check '!H25</f>
        <v>7013</v>
      </c>
      <c r="L25" s="263">
        <f t="shared" si="40"/>
        <v>10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-10</v>
      </c>
      <c r="AL25" s="312">
        <f t="shared" si="27"/>
        <v>0</v>
      </c>
      <c r="AM25" s="312">
        <f>'General information '!D24</f>
        <v>15.5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v>196</v>
      </c>
      <c r="AU25" s="408">
        <f t="shared" si="42"/>
        <v>1.1000000000000001</v>
      </c>
      <c r="AV25" s="201">
        <v>95</v>
      </c>
      <c r="AW25" s="5">
        <v>2.9</v>
      </c>
      <c r="AX25" s="201">
        <v>93</v>
      </c>
      <c r="AY25" s="409">
        <f t="shared" si="36"/>
        <v>176.4</v>
      </c>
      <c r="AZ25" s="409">
        <f t="shared" si="37"/>
        <v>104.50000000000001</v>
      </c>
      <c r="BA25" s="409">
        <f t="shared" si="38"/>
        <v>269.7</v>
      </c>
      <c r="BB25" s="21">
        <f t="shared" si="49"/>
        <v>41.400000000000006</v>
      </c>
      <c r="BC25" s="21">
        <f t="shared" si="49"/>
        <v>-1.0999999999999943</v>
      </c>
      <c r="BD25" s="21">
        <f t="shared" si="49"/>
        <v>-14.5</v>
      </c>
      <c r="BE25" s="24">
        <f t="shared" si="31"/>
        <v>25.800000000000011</v>
      </c>
      <c r="BF25" s="96">
        <f t="shared" si="32"/>
        <v>55.199999999999989</v>
      </c>
      <c r="BG25" s="82">
        <f t="shared" si="4"/>
        <v>25.800000000000011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627124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7015</v>
      </c>
      <c r="L26" s="263">
        <f t="shared" si="40"/>
        <v>2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v>154864</v>
      </c>
      <c r="Y26" s="309">
        <f t="shared" si="41"/>
        <v>64</v>
      </c>
      <c r="Z26" s="5">
        <v>99301</v>
      </c>
      <c r="AA26" s="83">
        <f t="shared" si="18"/>
        <v>43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43</v>
      </c>
      <c r="AK26" s="312">
        <f>SUM(Y26-L26)</f>
        <v>62</v>
      </c>
      <c r="AL26" s="312">
        <f>SUM(AJ26-W26)</f>
        <v>43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v>101</v>
      </c>
      <c r="AU26" s="408">
        <f t="shared" si="42"/>
        <v>1.1000000000000001</v>
      </c>
      <c r="AV26" s="201">
        <v>125</v>
      </c>
      <c r="AW26" s="5">
        <v>2.9</v>
      </c>
      <c r="AX26" s="201">
        <v>108</v>
      </c>
      <c r="AY26" s="409">
        <f t="shared" si="36"/>
        <v>90.9</v>
      </c>
      <c r="AZ26" s="409">
        <f t="shared" si="37"/>
        <v>137.5</v>
      </c>
      <c r="BA26" s="409">
        <f t="shared" si="38"/>
        <v>313.2</v>
      </c>
      <c r="BB26" s="21">
        <f>AY26-AY25</f>
        <v>-85.5</v>
      </c>
      <c r="BC26" s="21">
        <f t="shared" si="49"/>
        <v>32.999999999999986</v>
      </c>
      <c r="BD26" s="21">
        <f t="shared" si="49"/>
        <v>43.5</v>
      </c>
      <c r="BE26" s="24">
        <f t="shared" si="31"/>
        <v>-9.0000000000000142</v>
      </c>
      <c r="BF26" s="96">
        <f t="shared" si="32"/>
        <v>9.0000000000000142</v>
      </c>
      <c r="BG26" s="82">
        <f t="shared" si="4"/>
        <v>-9.0000000000000142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627124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7015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1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18.5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101</v>
      </c>
      <c r="AU27" s="408">
        <f t="shared" si="42"/>
        <v>1.1000000000000001</v>
      </c>
      <c r="AV27" s="201">
        <f t="shared" si="43"/>
        <v>125</v>
      </c>
      <c r="AW27" s="5">
        <v>2.9</v>
      </c>
      <c r="AX27" s="201">
        <f t="shared" si="44"/>
        <v>108</v>
      </c>
      <c r="AY27" s="409">
        <f t="shared" si="36"/>
        <v>90.9</v>
      </c>
      <c r="AZ27" s="409">
        <f t="shared" si="37"/>
        <v>137.5</v>
      </c>
      <c r="BA27" s="409">
        <f t="shared" si="38"/>
        <v>313.2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v>627244</v>
      </c>
      <c r="H28" s="5">
        <f t="shared" si="9"/>
        <v>120</v>
      </c>
      <c r="I28" s="5">
        <f t="shared" si="10"/>
        <v>120</v>
      </c>
      <c r="J28" s="319">
        <f t="shared" si="0"/>
        <v>2.2321428571428568</v>
      </c>
      <c r="K28" s="5">
        <f>'Swimming Pool quality check '!H28</f>
        <v>7015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1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19.5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v>164</v>
      </c>
      <c r="AU28" s="408">
        <f t="shared" si="42"/>
        <v>1.1000000000000001</v>
      </c>
      <c r="AV28" s="201">
        <v>123</v>
      </c>
      <c r="AW28" s="5">
        <v>2.9</v>
      </c>
      <c r="AX28" s="201">
        <v>104</v>
      </c>
      <c r="AY28" s="409">
        <f t="shared" si="36"/>
        <v>147.6</v>
      </c>
      <c r="AZ28" s="409">
        <f t="shared" si="37"/>
        <v>135.30000000000001</v>
      </c>
      <c r="BA28" s="409">
        <f t="shared" si="38"/>
        <v>301.59999999999997</v>
      </c>
      <c r="BB28" s="21">
        <f t="shared" si="49"/>
        <v>56.699999999999989</v>
      </c>
      <c r="BC28" s="21">
        <f t="shared" si="49"/>
        <v>-2.1999999999999886</v>
      </c>
      <c r="BD28" s="21">
        <f t="shared" si="49"/>
        <v>-11.600000000000023</v>
      </c>
      <c r="BE28" s="24">
        <f t="shared" si="31"/>
        <v>42.899999999999977</v>
      </c>
      <c r="BF28" s="96">
        <f t="shared" si="32"/>
        <v>77.100000000000023</v>
      </c>
      <c r="BG28" s="82">
        <f t="shared" si="4"/>
        <v>42.899999999999977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627244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7015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1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164</v>
      </c>
      <c r="AU29" s="408">
        <f t="shared" si="42"/>
        <v>1.1000000000000001</v>
      </c>
      <c r="AV29" s="201">
        <f t="shared" si="43"/>
        <v>123</v>
      </c>
      <c r="AW29" s="5">
        <v>2.9</v>
      </c>
      <c r="AX29" s="201">
        <f t="shared" si="44"/>
        <v>104</v>
      </c>
      <c r="AY29" s="409">
        <f t="shared" si="36"/>
        <v>147.6</v>
      </c>
      <c r="AZ29" s="409">
        <f t="shared" si="37"/>
        <v>135.30000000000001</v>
      </c>
      <c r="BA29" s="409">
        <f t="shared" si="38"/>
        <v>301.59999999999997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627244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7015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1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164</v>
      </c>
      <c r="AU30" s="408">
        <f t="shared" si="42"/>
        <v>1.1000000000000001</v>
      </c>
      <c r="AV30" s="201">
        <f t="shared" si="43"/>
        <v>123</v>
      </c>
      <c r="AW30" s="5">
        <v>2.9</v>
      </c>
      <c r="AX30" s="201">
        <f t="shared" si="44"/>
        <v>104</v>
      </c>
      <c r="AY30" s="409">
        <f t="shared" si="36"/>
        <v>147.6</v>
      </c>
      <c r="AZ30" s="409">
        <f t="shared" si="37"/>
        <v>135.30000000000001</v>
      </c>
      <c r="BA30" s="409">
        <f t="shared" si="38"/>
        <v>301.59999999999997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627244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7015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1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164</v>
      </c>
      <c r="AU31" s="408">
        <f t="shared" si="42"/>
        <v>1.1000000000000001</v>
      </c>
      <c r="AV31" s="201">
        <f t="shared" si="43"/>
        <v>123</v>
      </c>
      <c r="AW31" s="5">
        <v>2.9</v>
      </c>
      <c r="AX31" s="201">
        <f t="shared" si="44"/>
        <v>104</v>
      </c>
      <c r="AY31" s="409">
        <f t="shared" si="36"/>
        <v>147.6</v>
      </c>
      <c r="AZ31" s="409">
        <f>AU31*AV31</f>
        <v>135.30000000000001</v>
      </c>
      <c r="BA31" s="409">
        <f t="shared" si="38"/>
        <v>301.59999999999997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627244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7015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1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164</v>
      </c>
      <c r="AU32" s="408">
        <f t="shared" si="42"/>
        <v>1.1000000000000001</v>
      </c>
      <c r="AV32" s="201">
        <f t="shared" si="43"/>
        <v>123</v>
      </c>
      <c r="AW32" s="5">
        <v>2.9</v>
      </c>
      <c r="AX32" s="201">
        <f t="shared" si="44"/>
        <v>104</v>
      </c>
      <c r="AY32" s="409">
        <f t="shared" si="36"/>
        <v>147.6</v>
      </c>
      <c r="AZ32" s="409">
        <f t="shared" si="37"/>
        <v>135.30000000000001</v>
      </c>
      <c r="BA32" s="409">
        <f t="shared" si="38"/>
        <v>301.59999999999997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627244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7015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1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164</v>
      </c>
      <c r="AU33" s="408">
        <f t="shared" si="42"/>
        <v>1.1000000000000001</v>
      </c>
      <c r="AV33" s="201">
        <f t="shared" si="43"/>
        <v>123</v>
      </c>
      <c r="AW33" s="5">
        <v>2.9</v>
      </c>
      <c r="AX33" s="201">
        <f t="shared" si="44"/>
        <v>104</v>
      </c>
      <c r="AY33" s="409">
        <f t="shared" si="36"/>
        <v>147.6</v>
      </c>
      <c r="AZ33" s="409">
        <f t="shared" si="37"/>
        <v>135.30000000000001</v>
      </c>
      <c r="BA33" s="409">
        <f t="shared" si="38"/>
        <v>301.59999999999997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380</v>
      </c>
      <c r="I37" s="395">
        <f>SUM(I6:I36)</f>
        <v>380</v>
      </c>
      <c r="L37" s="258">
        <f>SUM(L7:L36)</f>
        <v>14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43</v>
      </c>
      <c r="AK37" s="312">
        <f>SUM(Y37-L37)</f>
        <v>-14</v>
      </c>
      <c r="AL37" s="307">
        <f>SUM(AL6:AL36)</f>
        <v>43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380</v>
      </c>
      <c r="Z38" s="307">
        <f>SUM(Y37:AJ37)</f>
        <v>43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380</v>
      </c>
      <c r="H39" s="1">
        <f>SUM(H38+C38)</f>
        <v>7500</v>
      </c>
      <c r="K39" s="1">
        <f>SUM(H39/G39)</f>
        <v>19.736842105263158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5" sqref="S2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13719</v>
      </c>
      <c r="Y13" s="276" t="str">
        <f t="shared" si="5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13719</v>
      </c>
      <c r="Y14" s="276" t="str">
        <f t="shared" si="5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13719</v>
      </c>
      <c r="Y15" s="276" t="str">
        <f t="shared" si="5"/>
        <v>ok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13719</v>
      </c>
      <c r="Y16" s="276" t="str">
        <f t="shared" si="5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13719</v>
      </c>
      <c r="Y17" s="276" t="str">
        <f t="shared" si="5"/>
        <v>ok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13719</v>
      </c>
      <c r="Y18" s="276" t="str">
        <f t="shared" si="5"/>
        <v>ok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v>11476</v>
      </c>
      <c r="C19" s="276">
        <f t="shared" si="9"/>
        <v>8</v>
      </c>
      <c r="D19" s="503">
        <f t="shared" si="10"/>
        <v>632016</v>
      </c>
      <c r="E19" s="276">
        <f t="shared" si="11"/>
        <v>2000</v>
      </c>
      <c r="F19" s="276">
        <f t="shared" si="0"/>
        <v>250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v>13606</v>
      </c>
      <c r="S19" s="276">
        <f t="shared" si="4"/>
        <v>1</v>
      </c>
      <c r="T19" s="503">
        <f t="shared" si="18"/>
        <v>341012</v>
      </c>
      <c r="U19" s="276">
        <f t="shared" si="19"/>
        <v>250</v>
      </c>
      <c r="V19" s="276">
        <v>250</v>
      </c>
      <c r="W19" s="323"/>
      <c r="X19" s="260">
        <v>13719</v>
      </c>
      <c r="Y19" s="276" t="str">
        <f t="shared" si="5"/>
        <v>ok</v>
      </c>
      <c r="Z19" s="276">
        <f t="shared" si="6"/>
        <v>9</v>
      </c>
      <c r="AA19" s="276">
        <f t="shared" si="20"/>
        <v>2250</v>
      </c>
      <c r="AB19" s="276">
        <f t="shared" si="21"/>
        <v>500</v>
      </c>
      <c r="AC19" s="276">
        <f t="shared" si="22"/>
        <v>250</v>
      </c>
      <c r="AD19" s="73">
        <f>ELEC!Q20</f>
        <v>4622.9999999995925</v>
      </c>
      <c r="AE19" s="73">
        <f t="shared" si="25"/>
        <v>513.66666666662138</v>
      </c>
      <c r="AF19" s="387">
        <f t="shared" si="26"/>
        <v>0.32104166666663836</v>
      </c>
      <c r="AG19" s="387">
        <f t="shared" si="26"/>
        <v>2.0065104166664899E-4</v>
      </c>
      <c r="AH19" s="388">
        <f t="shared" si="23"/>
        <v>249.99979934895833</v>
      </c>
      <c r="AI19" s="73">
        <f t="shared" si="27"/>
        <v>1189.8860759492622</v>
      </c>
      <c r="AJ19" s="278">
        <f t="shared" si="7"/>
        <v>0.25738396624472576</v>
      </c>
      <c r="AK19" s="278">
        <f t="shared" si="8"/>
        <v>132.20956399436247</v>
      </c>
      <c r="AL19">
        <f t="shared" si="24"/>
        <v>1</v>
      </c>
    </row>
    <row r="20" spans="1:38" ht="15.75" thickBot="1">
      <c r="A20" s="4">
        <f>ELEC!C21</f>
        <v>44610</v>
      </c>
      <c r="B20" s="502">
        <f t="shared" si="29"/>
        <v>11476</v>
      </c>
      <c r="C20" s="276">
        <f>B20-B19</f>
        <v>0</v>
      </c>
      <c r="D20" s="503">
        <f t="shared" si="10"/>
        <v>632016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13606</v>
      </c>
      <c r="S20" s="276">
        <f t="shared" si="4"/>
        <v>0</v>
      </c>
      <c r="T20" s="503">
        <f t="shared" si="18"/>
        <v>341012</v>
      </c>
      <c r="U20" s="276">
        <f t="shared" si="19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11476</v>
      </c>
      <c r="C21" s="276">
        <f>B21-B20</f>
        <v>0</v>
      </c>
      <c r="D21" s="503">
        <f t="shared" si="10"/>
        <v>632016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13606</v>
      </c>
      <c r="S21" s="276">
        <f t="shared" si="4"/>
        <v>0</v>
      </c>
      <c r="T21" s="503">
        <f t="shared" si="18"/>
        <v>341012</v>
      </c>
      <c r="U21" s="276">
        <f t="shared" si="19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v>11476</v>
      </c>
      <c r="C22" s="276">
        <f t="shared" si="9"/>
        <v>0</v>
      </c>
      <c r="D22" s="503">
        <f t="shared" si="10"/>
        <v>632016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v>13619</v>
      </c>
      <c r="S22" s="276">
        <f t="shared" si="4"/>
        <v>13</v>
      </c>
      <c r="T22" s="503">
        <f t="shared" si="18"/>
        <v>344262</v>
      </c>
      <c r="U22" s="276">
        <f t="shared" si="19"/>
        <v>3250</v>
      </c>
      <c r="V22" s="276">
        <v>250</v>
      </c>
      <c r="W22" s="196"/>
      <c r="X22" s="260">
        <v>13719</v>
      </c>
      <c r="Y22" s="276" t="str">
        <f t="shared" ref="Y22:Y30" si="31">Y21</f>
        <v>ok</v>
      </c>
      <c r="Z22" s="276">
        <f t="shared" si="6"/>
        <v>13</v>
      </c>
      <c r="AA22" s="276">
        <f t="shared" si="20"/>
        <v>3250</v>
      </c>
      <c r="AB22" s="276">
        <f t="shared" si="21"/>
        <v>250</v>
      </c>
      <c r="AC22" s="276">
        <f t="shared" si="22"/>
        <v>250</v>
      </c>
      <c r="AD22" s="73">
        <f>ELEC!Q23</f>
        <v>6507.0000000014261</v>
      </c>
      <c r="AE22" s="73">
        <f t="shared" si="25"/>
        <v>500.53846153857126</v>
      </c>
      <c r="AF22" s="387">
        <f t="shared" si="26"/>
        <v>0.31283653846160703</v>
      </c>
      <c r="AG22" s="387">
        <f t="shared" si="26"/>
        <v>1.955228365385044E-4</v>
      </c>
      <c r="AH22" s="388">
        <f t="shared" si="23"/>
        <v>249.99980447716345</v>
      </c>
      <c r="AI22" s="73">
        <f t="shared" si="27"/>
        <v>1674.7974683547975</v>
      </c>
      <c r="AJ22" s="278">
        <f t="shared" si="7"/>
        <v>0.25738396624472576</v>
      </c>
      <c r="AK22" s="278">
        <f t="shared" si="8"/>
        <v>128.83057448883056</v>
      </c>
      <c r="AL22">
        <f t="shared" si="24"/>
        <v>1</v>
      </c>
    </row>
    <row r="23" spans="1:38" ht="15.75" thickBot="1">
      <c r="A23" s="4">
        <f>ELEC!C24</f>
        <v>44613</v>
      </c>
      <c r="B23" s="502">
        <v>11477</v>
      </c>
      <c r="C23" s="276">
        <f t="shared" si="9"/>
        <v>1</v>
      </c>
      <c r="D23" s="503">
        <f t="shared" si="10"/>
        <v>632266</v>
      </c>
      <c r="E23" s="276">
        <f>150*C23</f>
        <v>150</v>
      </c>
      <c r="F23" s="276">
        <f t="shared" si="0"/>
        <v>150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v>13628</v>
      </c>
      <c r="S23" s="276">
        <f>R23-R22</f>
        <v>9</v>
      </c>
      <c r="T23" s="503">
        <f t="shared" si="18"/>
        <v>346512</v>
      </c>
      <c r="U23" s="276">
        <f>V23*S23</f>
        <v>2250</v>
      </c>
      <c r="V23" s="276">
        <v>250</v>
      </c>
      <c r="W23" s="196"/>
      <c r="X23" s="260">
        <v>13719</v>
      </c>
      <c r="Y23" s="276" t="str">
        <f t="shared" si="31"/>
        <v>ok</v>
      </c>
      <c r="Z23" s="276">
        <f t="shared" si="6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5599.9999999985448</v>
      </c>
      <c r="AE23" s="73">
        <f t="shared" si="25"/>
        <v>559.99999999985448</v>
      </c>
      <c r="AF23" s="387">
        <f t="shared" si="26"/>
        <v>0.34999999999990905</v>
      </c>
      <c r="AG23" s="387">
        <f t="shared" si="26"/>
        <v>2.1874999999994317E-4</v>
      </c>
      <c r="AH23" s="388">
        <f t="shared" si="23"/>
        <v>239.99978125000001</v>
      </c>
      <c r="AI23" s="73">
        <f t="shared" si="27"/>
        <v>1441.3502109700896</v>
      </c>
      <c r="AJ23" s="278">
        <f t="shared" si="7"/>
        <v>0.25738396624472576</v>
      </c>
      <c r="AK23" s="278">
        <f t="shared" si="8"/>
        <v>144.13502109700897</v>
      </c>
      <c r="AL23">
        <f t="shared" si="24"/>
        <v>1</v>
      </c>
    </row>
    <row r="24" spans="1:38" ht="15.75" thickBot="1">
      <c r="A24" s="4">
        <f>ELEC!C25</f>
        <v>44614</v>
      </c>
      <c r="B24" s="502">
        <v>11481</v>
      </c>
      <c r="C24" s="276">
        <f t="shared" si="9"/>
        <v>4</v>
      </c>
      <c r="D24" s="503">
        <f t="shared" si="10"/>
        <v>633266</v>
      </c>
      <c r="E24" s="276">
        <f t="shared" si="11"/>
        <v>1000</v>
      </c>
      <c r="F24" s="276">
        <f t="shared" si="0"/>
        <v>250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v>13639</v>
      </c>
      <c r="S24" s="276">
        <f t="shared" si="4"/>
        <v>11</v>
      </c>
      <c r="T24" s="503">
        <f t="shared" si="18"/>
        <v>349262</v>
      </c>
      <c r="U24" s="276">
        <f t="shared" si="19"/>
        <v>2750</v>
      </c>
      <c r="V24" s="276">
        <v>250</v>
      </c>
      <c r="W24" s="196"/>
      <c r="X24" s="260">
        <v>13719</v>
      </c>
      <c r="Y24" s="276" t="str">
        <f t="shared" si="31"/>
        <v>ok</v>
      </c>
      <c r="Z24" s="276">
        <f t="shared" si="6"/>
        <v>15</v>
      </c>
      <c r="AA24" s="276">
        <f t="shared" si="20"/>
        <v>3750</v>
      </c>
      <c r="AB24" s="276">
        <f t="shared" si="21"/>
        <v>500</v>
      </c>
      <c r="AC24" s="276">
        <f t="shared" si="22"/>
        <v>250</v>
      </c>
      <c r="AD24" s="73">
        <f>ELEC!Q25</f>
        <v>7200.0000000007276</v>
      </c>
      <c r="AE24" s="73">
        <f t="shared" si="25"/>
        <v>480.00000000004849</v>
      </c>
      <c r="AF24" s="387">
        <f t="shared" si="26"/>
        <v>0.3000000000000303</v>
      </c>
      <c r="AG24" s="387">
        <f t="shared" si="26"/>
        <v>1.8750000000001892E-4</v>
      </c>
      <c r="AH24" s="388">
        <f t="shared" si="23"/>
        <v>249.99981249999999</v>
      </c>
      <c r="AI24" s="73">
        <f t="shared" si="27"/>
        <v>1853.1645569622128</v>
      </c>
      <c r="AJ24" s="278">
        <f t="shared" si="7"/>
        <v>0.25738396624472576</v>
      </c>
      <c r="AK24" s="278">
        <f t="shared" si="8"/>
        <v>123.54430379748085</v>
      </c>
      <c r="AL24">
        <f t="shared" si="24"/>
        <v>1</v>
      </c>
    </row>
    <row r="25" spans="1:38" ht="15.75" thickBot="1">
      <c r="A25" s="4">
        <f>ELEC!C26</f>
        <v>44615</v>
      </c>
      <c r="B25" s="502">
        <v>11493</v>
      </c>
      <c r="C25" s="276">
        <f t="shared" si="9"/>
        <v>12</v>
      </c>
      <c r="D25" s="503">
        <f t="shared" si="10"/>
        <v>636266</v>
      </c>
      <c r="E25" s="276">
        <f t="shared" si="11"/>
        <v>3000</v>
      </c>
      <c r="F25" s="276">
        <f t="shared" si="0"/>
        <v>250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v>13640</v>
      </c>
      <c r="S25" s="276">
        <f t="shared" si="4"/>
        <v>1</v>
      </c>
      <c r="T25" s="503">
        <f t="shared" si="18"/>
        <v>349512</v>
      </c>
      <c r="U25" s="276">
        <f t="shared" si="19"/>
        <v>250</v>
      </c>
      <c r="V25" s="276">
        <v>250</v>
      </c>
      <c r="W25" s="196"/>
      <c r="X25" s="260">
        <v>13719</v>
      </c>
      <c r="Y25" s="276" t="str">
        <f t="shared" si="31"/>
        <v>ok</v>
      </c>
      <c r="Z25" s="276">
        <f t="shared" si="6"/>
        <v>13</v>
      </c>
      <c r="AA25" s="276">
        <f t="shared" si="20"/>
        <v>3250</v>
      </c>
      <c r="AB25" s="276">
        <f t="shared" si="21"/>
        <v>500</v>
      </c>
      <c r="AC25" s="276">
        <f t="shared" si="22"/>
        <v>250</v>
      </c>
      <c r="AD25" s="73">
        <f>ELEC!Q26</f>
        <v>6715.0000000001455</v>
      </c>
      <c r="AE25" s="73">
        <f t="shared" si="25"/>
        <v>516.53846153847269</v>
      </c>
      <c r="AF25" s="387">
        <f t="shared" si="26"/>
        <v>0.32283653846154542</v>
      </c>
      <c r="AG25" s="387">
        <f t="shared" si="26"/>
        <v>2.0177283653846588E-4</v>
      </c>
      <c r="AH25" s="388">
        <f t="shared" si="23"/>
        <v>249.99979822716347</v>
      </c>
      <c r="AI25" s="73">
        <f t="shared" si="27"/>
        <v>1728.333333333371</v>
      </c>
      <c r="AJ25" s="278">
        <f t="shared" si="7"/>
        <v>0.25738396624472576</v>
      </c>
      <c r="AK25" s="278">
        <f t="shared" si="8"/>
        <v>132.94871794872086</v>
      </c>
      <c r="AL25">
        <f t="shared" si="24"/>
        <v>1</v>
      </c>
    </row>
    <row r="26" spans="1:38" ht="15.75" thickBot="1">
      <c r="A26" s="4">
        <f>ELEC!C27</f>
        <v>44616</v>
      </c>
      <c r="B26" s="502">
        <f t="shared" si="29"/>
        <v>11493</v>
      </c>
      <c r="C26" s="276">
        <f>B26-B25</f>
        <v>0</v>
      </c>
      <c r="D26" s="503">
        <f t="shared" si="10"/>
        <v>636266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13640</v>
      </c>
      <c r="S26" s="276">
        <f>R26-R25</f>
        <v>0</v>
      </c>
      <c r="T26" s="503">
        <f t="shared" si="18"/>
        <v>349512</v>
      </c>
      <c r="U26" s="276">
        <f t="shared" si="19"/>
        <v>0</v>
      </c>
      <c r="V26" s="276">
        <v>250</v>
      </c>
      <c r="W26" s="196"/>
      <c r="X26" s="260">
        <v>13719</v>
      </c>
      <c r="Y26" s="276" t="str">
        <f t="shared" si="31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11493</v>
      </c>
      <c r="C27" s="276">
        <f>B27-B26</f>
        <v>0</v>
      </c>
      <c r="D27" s="503">
        <f t="shared" si="10"/>
        <v>636266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13640</v>
      </c>
      <c r="S27" s="276">
        <f t="shared" si="4"/>
        <v>0</v>
      </c>
      <c r="T27" s="503">
        <f t="shared" si="18"/>
        <v>349512</v>
      </c>
      <c r="U27" s="276">
        <f t="shared" si="19"/>
        <v>0</v>
      </c>
      <c r="V27" s="276">
        <v>250</v>
      </c>
      <c r="W27" s="196"/>
      <c r="X27" s="260">
        <v>13719</v>
      </c>
      <c r="Y27" s="276" t="str">
        <f t="shared" si="31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11493</v>
      </c>
      <c r="C28" s="276">
        <f t="shared" si="9"/>
        <v>0</v>
      </c>
      <c r="D28" s="503">
        <f t="shared" si="10"/>
        <v>636266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13640</v>
      </c>
      <c r="S28" s="276">
        <f t="shared" si="4"/>
        <v>0</v>
      </c>
      <c r="T28" s="503">
        <f t="shared" si="18"/>
        <v>349512</v>
      </c>
      <c r="U28" s="276">
        <f t="shared" si="19"/>
        <v>0</v>
      </c>
      <c r="V28" s="276">
        <v>250</v>
      </c>
      <c r="W28" s="196"/>
      <c r="X28" s="260">
        <v>13719</v>
      </c>
      <c r="Y28" s="276" t="str">
        <f t="shared" si="31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11493</v>
      </c>
      <c r="C29" s="276">
        <f t="shared" si="9"/>
        <v>0</v>
      </c>
      <c r="D29" s="503">
        <f t="shared" si="10"/>
        <v>636266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13640</v>
      </c>
      <c r="S29" s="276">
        <f t="shared" si="4"/>
        <v>0</v>
      </c>
      <c r="T29" s="503">
        <f>T28+U29</f>
        <v>349512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1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11493</v>
      </c>
      <c r="C30" s="276">
        <f t="shared" si="9"/>
        <v>0</v>
      </c>
      <c r="D30" s="503">
        <f t="shared" si="10"/>
        <v>636266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13640</v>
      </c>
      <c r="S30" s="276">
        <f t="shared" si="4"/>
        <v>0</v>
      </c>
      <c r="T30" s="503">
        <f t="shared" si="18"/>
        <v>349512</v>
      </c>
      <c r="U30" s="276">
        <f t="shared" si="19"/>
        <v>0</v>
      </c>
      <c r="V30" s="276">
        <v>250</v>
      </c>
      <c r="W30" s="274"/>
      <c r="X30" s="260">
        <v>13719</v>
      </c>
      <c r="Y30" s="276" t="str">
        <f t="shared" si="31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184</v>
      </c>
      <c r="V34" s="40"/>
      <c r="X34">
        <v>341</v>
      </c>
      <c r="Z34" s="404">
        <f>SUM(Z3:Z33)</f>
        <v>184</v>
      </c>
      <c r="AF34" s="387">
        <f>SUM(AE34/1600)</f>
        <v>0</v>
      </c>
      <c r="AL34">
        <f>SUM(AL3:AL33)</f>
        <v>16</v>
      </c>
    </row>
    <row r="35" spans="1:38">
      <c r="C35" s="40">
        <f>SUM(C3:C33)</f>
        <v>65</v>
      </c>
      <c r="K35" s="40">
        <f>SUM(K3:K33)</f>
        <v>0</v>
      </c>
      <c r="S35" s="40">
        <f>SUM(S3:S33)</f>
        <v>119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V1" activePane="topRight" state="frozen"/>
      <selection pane="topRight" activeCell="T27" sqref="T2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-407</v>
      </c>
      <c r="AX21" s="279">
        <f t="shared" si="17"/>
        <v>-1976.419354838712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1189.8860759492622</v>
      </c>
      <c r="BF21" s="14"/>
      <c r="BG21" s="14" t="e">
        <f>#REF!-BE21</f>
        <v>#REF!</v>
      </c>
      <c r="BH21" s="11"/>
      <c r="BI21">
        <v>8</v>
      </c>
      <c r="BJ21">
        <f t="shared" si="46"/>
        <v>-247.052419354839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179</v>
      </c>
      <c r="C22" s="203">
        <f t="shared" si="18"/>
        <v>3851.3870967741937</v>
      </c>
      <c r="D22">
        <f t="shared" si="19"/>
        <v>179</v>
      </c>
      <c r="E22" s="203">
        <f t="shared" si="18"/>
        <v>3851.3870967741937</v>
      </c>
      <c r="F22">
        <f t="shared" si="20"/>
        <v>179</v>
      </c>
      <c r="G22" s="203">
        <f t="shared" si="1"/>
        <v>3851.3870967741937</v>
      </c>
      <c r="H22" s="203">
        <f t="shared" si="21"/>
        <v>179</v>
      </c>
      <c r="I22" s="203">
        <f t="shared" si="2"/>
        <v>3851.3870967741937</v>
      </c>
      <c r="J22" s="203">
        <f t="shared" si="22"/>
        <v>179</v>
      </c>
      <c r="K22" s="203">
        <f t="shared" si="3"/>
        <v>3851.3870967741937</v>
      </c>
      <c r="L22" s="203">
        <f t="shared" si="23"/>
        <v>179</v>
      </c>
      <c r="M22" s="203">
        <f t="shared" si="4"/>
        <v>3851.3870967741937</v>
      </c>
      <c r="N22" s="203">
        <f t="shared" si="24"/>
        <v>179</v>
      </c>
      <c r="O22" s="203">
        <f t="shared" si="5"/>
        <v>3851.3870967741937</v>
      </c>
      <c r="P22" s="203">
        <f t="shared" si="25"/>
        <v>179</v>
      </c>
      <c r="Q22" s="203">
        <f t="shared" si="6"/>
        <v>3851.3870967741937</v>
      </c>
      <c r="R22" s="203">
        <f t="shared" si="26"/>
        <v>179</v>
      </c>
      <c r="S22" s="203">
        <f t="shared" si="7"/>
        <v>3851.3870967741937</v>
      </c>
      <c r="T22" s="203">
        <f t="shared" si="27"/>
        <v>179</v>
      </c>
      <c r="U22" s="203">
        <f t="shared" si="8"/>
        <v>3851.3870967741937</v>
      </c>
      <c r="V22" s="203">
        <f t="shared" si="28"/>
        <v>179</v>
      </c>
      <c r="W22" s="203">
        <f t="shared" si="9"/>
        <v>3851.3870967741937</v>
      </c>
      <c r="X22" s="35">
        <f t="shared" si="10"/>
        <v>0.57741935483870976</v>
      </c>
      <c r="Y22" s="36">
        <f t="shared" si="29"/>
        <v>42365.258064516136</v>
      </c>
      <c r="Z22" s="203">
        <f>'B5'!C21</f>
        <v>186</v>
      </c>
      <c r="AA22" s="203">
        <f t="shared" si="30"/>
        <v>1860</v>
      </c>
      <c r="AB22" s="203">
        <f t="shared" si="31"/>
        <v>186</v>
      </c>
      <c r="AC22" s="203">
        <f t="shared" si="30"/>
        <v>1860</v>
      </c>
      <c r="AD22" s="203">
        <f t="shared" si="32"/>
        <v>186</v>
      </c>
      <c r="AE22" s="203">
        <f t="shared" si="11"/>
        <v>1860</v>
      </c>
      <c r="AF22" s="203">
        <f t="shared" si="33"/>
        <v>186</v>
      </c>
      <c r="AG22" s="203">
        <f t="shared" si="12"/>
        <v>1860</v>
      </c>
      <c r="AH22" s="203">
        <f t="shared" si="34"/>
        <v>186</v>
      </c>
      <c r="AI22" s="203">
        <f t="shared" si="13"/>
        <v>1860</v>
      </c>
      <c r="AJ22" s="203">
        <f t="shared" si="35"/>
        <v>186</v>
      </c>
      <c r="AK22" s="203">
        <f t="shared" si="14"/>
        <v>1860</v>
      </c>
      <c r="AL22" s="203">
        <f t="shared" si="36"/>
        <v>186</v>
      </c>
      <c r="AM22" s="203">
        <f t="shared" si="15"/>
        <v>1860</v>
      </c>
      <c r="AN22" s="35">
        <f t="shared" si="16"/>
        <v>0.66428571428571426</v>
      </c>
      <c r="AO22" s="36">
        <f t="shared" si="41"/>
        <v>13020</v>
      </c>
      <c r="AQ22" s="223">
        <f t="shared" si="37"/>
        <v>0.59573258109622607</v>
      </c>
      <c r="AR22" s="38">
        <f t="shared" si="38"/>
        <v>55385.258064516136</v>
      </c>
      <c r="AS22" s="197">
        <f t="shared" si="47"/>
        <v>-106.3225806451519</v>
      </c>
      <c r="AT22" s="340">
        <v>9850</v>
      </c>
      <c r="AU22" s="549">
        <v>0.79500000000000004</v>
      </c>
      <c r="AV22" s="485">
        <f t="shared" si="43"/>
        <v>0.79500000000000004</v>
      </c>
      <c r="AW22" s="279">
        <f>-SUM('B5'!AI21)</f>
        <v>-232</v>
      </c>
      <c r="AX22" s="279">
        <f t="shared" si="17"/>
        <v>125.6774193548481</v>
      </c>
      <c r="AY22" s="37">
        <f t="shared" si="39"/>
        <v>-106.3225806451519</v>
      </c>
      <c r="AZ22" s="100">
        <f>ELEC!A20</f>
        <v>0</v>
      </c>
      <c r="BA22" s="118">
        <f>'General information '!D21</f>
        <v>15</v>
      </c>
      <c r="BB22" s="378">
        <f>SUM('General information '!E21)</f>
        <v>0.52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13.964157706094234</v>
      </c>
      <c r="BK22" s="538">
        <f>GEN!AF19</f>
        <v>0.32104166666663836</v>
      </c>
    </row>
    <row r="23" spans="1:64">
      <c r="A23" s="425">
        <f>ELEC!C21</f>
        <v>44610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41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47"/>
        <v>0</v>
      </c>
      <c r="AT23" s="340"/>
      <c r="AU23" s="549"/>
      <c r="AV23" s="485">
        <f t="shared" si="43"/>
        <v>0.79500000000000004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179</v>
      </c>
      <c r="C24" s="203">
        <f t="shared" si="18"/>
        <v>3851.3870967741937</v>
      </c>
      <c r="D24">
        <f t="shared" si="19"/>
        <v>179</v>
      </c>
      <c r="E24" s="203">
        <f t="shared" si="18"/>
        <v>3851.3870967741937</v>
      </c>
      <c r="F24">
        <f t="shared" si="20"/>
        <v>179</v>
      </c>
      <c r="G24" s="203">
        <f t="shared" si="1"/>
        <v>3851.3870967741937</v>
      </c>
      <c r="H24" s="203">
        <f t="shared" si="21"/>
        <v>179</v>
      </c>
      <c r="I24" s="203">
        <f t="shared" si="2"/>
        <v>3851.3870967741937</v>
      </c>
      <c r="J24" s="203">
        <f t="shared" si="22"/>
        <v>179</v>
      </c>
      <c r="K24" s="203">
        <f t="shared" si="3"/>
        <v>3851.3870967741937</v>
      </c>
      <c r="L24" s="203">
        <f t="shared" si="23"/>
        <v>179</v>
      </c>
      <c r="M24" s="203">
        <f t="shared" si="4"/>
        <v>3851.3870967741937</v>
      </c>
      <c r="N24" s="203">
        <f t="shared" si="24"/>
        <v>179</v>
      </c>
      <c r="O24" s="203">
        <f t="shared" si="5"/>
        <v>3851.3870967741937</v>
      </c>
      <c r="P24" s="203">
        <f t="shared" si="25"/>
        <v>179</v>
      </c>
      <c r="Q24" s="203">
        <f t="shared" si="6"/>
        <v>3851.3870967741937</v>
      </c>
      <c r="R24" s="203">
        <f t="shared" si="26"/>
        <v>179</v>
      </c>
      <c r="S24" s="203">
        <f t="shared" si="7"/>
        <v>3851.3870967741937</v>
      </c>
      <c r="T24" s="203">
        <f t="shared" si="27"/>
        <v>179</v>
      </c>
      <c r="U24" s="203">
        <f t="shared" si="8"/>
        <v>3851.3870967741937</v>
      </c>
      <c r="V24" s="203">
        <f t="shared" si="28"/>
        <v>179</v>
      </c>
      <c r="W24" s="203">
        <f t="shared" si="9"/>
        <v>3851.3870967741937</v>
      </c>
      <c r="X24" s="35">
        <f t="shared" si="10"/>
        <v>0.57741935483870976</v>
      </c>
      <c r="Y24" s="36">
        <f t="shared" si="29"/>
        <v>42365.258064516136</v>
      </c>
      <c r="Z24" s="203">
        <f>'B5'!C23</f>
        <v>186</v>
      </c>
      <c r="AA24" s="203">
        <f t="shared" si="30"/>
        <v>1860</v>
      </c>
      <c r="AB24" s="203">
        <f t="shared" si="31"/>
        <v>186</v>
      </c>
      <c r="AC24" s="203">
        <f t="shared" si="30"/>
        <v>1860</v>
      </c>
      <c r="AD24" s="203">
        <f t="shared" si="32"/>
        <v>186</v>
      </c>
      <c r="AE24" s="203">
        <f t="shared" si="11"/>
        <v>1860</v>
      </c>
      <c r="AF24" s="203">
        <f t="shared" si="33"/>
        <v>186</v>
      </c>
      <c r="AG24" s="203">
        <f t="shared" si="12"/>
        <v>1860</v>
      </c>
      <c r="AH24" s="203">
        <f t="shared" si="34"/>
        <v>186</v>
      </c>
      <c r="AI24" s="203">
        <f t="shared" si="13"/>
        <v>1860</v>
      </c>
      <c r="AJ24" s="203">
        <f t="shared" si="35"/>
        <v>186</v>
      </c>
      <c r="AK24" s="203">
        <f t="shared" si="14"/>
        <v>1860</v>
      </c>
      <c r="AL24" s="203">
        <f t="shared" si="36"/>
        <v>186</v>
      </c>
      <c r="AM24" s="203">
        <f t="shared" si="15"/>
        <v>1860</v>
      </c>
      <c r="AN24" s="35">
        <f t="shared" si="16"/>
        <v>0.66428571428571426</v>
      </c>
      <c r="AO24" s="36">
        <f t="shared" si="41"/>
        <v>13020</v>
      </c>
      <c r="AQ24" s="223">
        <f t="shared" si="37"/>
        <v>0.59573258109622607</v>
      </c>
      <c r="AR24" s="38">
        <f t="shared" si="38"/>
        <v>55385.258064516136</v>
      </c>
      <c r="AS24" s="197">
        <f t="shared" si="47"/>
        <v>0</v>
      </c>
      <c r="AT24" s="340"/>
      <c r="AU24" s="549"/>
      <c r="AV24" s="485">
        <f t="shared" si="43"/>
        <v>0.79500000000000004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1674.7974683547975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215</v>
      </c>
      <c r="AA25" s="203">
        <f t="shared" si="30"/>
        <v>2150</v>
      </c>
      <c r="AB25" s="203">
        <f t="shared" si="31"/>
        <v>215</v>
      </c>
      <c r="AC25" s="203">
        <f t="shared" si="30"/>
        <v>2150</v>
      </c>
      <c r="AD25" s="203">
        <f t="shared" si="32"/>
        <v>215</v>
      </c>
      <c r="AE25" s="203">
        <f t="shared" si="11"/>
        <v>2150</v>
      </c>
      <c r="AF25" s="203">
        <f t="shared" si="33"/>
        <v>215</v>
      </c>
      <c r="AG25" s="203">
        <f t="shared" si="12"/>
        <v>2150</v>
      </c>
      <c r="AH25" s="203">
        <f t="shared" si="34"/>
        <v>215</v>
      </c>
      <c r="AI25" s="203">
        <f t="shared" si="13"/>
        <v>2150</v>
      </c>
      <c r="AJ25" s="203">
        <f t="shared" si="35"/>
        <v>215</v>
      </c>
      <c r="AK25" s="203">
        <f t="shared" si="14"/>
        <v>2150</v>
      </c>
      <c r="AL25" s="203">
        <f t="shared" si="36"/>
        <v>215</v>
      </c>
      <c r="AM25" s="203">
        <f t="shared" si="15"/>
        <v>2150</v>
      </c>
      <c r="AN25" s="35">
        <f t="shared" si="16"/>
        <v>0.7678571428571429</v>
      </c>
      <c r="AO25" s="36">
        <f t="shared" si="41"/>
        <v>15050</v>
      </c>
      <c r="AQ25" s="223">
        <f t="shared" si="37"/>
        <v>0.69139403276117495</v>
      </c>
      <c r="AR25" s="38">
        <f>Y25+AO25</f>
        <v>64278.90322580644</v>
      </c>
      <c r="AS25" s="197">
        <f t="shared" si="47"/>
        <v>-1106.3548387096962</v>
      </c>
      <c r="AT25" s="340">
        <v>10000</v>
      </c>
      <c r="AU25" s="550">
        <v>0.79500000000000004</v>
      </c>
      <c r="AV25" s="485">
        <f t="shared" si="43"/>
        <v>0.79500000000000004</v>
      </c>
      <c r="AW25" s="279">
        <f>-SUM('B5'!AI24)</f>
        <v>-436</v>
      </c>
      <c r="AX25" s="279">
        <f t="shared" si="17"/>
        <v>-670.3548387096962</v>
      </c>
      <c r="AY25" s="37">
        <f t="shared" si="39"/>
        <v>-1106.3548387096962</v>
      </c>
      <c r="AZ25" s="100">
        <f>ELEC!A23</f>
        <v>0</v>
      </c>
      <c r="BA25" s="118">
        <f>'General information '!D24</f>
        <v>15.5</v>
      </c>
      <c r="BB25" s="378">
        <f>SUM('General information '!E24)</f>
        <v>0.65</v>
      </c>
      <c r="BC25" s="3">
        <f t="shared" si="44"/>
        <v>1</v>
      </c>
      <c r="BD25" s="102">
        <v>19222</v>
      </c>
      <c r="BE25" s="14">
        <f>(305/1185)*ELEC!Q24</f>
        <v>1441.3502109700896</v>
      </c>
      <c r="BF25" s="14"/>
      <c r="BG25" s="14" t="e">
        <f>#REF!-BE25</f>
        <v>#REF!</v>
      </c>
      <c r="BH25" s="11"/>
      <c r="BI25">
        <v>12</v>
      </c>
      <c r="BJ25">
        <f t="shared" si="46"/>
        <v>-55.862903225808019</v>
      </c>
      <c r="BK25" s="538">
        <f>GEN!AF22</f>
        <v>0.31283653846160703</v>
      </c>
    </row>
    <row r="26" spans="1:64">
      <c r="A26" s="425">
        <f>ELEC!C24</f>
        <v>44613</v>
      </c>
      <c r="B26">
        <f>'B5'!B25</f>
        <v>203</v>
      </c>
      <c r="C26" s="203">
        <f t="shared" si="18"/>
        <v>4367.7741935483873</v>
      </c>
      <c r="D26">
        <f t="shared" si="19"/>
        <v>203</v>
      </c>
      <c r="E26" s="203">
        <f t="shared" si="18"/>
        <v>4367.7741935483873</v>
      </c>
      <c r="F26">
        <f t="shared" si="20"/>
        <v>203</v>
      </c>
      <c r="G26" s="203">
        <f t="shared" si="1"/>
        <v>4367.7741935483873</v>
      </c>
      <c r="H26" s="203">
        <f t="shared" si="21"/>
        <v>203</v>
      </c>
      <c r="I26" s="203">
        <f t="shared" si="2"/>
        <v>4367.7741935483873</v>
      </c>
      <c r="J26" s="203">
        <f t="shared" si="22"/>
        <v>203</v>
      </c>
      <c r="K26" s="203">
        <f t="shared" si="3"/>
        <v>4367.7741935483873</v>
      </c>
      <c r="L26" s="203">
        <f t="shared" si="23"/>
        <v>203</v>
      </c>
      <c r="M26" s="203">
        <f t="shared" si="4"/>
        <v>4367.7741935483873</v>
      </c>
      <c r="N26" s="203">
        <f t="shared" si="24"/>
        <v>203</v>
      </c>
      <c r="O26" s="203">
        <f t="shared" si="5"/>
        <v>4367.7741935483873</v>
      </c>
      <c r="P26" s="203">
        <f t="shared" si="25"/>
        <v>203</v>
      </c>
      <c r="Q26" s="203">
        <f t="shared" si="6"/>
        <v>4367.7741935483873</v>
      </c>
      <c r="R26" s="203">
        <f t="shared" si="26"/>
        <v>203</v>
      </c>
      <c r="S26" s="203">
        <f t="shared" si="7"/>
        <v>4367.7741935483873</v>
      </c>
      <c r="T26" s="203">
        <f t="shared" si="27"/>
        <v>203</v>
      </c>
      <c r="U26" s="203">
        <f t="shared" si="8"/>
        <v>4367.7741935483873</v>
      </c>
      <c r="V26" s="203">
        <f t="shared" si="28"/>
        <v>203</v>
      </c>
      <c r="W26" s="203">
        <f t="shared" si="9"/>
        <v>4367.7741935483873</v>
      </c>
      <c r="X26" s="35">
        <f t="shared" si="10"/>
        <v>0.65483870967741931</v>
      </c>
      <c r="Y26" s="36">
        <f t="shared" si="29"/>
        <v>48045.516129032258</v>
      </c>
      <c r="Z26" s="203">
        <f>'B5'!C25</f>
        <v>210</v>
      </c>
      <c r="AA26" s="203">
        <f t="shared" si="30"/>
        <v>2100</v>
      </c>
      <c r="AB26" s="203">
        <f t="shared" si="31"/>
        <v>210</v>
      </c>
      <c r="AC26" s="203">
        <f t="shared" si="30"/>
        <v>2100</v>
      </c>
      <c r="AD26" s="203">
        <f t="shared" si="32"/>
        <v>210</v>
      </c>
      <c r="AE26" s="203">
        <f t="shared" si="11"/>
        <v>2100</v>
      </c>
      <c r="AF26" s="203">
        <f t="shared" si="33"/>
        <v>210</v>
      </c>
      <c r="AG26" s="203">
        <f t="shared" si="12"/>
        <v>2100</v>
      </c>
      <c r="AH26" s="203">
        <f t="shared" si="34"/>
        <v>210</v>
      </c>
      <c r="AI26" s="203">
        <f t="shared" si="13"/>
        <v>2100</v>
      </c>
      <c r="AJ26" s="203">
        <f t="shared" si="35"/>
        <v>210</v>
      </c>
      <c r="AK26" s="203">
        <f t="shared" si="14"/>
        <v>2100</v>
      </c>
      <c r="AL26" s="203">
        <f t="shared" si="36"/>
        <v>210</v>
      </c>
      <c r="AM26" s="203">
        <f t="shared" si="15"/>
        <v>2100</v>
      </c>
      <c r="AN26" s="35">
        <f t="shared" si="16"/>
        <v>0.75</v>
      </c>
      <c r="AO26" s="36">
        <f t="shared" si="41"/>
        <v>14700</v>
      </c>
      <c r="AQ26" s="223">
        <f t="shared" si="37"/>
        <v>0.67490067902583906</v>
      </c>
      <c r="AR26" s="38">
        <f>Y26+AO26</f>
        <v>62745.516129032258</v>
      </c>
      <c r="AS26" s="197">
        <f t="shared" si="47"/>
        <v>-2528.3870967741823</v>
      </c>
      <c r="AT26" s="340">
        <v>995</v>
      </c>
      <c r="AU26" s="549">
        <v>0.74</v>
      </c>
      <c r="AV26" s="485">
        <f t="shared" si="43"/>
        <v>0.74</v>
      </c>
      <c r="AW26" s="279">
        <f>-SUM('B5'!AI25)</f>
        <v>-422</v>
      </c>
      <c r="AX26" s="279">
        <f t="shared" si="17"/>
        <v>-2106.3870967741823</v>
      </c>
      <c r="AY26" s="37">
        <f t="shared" si="39"/>
        <v>-2528.3870967741823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1853.1645569622128</v>
      </c>
      <c r="BF26" s="14"/>
      <c r="BG26" s="14" t="e">
        <f>#REF!-BE26</f>
        <v>#REF!</v>
      </c>
      <c r="BH26" s="11"/>
      <c r="BI26">
        <v>13</v>
      </c>
      <c r="BJ26">
        <f t="shared" si="46"/>
        <v>-162.0297766749371</v>
      </c>
      <c r="BK26" s="538">
        <f>GEN!AF23</f>
        <v>0.34999999999990905</v>
      </c>
    </row>
    <row r="27" spans="1:64">
      <c r="A27" s="425">
        <f>ELEC!C25</f>
        <v>44614</v>
      </c>
      <c r="B27">
        <f>'B5'!B26</f>
        <v>193</v>
      </c>
      <c r="C27" s="203">
        <f t="shared" si="18"/>
        <v>4152.6129032258068</v>
      </c>
      <c r="D27">
        <f t="shared" si="19"/>
        <v>193</v>
      </c>
      <c r="E27" s="203">
        <f t="shared" si="18"/>
        <v>4152.6129032258068</v>
      </c>
      <c r="F27">
        <f t="shared" si="20"/>
        <v>193</v>
      </c>
      <c r="G27" s="203">
        <f t="shared" si="1"/>
        <v>4152.6129032258068</v>
      </c>
      <c r="H27" s="203">
        <f t="shared" si="21"/>
        <v>193</v>
      </c>
      <c r="I27" s="203">
        <f t="shared" si="2"/>
        <v>4152.6129032258068</v>
      </c>
      <c r="J27" s="203">
        <f t="shared" si="22"/>
        <v>193</v>
      </c>
      <c r="K27" s="203">
        <f t="shared" si="3"/>
        <v>4152.6129032258068</v>
      </c>
      <c r="L27" s="203">
        <f t="shared" si="23"/>
        <v>193</v>
      </c>
      <c r="M27" s="203">
        <f t="shared" si="4"/>
        <v>4152.6129032258068</v>
      </c>
      <c r="N27" s="203">
        <f t="shared" si="24"/>
        <v>193</v>
      </c>
      <c r="O27" s="203">
        <f t="shared" si="5"/>
        <v>4152.6129032258068</v>
      </c>
      <c r="P27" s="203">
        <f t="shared" si="25"/>
        <v>193</v>
      </c>
      <c r="Q27" s="203">
        <f t="shared" si="6"/>
        <v>4152.6129032258068</v>
      </c>
      <c r="R27" s="203">
        <f t="shared" si="26"/>
        <v>193</v>
      </c>
      <c r="S27" s="203">
        <f t="shared" si="7"/>
        <v>4152.6129032258068</v>
      </c>
      <c r="T27" s="203">
        <f t="shared" si="27"/>
        <v>193</v>
      </c>
      <c r="U27" s="203">
        <f t="shared" si="8"/>
        <v>4152.6129032258068</v>
      </c>
      <c r="V27" s="203">
        <f t="shared" si="28"/>
        <v>193</v>
      </c>
      <c r="W27" s="203">
        <f t="shared" si="9"/>
        <v>4152.6129032258068</v>
      </c>
      <c r="X27" s="35">
        <f t="shared" si="10"/>
        <v>0.62258064516129019</v>
      </c>
      <c r="Y27" s="36">
        <f t="shared" si="29"/>
        <v>45678.741935483864</v>
      </c>
      <c r="Z27" s="203">
        <f>'B5'!C26</f>
        <v>200</v>
      </c>
      <c r="AA27" s="203">
        <f t="shared" si="30"/>
        <v>2000</v>
      </c>
      <c r="AB27" s="203">
        <f t="shared" si="31"/>
        <v>200</v>
      </c>
      <c r="AC27" s="203">
        <f t="shared" si="30"/>
        <v>2000</v>
      </c>
      <c r="AD27" s="203">
        <f t="shared" si="32"/>
        <v>200</v>
      </c>
      <c r="AE27" s="203">
        <f t="shared" si="11"/>
        <v>2000</v>
      </c>
      <c r="AF27" s="203">
        <f t="shared" si="33"/>
        <v>200</v>
      </c>
      <c r="AG27" s="203">
        <f t="shared" si="12"/>
        <v>2000</v>
      </c>
      <c r="AH27" s="203">
        <f t="shared" si="34"/>
        <v>200</v>
      </c>
      <c r="AI27" s="203">
        <f t="shared" si="13"/>
        <v>2000</v>
      </c>
      <c r="AJ27" s="203">
        <f t="shared" si="35"/>
        <v>200</v>
      </c>
      <c r="AK27" s="203">
        <f t="shared" si="14"/>
        <v>2000</v>
      </c>
      <c r="AL27" s="203">
        <f t="shared" si="36"/>
        <v>200</v>
      </c>
      <c r="AM27" s="203">
        <f t="shared" si="15"/>
        <v>2000</v>
      </c>
      <c r="AN27" s="35">
        <f t="shared" si="16"/>
        <v>0.7142857142857143</v>
      </c>
      <c r="AO27" s="36">
        <f t="shared" si="41"/>
        <v>14000</v>
      </c>
      <c r="AQ27" s="223">
        <f t="shared" si="37"/>
        <v>0.64191397155516683</v>
      </c>
      <c r="AR27" s="38">
        <f t="shared" si="38"/>
        <v>59678.741935483864</v>
      </c>
      <c r="AS27" s="197">
        <f t="shared" si="47"/>
        <v>-3066.7741935483937</v>
      </c>
      <c r="AT27" s="340"/>
      <c r="AU27" s="549"/>
      <c r="AV27" s="485">
        <f t="shared" si="43"/>
        <v>0.74</v>
      </c>
      <c r="AW27" s="279">
        <f>-SUM('B5'!AI26)</f>
        <v>-378</v>
      </c>
      <c r="AX27" s="279">
        <f t="shared" si="17"/>
        <v>-2688.7741935483937</v>
      </c>
      <c r="AY27" s="37">
        <f t="shared" si="39"/>
        <v>-3066.7741935483937</v>
      </c>
      <c r="AZ27" s="100">
        <f>ELEC!A25</f>
        <v>0</v>
      </c>
      <c r="BA27" s="118">
        <f>'General information '!D26</f>
        <v>18.5</v>
      </c>
      <c r="BB27" s="378">
        <f>SUM('General information '!E26)</f>
        <v>0.41</v>
      </c>
      <c r="BC27" s="3">
        <f t="shared" si="44"/>
        <v>0</v>
      </c>
      <c r="BD27" s="102">
        <v>19222</v>
      </c>
      <c r="BE27" s="14">
        <f>(305/1185)*ELEC!Q26</f>
        <v>1728.333333333371</v>
      </c>
      <c r="BF27" s="14"/>
      <c r="BG27" s="14" t="e">
        <f>#REF!-BE27</f>
        <v>#REF!</v>
      </c>
      <c r="BH27" s="11"/>
      <c r="BI27">
        <v>14</v>
      </c>
      <c r="BJ27">
        <f t="shared" si="46"/>
        <v>-192.05529953917099</v>
      </c>
      <c r="BK27" s="538">
        <f>GEN!AF24</f>
        <v>0.3000000000000303</v>
      </c>
    </row>
    <row r="28" spans="1:64">
      <c r="A28" s="425">
        <f>ELEC!C26</f>
        <v>44615</v>
      </c>
      <c r="B28">
        <f>'B5'!B27</f>
        <v>185</v>
      </c>
      <c r="C28" s="203">
        <f t="shared" si="18"/>
        <v>3980.483870967742</v>
      </c>
      <c r="D28">
        <f t="shared" si="19"/>
        <v>185</v>
      </c>
      <c r="E28" s="203">
        <f t="shared" si="18"/>
        <v>3980.483870967742</v>
      </c>
      <c r="F28">
        <f t="shared" si="20"/>
        <v>185</v>
      </c>
      <c r="G28" s="203">
        <f t="shared" si="1"/>
        <v>3980.483870967742</v>
      </c>
      <c r="H28" s="203">
        <f t="shared" si="21"/>
        <v>185</v>
      </c>
      <c r="I28" s="203">
        <f t="shared" si="2"/>
        <v>3980.483870967742</v>
      </c>
      <c r="J28" s="203">
        <f t="shared" si="22"/>
        <v>185</v>
      </c>
      <c r="K28" s="203">
        <f t="shared" si="3"/>
        <v>3980.483870967742</v>
      </c>
      <c r="L28" s="203">
        <f t="shared" si="23"/>
        <v>185</v>
      </c>
      <c r="M28" s="203">
        <f t="shared" si="4"/>
        <v>3980.483870967742</v>
      </c>
      <c r="N28" s="203">
        <f t="shared" si="24"/>
        <v>185</v>
      </c>
      <c r="O28" s="203">
        <f t="shared" si="5"/>
        <v>3980.483870967742</v>
      </c>
      <c r="P28" s="203">
        <f t="shared" si="25"/>
        <v>185</v>
      </c>
      <c r="Q28" s="203">
        <f t="shared" si="6"/>
        <v>3980.483870967742</v>
      </c>
      <c r="R28" s="203">
        <f t="shared" si="26"/>
        <v>185</v>
      </c>
      <c r="S28" s="203">
        <f t="shared" si="7"/>
        <v>3980.483870967742</v>
      </c>
      <c r="T28" s="203">
        <f t="shared" si="27"/>
        <v>185</v>
      </c>
      <c r="U28" s="203">
        <f t="shared" si="8"/>
        <v>3980.483870967742</v>
      </c>
      <c r="V28" s="203">
        <f t="shared" si="28"/>
        <v>185</v>
      </c>
      <c r="W28" s="203">
        <f t="shared" si="9"/>
        <v>3980.483870967742</v>
      </c>
      <c r="X28" s="35">
        <f t="shared" si="10"/>
        <v>0.59677419354838712</v>
      </c>
      <c r="Y28" s="36">
        <f t="shared" si="29"/>
        <v>43785.322580645159</v>
      </c>
      <c r="Z28" s="203">
        <f>'B5'!C27</f>
        <v>192</v>
      </c>
      <c r="AA28" s="203">
        <f t="shared" si="30"/>
        <v>1920</v>
      </c>
      <c r="AB28" s="203">
        <f t="shared" si="31"/>
        <v>192</v>
      </c>
      <c r="AC28" s="203">
        <f t="shared" si="30"/>
        <v>1920</v>
      </c>
      <c r="AD28" s="203">
        <f t="shared" si="32"/>
        <v>192</v>
      </c>
      <c r="AE28" s="203">
        <f t="shared" si="11"/>
        <v>1920</v>
      </c>
      <c r="AF28" s="203">
        <f t="shared" si="33"/>
        <v>192</v>
      </c>
      <c r="AG28" s="203">
        <f t="shared" si="12"/>
        <v>1920</v>
      </c>
      <c r="AH28" s="203">
        <f t="shared" si="34"/>
        <v>192</v>
      </c>
      <c r="AI28" s="203">
        <f t="shared" si="13"/>
        <v>1920</v>
      </c>
      <c r="AJ28" s="203">
        <f t="shared" si="35"/>
        <v>192</v>
      </c>
      <c r="AK28" s="203">
        <f t="shared" si="14"/>
        <v>1920</v>
      </c>
      <c r="AL28" s="203">
        <f t="shared" si="36"/>
        <v>192</v>
      </c>
      <c r="AM28" s="203">
        <f t="shared" si="15"/>
        <v>1920</v>
      </c>
      <c r="AN28" s="35">
        <f t="shared" si="16"/>
        <v>0.68571428571428572</v>
      </c>
      <c r="AO28" s="36">
        <f t="shared" si="41"/>
        <v>13440</v>
      </c>
      <c r="AQ28" s="223">
        <f t="shared" si="37"/>
        <v>0.6155246055786292</v>
      </c>
      <c r="AR28" s="38">
        <f t="shared" si="38"/>
        <v>57225.322580645159</v>
      </c>
      <c r="AS28" s="197">
        <f t="shared" si="47"/>
        <v>-2453.4193548387047</v>
      </c>
      <c r="AT28" s="340"/>
      <c r="AU28" s="550"/>
      <c r="AV28" s="485">
        <f t="shared" si="43"/>
        <v>0.74</v>
      </c>
      <c r="AW28" s="279">
        <f>-SUM('B5'!AI27)</f>
        <v>-324</v>
      </c>
      <c r="AX28" s="279">
        <f t="shared" si="17"/>
        <v>-2129.4193548387047</v>
      </c>
      <c r="AY28" s="37">
        <f t="shared" si="39"/>
        <v>-2453.4193548387047</v>
      </c>
      <c r="AZ28" s="100">
        <f>ELEC!A26</f>
        <v>0</v>
      </c>
      <c r="BA28" s="118">
        <f>'General information '!D27</f>
        <v>19.5</v>
      </c>
      <c r="BB28" s="378">
        <f>SUM('General information '!E27)</f>
        <v>0.46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-141.96129032258031</v>
      </c>
      <c r="BK28" s="538">
        <f>GEN!AF25</f>
        <v>0.32283653846154542</v>
      </c>
    </row>
    <row r="29" spans="1:64">
      <c r="A29" s="425">
        <f>ELEC!C27</f>
        <v>44616</v>
      </c>
      <c r="B29">
        <f>'B5'!B28</f>
        <v>185</v>
      </c>
      <c r="C29" s="203">
        <f t="shared" si="18"/>
        <v>3980.483870967742</v>
      </c>
      <c r="D29">
        <f t="shared" si="19"/>
        <v>185</v>
      </c>
      <c r="E29" s="203">
        <f t="shared" si="18"/>
        <v>3980.483870967742</v>
      </c>
      <c r="F29">
        <f t="shared" si="20"/>
        <v>185</v>
      </c>
      <c r="G29" s="203">
        <f t="shared" si="1"/>
        <v>3980.483870967742</v>
      </c>
      <c r="H29" s="203">
        <f t="shared" si="21"/>
        <v>185</v>
      </c>
      <c r="I29" s="203">
        <f t="shared" si="2"/>
        <v>3980.483870967742</v>
      </c>
      <c r="J29" s="203">
        <f t="shared" si="22"/>
        <v>185</v>
      </c>
      <c r="K29" s="203">
        <f t="shared" si="3"/>
        <v>3980.483870967742</v>
      </c>
      <c r="L29" s="203">
        <f t="shared" si="23"/>
        <v>185</v>
      </c>
      <c r="M29" s="203">
        <f t="shared" si="4"/>
        <v>3980.483870967742</v>
      </c>
      <c r="N29" s="203">
        <f t="shared" si="24"/>
        <v>185</v>
      </c>
      <c r="O29" s="203">
        <f t="shared" si="5"/>
        <v>3980.483870967742</v>
      </c>
      <c r="P29" s="203">
        <f t="shared" si="25"/>
        <v>185</v>
      </c>
      <c r="Q29" s="203">
        <f t="shared" si="6"/>
        <v>3980.483870967742</v>
      </c>
      <c r="R29" s="203">
        <f t="shared" si="26"/>
        <v>185</v>
      </c>
      <c r="S29" s="203">
        <f t="shared" si="7"/>
        <v>3980.483870967742</v>
      </c>
      <c r="T29" s="203">
        <f t="shared" si="27"/>
        <v>185</v>
      </c>
      <c r="U29" s="203">
        <f t="shared" si="8"/>
        <v>3980.483870967742</v>
      </c>
      <c r="V29" s="203">
        <f t="shared" si="28"/>
        <v>185</v>
      </c>
      <c r="W29" s="203">
        <f t="shared" si="9"/>
        <v>3980.483870967742</v>
      </c>
      <c r="X29" s="35">
        <f t="shared" si="10"/>
        <v>0.59677419354838712</v>
      </c>
      <c r="Y29" s="36">
        <f t="shared" si="29"/>
        <v>43785.322580645159</v>
      </c>
      <c r="Z29" s="203">
        <f>'B5'!C28</f>
        <v>192</v>
      </c>
      <c r="AA29" s="203">
        <f t="shared" si="30"/>
        <v>1920</v>
      </c>
      <c r="AB29" s="203">
        <f t="shared" si="31"/>
        <v>192</v>
      </c>
      <c r="AC29" s="203">
        <f t="shared" si="30"/>
        <v>1920</v>
      </c>
      <c r="AD29" s="203">
        <f t="shared" si="32"/>
        <v>192</v>
      </c>
      <c r="AE29" s="203">
        <f t="shared" si="11"/>
        <v>1920</v>
      </c>
      <c r="AF29" s="203">
        <f t="shared" si="33"/>
        <v>192</v>
      </c>
      <c r="AG29" s="203">
        <f t="shared" si="12"/>
        <v>1920</v>
      </c>
      <c r="AH29" s="203">
        <f t="shared" si="34"/>
        <v>192</v>
      </c>
      <c r="AI29" s="203">
        <f t="shared" si="13"/>
        <v>1920</v>
      </c>
      <c r="AJ29" s="203">
        <f t="shared" si="35"/>
        <v>192</v>
      </c>
      <c r="AK29" s="203">
        <f t="shared" si="14"/>
        <v>1920</v>
      </c>
      <c r="AL29" s="203">
        <f t="shared" si="36"/>
        <v>192</v>
      </c>
      <c r="AM29" s="203">
        <f t="shared" si="15"/>
        <v>1920</v>
      </c>
      <c r="AN29" s="35">
        <f t="shared" si="16"/>
        <v>0.68571428571428572</v>
      </c>
      <c r="AO29" s="36">
        <f t="shared" si="41"/>
        <v>13440</v>
      </c>
      <c r="AQ29" s="223">
        <f t="shared" si="37"/>
        <v>0.6155246055786292</v>
      </c>
      <c r="AR29" s="38">
        <f t="shared" si="38"/>
        <v>57225.322580645159</v>
      </c>
      <c r="AS29" s="197">
        <f>SUM(AR29-AR28-AT29)</f>
        <v>0</v>
      </c>
      <c r="AT29" s="340"/>
      <c r="AU29" s="550"/>
      <c r="AV29" s="485">
        <f t="shared" si="43"/>
        <v>0.74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185</v>
      </c>
      <c r="C30" s="203">
        <f t="shared" si="18"/>
        <v>3980.483870967742</v>
      </c>
      <c r="D30">
        <f>SUM(B30)</f>
        <v>185</v>
      </c>
      <c r="E30" s="203">
        <f t="shared" si="18"/>
        <v>3980.483870967742</v>
      </c>
      <c r="F30">
        <f>SUM(D30)</f>
        <v>185</v>
      </c>
      <c r="G30" s="203">
        <f t="shared" si="1"/>
        <v>3980.483870967742</v>
      </c>
      <c r="H30" s="203">
        <f>SUM(F30)</f>
        <v>185</v>
      </c>
      <c r="I30" s="203">
        <f t="shared" si="2"/>
        <v>3980.483870967742</v>
      </c>
      <c r="J30" s="203">
        <f>SUM(H30)</f>
        <v>185</v>
      </c>
      <c r="K30" s="203">
        <f t="shared" si="3"/>
        <v>3980.483870967742</v>
      </c>
      <c r="L30" s="203">
        <f>SUM(J30)</f>
        <v>185</v>
      </c>
      <c r="M30" s="203">
        <f t="shared" si="4"/>
        <v>3980.483870967742</v>
      </c>
      <c r="N30" s="203">
        <f>SUM(L30)</f>
        <v>185</v>
      </c>
      <c r="O30" s="203">
        <f t="shared" si="5"/>
        <v>3980.483870967742</v>
      </c>
      <c r="P30" s="203">
        <f>SUM(N30)</f>
        <v>185</v>
      </c>
      <c r="Q30" s="203">
        <f t="shared" si="6"/>
        <v>3980.483870967742</v>
      </c>
      <c r="R30" s="203">
        <f>SUM(P30)</f>
        <v>185</v>
      </c>
      <c r="S30" s="203">
        <f t="shared" si="7"/>
        <v>3980.483870967742</v>
      </c>
      <c r="T30" s="203">
        <f>SUM(R30)</f>
        <v>185</v>
      </c>
      <c r="U30" s="203">
        <f t="shared" si="8"/>
        <v>3980.483870967742</v>
      </c>
      <c r="V30" s="203">
        <f>SUM(T30)</f>
        <v>185</v>
      </c>
      <c r="W30" s="203">
        <f t="shared" si="9"/>
        <v>3980.483870967742</v>
      </c>
      <c r="X30" s="35">
        <f>SUM(Y30/73370)</f>
        <v>0.59677419354838712</v>
      </c>
      <c r="Y30" s="36">
        <f>SUM(C30+E30+G30+I30+K30+M30+O30+Q30+S30+U30+W30)</f>
        <v>43785.322580645159</v>
      </c>
      <c r="Z30" s="203">
        <f>'B5'!C29</f>
        <v>192</v>
      </c>
      <c r="AA30" s="203">
        <f t="shared" si="30"/>
        <v>1920</v>
      </c>
      <c r="AB30" s="203">
        <f>SUM(Z30)</f>
        <v>192</v>
      </c>
      <c r="AC30" s="203">
        <f t="shared" si="30"/>
        <v>1920</v>
      </c>
      <c r="AD30" s="203">
        <f>SUM(AB30)</f>
        <v>192</v>
      </c>
      <c r="AE30" s="203">
        <f t="shared" si="11"/>
        <v>1920</v>
      </c>
      <c r="AF30" s="203">
        <f>SUM(AD30)</f>
        <v>192</v>
      </c>
      <c r="AG30" s="203">
        <f t="shared" si="12"/>
        <v>1920</v>
      </c>
      <c r="AH30" s="203">
        <f>SUM(AF30)</f>
        <v>192</v>
      </c>
      <c r="AI30" s="203">
        <f t="shared" si="13"/>
        <v>1920</v>
      </c>
      <c r="AJ30" s="203">
        <f>SUM(AH30)</f>
        <v>192</v>
      </c>
      <c r="AK30" s="203">
        <f t="shared" si="14"/>
        <v>1920</v>
      </c>
      <c r="AL30" s="203">
        <f>SUM(AJ30)</f>
        <v>192</v>
      </c>
      <c r="AM30" s="203">
        <f t="shared" si="15"/>
        <v>1920</v>
      </c>
      <c r="AN30" s="35">
        <f>SUM(AO30/19600)</f>
        <v>0.68571428571428572</v>
      </c>
      <c r="AO30" s="36">
        <f>SUM(AA30+AC30+AE30+AG30+AI30+AK30+AM30)</f>
        <v>13440</v>
      </c>
      <c r="AQ30" s="223">
        <f t="shared" si="37"/>
        <v>0.6155246055786292</v>
      </c>
      <c r="AR30" s="38">
        <f t="shared" si="38"/>
        <v>57225.322580645159</v>
      </c>
      <c r="AS30" s="197">
        <f>SUM(AR30-AR29-AT30)</f>
        <v>0</v>
      </c>
      <c r="AT30" s="340"/>
      <c r="AU30" s="550"/>
      <c r="AV30" s="485">
        <f t="shared" si="43"/>
        <v>0.74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185</v>
      </c>
      <c r="C31" s="203">
        <f t="shared" si="18"/>
        <v>3980.483870967742</v>
      </c>
      <c r="D31">
        <f>SUM(B31)</f>
        <v>185</v>
      </c>
      <c r="E31" s="203">
        <f t="shared" si="18"/>
        <v>3980.483870967742</v>
      </c>
      <c r="F31">
        <f>SUM(D31)</f>
        <v>185</v>
      </c>
      <c r="G31" s="203">
        <f t="shared" si="1"/>
        <v>3980.483870967742</v>
      </c>
      <c r="H31" s="203">
        <f>SUM(F31)</f>
        <v>185</v>
      </c>
      <c r="I31" s="203">
        <f t="shared" si="2"/>
        <v>3980.483870967742</v>
      </c>
      <c r="J31" s="203">
        <f>SUM(H31)</f>
        <v>185</v>
      </c>
      <c r="K31" s="203">
        <f t="shared" si="3"/>
        <v>3980.483870967742</v>
      </c>
      <c r="L31" s="203">
        <f>SUM(J31)</f>
        <v>185</v>
      </c>
      <c r="M31" s="203">
        <f t="shared" si="4"/>
        <v>3980.483870967742</v>
      </c>
      <c r="N31" s="203">
        <f>SUM(L31)</f>
        <v>185</v>
      </c>
      <c r="O31" s="203">
        <f t="shared" si="5"/>
        <v>3980.483870967742</v>
      </c>
      <c r="P31" s="203">
        <f>SUM(N31)</f>
        <v>185</v>
      </c>
      <c r="Q31" s="203">
        <f t="shared" si="6"/>
        <v>3980.483870967742</v>
      </c>
      <c r="R31" s="203">
        <f>SUM(P31)</f>
        <v>185</v>
      </c>
      <c r="S31" s="203">
        <f t="shared" si="7"/>
        <v>3980.483870967742</v>
      </c>
      <c r="T31" s="203">
        <f>SUM(R31)</f>
        <v>185</v>
      </c>
      <c r="U31" s="203">
        <f t="shared" si="8"/>
        <v>3980.483870967742</v>
      </c>
      <c r="V31" s="203">
        <f>SUM(T31)</f>
        <v>185</v>
      </c>
      <c r="W31" s="203">
        <f t="shared" si="9"/>
        <v>3980.483870967742</v>
      </c>
      <c r="X31" s="35">
        <f>SUM(Y31/73370)</f>
        <v>0.59677419354838712</v>
      </c>
      <c r="Y31" s="36">
        <f>SUM(C31+E31+G31+I31+K31+M31+O31+Q31+S31+U31+W31)</f>
        <v>43785.322580645159</v>
      </c>
      <c r="Z31" s="203">
        <f>'B5'!C30</f>
        <v>192</v>
      </c>
      <c r="AA31" s="203">
        <f t="shared" si="30"/>
        <v>1920</v>
      </c>
      <c r="AB31" s="203">
        <f>SUM(Z31)</f>
        <v>192</v>
      </c>
      <c r="AC31" s="203">
        <f t="shared" si="30"/>
        <v>1920</v>
      </c>
      <c r="AD31" s="203">
        <f>SUM(AB31)</f>
        <v>192</v>
      </c>
      <c r="AE31" s="203">
        <f t="shared" si="11"/>
        <v>1920</v>
      </c>
      <c r="AF31" s="203">
        <f>SUM(AD31)</f>
        <v>192</v>
      </c>
      <c r="AG31" s="203">
        <f t="shared" si="12"/>
        <v>1920</v>
      </c>
      <c r="AH31" s="203">
        <f>SUM(AF31)</f>
        <v>192</v>
      </c>
      <c r="AI31" s="203">
        <f t="shared" si="13"/>
        <v>1920</v>
      </c>
      <c r="AJ31" s="203">
        <f>SUM(AH31)</f>
        <v>192</v>
      </c>
      <c r="AK31" s="203">
        <f t="shared" si="14"/>
        <v>1920</v>
      </c>
      <c r="AL31" s="203">
        <f>SUM(AJ31)</f>
        <v>192</v>
      </c>
      <c r="AM31" s="203">
        <f t="shared" si="15"/>
        <v>1920</v>
      </c>
      <c r="AN31" s="35">
        <f>SUM(AO31/19600)</f>
        <v>0.68571428571428572</v>
      </c>
      <c r="AO31" s="36">
        <f>SUM(AA31+AC31+AE31+AG31+AI31+AK31+AM31)</f>
        <v>13440</v>
      </c>
      <c r="AQ31" s="223">
        <f t="shared" si="37"/>
        <v>0.6155246055786292</v>
      </c>
      <c r="AR31" s="38">
        <f t="shared" si="38"/>
        <v>57225.322580645159</v>
      </c>
      <c r="AS31" s="197">
        <f t="shared" si="47"/>
        <v>0</v>
      </c>
      <c r="AT31" s="340"/>
      <c r="AU31" s="575"/>
      <c r="AV31" s="485">
        <f t="shared" si="43"/>
        <v>0.74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185</v>
      </c>
      <c r="C32" s="203">
        <f t="shared" si="18"/>
        <v>3980.483870967742</v>
      </c>
      <c r="D32">
        <f>SUM(B32)</f>
        <v>185</v>
      </c>
      <c r="E32" s="203">
        <f t="shared" si="18"/>
        <v>3980.483870967742</v>
      </c>
      <c r="F32">
        <f>SUM(D32)</f>
        <v>185</v>
      </c>
      <c r="G32" s="203">
        <f t="shared" si="1"/>
        <v>3980.483870967742</v>
      </c>
      <c r="H32" s="203">
        <f>SUM(F32)</f>
        <v>185</v>
      </c>
      <c r="I32" s="203">
        <f t="shared" si="2"/>
        <v>3980.483870967742</v>
      </c>
      <c r="J32" s="203">
        <f>SUM(H32)</f>
        <v>185</v>
      </c>
      <c r="K32" s="203">
        <f t="shared" si="3"/>
        <v>3980.483870967742</v>
      </c>
      <c r="L32" s="203">
        <f>SUM(J32)</f>
        <v>185</v>
      </c>
      <c r="M32" s="203">
        <f t="shared" si="4"/>
        <v>3980.483870967742</v>
      </c>
      <c r="N32" s="203">
        <f>SUM(L32)</f>
        <v>185</v>
      </c>
      <c r="O32" s="203">
        <f t="shared" si="5"/>
        <v>3980.483870967742</v>
      </c>
      <c r="P32" s="203">
        <f>SUM(N32)</f>
        <v>185</v>
      </c>
      <c r="Q32" s="203">
        <f t="shared" si="6"/>
        <v>3980.483870967742</v>
      </c>
      <c r="R32" s="203">
        <f>SUM(P32)</f>
        <v>185</v>
      </c>
      <c r="S32" s="203">
        <f t="shared" si="7"/>
        <v>3980.483870967742</v>
      </c>
      <c r="T32" s="203">
        <f>SUM(R32)</f>
        <v>185</v>
      </c>
      <c r="U32" s="203">
        <f t="shared" si="8"/>
        <v>3980.483870967742</v>
      </c>
      <c r="V32" s="203">
        <f>SUM(T32)</f>
        <v>185</v>
      </c>
      <c r="W32" s="203">
        <f t="shared" si="9"/>
        <v>3980.483870967742</v>
      </c>
      <c r="X32" s="35">
        <f>SUM(Y32/73370)</f>
        <v>0.59677419354838712</v>
      </c>
      <c r="Y32" s="36">
        <f>SUM(C32+E32+G32+I32+K32+M32+O32+Q32+S32+U32+W32)</f>
        <v>43785.322580645159</v>
      </c>
      <c r="Z32" s="203">
        <f>'B5'!C31</f>
        <v>192</v>
      </c>
      <c r="AA32" s="203">
        <f t="shared" si="30"/>
        <v>1920</v>
      </c>
      <c r="AB32" s="203">
        <f>SUM(Z32)</f>
        <v>192</v>
      </c>
      <c r="AC32" s="203">
        <f t="shared" si="30"/>
        <v>1920</v>
      </c>
      <c r="AD32" s="203">
        <f>SUM(AB32)</f>
        <v>192</v>
      </c>
      <c r="AE32" s="203">
        <f t="shared" si="11"/>
        <v>1920</v>
      </c>
      <c r="AF32" s="203">
        <f>SUM(AD32)</f>
        <v>192</v>
      </c>
      <c r="AG32" s="203">
        <f t="shared" si="12"/>
        <v>1920</v>
      </c>
      <c r="AH32" s="203">
        <f>SUM(AF32)</f>
        <v>192</v>
      </c>
      <c r="AI32" s="203">
        <f t="shared" si="13"/>
        <v>1920</v>
      </c>
      <c r="AJ32" s="203">
        <f>SUM(AH32)</f>
        <v>192</v>
      </c>
      <c r="AK32" s="203">
        <f t="shared" si="14"/>
        <v>1920</v>
      </c>
      <c r="AL32" s="203">
        <f>SUM(AJ32)</f>
        <v>192</v>
      </c>
      <c r="AM32" s="203">
        <f t="shared" si="15"/>
        <v>1920</v>
      </c>
      <c r="AN32" s="35">
        <f>SUM(AO32/19600)</f>
        <v>0.68571428571428572</v>
      </c>
      <c r="AO32" s="36">
        <f>SUM(AA32+AC32+AE32+AG32+AI32+AK32+AM32)</f>
        <v>13440</v>
      </c>
      <c r="AQ32" s="223">
        <f t="shared" si="37"/>
        <v>0.6155246055786292</v>
      </c>
      <c r="AR32" s="38">
        <f t="shared" si="38"/>
        <v>57225.322580645159</v>
      </c>
      <c r="AS32" s="197">
        <f t="shared" si="47"/>
        <v>0</v>
      </c>
      <c r="AT32" s="340"/>
      <c r="AU32" s="549"/>
      <c r="AV32" s="485">
        <f>IF(AT32&gt;0,AU32,AV31)</f>
        <v>0.74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185</v>
      </c>
      <c r="C33" s="203">
        <f t="shared" si="18"/>
        <v>3980.483870967742</v>
      </c>
      <c r="D33">
        <f>SUM(B33)</f>
        <v>185</v>
      </c>
      <c r="E33" s="203">
        <f t="shared" si="18"/>
        <v>3980.483870967742</v>
      </c>
      <c r="F33">
        <f>SUM(D33)</f>
        <v>185</v>
      </c>
      <c r="G33" s="203">
        <f t="shared" si="1"/>
        <v>3980.483870967742</v>
      </c>
      <c r="H33" s="203">
        <f>SUM(F33)</f>
        <v>185</v>
      </c>
      <c r="I33" s="203">
        <f t="shared" si="2"/>
        <v>3980.483870967742</v>
      </c>
      <c r="J33" s="203">
        <f>SUM(H33)</f>
        <v>185</v>
      </c>
      <c r="K33" s="203">
        <f t="shared" si="3"/>
        <v>3980.483870967742</v>
      </c>
      <c r="L33" s="203">
        <f>SUM(J33)</f>
        <v>185</v>
      </c>
      <c r="M33" s="203">
        <f t="shared" si="4"/>
        <v>3980.483870967742</v>
      </c>
      <c r="N33" s="203">
        <f>SUM(L33)</f>
        <v>185</v>
      </c>
      <c r="O33" s="203">
        <f t="shared" si="5"/>
        <v>3980.483870967742</v>
      </c>
      <c r="P33" s="203">
        <f>SUM(N33)</f>
        <v>185</v>
      </c>
      <c r="Q33" s="203">
        <f t="shared" si="6"/>
        <v>3980.483870967742</v>
      </c>
      <c r="R33" s="203">
        <f>SUM(P33)</f>
        <v>185</v>
      </c>
      <c r="S33" s="203">
        <f t="shared" si="7"/>
        <v>3980.483870967742</v>
      </c>
      <c r="T33" s="203">
        <f>SUM(R33)</f>
        <v>185</v>
      </c>
      <c r="U33" s="203">
        <f t="shared" si="8"/>
        <v>3980.483870967742</v>
      </c>
      <c r="V33" s="203">
        <f>SUM(T33)</f>
        <v>185</v>
      </c>
      <c r="W33" s="203">
        <f t="shared" si="9"/>
        <v>3980.483870967742</v>
      </c>
      <c r="X33" s="35">
        <f>SUM(Y33/73370)</f>
        <v>0.59677419354838712</v>
      </c>
      <c r="Y33" s="36">
        <f>SUM(C33+E33+G33+I33+K33+M33+O33+Q33+S33+U33+W33)</f>
        <v>43785.322580645159</v>
      </c>
      <c r="Z33" s="203">
        <f>'B5'!C32</f>
        <v>192</v>
      </c>
      <c r="AA33" s="203">
        <f t="shared" si="30"/>
        <v>1920</v>
      </c>
      <c r="AB33" s="203">
        <f>SUM(Z33)</f>
        <v>192</v>
      </c>
      <c r="AC33" s="203">
        <f t="shared" si="30"/>
        <v>1920</v>
      </c>
      <c r="AD33" s="203">
        <f>SUM(AB33)</f>
        <v>192</v>
      </c>
      <c r="AE33" s="203">
        <f t="shared" si="11"/>
        <v>1920</v>
      </c>
      <c r="AF33" s="203">
        <f>SUM(AD33)</f>
        <v>192</v>
      </c>
      <c r="AG33" s="203">
        <f t="shared" si="12"/>
        <v>1920</v>
      </c>
      <c r="AH33" s="203">
        <f>SUM(AF33)</f>
        <v>192</v>
      </c>
      <c r="AI33" s="203">
        <f t="shared" si="13"/>
        <v>1920</v>
      </c>
      <c r="AJ33" s="203">
        <f>SUM(AH33)</f>
        <v>192</v>
      </c>
      <c r="AK33" s="203">
        <f t="shared" si="14"/>
        <v>1920</v>
      </c>
      <c r="AL33" s="203">
        <f>SUM(AJ33)</f>
        <v>192</v>
      </c>
      <c r="AM33" s="203">
        <f t="shared" si="15"/>
        <v>1920</v>
      </c>
      <c r="AN33" s="35">
        <f>SUM(AO33/19600)</f>
        <v>0.68571428571428572</v>
      </c>
      <c r="AO33" s="36">
        <f>SUM(AA33+AC33+AE33+AG33+AI33+AK33+AM33)</f>
        <v>13440</v>
      </c>
      <c r="AQ33" s="223">
        <f t="shared" si="37"/>
        <v>0.6155246055786292</v>
      </c>
      <c r="AR33" s="38">
        <f t="shared" si="38"/>
        <v>57225.322580645159</v>
      </c>
      <c r="AS33" s="197">
        <f>SUM(AR33-AR32-AT33)</f>
        <v>0</v>
      </c>
      <c r="AT33" s="340"/>
      <c r="AU33" s="549"/>
      <c r="AV33" s="485">
        <f>IF(AT33&gt;0,AU33,AV32)</f>
        <v>0.74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6</v>
      </c>
      <c r="AT37" s="203">
        <f>SUM(AT6:AT36)</f>
        <v>40410</v>
      </c>
      <c r="AU37" s="545">
        <f>SUM(AU6:AU36)/AS37</f>
        <v>0.76516666666666666</v>
      </c>
      <c r="AX37" s="203">
        <f>SUM(AX6:AX36)</f>
        <v>-26912.419354838705</v>
      </c>
      <c r="AY37" s="203">
        <f>SUM(AY6:AY36)</f>
        <v>-33356.419354838705</v>
      </c>
    </row>
    <row r="38" spans="1:63">
      <c r="AS38" s="206"/>
      <c r="AT38" s="82">
        <f>+AT37*AU37</f>
        <v>30920.384999999998</v>
      </c>
    </row>
    <row r="40" spans="1:63">
      <c r="AS40" s="165">
        <f>SUM(AS6:AS36)/'EDl log'!A35</f>
        <v>-3706.2688172043004</v>
      </c>
      <c r="AT40" s="203"/>
    </row>
    <row r="41" spans="1:63">
      <c r="AX41">
        <v>43309</v>
      </c>
    </row>
    <row r="42" spans="1:63">
      <c r="AR42" s="203">
        <f>AR33-22000</f>
        <v>35225.322580645159</v>
      </c>
      <c r="AU42" s="203"/>
      <c r="AX42">
        <f>AX37/AX41</f>
        <v>-0.62140477394626303</v>
      </c>
    </row>
    <row r="43" spans="1:63">
      <c r="AR43">
        <f>AR42/5500</f>
        <v>6.4046041055718472</v>
      </c>
    </row>
    <row r="44" spans="1:63">
      <c r="AR44">
        <f>AR43*2</f>
        <v>12.809208211143694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F26" sqref="F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1740.8282150537557</v>
      </c>
      <c r="R4" s="285">
        <f>SUM(P4:Q4)</f>
        <v>1965.317127633713</v>
      </c>
      <c r="S4" s="287">
        <f>SUM(ELEC!N4)</f>
        <v>7726.7999999998137</v>
      </c>
      <c r="T4" s="321">
        <f>IF(S4&gt;0,R4/S4,0)</f>
        <v>0.25435071797299791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1492.3958763440824</v>
      </c>
      <c r="R5" s="285">
        <f t="shared" ref="R5:R30" si="10">SUM(P5:Q5)</f>
        <v>1680.2148055077876</v>
      </c>
      <c r="S5" s="287">
        <f>SUM(ELEC!N5)</f>
        <v>4558</v>
      </c>
      <c r="T5" s="321">
        <f>IF(S5&gt;0,R5/S5,0)</f>
        <v>0.36862983885646938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1576.5642096774211</v>
      </c>
      <c r="R6" s="285">
        <f t="shared" si="10"/>
        <v>1747.9532880948577</v>
      </c>
      <c r="S6" s="287">
        <f>SUM(ELEC!N6)</f>
        <v>5673</v>
      </c>
      <c r="T6" s="321">
        <f t="shared" ref="T6:T30" si="16">IF(S6&gt;0,R6/S6,0)</f>
        <v>0.30811797780625028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822.89972580645826</v>
      </c>
      <c r="R9" s="285">
        <f>SUM(P9:Q9)</f>
        <v>1005.9531491658518</v>
      </c>
      <c r="S9" s="287">
        <f>SUM(ELEC!N9)</f>
        <v>7240.3999999999069</v>
      </c>
      <c r="T9" s="321">
        <f t="shared" si="16"/>
        <v>0.13893612910417444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1388.0123333333333</v>
      </c>
      <c r="R10" s="285">
        <f t="shared" si="10"/>
        <v>1559.40141175077</v>
      </c>
      <c r="S10" s="287">
        <f>SUM(ELEC!N10)</f>
        <v>5591.6000000000931</v>
      </c>
      <c r="T10" s="321">
        <f t="shared" si="16"/>
        <v>0.27888286210579155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1235.7935322580574</v>
      </c>
      <c r="R12" s="285">
        <f t="shared" si="10"/>
        <v>1407.1826106754941</v>
      </c>
      <c r="S12" s="287">
        <f>SUM(ELEC!N12)</f>
        <v>4598</v>
      </c>
      <c r="T12" s="321">
        <f t="shared" si="16"/>
        <v>0.30604232507079038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1544.4272096774323</v>
      </c>
      <c r="R13" s="285">
        <f t="shared" si="10"/>
        <v>1758.6209315442884</v>
      </c>
      <c r="S13" s="287">
        <f>SUM(ELEC!N13)</f>
        <v>5970</v>
      </c>
      <c r="T13" s="321">
        <f>IF(S13&gt;0,R13/S13,0)</f>
        <v>0.29457637044292939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765.46286021504511</v>
      </c>
      <c r="R16" s="285">
        <f>SUM(P16:Q16)</f>
        <v>970.15741126929765</v>
      </c>
      <c r="S16" s="287">
        <f>SUM(ELEC!N16)</f>
        <v>6925</v>
      </c>
      <c r="T16" s="321">
        <f>IF(S16&gt;0,R16/S16,0)</f>
        <v>0.14009493303527765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1390.1103709677477</v>
      </c>
      <c r="R17" s="285">
        <f>SUM(P17:Q17)</f>
        <v>1561.4994493851843</v>
      </c>
      <c r="S17" s="287">
        <f>SUM(ELEC!N17)</f>
        <v>6020</v>
      </c>
      <c r="T17" s="321">
        <f>IF(S17&gt;0,R17/S17,0)</f>
        <v>0.25938529059554555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1408.4743709677366</v>
      </c>
      <c r="R18" s="285">
        <f t="shared" si="10"/>
        <v>1589.5324377765496</v>
      </c>
      <c r="S18" s="287">
        <f>SUM(ELEC!N18)</f>
        <v>5276</v>
      </c>
      <c r="T18" s="321">
        <f t="shared" si="16"/>
        <v>0.30127604961648019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v>1111071</v>
      </c>
      <c r="C19" s="254">
        <f t="shared" si="0"/>
        <v>213</v>
      </c>
      <c r="D19" s="295">
        <f t="shared" si="12"/>
        <v>213</v>
      </c>
      <c r="E19" s="295">
        <f t="shared" si="13"/>
        <v>1111071</v>
      </c>
      <c r="F19" s="617">
        <v>160915</v>
      </c>
      <c r="G19" s="160">
        <f t="shared" si="1"/>
        <v>61</v>
      </c>
      <c r="H19" s="617">
        <v>549420</v>
      </c>
      <c r="I19" s="161">
        <f t="shared" si="2"/>
        <v>80</v>
      </c>
      <c r="J19" s="617">
        <v>400735</v>
      </c>
      <c r="K19" s="162">
        <f t="shared" si="8"/>
        <v>72</v>
      </c>
      <c r="L19" s="284">
        <f>SUM(G19*$Y$28)/1507.5</f>
        <v>12.948590381426202</v>
      </c>
      <c r="M19" s="284">
        <f>SUM(I19*$Y$27)/1507.5</f>
        <v>5.9436152570480925</v>
      </c>
      <c r="N19" s="284">
        <f>SUM(K19*$Y$26)/1507.5</f>
        <v>3.8208955223880596</v>
      </c>
      <c r="O19" s="284">
        <f>($AC$29/$A$37)/1507.5</f>
        <v>171.38907841743662</v>
      </c>
      <c r="P19" s="285">
        <f>SUM(L19:O19)</f>
        <v>194.10217957829897</v>
      </c>
      <c r="Q19" s="285">
        <f>SUM(-tanks!AX21*tanks!$AU$37)</f>
        <v>1512.2902096774212</v>
      </c>
      <c r="R19" s="285">
        <f>SUM(P19:Q19)</f>
        <v>1706.3923892557202</v>
      </c>
      <c r="S19" s="287">
        <f>SUM(ELEC!N19)</f>
        <v>5334</v>
      </c>
      <c r="T19" s="321">
        <f>IF(S19&gt;0,R19/S19,0)</f>
        <v>0.319908584412396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1111071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160915</v>
      </c>
      <c r="G20" s="160">
        <f t="shared" si="1"/>
        <v>0</v>
      </c>
      <c r="H20" s="617">
        <f t="shared" si="14"/>
        <v>549420</v>
      </c>
      <c r="I20" s="161">
        <f t="shared" si="2"/>
        <v>0</v>
      </c>
      <c r="J20" s="617">
        <f t="shared" si="15"/>
        <v>400735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-96.164172043017942</v>
      </c>
      <c r="R20" s="285">
        <f t="shared" si="10"/>
        <v>75.22490637441868</v>
      </c>
      <c r="S20" s="287">
        <f>SUM(ELEC!N20)</f>
        <v>4858</v>
      </c>
      <c r="T20" s="321">
        <f t="shared" si="16"/>
        <v>1.548474812153534E-2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1111071</v>
      </c>
      <c r="C21" s="254">
        <f t="shared" si="0"/>
        <v>0</v>
      </c>
      <c r="D21" s="295">
        <f t="shared" si="12"/>
        <v>0</v>
      </c>
      <c r="E21" s="295">
        <f t="shared" si="13"/>
        <v>1111071</v>
      </c>
      <c r="F21" s="617">
        <f t="shared" si="7"/>
        <v>160915</v>
      </c>
      <c r="G21" s="160">
        <f t="shared" si="1"/>
        <v>0</v>
      </c>
      <c r="H21" s="617">
        <f t="shared" si="14"/>
        <v>549420</v>
      </c>
      <c r="I21" s="161">
        <f t="shared" si="2"/>
        <v>0</v>
      </c>
      <c r="J21" s="617">
        <f t="shared" si="15"/>
        <v>400735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44611</v>
      </c>
      <c r="B22" s="617">
        <f t="shared" si="11"/>
        <v>1111071</v>
      </c>
      <c r="C22" s="254">
        <f t="shared" si="0"/>
        <v>0</v>
      </c>
      <c r="D22" s="295">
        <f t="shared" si="12"/>
        <v>0</v>
      </c>
      <c r="E22" s="295">
        <f t="shared" si="13"/>
        <v>1111071</v>
      </c>
      <c r="F22" s="617">
        <f t="shared" si="7"/>
        <v>160915</v>
      </c>
      <c r="G22" s="160">
        <f t="shared" si="1"/>
        <v>0</v>
      </c>
      <c r="H22" s="617">
        <f t="shared" si="14"/>
        <v>549420</v>
      </c>
      <c r="I22" s="161">
        <f t="shared" si="2"/>
        <v>0</v>
      </c>
      <c r="J22" s="617">
        <f t="shared" si="15"/>
        <v>400735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44612</v>
      </c>
      <c r="B23" s="617">
        <f t="shared" si="11"/>
        <v>1111071</v>
      </c>
      <c r="C23" s="254">
        <f t="shared" si="0"/>
        <v>0</v>
      </c>
      <c r="D23" s="295">
        <f t="shared" si="12"/>
        <v>0</v>
      </c>
      <c r="E23" s="295">
        <f t="shared" si="13"/>
        <v>1111071</v>
      </c>
      <c r="F23" s="617">
        <f t="shared" si="7"/>
        <v>160915</v>
      </c>
      <c r="G23" s="160">
        <f t="shared" si="1"/>
        <v>0</v>
      </c>
      <c r="H23" s="617">
        <f t="shared" si="14"/>
        <v>549420</v>
      </c>
      <c r="I23" s="161">
        <f t="shared" si="2"/>
        <v>0</v>
      </c>
      <c r="J23" s="617">
        <f t="shared" si="15"/>
        <v>400735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512.93317741936926</v>
      </c>
      <c r="R23" s="285">
        <f t="shared" si="10"/>
        <v>684.32225583680588</v>
      </c>
      <c r="S23" s="287">
        <f>SUM(ELEC!N23)</f>
        <v>6585</v>
      </c>
      <c r="T23" s="321">
        <f t="shared" si="16"/>
        <v>0.10392137522199026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44613</v>
      </c>
      <c r="B24" s="617">
        <f t="shared" si="11"/>
        <v>1111071</v>
      </c>
      <c r="C24" s="254">
        <f t="shared" si="0"/>
        <v>0</v>
      </c>
      <c r="D24" s="295">
        <f t="shared" si="12"/>
        <v>0</v>
      </c>
      <c r="E24" s="295">
        <f t="shared" si="13"/>
        <v>1111071</v>
      </c>
      <c r="F24" s="617">
        <f t="shared" si="7"/>
        <v>160915</v>
      </c>
      <c r="G24" s="160">
        <f t="shared" si="1"/>
        <v>0</v>
      </c>
      <c r="H24" s="617">
        <f t="shared" si="14"/>
        <v>549420</v>
      </c>
      <c r="I24" s="161">
        <f t="shared" si="2"/>
        <v>0</v>
      </c>
      <c r="J24" s="617">
        <f t="shared" si="15"/>
        <v>400735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1611.7371935483784</v>
      </c>
      <c r="R24" s="285">
        <f t="shared" si="10"/>
        <v>1783.126271965815</v>
      </c>
      <c r="S24" s="287">
        <f>SUM(ELEC!N24)</f>
        <v>5728</v>
      </c>
      <c r="T24" s="321">
        <f t="shared" si="16"/>
        <v>0.31129997764766326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44614</v>
      </c>
      <c r="B25" s="617">
        <v>1111428</v>
      </c>
      <c r="C25" s="254">
        <f t="shared" si="0"/>
        <v>357</v>
      </c>
      <c r="D25" s="295">
        <f t="shared" si="12"/>
        <v>357</v>
      </c>
      <c r="E25" s="295">
        <f t="shared" si="13"/>
        <v>1111428</v>
      </c>
      <c r="F25" s="617">
        <v>160998</v>
      </c>
      <c r="G25" s="160">
        <f t="shared" si="1"/>
        <v>83</v>
      </c>
      <c r="H25" s="617">
        <v>549526</v>
      </c>
      <c r="I25" s="161">
        <f t="shared" si="2"/>
        <v>106</v>
      </c>
      <c r="J25" s="617">
        <v>400903</v>
      </c>
      <c r="K25" s="162">
        <f t="shared" si="8"/>
        <v>168</v>
      </c>
      <c r="L25" s="284">
        <f t="shared" si="17"/>
        <v>17.618573797678277</v>
      </c>
      <c r="M25" s="284">
        <f t="shared" si="18"/>
        <v>7.8752902155887234</v>
      </c>
      <c r="N25" s="284">
        <f t="shared" si="19"/>
        <v>8.9154228855721396</v>
      </c>
      <c r="O25" s="284">
        <f t="shared" si="6"/>
        <v>171.38907841743662</v>
      </c>
      <c r="P25" s="285">
        <f t="shared" si="9"/>
        <v>205.79836531627575</v>
      </c>
      <c r="Q25" s="285">
        <f>SUM(-tanks!AX27*tanks!$AU$37)</f>
        <v>2057.360387096779</v>
      </c>
      <c r="R25" s="285">
        <f t="shared" si="10"/>
        <v>2263.1587524130546</v>
      </c>
      <c r="S25" s="287">
        <f>SUM(ELEC!N25)</f>
        <v>7227</v>
      </c>
      <c r="T25" s="321">
        <f t="shared" si="16"/>
        <v>0.31315327970292717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v>1111659</v>
      </c>
      <c r="C26" s="254">
        <f t="shared" si="0"/>
        <v>231</v>
      </c>
      <c r="D26" s="295">
        <f t="shared" si="12"/>
        <v>232</v>
      </c>
      <c r="E26" s="295">
        <f t="shared" si="13"/>
        <v>1111660</v>
      </c>
      <c r="F26" s="617">
        <f t="shared" si="7"/>
        <v>160998</v>
      </c>
      <c r="G26" s="160">
        <f t="shared" si="1"/>
        <v>0</v>
      </c>
      <c r="H26" s="617">
        <v>549685</v>
      </c>
      <c r="I26" s="161">
        <f t="shared" si="2"/>
        <v>159</v>
      </c>
      <c r="J26" s="617">
        <v>400976</v>
      </c>
      <c r="K26" s="162">
        <f t="shared" si="8"/>
        <v>73</v>
      </c>
      <c r="L26" s="284">
        <f t="shared" si="17"/>
        <v>0</v>
      </c>
      <c r="M26" s="284">
        <f t="shared" si="18"/>
        <v>11.812935323383085</v>
      </c>
      <c r="N26" s="284">
        <f t="shared" si="19"/>
        <v>3.8739635157545607</v>
      </c>
      <c r="O26" s="284">
        <f t="shared" si="6"/>
        <v>171.38907841743662</v>
      </c>
      <c r="P26" s="285">
        <f t="shared" si="9"/>
        <v>187.07597725657428</v>
      </c>
      <c r="Q26" s="285">
        <f>SUM(-tanks!AX28*tanks!$AU$37)</f>
        <v>1629.3607096774156</v>
      </c>
      <c r="R26" s="285">
        <f t="shared" si="10"/>
        <v>1816.4366869339899</v>
      </c>
      <c r="S26" s="287">
        <f>SUM(ELEC!N26)</f>
        <v>6719</v>
      </c>
      <c r="T26" s="321">
        <f t="shared" si="16"/>
        <v>0.27034330807173534</v>
      </c>
      <c r="V26" s="246">
        <f>W9</f>
        <v>400529</v>
      </c>
      <c r="W26" s="170">
        <f>J31</f>
        <v>400976</v>
      </c>
      <c r="X26" s="172" t="s">
        <v>199</v>
      </c>
      <c r="Y26" s="172">
        <v>80</v>
      </c>
      <c r="Z26" s="172">
        <v>1</v>
      </c>
      <c r="AA26" s="323">
        <f>(W26-V26)*Z26</f>
        <v>447</v>
      </c>
      <c r="AB26" s="323">
        <f>AA26*Y26</f>
        <v>35760</v>
      </c>
      <c r="AC26" s="244">
        <f>AC9</f>
        <v>1033333</v>
      </c>
      <c r="AD26" s="476">
        <f>SUM(K36)</f>
        <v>0.19292188174363398</v>
      </c>
    </row>
    <row r="27" spans="1:32" ht="20.100000000000001" customHeight="1">
      <c r="A27" s="163">
        <f>ELEC!C27</f>
        <v>44616</v>
      </c>
      <c r="B27" s="617">
        <f t="shared" si="11"/>
        <v>1111659</v>
      </c>
      <c r="C27" s="254">
        <f t="shared" si="0"/>
        <v>0</v>
      </c>
      <c r="D27" s="295">
        <f t="shared" si="12"/>
        <v>0</v>
      </c>
      <c r="E27" s="295">
        <f t="shared" si="13"/>
        <v>1111659</v>
      </c>
      <c r="F27" s="617">
        <f t="shared" si="7"/>
        <v>160998</v>
      </c>
      <c r="G27" s="160">
        <f t="shared" si="1"/>
        <v>0</v>
      </c>
      <c r="H27" s="617">
        <f t="shared" si="14"/>
        <v>549685</v>
      </c>
      <c r="I27" s="161">
        <f t="shared" si="2"/>
        <v>0</v>
      </c>
      <c r="J27" s="617">
        <f t="shared" si="15"/>
        <v>400976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549685</v>
      </c>
      <c r="X27" s="172" t="s">
        <v>212</v>
      </c>
      <c r="Y27" s="172">
        <v>112</v>
      </c>
      <c r="Z27" s="172">
        <v>1</v>
      </c>
      <c r="AA27" s="323">
        <f>(W27-V27)*Z27</f>
        <v>1311</v>
      </c>
      <c r="AB27" s="323">
        <f>SUM(AA27*Y27)</f>
        <v>146832</v>
      </c>
      <c r="AC27" s="244">
        <f>AC10</f>
        <v>6200000</v>
      </c>
      <c r="AD27" s="476">
        <f>SUM(I36)</f>
        <v>0.56581786793267153</v>
      </c>
    </row>
    <row r="28" spans="1:32" ht="20.100000000000001" customHeight="1">
      <c r="A28" s="163">
        <f>ELEC!C28</f>
        <v>44617</v>
      </c>
      <c r="B28" s="617">
        <f t="shared" si="11"/>
        <v>1111659</v>
      </c>
      <c r="C28" s="254">
        <f t="shared" si="0"/>
        <v>0</v>
      </c>
      <c r="D28" s="295">
        <f t="shared" si="12"/>
        <v>0</v>
      </c>
      <c r="E28" s="295">
        <f>B27+D28</f>
        <v>1111659</v>
      </c>
      <c r="F28" s="617">
        <f t="shared" si="7"/>
        <v>160998</v>
      </c>
      <c r="G28" s="160">
        <f t="shared" si="1"/>
        <v>0</v>
      </c>
      <c r="H28" s="617">
        <f t="shared" si="14"/>
        <v>549685</v>
      </c>
      <c r="I28" s="161">
        <f t="shared" si="2"/>
        <v>0</v>
      </c>
      <c r="J28" s="617">
        <f t="shared" si="15"/>
        <v>400976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160998</v>
      </c>
      <c r="X28" s="172" t="s">
        <v>197</v>
      </c>
      <c r="Y28" s="172">
        <v>320</v>
      </c>
      <c r="Z28" s="172">
        <v>1</v>
      </c>
      <c r="AA28" s="323">
        <f>(W28-V28)*Z28</f>
        <v>559</v>
      </c>
      <c r="AB28" s="323">
        <f>SUM(AA28*Y28)</f>
        <v>178880</v>
      </c>
      <c r="AC28" s="244">
        <f>AC11</f>
        <v>1000</v>
      </c>
      <c r="AD28" s="476">
        <f>SUM(G36)</f>
        <v>0.24126025032369444</v>
      </c>
      <c r="AE28" s="40">
        <f>SUM(AB28*5%)</f>
        <v>8944</v>
      </c>
      <c r="AF28" s="82">
        <f>SUM(AE28/7)*31</f>
        <v>39609.142857142862</v>
      </c>
    </row>
    <row r="29" spans="1:32" ht="20.100000000000001" customHeight="1">
      <c r="A29" s="163">
        <f>ELEC!C29</f>
        <v>44618</v>
      </c>
      <c r="B29" s="617">
        <f t="shared" si="11"/>
        <v>1111659</v>
      </c>
      <c r="C29" s="254">
        <f t="shared" si="0"/>
        <v>0</v>
      </c>
      <c r="D29" s="295">
        <f t="shared" si="12"/>
        <v>0</v>
      </c>
      <c r="E29" s="295">
        <f>B28+D29</f>
        <v>1111659</v>
      </c>
      <c r="F29" s="617">
        <f t="shared" si="7"/>
        <v>160998</v>
      </c>
      <c r="G29" s="160">
        <f t="shared" si="1"/>
        <v>0</v>
      </c>
      <c r="H29" s="617">
        <f t="shared" si="14"/>
        <v>549685</v>
      </c>
      <c r="I29" s="161">
        <f t="shared" si="2"/>
        <v>0</v>
      </c>
      <c r="J29" s="617">
        <f t="shared" si="15"/>
        <v>400976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2317</v>
      </c>
      <c r="AB29" s="323">
        <f>SUM(AB26:AB28)</f>
        <v>361472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1111659</v>
      </c>
      <c r="C30" s="254">
        <f t="shared" si="0"/>
        <v>0</v>
      </c>
      <c r="D30" s="295">
        <f t="shared" si="12"/>
        <v>0</v>
      </c>
      <c r="E30" s="295">
        <f t="shared" si="13"/>
        <v>1111659</v>
      </c>
      <c r="F30" s="617">
        <f t="shared" si="7"/>
        <v>160998</v>
      </c>
      <c r="G30" s="160">
        <f t="shared" si="1"/>
        <v>0</v>
      </c>
      <c r="H30" s="617">
        <f t="shared" si="14"/>
        <v>549685</v>
      </c>
      <c r="I30" s="161">
        <f t="shared" si="2"/>
        <v>0</v>
      </c>
      <c r="J30" s="617">
        <f t="shared" si="15"/>
        <v>400976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7595805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1111659</v>
      </c>
      <c r="C31" s="254">
        <f>SUM(B31-B30)</f>
        <v>0</v>
      </c>
      <c r="D31" s="295">
        <f t="shared" si="12"/>
        <v>0</v>
      </c>
      <c r="E31" s="295">
        <f>B30+D31</f>
        <v>1111659</v>
      </c>
      <c r="F31" s="617">
        <f t="shared" si="7"/>
        <v>160998</v>
      </c>
      <c r="G31" s="160">
        <f>F31-F30</f>
        <v>0</v>
      </c>
      <c r="H31" s="617">
        <f t="shared" si="14"/>
        <v>549685</v>
      </c>
      <c r="I31" s="161">
        <f>H31-H30</f>
        <v>0</v>
      </c>
      <c r="J31" s="617">
        <f t="shared" si="15"/>
        <v>400976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184</v>
      </c>
      <c r="X32" s="222">
        <f>SUM(W32/A35)</f>
        <v>20.444444444444443</v>
      </c>
      <c r="Y32" s="250">
        <f>SUM(X32/1)</f>
        <v>20.444444444444443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835538.55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8431343.5500000007</v>
      </c>
      <c r="AC34" s="244">
        <f>SUM(AC30)</f>
        <v>0</v>
      </c>
    </row>
    <row r="35" spans="1:32" ht="15.75" thickBot="1">
      <c r="A35" s="501">
        <f>A37-COUNTIF(C4:C31,0)</f>
        <v>9</v>
      </c>
      <c r="C35" s="173">
        <f>SUM(C4:C34)/A35</f>
        <v>257.44444444444446</v>
      </c>
      <c r="D35" s="173"/>
      <c r="E35" s="173"/>
      <c r="F35" s="568"/>
      <c r="G35" s="568">
        <f>SUM(G4:G34)/A35</f>
        <v>62.111111111111114</v>
      </c>
      <c r="H35" s="173"/>
      <c r="I35" s="173">
        <f>SUM(I4:I34)/A35</f>
        <v>145.66666666666666</v>
      </c>
      <c r="K35" s="173">
        <f>SUM(K4:K34)/A35</f>
        <v>49.666666666666664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0.24126025032369444</v>
      </c>
      <c r="H36" s="212"/>
      <c r="I36" s="225">
        <f>SUM(I35/C35)</f>
        <v>0.56581786793267153</v>
      </c>
      <c r="J36" s="212"/>
      <c r="K36" s="225">
        <f>SUM(K35/C35)</f>
        <v>0.19292188174363398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5038.6766169154225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5038.6766169154225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7" sqref="F2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>
        <v>18</v>
      </c>
      <c r="C21" s="37">
        <v>12</v>
      </c>
      <c r="D21" s="26">
        <f t="shared" si="3"/>
        <v>15</v>
      </c>
      <c r="E21" s="325">
        <v>0.52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>
        <v>18</v>
      </c>
      <c r="C24" s="37">
        <v>13</v>
      </c>
      <c r="D24" s="26">
        <f t="shared" si="3"/>
        <v>15.5</v>
      </c>
      <c r="E24" s="325">
        <v>0.65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>
        <v>19</v>
      </c>
      <c r="C25" s="37">
        <v>13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>
        <v>23</v>
      </c>
      <c r="C26" s="37">
        <v>14</v>
      </c>
      <c r="D26" s="26">
        <f t="shared" si="3"/>
        <v>18.5</v>
      </c>
      <c r="E26" s="378">
        <v>0.41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>
        <v>25</v>
      </c>
      <c r="C27" s="37">
        <v>14</v>
      </c>
      <c r="D27" s="26">
        <f t="shared" si="3"/>
        <v>19.5</v>
      </c>
      <c r="E27" s="378">
        <v>0.46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-7200.0000000007276</v>
      </c>
      <c r="E6" s="3">
        <f>ELEC!Q25</f>
        <v>7200.0000000007276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4858</v>
      </c>
      <c r="D18" s="3">
        <f t="shared" si="0"/>
        <v>235.00000000040745</v>
      </c>
      <c r="E18" s="3">
        <f>ELEC!Q20</f>
        <v>4622.9999999995925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-5.1000000000000227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-2.8999999999999773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6585</v>
      </c>
      <c r="D21" s="3">
        <f t="shared" si="0"/>
        <v>77.999999998573912</v>
      </c>
      <c r="E21" s="3">
        <f>ELEC!Q23</f>
        <v>6507.0000000014261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25.800000000000011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5728</v>
      </c>
      <c r="D22" s="3">
        <f t="shared" si="0"/>
        <v>128.00000000145519</v>
      </c>
      <c r="E22" s="3">
        <f>ELEC!Q24</f>
        <v>5599.9999999985448</v>
      </c>
      <c r="F22" s="3">
        <f>GEN!Z22</f>
        <v>13</v>
      </c>
      <c r="G22" s="3">
        <f>WATER!C25+WATER!H25</f>
        <v>81</v>
      </c>
      <c r="H22" s="3">
        <f>WATER!L25</f>
        <v>10</v>
      </c>
      <c r="I22" s="15">
        <f>WATER!BC25+WATER!BD25+WATER!BE26-Sheet1!G22</f>
        <v>-105.60000000000001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7227</v>
      </c>
      <c r="D23" s="3">
        <f t="shared" si="0"/>
        <v>26.999999999272404</v>
      </c>
      <c r="E23" s="3">
        <f>ELEC!Q25</f>
        <v>7200.0000000007276</v>
      </c>
      <c r="F23" s="3">
        <f>GEN!Z23</f>
        <v>10</v>
      </c>
      <c r="G23" s="3">
        <f>WATER!C26+WATER!H26</f>
        <v>0</v>
      </c>
      <c r="H23" s="3">
        <f>WATER!L26</f>
        <v>2</v>
      </c>
      <c r="I23" s="15">
        <f>WATER!BC26+WATER!BD26+WATER!BE27-Sheet1!G23</f>
        <v>76.499999999999986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6719</v>
      </c>
      <c r="D24" s="3">
        <f t="shared" si="0"/>
        <v>3.9999999998544808</v>
      </c>
      <c r="E24" s="3">
        <f>ELEC!Q26</f>
        <v>6715.0000000001455</v>
      </c>
      <c r="F24" s="3">
        <f>GEN!Z24</f>
        <v>15</v>
      </c>
      <c r="G24" s="3">
        <f>WATER!C27+WATER!H27</f>
        <v>0</v>
      </c>
      <c r="H24" s="3">
        <f>WATER!L27</f>
        <v>0</v>
      </c>
      <c r="I24" s="15">
        <f>WATER!BC27+WATER!BD27+WATER!BE28-Sheet1!G24</f>
        <v>42.899999999999977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13</v>
      </c>
      <c r="G25" s="3">
        <f>WATER!C28+WATER!H28</f>
        <v>120</v>
      </c>
      <c r="H25" s="3">
        <f>WATER!L28</f>
        <v>0</v>
      </c>
      <c r="I25" s="15">
        <f>WATER!BC28+WATER!BD28+WATER!BE29-Sheet1!G25</f>
        <v>-133.80000000000001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407</v>
      </c>
      <c r="C20" s="76">
        <f>'B5'!AH20</f>
        <v>0</v>
      </c>
      <c r="D20" s="76">
        <f>GEN!AI18</f>
        <v>1330.1603375531247</v>
      </c>
      <c r="E20" s="239">
        <f t="shared" si="0"/>
        <v>1737.1603375531247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232</v>
      </c>
      <c r="C21" s="76">
        <f>'B5'!AH21</f>
        <v>0</v>
      </c>
      <c r="D21" s="76">
        <f>GEN!AI19</f>
        <v>1189.8860759492622</v>
      </c>
      <c r="E21" s="239">
        <f t="shared" si="0"/>
        <v>1421.8860759492622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4622.9999999995925</v>
      </c>
      <c r="J21" s="79">
        <f>ELEC!R20</f>
        <v>235.00000000040745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-1.0999999999999943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436</v>
      </c>
      <c r="C24" s="76">
        <f>'B5'!AH24</f>
        <v>0</v>
      </c>
      <c r="D24" s="76">
        <f>GEN!AI22</f>
        <v>1674.7974683547975</v>
      </c>
      <c r="E24" s="239">
        <f t="shared" si="0"/>
        <v>2110.7974683547973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6507.0000000014261</v>
      </c>
      <c r="J24" s="79">
        <f>ELEC!R23</f>
        <v>77.999999998573912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422</v>
      </c>
      <c r="C25" s="76">
        <f>'B5'!AH25</f>
        <v>0</v>
      </c>
      <c r="D25" s="76">
        <f>GEN!AI23</f>
        <v>1441.3502109700896</v>
      </c>
      <c r="E25" s="239">
        <f t="shared" si="0"/>
        <v>1863.3502109700896</v>
      </c>
      <c r="F25" s="75">
        <f>WATER!L25</f>
        <v>10</v>
      </c>
      <c r="G25" s="78">
        <f>WATER!BG25</f>
        <v>25.800000000000011</v>
      </c>
      <c r="H25" s="79">
        <f>ELEC!AF24</f>
        <v>0</v>
      </c>
      <c r="I25" s="79">
        <f>ELEC!Q24</f>
        <v>5599.9999999985448</v>
      </c>
      <c r="J25" s="79">
        <f>ELEC!R24</f>
        <v>128.00000000145519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378</v>
      </c>
      <c r="C26" s="76">
        <f>'B5'!AH26</f>
        <v>0</v>
      </c>
      <c r="D26" s="76">
        <f>GEN!AI24</f>
        <v>1853.1645569622128</v>
      </c>
      <c r="E26" s="239">
        <f t="shared" si="0"/>
        <v>2231.1645569622128</v>
      </c>
      <c r="F26" s="75">
        <f>WATER!L26</f>
        <v>2</v>
      </c>
      <c r="G26" s="78">
        <f>WATER!BG26</f>
        <v>-9.0000000000000142</v>
      </c>
      <c r="H26" s="79">
        <f>ELEC!AF25</f>
        <v>0</v>
      </c>
      <c r="I26" s="79">
        <f>ELEC!Q25</f>
        <v>7200.0000000007276</v>
      </c>
      <c r="J26" s="79">
        <f>ELEC!R25</f>
        <v>26.999999999272404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324</v>
      </c>
      <c r="C27" s="76">
        <f>'B5'!AH27</f>
        <v>0</v>
      </c>
      <c r="D27" s="76">
        <f>GEN!AI25</f>
        <v>1728.333333333371</v>
      </c>
      <c r="E27" s="239">
        <f t="shared" si="0"/>
        <v>2052.3333333333712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6715.0000000001455</v>
      </c>
      <c r="J27" s="79">
        <f>ELEC!R26</f>
        <v>3.9999999998544808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42.899999999999977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6</v>
      </c>
      <c r="E26">
        <f t="shared" si="0"/>
        <v>540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8" sqref="H2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>
        <v>0</v>
      </c>
      <c r="C25" s="615">
        <v>8</v>
      </c>
      <c r="D25" s="615">
        <v>0</v>
      </c>
      <c r="E25" s="615">
        <v>0</v>
      </c>
      <c r="F25" s="615">
        <v>0</v>
      </c>
      <c r="G25" s="615">
        <v>0</v>
      </c>
      <c r="H25" s="616">
        <v>7013</v>
      </c>
      <c r="I25" s="600">
        <f t="shared" si="4"/>
        <v>10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>
        <v>4.5</v>
      </c>
      <c r="C26" s="615">
        <v>8</v>
      </c>
      <c r="D26" s="615">
        <v>0</v>
      </c>
      <c r="E26" s="615">
        <v>0</v>
      </c>
      <c r="F26" s="615">
        <v>0</v>
      </c>
      <c r="G26" s="615">
        <v>0</v>
      </c>
      <c r="H26" s="616">
        <v>7015</v>
      </c>
      <c r="I26" s="600">
        <f t="shared" si="4"/>
        <v>2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>
        <v>4</v>
      </c>
      <c r="C27" s="615">
        <v>8</v>
      </c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7015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>
        <v>3.5</v>
      </c>
      <c r="C28" s="615">
        <v>8</v>
      </c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7015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7015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7015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7015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7015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7015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AF21" sqref="AF21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12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18</v>
      </c>
      <c r="G26" s="261">
        <f>'General information '!C21</f>
        <v>12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13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18</v>
      </c>
      <c r="G29" s="261">
        <f>'General information '!C24</f>
        <v>13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13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19</v>
      </c>
      <c r="G30" s="261">
        <f>'General information '!C25</f>
        <v>13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14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23</v>
      </c>
      <c r="G31" s="261">
        <f>'General information '!C26</f>
        <v>14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14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25</v>
      </c>
      <c r="G32" s="261">
        <f>'General information '!C27</f>
        <v>14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tabSelected="1"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23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380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40410</v>
      </c>
      <c r="C8" s="466">
        <f>SUM(tanks!AU37)</f>
        <v>0.76516666666666666</v>
      </c>
      <c r="D8" s="191">
        <f>SUM(B8*C8)*D4</f>
        <v>46612480.387499996</v>
      </c>
      <c r="E8" s="192">
        <f>SUM(D8/D4/F4)</f>
        <v>1104.2994642857143</v>
      </c>
      <c r="F8" s="192">
        <f>SUM(E8*F4)</f>
        <v>30920.385000000002</v>
      </c>
      <c r="G8" s="574">
        <f>E8*$G$4</f>
        <v>25398.887678571427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2317</v>
      </c>
      <c r="C10" s="181"/>
      <c r="D10" s="183">
        <f>'EDl log'!AB30</f>
        <v>7595805</v>
      </c>
      <c r="E10" s="182">
        <f>SUM(D10/D4/F4)</f>
        <v>179.95273631840794</v>
      </c>
      <c r="F10" s="182">
        <f>SUM(E10*F4)</f>
        <v>5038.6766169154225</v>
      </c>
      <c r="G10" s="478">
        <f>E10*$G$4</f>
        <v>4138.912935323383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1577.1093434612651</v>
      </c>
      <c r="F12" s="180">
        <f>SUM(F6:F10)</f>
        <v>44159.061616915424</v>
      </c>
      <c r="G12" s="179">
        <f>SUM(G6:G10)</f>
        <v>37737.800613894804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-42391.09938610519</v>
      </c>
      <c r="I14" s="406">
        <f>SUM(G12-I12)</f>
        <v>-13506.119106535305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26</v>
      </c>
      <c r="C16" s="415">
        <f>'[12]Utility Cost '!$B$16</f>
        <v>15.821428571428571</v>
      </c>
      <c r="D16" s="415"/>
      <c r="E16" s="580">
        <f>B16-C16</f>
        <v>10.178571428571429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184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-5</v>
      </c>
      <c r="F18" s="495">
        <f>B18-D18</f>
        <v>-18.666666666666657</v>
      </c>
    </row>
    <row r="19" spans="1:10">
      <c r="A19" s="489" t="s">
        <v>412</v>
      </c>
      <c r="B19" s="493">
        <f>GEN!AL34</f>
        <v>16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11.5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2022-02-24T07:32:43Z</dcterms:modified>
</cp:coreProperties>
</file>