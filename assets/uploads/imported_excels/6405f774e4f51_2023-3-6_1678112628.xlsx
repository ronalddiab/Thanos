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01"/>
  <workbookPr/>
  <mc:AlternateContent xmlns:mc="http://schemas.openxmlformats.org/markup-compatibility/2006">
    <mc:Choice Requires="x15">
      <x15ac:absPath xmlns:x15ac="http://schemas.microsoft.com/office/spreadsheetml/2010/11/ac" url="N:\Engineering\Meter Readings\Meter Readings\HEP\"/>
    </mc:Choice>
  </mc:AlternateContent>
  <xr:revisionPtr revIDLastSave="0" documentId="8_{9200635A-3E52-445C-826D-DDC0E81182E0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E14" i="1"/>
  <c r="E16" i="1"/>
  <c r="E17" i="1"/>
  <c r="E18" i="1"/>
  <c r="E19" i="1"/>
  <c r="E20" i="1"/>
  <c r="E21" i="1"/>
  <c r="E22" i="1"/>
  <c r="E23" i="1"/>
  <c r="E24" i="1"/>
  <c r="E25" i="1"/>
  <c r="D14" i="1"/>
  <c r="D15" i="1"/>
  <c r="D16" i="1"/>
  <c r="D17" i="1"/>
  <c r="D18" i="1"/>
  <c r="D19" i="1"/>
  <c r="D20" i="1"/>
  <c r="D21" i="1"/>
  <c r="D22" i="1"/>
  <c r="D23" i="1"/>
  <c r="D24" i="1"/>
  <c r="D25" i="1"/>
  <c r="E13" i="1"/>
  <c r="E12" i="1"/>
  <c r="D12" i="1"/>
  <c r="E11" i="1"/>
  <c r="E9" i="1"/>
  <c r="E10" i="1"/>
  <c r="D10" i="1"/>
  <c r="D9" i="1"/>
  <c r="D11" i="1"/>
  <c r="D13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<sst xmlns="http://schemas.openxmlformats.org/spreadsheetml/2006/main" count="29" uniqueCount="6">
  <si>
    <t>Site Name</t>
  </si>
  <si>
    <t>Month</t>
  </si>
  <si>
    <t>Year</t>
  </si>
  <si>
    <t>Total (per Unit) general municipal solid waste</t>
  </si>
  <si>
    <t>Total cost general municipal solid waste</t>
  </si>
  <si>
    <t>Baltimore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</si>
</sst>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topLeftCell="A12" workbookViewId="0">
      <selection activeCell="E16" sqref="E16"/>
    </sheetView>
  </sheetViews>
  <sheetFormatPr defaultRowHeight="15"/>
  <cols>
    <col min="1" max="1" width="12.28515625" customWidth="1"/>
    <col min="2" max="3" width="8.42578125" customWidth="1"/>
    <col min="4" max="5" width="25.710937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s="1">
        <v>1</v>
      </c>
      <c r="C2" s="1">
        <v>2022</v>
      </c>
      <c r="D2">
        <f>6.89+3.97+3.5+6.84+4.3+12</f>
        <v>37.5</v>
      </c>
      <c r="E2" s="3">
        <f>786.52+509.34+786.52+786.52+599.43+345.39+304.5+595.08+374.1</f>
        <v>5087.3999999999996</v>
      </c>
    </row>
    <row r="3" spans="1:5">
      <c r="A3" t="s">
        <v>5</v>
      </c>
      <c r="B3" s="1">
        <v>2</v>
      </c>
      <c r="C3" s="1">
        <v>2022</v>
      </c>
      <c r="D3">
        <f>5.78+3.83+6.87+3.92+8.27+5.53+7.87+5.22</f>
        <v>47.289999999999992</v>
      </c>
      <c r="E3">
        <f>454.14+684.69+481.11+719.49+341.04+597.69+333.21+502.86</f>
        <v>4114.2300000000005</v>
      </c>
    </row>
    <row r="4" spans="1:5">
      <c r="A4" t="s">
        <v>5</v>
      </c>
      <c r="B4" s="1">
        <v>3</v>
      </c>
      <c r="C4" s="1">
        <v>2022</v>
      </c>
      <c r="D4">
        <f>8.23+4.75+7.06+4.54+6.7+4.59+8.17+4.59+8.28</f>
        <v>56.91</v>
      </c>
      <c r="E4">
        <f>716.01+413.25+614.22+394.98+582.9+399.33+710.79+399.33+720.36</f>
        <v>4951.17</v>
      </c>
    </row>
    <row r="5" spans="1:5">
      <c r="A5" t="s">
        <v>5</v>
      </c>
      <c r="B5" s="1">
        <v>4</v>
      </c>
      <c r="C5" s="1">
        <v>2022</v>
      </c>
      <c r="D5">
        <f>5.12+8.39+5.88+8.5+5.93+5.93+8.87+5.22+9.03+5.24</f>
        <v>68.11</v>
      </c>
      <c r="E5">
        <f>445.44+729.93+511.56+739.5+515.91+515.91+771.69+454.14+785.61+455.88</f>
        <v>5925.57</v>
      </c>
    </row>
    <row r="6" spans="1:5">
      <c r="A6" t="s">
        <v>5</v>
      </c>
      <c r="B6" s="1">
        <v>5</v>
      </c>
      <c r="C6" s="1">
        <v>2022</v>
      </c>
      <c r="D6">
        <f>6.35+10.08+7.27+10.45+6.01+8.98+8.98+6.91+9.46</f>
        <v>74.490000000000009</v>
      </c>
      <c r="E6">
        <f>781.26+601.17+823.02+552.45+876.96+632.49+909.15+522.87+781.26</f>
        <v>6480.6299999999992</v>
      </c>
    </row>
    <row r="7" spans="1:5">
      <c r="A7" t="s">
        <v>5</v>
      </c>
      <c r="B7" s="1">
        <v>6</v>
      </c>
      <c r="C7" s="1">
        <v>2022</v>
      </c>
      <c r="D7">
        <f>5.99+10.29+5.42+14.68+10.4+6.37+10.06</f>
        <v>63.21</v>
      </c>
      <c r="E7">
        <f>521.13+895.23+471.54+1277.16+904.8+554.19+875.22</f>
        <v>5499.2700000000013</v>
      </c>
    </row>
    <row r="8" spans="1:5">
      <c r="A8" t="s">
        <v>5</v>
      </c>
      <c r="B8" s="1">
        <v>7</v>
      </c>
      <c r="C8" s="1">
        <v>2022</v>
      </c>
      <c r="D8">
        <f>E8/87</f>
        <v>69.23</v>
      </c>
      <c r="E8">
        <f>((4362.47+3748.54)-(232*9))</f>
        <v>6023.01</v>
      </c>
    </row>
    <row r="9" spans="1:5">
      <c r="A9" t="s">
        <v>5</v>
      </c>
      <c r="B9" s="1">
        <v>8</v>
      </c>
      <c r="C9" s="1">
        <v>2022</v>
      </c>
      <c r="D9">
        <f t="shared" ref="D9:D25" si="0">E9/87</f>
        <v>70.47</v>
      </c>
      <c r="E9">
        <f>((3657.19+4561.7)-(232*9))</f>
        <v>6130.8899999999994</v>
      </c>
    </row>
    <row r="10" spans="1:5">
      <c r="A10" t="s">
        <v>5</v>
      </c>
      <c r="B10" s="1">
        <v>9</v>
      </c>
      <c r="C10" s="1">
        <v>2022</v>
      </c>
      <c r="D10">
        <f t="shared" si="0"/>
        <v>69.27</v>
      </c>
      <c r="E10">
        <f>((4457.3+3657.19)-(232*9))</f>
        <v>6026.49</v>
      </c>
    </row>
    <row r="11" spans="1:5">
      <c r="A11" t="s">
        <v>5</v>
      </c>
      <c r="B11" s="1">
        <v>10</v>
      </c>
      <c r="C11" s="1">
        <v>2022</v>
      </c>
      <c r="D11">
        <f t="shared" si="0"/>
        <v>60.809999999999995</v>
      </c>
      <c r="E11">
        <f>((3622.39+3524.08)-(232*8))</f>
        <v>5290.4699999999993</v>
      </c>
    </row>
    <row r="12" spans="1:5">
      <c r="A12" t="s">
        <v>5</v>
      </c>
      <c r="B12" s="1">
        <v>11</v>
      </c>
      <c r="C12" s="1">
        <v>2022</v>
      </c>
      <c r="D12" s="3">
        <f t="shared" si="0"/>
        <v>62.06</v>
      </c>
      <c r="E12">
        <f>((4479.92+3007.3)-(232*9))</f>
        <v>5399.22</v>
      </c>
    </row>
    <row r="13" spans="1:5">
      <c r="A13" t="s">
        <v>5</v>
      </c>
      <c r="B13" s="1">
        <v>12</v>
      </c>
      <c r="C13" s="1">
        <v>2022</v>
      </c>
      <c r="D13">
        <f t="shared" si="0"/>
        <v>53.160000000000004</v>
      </c>
      <c r="E13">
        <f>((3208.27+3504.65)-(232*(4+5)))</f>
        <v>4624.92</v>
      </c>
    </row>
    <row r="14" spans="1:5">
      <c r="A14" t="s">
        <v>5</v>
      </c>
      <c r="B14">
        <v>1</v>
      </c>
      <c r="C14">
        <v>2023</v>
      </c>
      <c r="D14" s="3">
        <f t="shared" si="0"/>
        <v>55.800000000000004</v>
      </c>
      <c r="E14" s="3">
        <f>((3071.68+3870.92)-(232*(4+5)))</f>
        <v>4854.6000000000004</v>
      </c>
    </row>
    <row r="15" spans="1:5">
      <c r="A15" t="s">
        <v>5</v>
      </c>
      <c r="B15">
        <v>2</v>
      </c>
      <c r="C15">
        <v>2023</v>
      </c>
      <c r="D15">
        <f t="shared" si="0"/>
        <v>49.99</v>
      </c>
      <c r="E15">
        <f>((6205.13)-(232*(8)))</f>
        <v>4349.13</v>
      </c>
    </row>
    <row r="16" spans="1:5">
      <c r="A16" t="s">
        <v>5</v>
      </c>
      <c r="B16">
        <v>3</v>
      </c>
      <c r="C16">
        <v>2023</v>
      </c>
      <c r="D16">
        <f t="shared" si="0"/>
        <v>0</v>
      </c>
      <c r="E16">
        <f t="shared" ref="E15:E25" si="1">((0+0)-(232*(0+0)))</f>
        <v>0</v>
      </c>
    </row>
    <row r="17" spans="1:5">
      <c r="A17" t="s">
        <v>5</v>
      </c>
      <c r="B17">
        <v>4</v>
      </c>
      <c r="C17">
        <v>2023</v>
      </c>
      <c r="D17">
        <f t="shared" si="0"/>
        <v>0</v>
      </c>
      <c r="E17">
        <f t="shared" si="1"/>
        <v>0</v>
      </c>
    </row>
    <row r="18" spans="1:5">
      <c r="A18" t="s">
        <v>5</v>
      </c>
      <c r="B18">
        <v>5</v>
      </c>
      <c r="C18">
        <v>2023</v>
      </c>
      <c r="D18">
        <f t="shared" si="0"/>
        <v>0</v>
      </c>
      <c r="E18">
        <f t="shared" si="1"/>
        <v>0</v>
      </c>
    </row>
    <row r="19" spans="1:5">
      <c r="A19" t="s">
        <v>5</v>
      </c>
      <c r="B19">
        <v>6</v>
      </c>
      <c r="C19">
        <v>2023</v>
      </c>
      <c r="D19">
        <f t="shared" si="0"/>
        <v>0</v>
      </c>
      <c r="E19">
        <f t="shared" si="1"/>
        <v>0</v>
      </c>
    </row>
    <row r="20" spans="1:5">
      <c r="A20" t="s">
        <v>5</v>
      </c>
      <c r="B20">
        <v>7</v>
      </c>
      <c r="C20">
        <v>2023</v>
      </c>
      <c r="D20">
        <f t="shared" si="0"/>
        <v>0</v>
      </c>
      <c r="E20">
        <f t="shared" si="1"/>
        <v>0</v>
      </c>
    </row>
    <row r="21" spans="1:5">
      <c r="A21" t="s">
        <v>5</v>
      </c>
      <c r="B21">
        <v>8</v>
      </c>
      <c r="C21">
        <v>2023</v>
      </c>
      <c r="D21">
        <f t="shared" si="0"/>
        <v>0</v>
      </c>
      <c r="E21">
        <f t="shared" si="1"/>
        <v>0</v>
      </c>
    </row>
    <row r="22" spans="1:5">
      <c r="A22" t="s">
        <v>5</v>
      </c>
      <c r="B22">
        <v>9</v>
      </c>
      <c r="C22">
        <v>2023</v>
      </c>
      <c r="D22">
        <f t="shared" si="0"/>
        <v>0</v>
      </c>
      <c r="E22">
        <f t="shared" si="1"/>
        <v>0</v>
      </c>
    </row>
    <row r="23" spans="1:5">
      <c r="A23" t="s">
        <v>5</v>
      </c>
      <c r="B23">
        <v>10</v>
      </c>
      <c r="C23">
        <v>2023</v>
      </c>
      <c r="D23">
        <f t="shared" si="0"/>
        <v>0</v>
      </c>
      <c r="E23">
        <f t="shared" si="1"/>
        <v>0</v>
      </c>
    </row>
    <row r="24" spans="1:5">
      <c r="A24" t="s">
        <v>5</v>
      </c>
      <c r="B24">
        <v>11</v>
      </c>
      <c r="C24">
        <v>2023</v>
      </c>
      <c r="D24">
        <f t="shared" si="0"/>
        <v>0</v>
      </c>
      <c r="E24">
        <f t="shared" si="1"/>
        <v>0</v>
      </c>
    </row>
    <row r="25" spans="1:5">
      <c r="A25" t="s">
        <v>5</v>
      </c>
      <c r="B25">
        <v>12</v>
      </c>
      <c r="C25">
        <v>2023</v>
      </c>
      <c r="D25">
        <f t="shared" si="0"/>
        <v>0</v>
      </c>
      <c r="E25">
        <f t="shared" si="1"/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f63b28-de07-48fa-b7b1-a0fc4c7d8ca0">
      <Terms xmlns="http://schemas.microsoft.com/office/infopath/2007/PartnerControls"/>
    </lcf76f155ced4ddcb4097134ff3c332f>
    <TaxCatchAll xmlns="baa1c6d5-3c52-4404-a336-2822c00004d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AB908FB1F9E449B39FD06C4B96F09E" ma:contentTypeVersion="13" ma:contentTypeDescription="Create a new document." ma:contentTypeScope="" ma:versionID="4512b646ce50b6a094eb54bf724b0066">
  <xsd:schema xmlns:xsd="http://www.w3.org/2001/XMLSchema" xmlns:xs="http://www.w3.org/2001/XMLSchema" xmlns:p="http://schemas.microsoft.com/office/2006/metadata/properties" xmlns:ns2="e3f63b28-de07-48fa-b7b1-a0fc4c7d8ca0" xmlns:ns3="baa1c6d5-3c52-4404-a336-2822c00004da" targetNamespace="http://schemas.microsoft.com/office/2006/metadata/properties" ma:root="true" ma:fieldsID="f7e10943aad524a68bdaa4f27eb366f4" ns2:_="" ns3:_="">
    <xsd:import namespace="e3f63b28-de07-48fa-b7b1-a0fc4c7d8ca0"/>
    <xsd:import namespace="baa1c6d5-3c52-4404-a336-2822c00004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63b28-de07-48fa-b7b1-a0fc4c7d8c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a1c6d5-3c52-4404-a336-2822c00004d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36a207d-84e1-44db-8fbb-6bfd1cb28478}" ma:internalName="TaxCatchAll" ma:showField="CatchAllData" ma:web="baa1c6d5-3c52-4404-a336-2822c000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D12144-BD41-446B-91E0-C9CD893D2B90}"/>
</file>

<file path=customXml/itemProps2.xml><?xml version="1.0" encoding="utf-8"?>
<ds:datastoreItem xmlns:ds="http://schemas.openxmlformats.org/officeDocument/2006/customXml" ds:itemID="{14450950-0250-4E8F-9C0A-87091E762566}"/>
</file>

<file path=customXml/itemProps3.xml><?xml version="1.0" encoding="utf-8"?>
<ds:datastoreItem xmlns:ds="http://schemas.openxmlformats.org/officeDocument/2006/customXml" ds:itemID="{2CCB6A35-68B1-496B-84DC-0740C92D1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/>
  <cp:revision/>
  <dcterms:created xsi:type="dcterms:W3CDTF">2022-01-28T13:49:17Z</dcterms:created>
  <dcterms:modified xsi:type="dcterms:W3CDTF">2023-03-06T14:22:23Z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0x010100FEAB908FB1F9E449B39FD06C4B96F09E</vt:lpwstr>
  </property>
  <property fmtid="{D5CDD505-2E9C-101B-9397-08002B2CF9AE}" pid="3" name="MediaServiceImageTags">
    <vt:lpwstr/>
  </property>
</Properties>
</file>