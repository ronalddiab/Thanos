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8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J56" i="3"/>
  <c r="D2" i="1"/>
  <c r="A1" i="11"/>
  <c r="A1" i="13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A35"/>
  <c r="H34"/>
  <c r="I34" s="1"/>
  <c r="J34" s="1"/>
  <c r="A34"/>
  <c r="H33"/>
  <c r="I33" s="1"/>
  <c r="A33"/>
  <c r="H32"/>
  <c r="I32" s="1"/>
  <c r="A32"/>
  <c r="H31"/>
  <c r="I31" s="1"/>
  <c r="A31"/>
  <c r="H30"/>
  <c r="I30" s="1"/>
  <c r="J30" s="1"/>
  <c r="A30"/>
  <c r="H29"/>
  <c r="I29" s="1"/>
  <c r="A29"/>
  <c r="H28"/>
  <c r="I28" s="1"/>
  <c r="J28" s="1"/>
  <c r="A28"/>
  <c r="H27"/>
  <c r="I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35" l="1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30" i="24"/>
  <c r="I32"/>
  <c r="I33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S39"/>
  <c r="AJ38"/>
  <c r="C32" i="23" s="1"/>
  <c r="S38" i="1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3" i="23" l="1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35" i="23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4" i="18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4" l="1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Y5" s="1"/>
  <c r="B6"/>
  <c r="H6" s="1"/>
  <c r="M6" s="1"/>
  <c r="Y6" s="1"/>
  <c r="B7"/>
  <c r="H7" s="1"/>
  <c r="M7" s="1"/>
  <c r="Y7" s="1"/>
  <c r="B8"/>
  <c r="H8" s="1"/>
  <c r="M8" s="1"/>
  <c r="Y8" s="1"/>
  <c r="B9"/>
  <c r="H9" s="1"/>
  <c r="M9" s="1"/>
  <c r="Y9" s="1"/>
  <c r="B10"/>
  <c r="H10" s="1"/>
  <c r="M10" s="1"/>
  <c r="Y10" s="1"/>
  <c r="B11"/>
  <c r="H11" s="1"/>
  <c r="M11" s="1"/>
  <c r="Y11" s="1"/>
  <c r="B12"/>
  <c r="B13"/>
  <c r="H13" s="1"/>
  <c r="M13" s="1"/>
  <c r="Y13" s="1"/>
  <c r="B14"/>
  <c r="H14" s="1"/>
  <c r="M14" s="1"/>
  <c r="Y14" s="1"/>
  <c r="B15"/>
  <c r="H15" s="1"/>
  <c r="M15" s="1"/>
  <c r="Y15" s="1"/>
  <c r="B16"/>
  <c r="H16" s="1"/>
  <c r="M16" s="1"/>
  <c r="Y16" s="1"/>
  <c r="B17"/>
  <c r="H17" s="1"/>
  <c r="M17" s="1"/>
  <c r="Y17" s="1"/>
  <c r="B18"/>
  <c r="H18" s="1"/>
  <c r="M18" s="1"/>
  <c r="Y18" s="1"/>
  <c r="B19"/>
  <c r="H19" s="1"/>
  <c r="M19" s="1"/>
  <c r="Y19" s="1"/>
  <c r="B20"/>
  <c r="H20" s="1"/>
  <c r="M20" s="1"/>
  <c r="Y20" s="1"/>
  <c r="B21"/>
  <c r="H21" s="1"/>
  <c r="M21" s="1"/>
  <c r="Y21" s="1"/>
  <c r="B22"/>
  <c r="H22" s="1"/>
  <c r="M22" s="1"/>
  <c r="Y22" s="1"/>
  <c r="B23"/>
  <c r="H23" s="1"/>
  <c r="M23" s="1"/>
  <c r="Y23" s="1"/>
  <c r="B24"/>
  <c r="H24" s="1"/>
  <c r="M24" s="1"/>
  <c r="B25"/>
  <c r="H25" s="1"/>
  <c r="M25" s="1"/>
  <c r="Y25" s="1"/>
  <c r="B26"/>
  <c r="H26" s="1"/>
  <c r="M26" s="1"/>
  <c r="Y26" s="1"/>
  <c r="B27"/>
  <c r="H27" s="1"/>
  <c r="M27" s="1"/>
  <c r="Y27" s="1"/>
  <c r="B28"/>
  <c r="H28" s="1"/>
  <c r="M28" s="1"/>
  <c r="Y28" s="1"/>
  <c r="B29"/>
  <c r="H29" s="1"/>
  <c r="M29" s="1"/>
  <c r="Y29" s="1"/>
  <c r="B30"/>
  <c r="H30" s="1"/>
  <c r="M30" s="1"/>
  <c r="Y30" s="1"/>
  <c r="B31"/>
  <c r="H31" s="1"/>
  <c r="M31" s="1"/>
  <c r="Y31" s="1"/>
  <c r="B32"/>
  <c r="H32" s="1"/>
  <c r="M32" s="1"/>
  <c r="Y32" s="1"/>
  <c r="B33"/>
  <c r="H33" s="1"/>
  <c r="M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Y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<sst xmlns="http://schemas.openxmlformats.org/spreadsheetml/2006/main" count="551" uniqueCount="332">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</sst>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2782</c:v>
                </c:pt>
                <c:pt idx="14">
                  <c:v>2569</c:v>
                </c:pt>
                <c:pt idx="15">
                  <c:v>2654</c:v>
                </c:pt>
                <c:pt idx="16">
                  <c:v>2618</c:v>
                </c:pt>
                <c:pt idx="17">
                  <c:v>2737</c:v>
                </c:pt>
                <c:pt idx="18">
                  <c:v>2764</c:v>
                </c:pt>
                <c:pt idx="19">
                  <c:v>2630</c:v>
                </c:pt>
                <c:pt idx="20">
                  <c:v>2516</c:v>
                </c:pt>
                <c:pt idx="21">
                  <c:v>2755</c:v>
                </c:pt>
                <c:pt idx="22">
                  <c:v>2823</c:v>
                </c:pt>
                <c:pt idx="23">
                  <c:v>2804</c:v>
                </c:pt>
                <c:pt idx="24">
                  <c:v>2955</c:v>
                </c:pt>
                <c:pt idx="25">
                  <c:v>2817</c:v>
                </c:pt>
                <c:pt idx="26">
                  <c:v>2738</c:v>
                </c:pt>
                <c:pt idx="27">
                  <c:v>2763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620736"/>
        <c:axId val="823787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2380288"/>
        <c:axId val="82381824"/>
      </c:lineChart>
      <c:catAx>
        <c:axId val="12162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78752"/>
        <c:crosses val="autoZero"/>
        <c:auto val="1"/>
        <c:lblAlgn val="ctr"/>
        <c:lblOffset val="100"/>
      </c:catAx>
      <c:valAx>
        <c:axId val="8237875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20736"/>
        <c:crosses val="autoZero"/>
        <c:crossBetween val="between"/>
        <c:majorUnit val="200"/>
      </c:valAx>
      <c:catAx>
        <c:axId val="82380288"/>
        <c:scaling>
          <c:orientation val="minMax"/>
        </c:scaling>
        <c:delete val="1"/>
        <c:axPos val="b"/>
        <c:tickLblPos val="none"/>
        <c:crossAx val="82381824"/>
        <c:crosses val="autoZero"/>
        <c:auto val="1"/>
        <c:lblAlgn val="ctr"/>
        <c:lblOffset val="100"/>
      </c:catAx>
      <c:valAx>
        <c:axId val="82381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80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2424192"/>
        <c:axId val="824257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2427264"/>
        <c:axId val="82433152"/>
      </c:lineChart>
      <c:catAx>
        <c:axId val="8242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25728"/>
        <c:crosses val="autoZero"/>
        <c:auto val="1"/>
        <c:lblAlgn val="ctr"/>
        <c:lblOffset val="100"/>
      </c:catAx>
      <c:valAx>
        <c:axId val="8242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24192"/>
        <c:crosses val="autoZero"/>
        <c:crossBetween val="between"/>
        <c:majorUnit val="200"/>
      </c:valAx>
      <c:catAx>
        <c:axId val="82427264"/>
        <c:scaling>
          <c:orientation val="minMax"/>
        </c:scaling>
        <c:delete val="1"/>
        <c:axPos val="b"/>
        <c:tickLblPos val="none"/>
        <c:crossAx val="82433152"/>
        <c:crosses val="autoZero"/>
        <c:auto val="1"/>
        <c:lblAlgn val="ctr"/>
        <c:lblOffset val="100"/>
      </c:catAx>
      <c:valAx>
        <c:axId val="824331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27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2654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2738</c:v>
                </c:pt>
                <c:pt idx="30">
                  <c:v>2763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3953152"/>
        <c:axId val="83954688"/>
      </c:lineChart>
      <c:catAx>
        <c:axId val="8395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54688"/>
        <c:crosses val="autoZero"/>
        <c:auto val="1"/>
        <c:lblAlgn val="ctr"/>
        <c:lblOffset val="200"/>
        <c:tickLblSkip val="1"/>
      </c:catAx>
      <c:valAx>
        <c:axId val="839546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5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3979264"/>
        <c:axId val="84415232"/>
      </c:lineChart>
      <c:catAx>
        <c:axId val="8397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5232"/>
        <c:crosses val="autoZero"/>
        <c:auto val="1"/>
        <c:lblAlgn val="ctr"/>
        <c:lblOffset val="100"/>
      </c:catAx>
      <c:valAx>
        <c:axId val="844152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7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0.42336850037678969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0.42743608473338202</c:v>
                </c:pt>
                <c:pt idx="28">
                  <c:v>0.4167245747376041</c:v>
                </c:pt>
                <c:pt idx="29">
                  <c:v>0</c:v>
                </c:pt>
                <c:pt idx="30">
                  <c:v>0.4167245747376041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4456192"/>
        <c:axId val="84458112"/>
      </c:lineChart>
      <c:catAx>
        <c:axId val="84456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58112"/>
        <c:crosses val="autoZero"/>
        <c:auto val="1"/>
        <c:lblAlgn val="ctr"/>
        <c:lblOffset val="100"/>
      </c:catAx>
      <c:valAx>
        <c:axId val="844581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56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55</c:v>
                </c:pt>
                <c:pt idx="28">
                  <c:v>60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4384768"/>
        <c:axId val="84399232"/>
      </c:lineChart>
      <c:catAx>
        <c:axId val="84384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99232"/>
        <c:crosses val="autoZero"/>
        <c:auto val="1"/>
        <c:lblAlgn val="ctr"/>
        <c:lblOffset val="100"/>
      </c:catAx>
      <c:valAx>
        <c:axId val="843992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84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88.660000000038423</c:v>
                </c:pt>
                <c:pt idx="29">
                  <c:v>87.075999999971827</c:v>
                </c:pt>
                <c:pt idx="30">
                  <c:v>-328572.59600000002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5464576"/>
        <c:axId val="85466112"/>
      </c:lineChart>
      <c:catAx>
        <c:axId val="8546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6112"/>
        <c:crosses val="autoZero"/>
        <c:auto val="1"/>
        <c:lblAlgn val="ctr"/>
        <c:lblOffset val="100"/>
      </c:catAx>
      <c:valAx>
        <c:axId val="85466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5512192"/>
        <c:axId val="85513728"/>
      </c:lineChart>
      <c:catAx>
        <c:axId val="8551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3728"/>
        <c:crosses val="autoZero"/>
        <c:auto val="1"/>
        <c:lblAlgn val="ctr"/>
        <c:lblOffset val="100"/>
      </c:catAx>
      <c:valAx>
        <c:axId val="85513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2654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2738</c:v>
                </c:pt>
                <c:pt idx="30">
                  <c:v>2763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025920"/>
        <c:axId val="85027456"/>
      </c:lineChart>
      <c:catAx>
        <c:axId val="8502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27456"/>
        <c:crosses val="autoZero"/>
        <c:auto val="1"/>
        <c:lblAlgn val="ctr"/>
        <c:lblOffset val="100"/>
      </c:catAx>
      <c:valAx>
        <c:axId val="8502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2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237"/>
          <c:y val="7.471324705111789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5056128"/>
        <c:axId val="86049152"/>
      </c:lineChart>
      <c:catAx>
        <c:axId val="8505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49152"/>
        <c:crosses val="autoZero"/>
        <c:auto val="1"/>
        <c:lblAlgn val="ctr"/>
        <c:lblOffset val="200"/>
        <c:tickLblSkip val="1"/>
      </c:catAx>
      <c:valAx>
        <c:axId val="86049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5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6094592"/>
        <c:axId val="86096128"/>
      </c:lineChart>
      <c:catAx>
        <c:axId val="8609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96128"/>
        <c:crosses val="autoZero"/>
        <c:auto val="1"/>
        <c:lblAlgn val="ctr"/>
        <c:lblOffset val="100"/>
      </c:catAx>
      <c:valAx>
        <c:axId val="8609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9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6108416"/>
        <c:axId val="86614400"/>
      </c:lineChart>
      <c:catAx>
        <c:axId val="86108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14400"/>
        <c:crosses val="autoZero"/>
        <c:auto val="1"/>
        <c:lblAlgn val="ctr"/>
        <c:lblOffset val="100"/>
      </c:catAx>
      <c:valAx>
        <c:axId val="866144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084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6790912"/>
        <c:axId val="86792832"/>
      </c:lineChart>
      <c:catAx>
        <c:axId val="86790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92832"/>
        <c:crosses val="autoZero"/>
        <c:auto val="1"/>
        <c:lblAlgn val="ctr"/>
        <c:lblOffset val="100"/>
      </c:catAx>
      <c:valAx>
        <c:axId val="867928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90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6830080"/>
        <c:axId val="86377216"/>
      </c:lineChart>
      <c:catAx>
        <c:axId val="8683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77216"/>
        <c:crosses val="autoZero"/>
        <c:auto val="1"/>
        <c:lblAlgn val="ctr"/>
        <c:lblOffset val="100"/>
      </c:catAx>
      <c:valAx>
        <c:axId val="8637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3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6410752"/>
        <c:axId val="86412288"/>
      </c:lineChart>
      <c:catAx>
        <c:axId val="8641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12288"/>
        <c:crosses val="autoZero"/>
        <c:auto val="1"/>
        <c:lblAlgn val="ctr"/>
        <c:lblOffset val="100"/>
      </c:catAx>
      <c:valAx>
        <c:axId val="8641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1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7104128"/>
        <c:axId val="87114112"/>
      </c:lineChart>
      <c:catAx>
        <c:axId val="8710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14112"/>
        <c:crosses val="autoZero"/>
        <c:auto val="1"/>
        <c:lblAlgn val="ctr"/>
        <c:lblOffset val="100"/>
      </c:catAx>
      <c:valAx>
        <c:axId val="8711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0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614"/>
          <c:y val="7.471324705111830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7684608"/>
        <c:axId val="8768614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7503616"/>
        <c:axId val="87505152"/>
      </c:lineChart>
      <c:catAx>
        <c:axId val="876846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86144"/>
        <c:crosses val="autoZero"/>
        <c:lblAlgn val="ctr"/>
        <c:lblOffset val="100"/>
        <c:tickMarkSkip val="1"/>
      </c:catAx>
      <c:valAx>
        <c:axId val="87686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84608"/>
        <c:crosses val="autoZero"/>
        <c:crossBetween val="between"/>
      </c:valAx>
      <c:catAx>
        <c:axId val="87503616"/>
        <c:scaling>
          <c:orientation val="minMax"/>
        </c:scaling>
        <c:delete val="1"/>
        <c:axPos val="b"/>
        <c:numFmt formatCode="[$-409]d\-mmm\-yy;@" sourceLinked="1"/>
        <c:tickLblPos val="none"/>
        <c:crossAx val="87505152"/>
        <c:crosses val="autoZero"/>
        <c:lblAlgn val="ctr"/>
        <c:lblOffset val="100"/>
      </c:catAx>
      <c:valAx>
        <c:axId val="8750515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03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7542016"/>
        <c:axId val="121700352"/>
      </c:lineChart>
      <c:catAx>
        <c:axId val="8754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00352"/>
        <c:crosses val="autoZero"/>
        <c:auto val="1"/>
        <c:lblAlgn val="ctr"/>
        <c:lblOffset val="100"/>
      </c:catAx>
      <c:valAx>
        <c:axId val="1217003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4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1737216"/>
        <c:axId val="121738752"/>
      </c:lineChart>
      <c:catAx>
        <c:axId val="12173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38752"/>
        <c:crosses val="autoZero"/>
        <c:auto val="1"/>
        <c:lblAlgn val="ctr"/>
        <c:lblOffset val="100"/>
      </c:catAx>
      <c:valAx>
        <c:axId val="1217387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3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22392576"/>
        <c:axId val="1223941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22395648"/>
        <c:axId val="122397440"/>
      </c:lineChart>
      <c:catAx>
        <c:axId val="1223925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94112"/>
        <c:crosses val="autoZero"/>
        <c:lblAlgn val="ctr"/>
        <c:lblOffset val="100"/>
        <c:tickMarkSkip val="1"/>
      </c:catAx>
      <c:valAx>
        <c:axId val="12239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92576"/>
        <c:crosses val="autoZero"/>
        <c:crossBetween val="between"/>
      </c:valAx>
      <c:catAx>
        <c:axId val="122395648"/>
        <c:scaling>
          <c:orientation val="minMax"/>
        </c:scaling>
        <c:delete val="1"/>
        <c:axPos val="b"/>
        <c:numFmt formatCode="General" sourceLinked="1"/>
        <c:tickLblPos val="none"/>
        <c:crossAx val="122397440"/>
        <c:crosses val="autoZero"/>
        <c:lblAlgn val="ctr"/>
        <c:lblOffset val="100"/>
      </c:catAx>
      <c:valAx>
        <c:axId val="122397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95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2839808"/>
        <c:axId val="122841344"/>
      </c:lineChart>
      <c:catAx>
        <c:axId val="1228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41344"/>
        <c:crosses val="autoZero"/>
        <c:auto val="1"/>
        <c:lblAlgn val="ctr"/>
        <c:lblOffset val="100"/>
      </c:catAx>
      <c:valAx>
        <c:axId val="122841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2374400"/>
        <c:axId val="123011072"/>
      </c:lineChart>
      <c:catAx>
        <c:axId val="12237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011072"/>
        <c:crosses val="autoZero"/>
        <c:auto val="1"/>
        <c:lblAlgn val="ctr"/>
        <c:lblOffset val="100"/>
      </c:catAx>
      <c:valAx>
        <c:axId val="123011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3463168"/>
        <c:axId val="12346470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3432192"/>
        <c:axId val="83433728"/>
      </c:lineChart>
      <c:catAx>
        <c:axId val="1234631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64704"/>
        <c:crosses val="autoZero"/>
        <c:lblAlgn val="ctr"/>
        <c:lblOffset val="100"/>
        <c:tickMarkSkip val="1"/>
      </c:catAx>
      <c:valAx>
        <c:axId val="1234647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63168"/>
        <c:crosses val="autoZero"/>
        <c:crossBetween val="between"/>
      </c:valAx>
      <c:catAx>
        <c:axId val="83432192"/>
        <c:scaling>
          <c:orientation val="minMax"/>
        </c:scaling>
        <c:delete val="1"/>
        <c:axPos val="b"/>
        <c:numFmt formatCode="[$-409]d\-mmm\-yy;@" sourceLinked="1"/>
        <c:tickLblPos val="none"/>
        <c:crossAx val="83433728"/>
        <c:crosses val="autoZero"/>
        <c:lblAlgn val="ctr"/>
        <c:lblOffset val="100"/>
      </c:catAx>
      <c:valAx>
        <c:axId val="8343372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32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3472384"/>
        <c:axId val="834739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3475456"/>
        <c:axId val="83477248"/>
      </c:lineChart>
      <c:catAx>
        <c:axId val="834723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73920"/>
        <c:crosses val="autoZero"/>
        <c:lblAlgn val="ctr"/>
        <c:lblOffset val="100"/>
        <c:tickMarkSkip val="1"/>
      </c:catAx>
      <c:valAx>
        <c:axId val="8347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72384"/>
        <c:crosses val="autoZero"/>
        <c:crossBetween val="between"/>
      </c:valAx>
      <c:catAx>
        <c:axId val="83475456"/>
        <c:scaling>
          <c:orientation val="minMax"/>
        </c:scaling>
        <c:delete val="1"/>
        <c:axPos val="b"/>
        <c:numFmt formatCode="General" sourceLinked="1"/>
        <c:tickLblPos val="none"/>
        <c:crossAx val="83477248"/>
        <c:crosses val="autoZero"/>
        <c:lblAlgn val="ctr"/>
        <c:lblOffset val="100"/>
      </c:catAx>
      <c:valAx>
        <c:axId val="834772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75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3889152"/>
        <c:axId val="8389504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3896576"/>
        <c:axId val="83906560"/>
      </c:lineChart>
      <c:catAx>
        <c:axId val="838891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95040"/>
        <c:crosses val="autoZero"/>
        <c:lblAlgn val="ctr"/>
        <c:lblOffset val="100"/>
        <c:tickMarkSkip val="1"/>
      </c:catAx>
      <c:valAx>
        <c:axId val="83895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89152"/>
        <c:crosses val="autoZero"/>
        <c:crossBetween val="between"/>
      </c:valAx>
      <c:catAx>
        <c:axId val="83896576"/>
        <c:scaling>
          <c:orientation val="minMax"/>
        </c:scaling>
        <c:delete val="1"/>
        <c:axPos val="b"/>
        <c:numFmt formatCode="[$-409]d\-mmm\-yy;@" sourceLinked="1"/>
        <c:tickLblPos val="none"/>
        <c:crossAx val="83906560"/>
        <c:crosses val="autoZero"/>
        <c:lblAlgn val="ctr"/>
        <c:lblOffset val="100"/>
      </c:catAx>
      <c:valAx>
        <c:axId val="839065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96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3949056"/>
        <c:axId val="839505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8008064"/>
        <c:axId val="158009600"/>
      </c:lineChart>
      <c:catAx>
        <c:axId val="839490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50592"/>
        <c:crosses val="autoZero"/>
        <c:lblAlgn val="ctr"/>
        <c:lblOffset val="100"/>
        <c:tickMarkSkip val="1"/>
      </c:catAx>
      <c:valAx>
        <c:axId val="8395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49056"/>
        <c:crosses val="autoZero"/>
        <c:crossBetween val="between"/>
      </c:valAx>
      <c:catAx>
        <c:axId val="158008064"/>
        <c:scaling>
          <c:orientation val="minMax"/>
        </c:scaling>
        <c:delete val="1"/>
        <c:axPos val="b"/>
        <c:numFmt formatCode="General" sourceLinked="1"/>
        <c:tickLblPos val="none"/>
        <c:crossAx val="158009600"/>
        <c:crosses val="autoZero"/>
        <c:lblAlgn val="ctr"/>
        <c:lblOffset val="100"/>
      </c:catAx>
      <c:valAx>
        <c:axId val="158009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08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0.42336850037678969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0.42743608473338202</c:v>
                </c:pt>
                <c:pt idx="28">
                  <c:v>0.4167245747376041</c:v>
                </c:pt>
                <c:pt idx="29">
                  <c:v>0</c:v>
                </c:pt>
                <c:pt idx="30">
                  <c:v>0.4167245747376041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9533696"/>
        <c:axId val="159556352"/>
      </c:lineChart>
      <c:catAx>
        <c:axId val="159533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6352"/>
        <c:crosses val="autoZero"/>
        <c:auto val="1"/>
        <c:lblAlgn val="ctr"/>
        <c:lblOffset val="100"/>
      </c:catAx>
      <c:valAx>
        <c:axId val="1595563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33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55</c:v>
                </c:pt>
                <c:pt idx="28">
                  <c:v>60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564928"/>
        <c:axId val="159566848"/>
      </c:lineChart>
      <c:catAx>
        <c:axId val="159564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6848"/>
        <c:crosses val="autoZero"/>
        <c:auto val="1"/>
        <c:lblAlgn val="ctr"/>
        <c:lblOffset val="100"/>
      </c:catAx>
      <c:valAx>
        <c:axId val="1595668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64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2654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2738</c:v>
                </c:pt>
                <c:pt idx="30">
                  <c:v>2763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337856"/>
        <c:axId val="159351936"/>
      </c:lineChart>
      <c:catAx>
        <c:axId val="15933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51936"/>
        <c:crosses val="autoZero"/>
        <c:auto val="1"/>
        <c:lblAlgn val="ctr"/>
        <c:lblOffset val="200"/>
        <c:tickLblSkip val="1"/>
      </c:catAx>
      <c:valAx>
        <c:axId val="1593519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3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0113792"/>
        <c:axId val="160115328"/>
      </c:lineChart>
      <c:catAx>
        <c:axId val="16011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15328"/>
        <c:crosses val="autoZero"/>
        <c:auto val="1"/>
        <c:lblAlgn val="ctr"/>
        <c:lblOffset val="100"/>
      </c:catAx>
      <c:valAx>
        <c:axId val="1601153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1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3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88.660000000038423</c:v>
                </c:pt>
                <c:pt idx="29">
                  <c:v>87.075999999971827</c:v>
                </c:pt>
                <c:pt idx="30">
                  <c:v>-328572.59600000002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144000"/>
        <c:axId val="160153984"/>
      </c:lineChart>
      <c:catAx>
        <c:axId val="1601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53984"/>
        <c:crosses val="autoZero"/>
        <c:auto val="1"/>
        <c:lblAlgn val="ctr"/>
        <c:lblOffset val="100"/>
      </c:catAx>
      <c:valAx>
        <c:axId val="160153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0.41934938892882823</c:v>
                </c:pt>
                <c:pt idx="15">
                  <c:v>0.42870766835344487</c:v>
                </c:pt>
                <c:pt idx="16">
                  <c:v>0.42336850037678969</c:v>
                </c:pt>
                <c:pt idx="17">
                  <c:v>0.43370511841100079</c:v>
                </c:pt>
                <c:pt idx="18">
                  <c:v>0.43793204238217021</c:v>
                </c:pt>
                <c:pt idx="19">
                  <c:v>0.42095513748191027</c:v>
                </c:pt>
                <c:pt idx="20">
                  <c:v>0.40893916349809883</c:v>
                </c:pt>
                <c:pt idx="21">
                  <c:v>0.4296860095389507</c:v>
                </c:pt>
                <c:pt idx="22">
                  <c:v>0.44390199637023597</c:v>
                </c:pt>
                <c:pt idx="23">
                  <c:v>0.43341834927382217</c:v>
                </c:pt>
                <c:pt idx="24">
                  <c:v>0.44308844507845935</c:v>
                </c:pt>
                <c:pt idx="25">
                  <c:v>0.40698138747884943</c:v>
                </c:pt>
                <c:pt idx="26">
                  <c:v>0.42095846645367407</c:v>
                </c:pt>
                <c:pt idx="27">
                  <c:v>0.42743608473338202</c:v>
                </c:pt>
                <c:pt idx="28">
                  <c:v>0.4167245747376041</c:v>
                </c:pt>
                <c:pt idx="29">
                  <c:v>0</c:v>
                </c:pt>
                <c:pt idx="30">
                  <c:v>0.4167245747376041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1194368"/>
        <c:axId val="161196288"/>
      </c:lineChart>
      <c:catAx>
        <c:axId val="161194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6288"/>
        <c:crosses val="autoZero"/>
        <c:auto val="1"/>
        <c:lblAlgn val="ctr"/>
        <c:lblOffset val="100"/>
      </c:catAx>
      <c:valAx>
        <c:axId val="161196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43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78</c:v>
                </c:pt>
                <c:pt idx="15">
                  <c:v>51</c:v>
                </c:pt>
                <c:pt idx="16">
                  <c:v>59</c:v>
                </c:pt>
                <c:pt idx="17">
                  <c:v>60</c:v>
                </c:pt>
                <c:pt idx="18">
                  <c:v>68</c:v>
                </c:pt>
                <c:pt idx="19">
                  <c:v>75</c:v>
                </c:pt>
                <c:pt idx="20">
                  <c:v>60</c:v>
                </c:pt>
                <c:pt idx="21">
                  <c:v>56</c:v>
                </c:pt>
                <c:pt idx="22">
                  <c:v>59</c:v>
                </c:pt>
                <c:pt idx="23">
                  <c:v>69</c:v>
                </c:pt>
                <c:pt idx="24">
                  <c:v>61</c:v>
                </c:pt>
                <c:pt idx="25">
                  <c:v>74</c:v>
                </c:pt>
                <c:pt idx="26">
                  <c:v>68</c:v>
                </c:pt>
                <c:pt idx="27">
                  <c:v>55</c:v>
                </c:pt>
                <c:pt idx="28">
                  <c:v>60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311936"/>
        <c:axId val="160342784"/>
      </c:lineChart>
      <c:catAx>
        <c:axId val="160311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42784"/>
        <c:crosses val="autoZero"/>
        <c:auto val="1"/>
        <c:lblAlgn val="ctr"/>
        <c:lblOffset val="100"/>
      </c:catAx>
      <c:valAx>
        <c:axId val="1603427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19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2782</c:v>
                </c:pt>
                <c:pt idx="17">
                  <c:v>2569</c:v>
                </c:pt>
                <c:pt idx="18">
                  <c:v>2654</c:v>
                </c:pt>
                <c:pt idx="19">
                  <c:v>2618</c:v>
                </c:pt>
                <c:pt idx="20">
                  <c:v>2737</c:v>
                </c:pt>
                <c:pt idx="21">
                  <c:v>2764</c:v>
                </c:pt>
                <c:pt idx="22">
                  <c:v>2630</c:v>
                </c:pt>
                <c:pt idx="23">
                  <c:v>2516</c:v>
                </c:pt>
                <c:pt idx="24">
                  <c:v>2755</c:v>
                </c:pt>
                <c:pt idx="25">
                  <c:v>2823</c:v>
                </c:pt>
                <c:pt idx="26">
                  <c:v>2804</c:v>
                </c:pt>
                <c:pt idx="27">
                  <c:v>2955</c:v>
                </c:pt>
                <c:pt idx="28">
                  <c:v>2817</c:v>
                </c:pt>
                <c:pt idx="29">
                  <c:v>2738</c:v>
                </c:pt>
                <c:pt idx="30">
                  <c:v>2763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350784"/>
        <c:axId val="161352320"/>
      </c:lineChart>
      <c:catAx>
        <c:axId val="16135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2320"/>
        <c:crosses val="autoZero"/>
        <c:auto val="1"/>
        <c:lblAlgn val="ctr"/>
        <c:lblOffset val="200"/>
        <c:tickLblSkip val="1"/>
      </c:catAx>
      <c:valAx>
        <c:axId val="1613523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0.11700000000000001</c:v>
                </c:pt>
                <c:pt idx="11">
                  <c:v>0.16900000000000001</c:v>
                </c:pt>
                <c:pt idx="12">
                  <c:v>2.5999999999999999E-2</c:v>
                </c:pt>
                <c:pt idx="13">
                  <c:v>3.9E-2</c:v>
                </c:pt>
                <c:pt idx="14">
                  <c:v>5.1999999999999998E-2</c:v>
                </c:pt>
                <c:pt idx="15">
                  <c:v>1.2999999999999999E-2</c:v>
                </c:pt>
                <c:pt idx="16">
                  <c:v>7.8E-2</c:v>
                </c:pt>
                <c:pt idx="17">
                  <c:v>9.0999999999999998E-2</c:v>
                </c:pt>
                <c:pt idx="18">
                  <c:v>0.13</c:v>
                </c:pt>
                <c:pt idx="19">
                  <c:v>6.5000000000000002E-2</c:v>
                </c:pt>
                <c:pt idx="20">
                  <c:v>5.1999999999999998E-2</c:v>
                </c:pt>
                <c:pt idx="21">
                  <c:v>2.5999999999999999E-2</c:v>
                </c:pt>
                <c:pt idx="22">
                  <c:v>3.9E-2</c:v>
                </c:pt>
                <c:pt idx="23">
                  <c:v>0.11700000000000001</c:v>
                </c:pt>
                <c:pt idx="24">
                  <c:v>0.13</c:v>
                </c:pt>
                <c:pt idx="25">
                  <c:v>0.20799999999999999</c:v>
                </c:pt>
                <c:pt idx="26">
                  <c:v>7.8E-2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376896"/>
        <c:axId val="161390976"/>
      </c:lineChart>
      <c:catAx>
        <c:axId val="16137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90976"/>
        <c:crosses val="autoZero"/>
        <c:auto val="1"/>
        <c:lblAlgn val="ctr"/>
        <c:lblOffset val="100"/>
      </c:catAx>
      <c:valAx>
        <c:axId val="1613909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7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3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0</c:v>
                </c:pt>
                <c:pt idx="16">
                  <c:v>60.191999999969269</c:v>
                </c:pt>
                <c:pt idx="17">
                  <c:v>-228.8</c:v>
                </c:pt>
                <c:pt idx="18">
                  <c:v>521.26800000000515</c:v>
                </c:pt>
                <c:pt idx="19">
                  <c:v>74.579999999987194</c:v>
                </c:pt>
                <c:pt idx="20">
                  <c:v>88.088000000017942</c:v>
                </c:pt>
                <c:pt idx="21">
                  <c:v>89.143999999976955</c:v>
                </c:pt>
                <c:pt idx="22">
                  <c:v>81.840000000025611</c:v>
                </c:pt>
                <c:pt idx="23">
                  <c:v>79.111999999982075</c:v>
                </c:pt>
                <c:pt idx="24">
                  <c:v>96.624000000028175</c:v>
                </c:pt>
                <c:pt idx="25">
                  <c:v>87.339999999961591</c:v>
                </c:pt>
                <c:pt idx="26">
                  <c:v>89.495999999984647</c:v>
                </c:pt>
                <c:pt idx="27">
                  <c:v>93.368000000005125</c:v>
                </c:pt>
                <c:pt idx="28">
                  <c:v>88.660000000038423</c:v>
                </c:pt>
                <c:pt idx="29">
                  <c:v>87.075999999971827</c:v>
                </c:pt>
                <c:pt idx="30">
                  <c:v>-328572.59600000002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2476416"/>
        <c:axId val="162477952"/>
      </c:lineChart>
      <c:catAx>
        <c:axId val="16247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77952"/>
        <c:crosses val="autoZero"/>
        <c:auto val="1"/>
        <c:lblAlgn val="ctr"/>
        <c:lblOffset val="100"/>
      </c:catAx>
      <c:valAx>
        <c:axId val="162477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7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527104"/>
        <c:axId val="161955840"/>
      </c:lineChart>
      <c:catAx>
        <c:axId val="162527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55840"/>
        <c:crosses val="autoZero"/>
        <c:auto val="1"/>
        <c:lblAlgn val="ctr"/>
        <c:lblOffset val="100"/>
      </c:catAx>
      <c:valAx>
        <c:axId val="1619558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71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980800"/>
        <c:axId val="161982720"/>
      </c:lineChart>
      <c:catAx>
        <c:axId val="161980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82720"/>
        <c:crosses val="autoZero"/>
        <c:auto val="1"/>
        <c:lblAlgn val="ctr"/>
        <c:lblOffset val="100"/>
      </c:catAx>
      <c:valAx>
        <c:axId val="161982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80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3256960"/>
        <c:axId val="163283328"/>
      </c:lineChart>
      <c:catAx>
        <c:axId val="16325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83328"/>
        <c:crosses val="autoZero"/>
        <c:auto val="1"/>
        <c:lblAlgn val="ctr"/>
        <c:lblOffset val="200"/>
        <c:tickLblSkip val="1"/>
      </c:catAx>
      <c:valAx>
        <c:axId val="163283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312000"/>
        <c:axId val="163313536"/>
      </c:lineChart>
      <c:catAx>
        <c:axId val="16331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13536"/>
        <c:crosses val="autoZero"/>
        <c:auto val="1"/>
        <c:lblAlgn val="ctr"/>
        <c:lblOffset val="100"/>
      </c:catAx>
      <c:valAx>
        <c:axId val="16331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1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51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460992"/>
        <c:axId val="163462528"/>
      </c:lineChart>
      <c:catAx>
        <c:axId val="16346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2528"/>
        <c:crosses val="autoZero"/>
        <c:auto val="1"/>
        <c:lblAlgn val="ctr"/>
        <c:lblOffset val="100"/>
      </c:catAx>
      <c:valAx>
        <c:axId val="16346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507584"/>
        <c:axId val="163874304"/>
      </c:lineChart>
      <c:catAx>
        <c:axId val="163507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74304"/>
        <c:crosses val="autoZero"/>
        <c:auto val="1"/>
        <c:lblAlgn val="ctr"/>
        <c:lblOffset val="100"/>
      </c:catAx>
      <c:valAx>
        <c:axId val="163874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07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653504"/>
        <c:axId val="163663872"/>
      </c:lineChart>
      <c:catAx>
        <c:axId val="163653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63872"/>
        <c:crosses val="autoZero"/>
        <c:auto val="1"/>
        <c:lblAlgn val="ctr"/>
        <c:lblOffset val="100"/>
      </c:catAx>
      <c:valAx>
        <c:axId val="163663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535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692928"/>
        <c:axId val="163694464"/>
      </c:lineChart>
      <c:catAx>
        <c:axId val="16369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94464"/>
        <c:crosses val="autoZero"/>
        <c:auto val="1"/>
        <c:lblAlgn val="ctr"/>
        <c:lblOffset val="200"/>
        <c:tickLblSkip val="1"/>
      </c:catAx>
      <c:valAx>
        <c:axId val="163694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4374400"/>
        <c:axId val="164375936"/>
      </c:lineChart>
      <c:catAx>
        <c:axId val="16437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75936"/>
        <c:crosses val="autoZero"/>
        <c:auto val="1"/>
        <c:lblAlgn val="ctr"/>
        <c:lblOffset val="100"/>
      </c:catAx>
      <c:valAx>
        <c:axId val="16437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51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392320"/>
        <c:axId val="164410496"/>
      </c:lineChart>
      <c:catAx>
        <c:axId val="16439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10496"/>
        <c:crosses val="autoZero"/>
        <c:auto val="1"/>
        <c:lblAlgn val="ctr"/>
        <c:lblOffset val="100"/>
      </c:catAx>
      <c:valAx>
        <c:axId val="16441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9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2782</v>
      </c>
      <c r="F16" s="418">
        <f>('UTILITY REPORT 1'!E17*'UTILITY REPORT 1'!D17)/'UTILITY REPORT 1'!F17</f>
        <v>0.41934938892882823</v>
      </c>
      <c r="G16" s="418">
        <f>IF('Utility summery'!M20&lt;0,"0",'Utility summery'!M20)</f>
        <v>99.616000000061476</v>
      </c>
      <c r="H16" s="423">
        <v>0</v>
      </c>
      <c r="I16" s="418">
        <f>IF('UTILITY REPORT 1'!G17&lt;0,"0",'UTILITY REPORT 1'!G17)</f>
        <v>78</v>
      </c>
      <c r="J16" s="423">
        <v>0</v>
      </c>
      <c r="K16" s="417">
        <f>'UTILITY REPORT 1'!C17</f>
        <v>0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2569</v>
      </c>
      <c r="F17" s="418">
        <f>('UTILITY REPORT 1'!E18*'UTILITY REPORT 1'!D18)/'UTILITY REPORT 1'!F18</f>
        <v>0.42870766835344487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51</v>
      </c>
      <c r="J17" s="423">
        <v>0</v>
      </c>
      <c r="K17" s="417">
        <f>'UTILITY REPORT 1'!C18</f>
        <v>0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2654</v>
      </c>
      <c r="F18" s="418">
        <f>('UTILITY REPORT 1'!E19*'UTILITY REPORT 1'!D19)/'UTILITY REPORT 1'!F19</f>
        <v>0.42336850037678969</v>
      </c>
      <c r="G18" s="418">
        <f>IF('Utility summery'!M22&lt;0,"0",'Utility summery'!M22)</f>
        <v>60.191999999969269</v>
      </c>
      <c r="H18" s="423">
        <v>0</v>
      </c>
      <c r="I18" s="418">
        <f>IF('UTILITY REPORT 1'!G19&lt;0,"0",'UTILITY REPORT 1'!G19)</f>
        <v>59</v>
      </c>
      <c r="J18" s="423">
        <v>0</v>
      </c>
      <c r="K18" s="417">
        <f>'UTILITY REPORT 1'!C19</f>
        <v>0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2618</v>
      </c>
      <c r="F19" s="418">
        <f>('UTILITY REPORT 1'!E20*'UTILITY REPORT 1'!D20)/'UTILITY REPORT 1'!F20</f>
        <v>0.43370511841100079</v>
      </c>
      <c r="G19" s="418" t="str">
        <f>IF('Utility summery'!M23&lt;0,"0",'Utility summery'!M23)</f>
        <v>0</v>
      </c>
      <c r="H19" s="423">
        <v>0</v>
      </c>
      <c r="I19" s="418">
        <f>IF('UTILITY REPORT 1'!G20&lt;0,"0",'UTILITY REPORT 1'!G20)</f>
        <v>60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2737</v>
      </c>
      <c r="F20" s="418">
        <f>('UTILITY REPORT 1'!E21*'UTILITY REPORT 1'!D21)/'UTILITY REPORT 1'!F21</f>
        <v>0.43793204238217021</v>
      </c>
      <c r="G20" s="418">
        <f>IF('Utility summery'!M24&lt;0,"0",'Utility summery'!M24)</f>
        <v>521.26800000000515</v>
      </c>
      <c r="H20" s="423">
        <v>0</v>
      </c>
      <c r="I20" s="418">
        <f>IF('UTILITY REPORT 1'!G21&lt;0,"0",'UTILITY REPORT 1'!G21)</f>
        <v>68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2764</v>
      </c>
      <c r="F21" s="418">
        <f>('UTILITY REPORT 1'!E22*'UTILITY REPORT 1'!D22)/'UTILITY REPORT 1'!F22</f>
        <v>0.42095513748191027</v>
      </c>
      <c r="G21" s="418">
        <f>IF('Utility summery'!M25&lt;0,"0",'Utility summery'!M25)</f>
        <v>74.579999999987194</v>
      </c>
      <c r="H21" s="423">
        <v>0</v>
      </c>
      <c r="I21" s="418">
        <f>IF('UTILITY REPORT 1'!G22&lt;0,"0",'UTILITY REPORT 1'!G22)</f>
        <v>75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2630</v>
      </c>
      <c r="F22" s="418">
        <f>('UTILITY REPORT 1'!E23*'UTILITY REPORT 1'!D23)/'UTILITY REPORT 1'!F23</f>
        <v>0.40893916349809883</v>
      </c>
      <c r="G22" s="418">
        <f>IF('Utility summery'!M26&lt;0,"0",'Utility summery'!M26)</f>
        <v>88.088000000017942</v>
      </c>
      <c r="H22" s="423">
        <v>0</v>
      </c>
      <c r="I22" s="418">
        <f>IF('UTILITY REPORT 1'!G23&lt;0,"0",'UTILITY REPORT 1'!G23)</f>
        <v>60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2516</v>
      </c>
      <c r="F23" s="418">
        <f>('UTILITY REPORT 1'!E24*'UTILITY REPORT 1'!D24)/'UTILITY REPORT 1'!F24</f>
        <v>0.4296860095389507</v>
      </c>
      <c r="G23" s="418">
        <f>IF('Utility summery'!M27&lt;0,"0",'Utility summery'!M27)</f>
        <v>89.143999999976955</v>
      </c>
      <c r="H23" s="423">
        <v>0</v>
      </c>
      <c r="I23" s="418">
        <f>IF('UTILITY REPORT 1'!G24&lt;0,"0",'UTILITY REPORT 1'!G24)</f>
        <v>56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2755</v>
      </c>
      <c r="F24" s="418">
        <f>('UTILITY REPORT 1'!E25*'UTILITY REPORT 1'!D25)/'UTILITY REPORT 1'!F25</f>
        <v>0.44390199637023597</v>
      </c>
      <c r="G24" s="418">
        <f>IF('Utility summery'!M28&lt;0,"0",'Utility summery'!M28)</f>
        <v>81.840000000025611</v>
      </c>
      <c r="H24" s="423">
        <v>0</v>
      </c>
      <c r="I24" s="418">
        <f>IF('UTILITY REPORT 1'!G25&lt;0,"0",'UTILITY REPORT 1'!G25)</f>
        <v>59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2823</v>
      </c>
      <c r="F25" s="418">
        <f>('UTILITY REPORT 1'!E26*'UTILITY REPORT 1'!D26)/'UTILITY REPORT 1'!F26</f>
        <v>0.43341834927382217</v>
      </c>
      <c r="G25" s="418">
        <f>IF('Utility summery'!M29&lt;0,"0",'Utility summery'!M29)</f>
        <v>79.111999999982075</v>
      </c>
      <c r="H25" s="423">
        <v>0</v>
      </c>
      <c r="I25" s="418">
        <f>IF('UTILITY REPORT 1'!G26&lt;0,"0",'UTILITY REPORT 1'!G26)</f>
        <v>69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2804</v>
      </c>
      <c r="F26" s="418">
        <f>('UTILITY REPORT 1'!E27*'UTILITY REPORT 1'!D27)/'UTILITY REPORT 1'!F27</f>
        <v>0.44308844507845935</v>
      </c>
      <c r="G26" s="418">
        <f>IF('Utility summery'!M30&lt;0,"0",'Utility summery'!M30)</f>
        <v>96.624000000028175</v>
      </c>
      <c r="H26" s="423">
        <v>0</v>
      </c>
      <c r="I26" s="418">
        <f>IF('UTILITY REPORT 1'!G27&lt;0,"0",'UTILITY REPORT 1'!G27)</f>
        <v>61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2955</v>
      </c>
      <c r="F27" s="418">
        <f>('UTILITY REPORT 1'!E28*'UTILITY REPORT 1'!D28)/'UTILITY REPORT 1'!F28</f>
        <v>0.40698138747884943</v>
      </c>
      <c r="G27" s="418">
        <f>IF('Utility summery'!M31&lt;0,"0",'Utility summery'!M31)</f>
        <v>87.339999999961591</v>
      </c>
      <c r="H27" s="423">
        <v>0</v>
      </c>
      <c r="I27" s="418">
        <f>IF('UTILITY REPORT 1'!G28&lt;0,"0",'UTILITY REPORT 1'!G28)</f>
        <v>74</v>
      </c>
      <c r="J27" s="423">
        <v>0</v>
      </c>
      <c r="K27" s="417">
        <f>'UTILITY REPORT 1'!C28</f>
        <v>0</v>
      </c>
      <c r="L27" s="419" t="e">
        <f>E27*F27+G27*H27+#REF!*#REF!+I27*J27</f>
        <v>#REF!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2817</v>
      </c>
      <c r="F28" s="418">
        <f>('UTILITY REPORT 1'!E29*'UTILITY REPORT 1'!D29)/'UTILITY REPORT 1'!F29</f>
        <v>0.42095846645367407</v>
      </c>
      <c r="G28" s="418">
        <f>IF('Utility summery'!M32&lt;0,"0",'Utility summery'!M32)</f>
        <v>89.495999999984647</v>
      </c>
      <c r="H28" s="423">
        <v>0</v>
      </c>
      <c r="I28" s="418">
        <f>IF('UTILITY REPORT 1'!G29&lt;0,"0",'UTILITY REPORT 1'!G29)</f>
        <v>68</v>
      </c>
      <c r="J28" s="423">
        <v>0</v>
      </c>
      <c r="K28" s="417">
        <f>'UTILITY REPORT 1'!C29</f>
        <v>0</v>
      </c>
      <c r="L28" s="419" t="e">
        <f>E28*F28+G28*H28+#REF!*#REF!+I28*J28</f>
        <v>#REF!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2738</v>
      </c>
      <c r="F29" s="418">
        <f>('UTILITY REPORT 1'!E30*'UTILITY REPORT 1'!D30)/'UTILITY REPORT 1'!F30</f>
        <v>0.42743608473338202</v>
      </c>
      <c r="G29" s="418">
        <f>IF('Utility summery'!M33&lt;0,"0",'Utility summery'!M33)</f>
        <v>93.368000000005125</v>
      </c>
      <c r="H29" s="423">
        <v>0</v>
      </c>
      <c r="I29" s="418">
        <f>IF('UTILITY REPORT 1'!G30&lt;0,"0",'UTILITY REPORT 1'!G30)</f>
        <v>55</v>
      </c>
      <c r="J29" s="423">
        <v>0</v>
      </c>
      <c r="K29" s="417">
        <f>'UTILITY REPORT 1'!C30</f>
        <v>0</v>
      </c>
      <c r="L29" s="419" t="e">
        <f>E29*F29+G29*H29+#REF!*#REF!+I29*J29</f>
        <v>#REF!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2763</v>
      </c>
      <c r="F30" s="418">
        <f>('UTILITY REPORT 1'!E31*'UTILITY REPORT 1'!D31)/'UTILITY REPORT 1'!F31</f>
        <v>0.4167245747376041</v>
      </c>
      <c r="G30" s="418">
        <f>IF('Utility summery'!M34&lt;0,"0",'Utility summery'!M34)</f>
        <v>88.660000000038423</v>
      </c>
      <c r="H30" s="423">
        <v>0</v>
      </c>
      <c r="I30" s="418">
        <f>IF('UTILITY REPORT 1'!G31&lt;0,"0",'UTILITY REPORT 1'!G31)</f>
        <v>60</v>
      </c>
      <c r="J30" s="423">
        <v>0</v>
      </c>
      <c r="K30" s="417">
        <f>'UTILITY REPORT 1'!C31</f>
        <v>0</v>
      </c>
      <c r="L30" s="419" t="e">
        <f>E30*F30+G30*H30+#REF!*#REF!+I30*J30</f>
        <v>#REF!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87.075999999971827</v>
      </c>
      <c r="H31" s="423">
        <v>0</v>
      </c>
      <c r="I31" s="418" t="str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 t="str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240</v>
      </c>
      <c r="I2" s="462">
        <f>IF('Kit report'!X4&lt;0,"0",'Kit report'!X4)</f>
        <v>879.99999999992724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227.99999999995634</v>
      </c>
      <c r="I3" s="456">
        <f>IF('Kit report'!X5&lt;0,"0",'Kit report'!X5)</f>
        <v>580.00000000010914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240</v>
      </c>
      <c r="I4" s="456">
        <f>IF('Kit report'!X6&lt;0,"0",'Kit report'!X6)</f>
        <v>500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203.99999999986903</v>
      </c>
      <c r="I5" s="456">
        <f>IF('Kit report'!X7&lt;0,"0",'Kit report'!X7)</f>
        <v>639.99999999996362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228.00000000017462</v>
      </c>
      <c r="I6" s="456">
        <f>IF('Kit report'!X8&lt;0,"0",'Kit report'!X8)</f>
        <v>460.00000000003638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227.99999999995634</v>
      </c>
      <c r="I7" s="456">
        <f>IF('Kit report'!X9&lt;0,"0",'Kit report'!X9)</f>
        <v>559.99999999985448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540.00000000014552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600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216.00000000013097</v>
      </c>
      <c r="I10" s="456">
        <f>IF('Kit report'!X12&lt;0,"0",'Kit report'!X12)</f>
        <v>559.99999999985448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227.99999999995634</v>
      </c>
      <c r="I11" s="456">
        <f>IF('Kit report'!X13&lt;0,"0",'Kit report'!X13)</f>
        <v>360.00000000003638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240</v>
      </c>
      <c r="I12" s="456">
        <f>IF('Kit report'!X14&lt;0,"0",'Kit report'!X14)</f>
        <v>0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215.99999999991269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 t="str">
        <f>IF('Kit report'!F16&lt;0,"0",'Kit report'!F16)</f>
        <v>0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455.99999999991269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219.1</v>
      </c>
      <c r="F16" s="456">
        <f>'UTILITY REPORT 1'!E17</f>
        <v>1166.6300000000001</v>
      </c>
      <c r="G16" s="457">
        <f>'UTILITY REPORT 1'!F17</f>
        <v>2782</v>
      </c>
      <c r="H16" s="456">
        <f>IF('Kit report'!F18&lt;0,"0",'Kit report'!F18)</f>
        <v>287.99999999995634</v>
      </c>
      <c r="I16" s="456">
        <f>IF('Kit report'!X18&lt;0,"0",'Kit report'!X18)</f>
        <v>460.00000000003638</v>
      </c>
      <c r="J16" s="456">
        <f>IF('Utility summery'!H20&lt;0,"0",'Utility summery'!H20)</f>
        <v>65</v>
      </c>
      <c r="K16" s="457">
        <f>IF('UTILITY REPORT 1'!H17&lt;0,"0",'UTILITY REPORT 1'!H17)</f>
        <v>45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17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43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103.14</v>
      </c>
      <c r="F17" s="456">
        <f>'UTILITY REPORT 1'!E18</f>
        <v>1101.3499999999999</v>
      </c>
      <c r="G17" s="457">
        <f>'UTILITY REPORT 1'!F18</f>
        <v>2569</v>
      </c>
      <c r="H17" s="456">
        <f>IF('Kit report'!F19&lt;0,"0",'Kit report'!F19)</f>
        <v>276.00000000013097</v>
      </c>
      <c r="I17" s="456">
        <f>IF('Kit report'!X19&lt;0,"0",'Kit report'!X19)</f>
        <v>179.99999999992724</v>
      </c>
      <c r="J17" s="456">
        <f>IF('Utility summery'!H21&lt;0,"0",'Utility summery'!H21)</f>
        <v>64</v>
      </c>
      <c r="K17" s="457">
        <f>IF('UTILITY REPORT 1'!H18&lt;0,"0",'UTILITY REPORT 1'!H18)</f>
        <v>47</v>
      </c>
      <c r="L17" s="456">
        <f>'Water-Meter'!K21</f>
        <v>1</v>
      </c>
      <c r="M17" s="457">
        <f>'Water-Meter'!H21</f>
        <v>0</v>
      </c>
      <c r="N17" s="457">
        <f>'Water-Meter'!Q21</f>
        <v>4</v>
      </c>
      <c r="O17" s="456" t="e">
        <f>K17*E17+H17*I17+#REF!*#REF!+J17*L17</f>
        <v>#REF!</v>
      </c>
      <c r="P17" s="462">
        <f>'Water-Meter'!E21</f>
        <v>51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18</v>
      </c>
      <c r="U17" s="242">
        <f>IF('Water-Meter'!AG21&lt;0,"0",'Water-Meter'!AG21)</f>
        <v>0</v>
      </c>
      <c r="V17" s="242">
        <f>IF('Water-Meter'!AJ21&lt;0,"0",'Water-Meter'!AJ21)</f>
        <v>26</v>
      </c>
      <c r="W17" s="30">
        <f>'Water-Meter'!AN21</f>
        <v>44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1123.6199999999999</v>
      </c>
      <c r="G18" s="457">
        <f>'UTILITY REPORT 1'!F19</f>
        <v>2654</v>
      </c>
      <c r="H18" s="456">
        <f>IF('Kit report'!F20&lt;0,"0",'Kit report'!F20)</f>
        <v>227.99999999995634</v>
      </c>
      <c r="I18" s="456">
        <f>IF('Kit report'!X20&lt;0,"0",'Kit report'!X20)</f>
        <v>380.00000000010914</v>
      </c>
      <c r="J18" s="456">
        <f>IF('Utility summery'!H22&lt;0,"0",'Utility summery'!H22)</f>
        <v>64</v>
      </c>
      <c r="K18" s="457">
        <f>IF('UTILITY REPORT 1'!H19&lt;0,"0",'UTILITY REPORT 1'!H19)</f>
        <v>33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59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25</v>
      </c>
      <c r="W18" s="30">
        <f>'Water-Meter'!AN22</f>
        <v>42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1135.44</v>
      </c>
      <c r="G19" s="457">
        <f>'UTILITY REPORT 1'!F20</f>
        <v>2618</v>
      </c>
      <c r="H19" s="456">
        <f>IF('Kit report'!F21&lt;0,"0",'Kit report'!F21)</f>
        <v>240</v>
      </c>
      <c r="I19" s="456">
        <f>IF('Kit report'!X21&lt;0,"0",'Kit report'!X21)</f>
        <v>319.99999999989086</v>
      </c>
      <c r="J19" s="456">
        <f>IF('Utility summery'!H23&lt;0,"0",'Utility summery'!H23)</f>
        <v>39</v>
      </c>
      <c r="K19" s="457">
        <f>IF('UTILITY REPORT 1'!H20&lt;0,"0",'UTILITY REPORT 1'!H20)</f>
        <v>121</v>
      </c>
      <c r="L19" s="456">
        <f>'Water-Meter'!K23</f>
        <v>1</v>
      </c>
      <c r="M19" s="457">
        <f>'Water-Meter'!H23</f>
        <v>0</v>
      </c>
      <c r="N19" s="457">
        <f>'Water-Meter'!Q23</f>
        <v>5</v>
      </c>
      <c r="O19" s="456" t="e">
        <f>K19*E19+H19*I19+#REF!*#REF!+J19*L19</f>
        <v>#REF!</v>
      </c>
      <c r="P19" s="462">
        <f>'Water-Meter'!E23</f>
        <v>60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26</v>
      </c>
      <c r="W19" s="30">
        <f>'Water-Meter'!AN23</f>
        <v>43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92</v>
      </c>
      <c r="F20" s="456">
        <f>'UTILITY REPORT 1'!E21</f>
        <v>1198.6199999999999</v>
      </c>
      <c r="G20" s="457">
        <f>'UTILITY REPORT 1'!F21</f>
        <v>2737</v>
      </c>
      <c r="H20" s="456">
        <f>IF('Kit report'!F22&lt;0,"0",'Kit report'!F22)</f>
        <v>240</v>
      </c>
      <c r="I20" s="456">
        <f>IF('Kit report'!X22&lt;0,"0",'Kit report'!X22)</f>
        <v>380.00000000010914</v>
      </c>
      <c r="J20" s="456">
        <f>IF('Utility summery'!H24&lt;0,"0",'Utility summery'!H24)</f>
        <v>42</v>
      </c>
      <c r="K20" s="457">
        <f>IF('UTILITY REPORT 1'!H21&lt;0,"0",'UTILITY REPORT 1'!H21)</f>
        <v>54</v>
      </c>
      <c r="L20" s="456">
        <f>'Water-Meter'!K24</f>
        <v>13</v>
      </c>
      <c r="M20" s="457">
        <f>'Water-Meter'!H24</f>
        <v>0</v>
      </c>
      <c r="N20" s="457">
        <f>'Water-Meter'!Q24</f>
        <v>3</v>
      </c>
      <c r="O20" s="456" t="e">
        <f>K20*E20+H20*I20+#REF!*#REF!+J20*L20</f>
        <v>#REF!</v>
      </c>
      <c r="P20" s="462">
        <f>'Water-Meter'!E24</f>
        <v>68</v>
      </c>
      <c r="Q20" s="242">
        <f>IF('Water-Meter'!U24&lt;0,"0",'Water-Meter'!U24)</f>
        <v>71</v>
      </c>
      <c r="R20" s="242">
        <f>IF('Water-Meter'!X24&lt;0,"0",'Water-Meter'!X24)</f>
        <v>0</v>
      </c>
      <c r="S20" s="242" t="str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25</v>
      </c>
      <c r="W20" s="30">
        <f>'Water-Meter'!AN24</f>
        <v>112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628.11</v>
      </c>
      <c r="F21" s="456">
        <f>'UTILITY REPORT 1'!E22</f>
        <v>1163.52</v>
      </c>
      <c r="G21" s="457">
        <f>'UTILITY REPORT 1'!F22</f>
        <v>2764</v>
      </c>
      <c r="H21" s="456">
        <f>IF('Kit report'!F23&lt;0,"0",'Kit report'!F23)</f>
        <v>240</v>
      </c>
      <c r="I21" s="456">
        <f>IF('Kit report'!X23&lt;0,"0",'Kit report'!X23)</f>
        <v>259.99999999985448</v>
      </c>
      <c r="J21" s="456">
        <f>IF('Utility summery'!H25&lt;0,"0",'Utility summery'!H25)</f>
        <v>54</v>
      </c>
      <c r="K21" s="457">
        <f>IF('UTILITY REPORT 1'!H22&lt;0,"0",'UTILITY REPORT 1'!H22)</f>
        <v>79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75</v>
      </c>
      <c r="Q21" s="242">
        <f>IF('Water-Meter'!U25&lt;0,"0",'Water-Meter'!U25)</f>
        <v>91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17</v>
      </c>
      <c r="U21" s="242">
        <f>IF('Water-Meter'!AG25&lt;0,"0",'Water-Meter'!AG25)</f>
        <v>0</v>
      </c>
      <c r="V21" s="242">
        <f>IF('Water-Meter'!AJ25&lt;0,"0",'Water-Meter'!AJ25)</f>
        <v>26</v>
      </c>
      <c r="W21" s="30">
        <f>'Water-Meter'!AN25</f>
        <v>134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1075.51</v>
      </c>
      <c r="G22" s="457">
        <f>'UTILITY REPORT 1'!F23</f>
        <v>2630</v>
      </c>
      <c r="H22" s="456">
        <f>IF('Kit report'!F24&lt;0,"0",'Kit report'!F24)</f>
        <v>227.99999999995634</v>
      </c>
      <c r="I22" s="456">
        <f>IF('Kit report'!X24&lt;0,"0",'Kit report'!X24)</f>
        <v>260.00000000003638</v>
      </c>
      <c r="J22" s="456">
        <f>IF('Utility summery'!H26&lt;0,"0",'Utility summery'!H26)</f>
        <v>24</v>
      </c>
      <c r="K22" s="457">
        <f>IF('UTILITY REPORT 1'!H23&lt;0,"0",'UTILITY REPORT 1'!H23)</f>
        <v>117</v>
      </c>
      <c r="L22" s="456">
        <f>'Water-Meter'!K26</f>
        <v>1</v>
      </c>
      <c r="M22" s="457">
        <f>'Water-Meter'!H26</f>
        <v>0</v>
      </c>
      <c r="N22" s="457">
        <f>'Water-Meter'!Q26</f>
        <v>9</v>
      </c>
      <c r="O22" s="456" t="e">
        <f>K22*E22+H22*I22+#REF!*#REF!+J22*L22</f>
        <v>#REF!</v>
      </c>
      <c r="P22" s="462">
        <f>'Water-Meter'!E26</f>
        <v>60</v>
      </c>
      <c r="Q22" s="242">
        <f>IF('Water-Meter'!U26&lt;0,"0",'Water-Meter'!U26)</f>
        <v>83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16</v>
      </c>
      <c r="U22" s="242">
        <f>IF('Water-Meter'!AG26&lt;0,"0",'Water-Meter'!AG26)</f>
        <v>0</v>
      </c>
      <c r="V22" s="242">
        <f>IF('Water-Meter'!AJ26&lt;0,"0",'Water-Meter'!AJ26)</f>
        <v>26</v>
      </c>
      <c r="W22" s="30">
        <f>'Water-Meter'!AN26</f>
        <v>125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234.67000000000002</v>
      </c>
      <c r="F23" s="456">
        <f>'UTILITY REPORT 1'!E24</f>
        <v>1081.0899999999999</v>
      </c>
      <c r="G23" s="457">
        <f>'UTILITY REPORT 1'!F24</f>
        <v>2516</v>
      </c>
      <c r="H23" s="456">
        <f>IF('Kit report'!F25&lt;0,"0",'Kit report'!F25)</f>
        <v>240</v>
      </c>
      <c r="I23" s="456">
        <f>IF('Kit report'!X25&lt;0,"0",'Kit report'!X25)</f>
        <v>339.99999999996362</v>
      </c>
      <c r="J23" s="456">
        <f>IF('Utility summery'!H27&lt;0,"0",'Utility summery'!H27)</f>
        <v>57</v>
      </c>
      <c r="K23" s="457">
        <f>IF('UTILITY REPORT 1'!H24&lt;0,"0",'UTILITY REPORT 1'!H24)</f>
        <v>0</v>
      </c>
      <c r="L23" s="456">
        <f>'Water-Meter'!K27</f>
        <v>3</v>
      </c>
      <c r="M23" s="457">
        <f>'Water-Meter'!H27</f>
        <v>0</v>
      </c>
      <c r="N23" s="457">
        <f>'Water-Meter'!Q27</f>
        <v>2</v>
      </c>
      <c r="O23" s="456" t="e">
        <f>K23*E23+H23*I23+#REF!*#REF!+J23*L23</f>
        <v>#REF!</v>
      </c>
      <c r="P23" s="462">
        <f>'Water-Meter'!E27</f>
        <v>56</v>
      </c>
      <c r="Q23" s="242">
        <f>IF('Water-Meter'!U27&lt;0,"0",'Water-Meter'!U27)</f>
        <v>83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11</v>
      </c>
      <c r="U23" s="242">
        <f>IF('Water-Meter'!AG27&lt;0,"0",'Water-Meter'!AG27)</f>
        <v>0</v>
      </c>
      <c r="V23" s="242">
        <f>IF('Water-Meter'!AJ27&lt;0,"0",'Water-Meter'!AJ27)</f>
        <v>23</v>
      </c>
      <c r="W23" s="30">
        <f>'Water-Meter'!AN27</f>
        <v>117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1222.95</v>
      </c>
      <c r="G24" s="457">
        <f>'UTILITY REPORT 1'!F25</f>
        <v>2755</v>
      </c>
      <c r="H24" s="456">
        <f>IF('Kit report'!F26&lt;0,"0",'Kit report'!F26)</f>
        <v>240</v>
      </c>
      <c r="I24" s="456">
        <f>IF('Kit report'!X26&lt;0,"0",'Kit report'!X26)</f>
        <v>240.00000000014552</v>
      </c>
      <c r="J24" s="456">
        <f>IF('Utility summery'!H28&lt;0,"0",'Utility summery'!H28)</f>
        <v>58</v>
      </c>
      <c r="K24" s="457">
        <f>IF('UTILITY REPORT 1'!H25&lt;0,"0",'UTILITY REPORT 1'!H25)</f>
        <v>160</v>
      </c>
      <c r="L24" s="456">
        <f>'Water-Meter'!K28</f>
        <v>1</v>
      </c>
      <c r="M24" s="457">
        <f>'Water-Meter'!H28</f>
        <v>0</v>
      </c>
      <c r="N24" s="457">
        <f>'Water-Meter'!Q28</f>
        <v>4</v>
      </c>
      <c r="O24" s="456" t="e">
        <f>K24*E24+H24*I24+#REF!*#REF!+J24*L24</f>
        <v>#REF!</v>
      </c>
      <c r="P24" s="462">
        <f>'Water-Meter'!E28</f>
        <v>59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24</v>
      </c>
      <c r="W24" s="30">
        <f>'Water-Meter'!AN28</f>
        <v>122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37.9</v>
      </c>
      <c r="F25" s="456">
        <f>'UTILITY REPORT 1'!E26</f>
        <v>1223.54</v>
      </c>
      <c r="G25" s="457">
        <f>'UTILITY REPORT 1'!F26</f>
        <v>2823</v>
      </c>
      <c r="H25" s="456">
        <f>IF('Kit report'!F27&lt;0,"0",'Kit report'!F27)</f>
        <v>240</v>
      </c>
      <c r="I25" s="456">
        <f>IF('Kit report'!X27&lt;0,"0",'Kit report'!X27)</f>
        <v>459.99999999985448</v>
      </c>
      <c r="J25" s="456">
        <f>IF('Utility summery'!H29&lt;0,"0",'Utility summery'!H29)</f>
        <v>59</v>
      </c>
      <c r="K25" s="457">
        <f>IF('UTILITY REPORT 1'!H26&lt;0,"0",'UTILITY REPORT 1'!H26)</f>
        <v>38</v>
      </c>
      <c r="L25" s="456">
        <f>'Water-Meter'!K29</f>
        <v>2</v>
      </c>
      <c r="M25" s="457">
        <f>'Water-Meter'!H29</f>
        <v>0</v>
      </c>
      <c r="N25" s="457">
        <f>'Water-Meter'!Q29</f>
        <v>4</v>
      </c>
      <c r="O25" s="456" t="e">
        <f>K25*E25+H25*I25+#REF!*#REF!+J25*L25</f>
        <v>#REF!</v>
      </c>
      <c r="P25" s="462">
        <f>'Water-Meter'!E29</f>
        <v>69</v>
      </c>
      <c r="Q25" s="242">
        <f>IF('Water-Meter'!U29&lt;0,"0",'Water-Meter'!U29)</f>
        <v>83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16</v>
      </c>
      <c r="U25" s="242">
        <f>IF('Water-Meter'!AG29&lt;0,"0",'Water-Meter'!AG29)</f>
        <v>0</v>
      </c>
      <c r="V25" s="242">
        <f>IF('Water-Meter'!AJ29&lt;0,"0",'Water-Meter'!AJ29)</f>
        <v>25</v>
      </c>
      <c r="W25" s="30">
        <f>'Water-Meter'!AN29</f>
        <v>124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125.51</v>
      </c>
      <c r="F26" s="456">
        <f>'UTILITY REPORT 1'!E27</f>
        <v>1242.42</v>
      </c>
      <c r="G26" s="457">
        <f>'UTILITY REPORT 1'!F27</f>
        <v>2804</v>
      </c>
      <c r="H26" s="456">
        <f>IF('Kit report'!F28&lt;0,"0",'Kit report'!F28)</f>
        <v>264.00000000008731</v>
      </c>
      <c r="I26" s="456">
        <f>IF('Kit report'!X28&lt;0,"0",'Kit report'!X28)</f>
        <v>100</v>
      </c>
      <c r="J26" s="456">
        <f>IF('Utility summery'!H30&lt;0,"0",'Utility summery'!H30)</f>
        <v>57</v>
      </c>
      <c r="K26" s="457">
        <f>IF('UTILITY REPORT 1'!H27&lt;0,"0",'UTILITY REPORT 1'!H27)</f>
        <v>48</v>
      </c>
      <c r="L26" s="456">
        <f>'Water-Meter'!K30</f>
        <v>1</v>
      </c>
      <c r="M26" s="457">
        <f>'Water-Meter'!H30</f>
        <v>0</v>
      </c>
      <c r="N26" s="457">
        <f>'Water-Meter'!Q30</f>
        <v>6</v>
      </c>
      <c r="O26" s="456" t="e">
        <f>K26*E26+H26*I26+#REF!*#REF!+J26*L26</f>
        <v>#REF!</v>
      </c>
      <c r="P26" s="462">
        <f>'Water-Meter'!E30</f>
        <v>61</v>
      </c>
      <c r="Q26" s="242">
        <f>IF('Water-Meter'!U30&lt;0,"0",'Water-Meter'!U30)</f>
        <v>79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17</v>
      </c>
      <c r="U26" s="242">
        <f>IF('Water-Meter'!AG30&lt;0,"0",'Water-Meter'!AG30)</f>
        <v>0</v>
      </c>
      <c r="V26" s="242">
        <f>IF('Water-Meter'!AJ30&lt;0,"0",'Water-Meter'!AJ30)</f>
        <v>26</v>
      </c>
      <c r="W26" s="30">
        <f>'Water-Meter'!AN30</f>
        <v>122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38.6</v>
      </c>
      <c r="F27" s="456">
        <f>'UTILITY REPORT 1'!E28</f>
        <v>1202.6300000000001</v>
      </c>
      <c r="G27" s="457">
        <f>'UTILITY REPORT 1'!F28</f>
        <v>2955</v>
      </c>
      <c r="H27" s="456">
        <f>IF('Kit report'!F29&lt;0,"0",'Kit report'!F29)</f>
        <v>240</v>
      </c>
      <c r="I27" s="456">
        <f>IF('Kit report'!X29&lt;0,"0",'Kit report'!X29)</f>
        <v>340.00000000014552</v>
      </c>
      <c r="J27" s="456">
        <f>IF('Utility summery'!H31&lt;0,"0",'Utility summery'!H31)</f>
        <v>8</v>
      </c>
      <c r="K27" s="457">
        <f>IF('UTILITY REPORT 1'!H28&lt;0,"0",'UTILITY REPORT 1'!H28)</f>
        <v>50</v>
      </c>
      <c r="L27" s="456">
        <f>'Water-Meter'!K31</f>
        <v>2</v>
      </c>
      <c r="M27" s="457">
        <f>'Water-Meter'!H31</f>
        <v>0</v>
      </c>
      <c r="N27" s="457">
        <f>'Water-Meter'!Q31</f>
        <v>5</v>
      </c>
      <c r="O27" s="456" t="e">
        <f>K27*E27+H27*I27+#REF!*#REF!+J27*L27</f>
        <v>#REF!</v>
      </c>
      <c r="P27" s="462">
        <f>'Water-Meter'!E31</f>
        <v>74</v>
      </c>
      <c r="Q27" s="242">
        <f>IF('Water-Meter'!U31&lt;0,"0",'Water-Meter'!U31)</f>
        <v>2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21</v>
      </c>
      <c r="U27" s="242">
        <f>IF('Water-Meter'!AG31&lt;0,"0",'Water-Meter'!AG31)</f>
        <v>0</v>
      </c>
      <c r="V27" s="242">
        <f>IF('Water-Meter'!AJ31&lt;0,"0",'Water-Meter'!AJ31)</f>
        <v>29</v>
      </c>
      <c r="W27" s="30">
        <f>'Water-Meter'!AN31</f>
        <v>52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142</v>
      </c>
      <c r="F28" s="456">
        <f>'UTILITY REPORT 1'!E29</f>
        <v>1185.8399999999999</v>
      </c>
      <c r="G28" s="457">
        <f>'UTILITY REPORT 1'!F29</f>
        <v>2817</v>
      </c>
      <c r="H28" s="456">
        <f>IF('Kit report'!F30&lt;0,"0",'Kit report'!F30)</f>
        <v>252.00000000004366</v>
      </c>
      <c r="I28" s="456">
        <f>IF('Kit report'!X30&lt;0,"0",'Kit report'!X30)</f>
        <v>259.99999999985448</v>
      </c>
      <c r="J28" s="456">
        <f>IF('Utility summery'!H32&lt;0,"0",'Utility summery'!H32)</f>
        <v>36</v>
      </c>
      <c r="K28" s="457">
        <f>IF('UTILITY REPORT 1'!H29&lt;0,"0",'UTILITY REPORT 1'!H29)</f>
        <v>46</v>
      </c>
      <c r="L28" s="456">
        <f>'Water-Meter'!K32</f>
        <v>2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68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16</v>
      </c>
      <c r="U28" s="242">
        <f>IF('Water-Meter'!AG32&lt;0,"0",'Water-Meter'!AG32)</f>
        <v>0</v>
      </c>
      <c r="V28" s="242">
        <f>IF('Water-Meter'!AJ32&lt;0,"0",'Water-Meter'!AJ32)</f>
        <v>26</v>
      </c>
      <c r="W28" s="30">
        <f>'Water-Meter'!AN32</f>
        <v>42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1170.32</v>
      </c>
      <c r="G29" s="457">
        <f>'UTILITY REPORT 1'!F30</f>
        <v>2738</v>
      </c>
      <c r="H29" s="456">
        <f>IF('Kit report'!F31&lt;0,"0",'Kit report'!F31)</f>
        <v>240</v>
      </c>
      <c r="I29" s="456">
        <f>IF('Kit report'!X31&lt;0,"0",'Kit report'!X31)</f>
        <v>400</v>
      </c>
      <c r="J29" s="456">
        <f>IF('Utility summery'!H33&lt;0,"0",'Utility summery'!H33)</f>
        <v>26</v>
      </c>
      <c r="K29" s="457">
        <f>IF('UTILITY REPORT 1'!H30&lt;0,"0",'UTILITY REPORT 1'!H30)</f>
        <v>42</v>
      </c>
      <c r="L29" s="456">
        <f>'Water-Meter'!K33</f>
        <v>2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55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17</v>
      </c>
      <c r="U29" s="242">
        <f>IF('Water-Meter'!AG33&lt;0,"0",'Water-Meter'!AG33)</f>
        <v>0</v>
      </c>
      <c r="V29" s="242">
        <f>IF('Water-Meter'!AJ33&lt;0,"0",'Water-Meter'!AJ33)</f>
        <v>26</v>
      </c>
      <c r="W29" s="30">
        <f>'Water-Meter'!AN33</f>
        <v>43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42.62</v>
      </c>
      <c r="F30" s="456">
        <f>'UTILITY REPORT 1'!E31</f>
        <v>1151.4100000000001</v>
      </c>
      <c r="G30" s="457">
        <f>'UTILITY REPORT 1'!F31</f>
        <v>2763</v>
      </c>
      <c r="H30" s="456">
        <f>IF('Kit report'!F32&lt;0,"0",'Kit report'!F32)</f>
        <v>240</v>
      </c>
      <c r="I30" s="456">
        <f>IF('Kit report'!X32&lt;0,"0",'Kit report'!X32)</f>
        <v>300</v>
      </c>
      <c r="J30" s="456">
        <f>IF('Utility summery'!H34&lt;0,"0",'Utility summery'!H34)</f>
        <v>35</v>
      </c>
      <c r="K30" s="457">
        <f>IF('UTILITY REPORT 1'!H31&lt;0,"0",'UTILITY REPORT 1'!H31)</f>
        <v>157</v>
      </c>
      <c r="L30" s="456">
        <f>'Water-Meter'!K34</f>
        <v>1</v>
      </c>
      <c r="M30" s="457">
        <f>'Water-Meter'!H34</f>
        <v>0</v>
      </c>
      <c r="N30" s="457">
        <f>'Water-Meter'!Q34</f>
        <v>14</v>
      </c>
      <c r="O30" s="456" t="e">
        <f>K30*E30+H30*I30+#REF!*#REF!+J30*L30</f>
        <v>#REF!</v>
      </c>
      <c r="P30" s="462">
        <f>'Water-Meter'!E34</f>
        <v>60</v>
      </c>
      <c r="Q30" s="242">
        <f>IF('Water-Meter'!U34&lt;0,"0",'Water-Meter'!U34)</f>
        <v>87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17</v>
      </c>
      <c r="U30" s="242">
        <f>IF('Water-Meter'!AG34&lt;0,"0",'Water-Meter'!AG34)</f>
        <v>0</v>
      </c>
      <c r="V30" s="242">
        <f>IF('Water-Meter'!AJ34&lt;0,"0",'Water-Meter'!AJ34)</f>
        <v>24</v>
      </c>
      <c r="W30" s="30">
        <f>'Water-Meter'!AN34</f>
        <v>128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 t="str">
        <f>IF('Kit report'!F33&lt;0,"0",'Kit report'!F33)</f>
        <v>0</v>
      </c>
      <c r="I31" s="456" t="str">
        <f>IF('Kit report'!X33&lt;0,"0",'Kit report'!X33)</f>
        <v>0</v>
      </c>
      <c r="J31" s="456" t="str">
        <f>IF('Utility summery'!H35&lt;0,"0",'Utility summery'!H35)</f>
        <v>0</v>
      </c>
      <c r="K31" s="457" t="str">
        <f>IF('UTILITY REPORT 1'!H32&lt;0,"0",'UTILITY REPORT 1'!H32)</f>
        <v>0</v>
      </c>
      <c r="L31" s="456" t="str">
        <f>'Water-Meter'!K35</f>
        <v>0</v>
      </c>
      <c r="M31" s="457">
        <f>'Water-Meter'!H35</f>
        <v>0</v>
      </c>
      <c r="N31" s="457" t="str">
        <f>'Water-Meter'!Q35</f>
        <v>0</v>
      </c>
      <c r="O31" s="456" t="e">
        <f>K31*E31+H31*I31+#REF!*#REF!+J31*L31</f>
        <v>#REF!</v>
      </c>
      <c r="P31" s="462" t="str">
        <f>'Water-Meter'!E35</f>
        <v>0</v>
      </c>
      <c r="Q31" s="242" t="str">
        <f>IF('Water-Meter'!U35&lt;0,"0",'Water-Meter'!U35)</f>
        <v>0</v>
      </c>
      <c r="R31" s="242" t="str">
        <f>IF('Water-Meter'!X35&lt;0,"0",'Water-Meter'!X35)</f>
        <v>0</v>
      </c>
      <c r="S31" s="242" t="str">
        <f>IF('Water-Meter'!AA35&lt;0,"0",'Water-Meter'!AA35)</f>
        <v>0</v>
      </c>
      <c r="T31" s="242" t="str">
        <f>IF('Water-Meter'!AD35&lt;0,"0",'Water-Meter'!AD35)</f>
        <v>0</v>
      </c>
      <c r="U31" s="242" t="str">
        <f>IF('Water-Meter'!AG35&lt;0,"0",'Water-Meter'!AG35)</f>
        <v>0</v>
      </c>
      <c r="V31" s="242" t="str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7" t="s">
        <v>314</v>
      </c>
      <c r="B1" s="837"/>
      <c r="C1" s="837"/>
      <c r="D1" s="837"/>
      <c r="E1" s="837"/>
      <c r="F1" s="837"/>
      <c r="G1" s="837"/>
      <c r="H1" s="837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0.11700000000000001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0.16900000000000001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2.5999999999999999E-2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3.9E-2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5.1999999999999998E-2</v>
      </c>
      <c r="C17" s="405">
        <f>'Summery Report'!E19</f>
        <v>0</v>
      </c>
      <c r="D17" s="406">
        <v>1</v>
      </c>
      <c r="E17" s="405">
        <f>Gen!S25</f>
        <v>1166.6300000000001</v>
      </c>
      <c r="F17" s="405">
        <f>Gen!T25</f>
        <v>2782</v>
      </c>
      <c r="G17" s="405">
        <f>'Water-Meter'!E20</f>
        <v>78</v>
      </c>
      <c r="H17" s="405">
        <f>'Utility report '!AC20</f>
        <v>45</v>
      </c>
      <c r="I17" s="405">
        <f>Gen!AJ25</f>
        <v>219.1</v>
      </c>
    </row>
    <row r="18" spans="1:9" ht="13.5">
      <c r="A18" s="402">
        <f>Gen!A26</f>
        <v>44212</v>
      </c>
      <c r="B18" s="404">
        <f>Gen!B26</f>
        <v>1.2999999999999999E-2</v>
      </c>
      <c r="C18" s="405">
        <f>'Summery Report'!E20</f>
        <v>0</v>
      </c>
      <c r="D18" s="406">
        <v>1</v>
      </c>
      <c r="E18" s="405">
        <f>Gen!S26</f>
        <v>1101.3499999999999</v>
      </c>
      <c r="F18" s="405">
        <f>Gen!T26</f>
        <v>2569</v>
      </c>
      <c r="G18" s="405">
        <f>'Water-Meter'!E21</f>
        <v>51</v>
      </c>
      <c r="H18" s="405">
        <f>'Utility report '!AC21</f>
        <v>47</v>
      </c>
      <c r="I18" s="405">
        <f>Gen!AJ26</f>
        <v>103.14</v>
      </c>
    </row>
    <row r="19" spans="1:9" ht="13.5">
      <c r="A19" s="402">
        <f>Gen!A27</f>
        <v>44213</v>
      </c>
      <c r="B19" s="404">
        <f>Gen!B27</f>
        <v>7.8E-2</v>
      </c>
      <c r="C19" s="405">
        <f>'Summery Report'!E21</f>
        <v>0</v>
      </c>
      <c r="D19" s="406">
        <v>1</v>
      </c>
      <c r="E19" s="405">
        <f>Gen!S27</f>
        <v>1123.6199999999999</v>
      </c>
      <c r="F19" s="405">
        <f>Gen!T27</f>
        <v>2654</v>
      </c>
      <c r="G19" s="405">
        <f>'Water-Meter'!E22</f>
        <v>59</v>
      </c>
      <c r="H19" s="405">
        <f>'Utility report '!AC22</f>
        <v>33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9.0999999999999998E-2</v>
      </c>
      <c r="C20" s="405">
        <f>'Summery Report'!E22</f>
        <v>0</v>
      </c>
      <c r="D20" s="406">
        <v>1</v>
      </c>
      <c r="E20" s="405">
        <f>Gen!S28</f>
        <v>1135.44</v>
      </c>
      <c r="F20" s="405">
        <f>Gen!T28</f>
        <v>2618</v>
      </c>
      <c r="G20" s="405">
        <f>'Water-Meter'!E23</f>
        <v>60</v>
      </c>
      <c r="H20" s="405">
        <f>'Utility report '!AC23</f>
        <v>121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0.13</v>
      </c>
      <c r="C21" s="405">
        <f>'Summery Report'!E23</f>
        <v>0</v>
      </c>
      <c r="D21" s="406">
        <v>1</v>
      </c>
      <c r="E21" s="405">
        <f>Gen!S29</f>
        <v>1198.6199999999999</v>
      </c>
      <c r="F21" s="405">
        <f>Gen!T29</f>
        <v>2737</v>
      </c>
      <c r="G21" s="405">
        <f>'Water-Meter'!E24</f>
        <v>68</v>
      </c>
      <c r="H21" s="405">
        <f>'Utility report '!AC24</f>
        <v>54</v>
      </c>
      <c r="I21" s="405">
        <f>Gen!AJ29</f>
        <v>92</v>
      </c>
    </row>
    <row r="22" spans="1:9" ht="13.5">
      <c r="A22" s="402">
        <f>Gen!A30</f>
        <v>44216</v>
      </c>
      <c r="B22" s="404">
        <f>Gen!B30</f>
        <v>6.5000000000000002E-2</v>
      </c>
      <c r="C22" s="405">
        <f>'Summery Report'!E24</f>
        <v>0</v>
      </c>
      <c r="D22" s="406">
        <v>1</v>
      </c>
      <c r="E22" s="405">
        <f>Gen!S30</f>
        <v>1163.52</v>
      </c>
      <c r="F22" s="405">
        <f>Gen!T30</f>
        <v>2764</v>
      </c>
      <c r="G22" s="405">
        <f>'Water-Meter'!E25</f>
        <v>75</v>
      </c>
      <c r="H22" s="405">
        <f>'Utility report '!AC25</f>
        <v>79</v>
      </c>
      <c r="I22" s="405">
        <f>Gen!AJ30</f>
        <v>628.11</v>
      </c>
    </row>
    <row r="23" spans="1:9" ht="13.5">
      <c r="A23" s="402">
        <f>Gen!A31</f>
        <v>44217</v>
      </c>
      <c r="B23" s="404">
        <f>Gen!B31</f>
        <v>5.1999999999999998E-2</v>
      </c>
      <c r="C23" s="405">
        <f>'Summery Report'!E25</f>
        <v>0</v>
      </c>
      <c r="D23" s="406">
        <v>1</v>
      </c>
      <c r="E23" s="405">
        <f>Gen!S31</f>
        <v>1075.51</v>
      </c>
      <c r="F23" s="405">
        <f>Gen!T31</f>
        <v>2630</v>
      </c>
      <c r="G23" s="405">
        <f>'Water-Meter'!E26</f>
        <v>60</v>
      </c>
      <c r="H23" s="405">
        <f>'Utility report '!AC26</f>
        <v>117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2.5999999999999999E-2</v>
      </c>
      <c r="C24" s="405">
        <f>'Summery Report'!E26</f>
        <v>0</v>
      </c>
      <c r="D24" s="406">
        <v>1</v>
      </c>
      <c r="E24" s="405">
        <f>Gen!S32</f>
        <v>1081.0899999999999</v>
      </c>
      <c r="F24" s="405">
        <f>Gen!T32</f>
        <v>2516</v>
      </c>
      <c r="G24" s="405">
        <f>'Water-Meter'!E27</f>
        <v>56</v>
      </c>
      <c r="H24" s="405">
        <f>'Utility report '!AC27</f>
        <v>0</v>
      </c>
      <c r="I24" s="405">
        <f>Gen!AJ32</f>
        <v>234.67000000000002</v>
      </c>
    </row>
    <row r="25" spans="1:9" ht="13.5">
      <c r="A25" s="402">
        <f>Gen!A33</f>
        <v>44219</v>
      </c>
      <c r="B25" s="404">
        <f>Gen!B33</f>
        <v>3.9E-2</v>
      </c>
      <c r="C25" s="405">
        <f>'Summery Report'!E27</f>
        <v>0</v>
      </c>
      <c r="D25" s="406">
        <v>1</v>
      </c>
      <c r="E25" s="405">
        <f>Gen!S33</f>
        <v>1222.95</v>
      </c>
      <c r="F25" s="405">
        <f>Gen!T33</f>
        <v>2755</v>
      </c>
      <c r="G25" s="405">
        <f>'Water-Meter'!E28</f>
        <v>59</v>
      </c>
      <c r="H25" s="405">
        <f>'Utility report '!AC28</f>
        <v>160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0.11700000000000001</v>
      </c>
      <c r="C26" s="405">
        <f>'Summery Report'!E28</f>
        <v>0</v>
      </c>
      <c r="D26" s="406">
        <v>1</v>
      </c>
      <c r="E26" s="405">
        <f>Gen!S34</f>
        <v>1223.54</v>
      </c>
      <c r="F26" s="405">
        <f>Gen!T34</f>
        <v>2823</v>
      </c>
      <c r="G26" s="405">
        <f>'Water-Meter'!E29</f>
        <v>69</v>
      </c>
      <c r="H26" s="405">
        <f>'Utility report '!AC29</f>
        <v>38</v>
      </c>
      <c r="I26" s="405">
        <f>Gen!AJ34</f>
        <v>37.9</v>
      </c>
    </row>
    <row r="27" spans="1:9" ht="13.5">
      <c r="A27" s="402">
        <f>Gen!A35</f>
        <v>44221</v>
      </c>
      <c r="B27" s="404">
        <f>Gen!B35</f>
        <v>0.13</v>
      </c>
      <c r="C27" s="405">
        <f>'Summery Report'!E29</f>
        <v>0</v>
      </c>
      <c r="D27" s="406">
        <v>1</v>
      </c>
      <c r="E27" s="405">
        <f>Gen!S35</f>
        <v>1242.42</v>
      </c>
      <c r="F27" s="405">
        <f>Gen!T35</f>
        <v>2804</v>
      </c>
      <c r="G27" s="405">
        <f>'Water-Meter'!E30</f>
        <v>61</v>
      </c>
      <c r="H27" s="405">
        <f>'Utility report '!AC30</f>
        <v>48</v>
      </c>
      <c r="I27" s="405">
        <f>Gen!AJ35</f>
        <v>125.51</v>
      </c>
    </row>
    <row r="28" spans="1:9" ht="13.5">
      <c r="A28" s="402">
        <f>Gen!A36</f>
        <v>44222</v>
      </c>
      <c r="B28" s="404">
        <f>Gen!B36</f>
        <v>0.20799999999999999</v>
      </c>
      <c r="C28" s="405">
        <f>'Summery Report'!E30</f>
        <v>0</v>
      </c>
      <c r="D28" s="406">
        <v>1</v>
      </c>
      <c r="E28" s="405">
        <f>Gen!S36</f>
        <v>1202.6300000000001</v>
      </c>
      <c r="F28" s="405">
        <f>Gen!T36</f>
        <v>2955</v>
      </c>
      <c r="G28" s="405">
        <f>'Water-Meter'!E31</f>
        <v>74</v>
      </c>
      <c r="H28" s="405">
        <f>'Utility report '!AC31</f>
        <v>50</v>
      </c>
      <c r="I28" s="405">
        <f>Gen!AJ36</f>
        <v>38.6</v>
      </c>
    </row>
    <row r="29" spans="1:9" ht="13.5">
      <c r="A29" s="402">
        <f>Gen!A37</f>
        <v>44223</v>
      </c>
      <c r="B29" s="404">
        <f>Gen!B37</f>
        <v>7.8E-2</v>
      </c>
      <c r="C29" s="405">
        <f>'Summery Report'!E31</f>
        <v>0</v>
      </c>
      <c r="D29" s="406">
        <v>1</v>
      </c>
      <c r="E29" s="405">
        <f>Gen!S37</f>
        <v>1185.8399999999999</v>
      </c>
      <c r="F29" s="405">
        <f>Gen!T37</f>
        <v>2817</v>
      </c>
      <c r="G29" s="405">
        <f>'Water-Meter'!E32</f>
        <v>68</v>
      </c>
      <c r="H29" s="405">
        <f>'Utility report '!AC32</f>
        <v>46</v>
      </c>
      <c r="I29" s="405">
        <f>Gen!AJ37</f>
        <v>142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1170.32</v>
      </c>
      <c r="F30" s="405">
        <f>Gen!T38</f>
        <v>2738</v>
      </c>
      <c r="G30" s="405">
        <f>'Water-Meter'!E33</f>
        <v>55</v>
      </c>
      <c r="H30" s="405">
        <f>'Utility report '!AC33</f>
        <v>42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1151.4100000000001</v>
      </c>
      <c r="F31" s="405">
        <f>Gen!T39</f>
        <v>2763</v>
      </c>
      <c r="G31" s="405">
        <f>'Water-Meter'!E34</f>
        <v>60</v>
      </c>
      <c r="H31" s="405">
        <f>'Utility report '!AC34</f>
        <v>157</v>
      </c>
      <c r="I31" s="405">
        <f>Gen!AJ39</f>
        <v>42.62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 t="str">
        <f>'Water-Meter'!E35</f>
        <v>0</v>
      </c>
      <c r="H32" s="405">
        <f>'Utility report '!AC35</f>
        <v>-45672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7" t="s">
        <v>0</v>
      </c>
      <c r="B4" s="778" t="s">
        <v>141</v>
      </c>
      <c r="C4" s="779" t="s">
        <v>248</v>
      </c>
      <c r="D4" s="838" t="s">
        <v>135</v>
      </c>
      <c r="E4" s="838"/>
      <c r="F4" s="838"/>
      <c r="G4" s="839" t="s">
        <v>20</v>
      </c>
      <c r="H4" s="839"/>
      <c r="I4" s="839"/>
      <c r="J4" s="840" t="s">
        <v>54</v>
      </c>
      <c r="K4" s="840"/>
      <c r="L4" s="840"/>
      <c r="M4" s="840"/>
      <c r="N4" s="841" t="s">
        <v>143</v>
      </c>
      <c r="O4" s="841"/>
      <c r="P4" s="841"/>
      <c r="Q4" s="780"/>
      <c r="R4" s="780"/>
      <c r="S4" s="781"/>
    </row>
    <row r="5" spans="1:19" ht="25.5">
      <c r="A5" s="782"/>
      <c r="B5" s="783"/>
      <c r="C5" s="784"/>
      <c r="D5" s="785" t="s">
        <v>136</v>
      </c>
      <c r="E5" s="785" t="s">
        <v>137</v>
      </c>
      <c r="F5" s="785" t="s">
        <v>121</v>
      </c>
      <c r="G5" s="786" t="s">
        <v>138</v>
      </c>
      <c r="H5" s="786" t="s">
        <v>19</v>
      </c>
      <c r="I5" s="787" t="s">
        <v>139</v>
      </c>
      <c r="J5" s="788" t="s">
        <v>142</v>
      </c>
      <c r="K5" s="788" t="s">
        <v>140</v>
      </c>
      <c r="L5" s="788" t="s">
        <v>140</v>
      </c>
      <c r="M5" s="789" t="s">
        <v>18</v>
      </c>
      <c r="N5" s="790" t="s">
        <v>144</v>
      </c>
      <c r="O5" s="790" t="s">
        <v>146</v>
      </c>
      <c r="P5" s="791" t="s">
        <v>145</v>
      </c>
      <c r="Q5" s="792" t="s">
        <v>148</v>
      </c>
      <c r="R5" s="792" t="s">
        <v>147</v>
      </c>
      <c r="S5" s="793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>
        <f>Gen!U25</f>
        <v>0.41934938892882823</v>
      </c>
      <c r="D20" s="152">
        <f>Gen!T25</f>
        <v>2782</v>
      </c>
      <c r="E20" s="152">
        <f>Gen!AK25</f>
        <v>0</v>
      </c>
      <c r="F20" s="152">
        <f>Gen!AS25</f>
        <v>0</v>
      </c>
      <c r="G20" s="153">
        <f>'Utility report '!AC20</f>
        <v>45</v>
      </c>
      <c r="H20" s="153">
        <f>'Utility report '!AE20</f>
        <v>65</v>
      </c>
      <c r="I20" s="296">
        <f>'Water-Meter'!E20</f>
        <v>78</v>
      </c>
      <c r="J20" s="154">
        <f>'Lpg (2)'!B24</f>
        <v>85</v>
      </c>
      <c r="K20" s="154">
        <f>'Lpg (2)'!C25</f>
        <v>40</v>
      </c>
      <c r="L20" s="154">
        <f>'Lpg (2)'!D24</f>
        <v>0</v>
      </c>
      <c r="M20" s="449">
        <f>'Lpg (2)'!G24</f>
        <v>99.616000000061476</v>
      </c>
      <c r="N20" s="151">
        <f t="shared" si="2"/>
        <v>3894.7999999999997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>
        <f>Gen!U26</f>
        <v>0.42870766835344487</v>
      </c>
      <c r="D21" s="152">
        <f>Gen!T26</f>
        <v>2569</v>
      </c>
      <c r="E21" s="152">
        <f>Gen!AK26</f>
        <v>0</v>
      </c>
      <c r="F21" s="152">
        <f>Gen!AS26</f>
        <v>0</v>
      </c>
      <c r="G21" s="153">
        <f>'Utility report '!AC21</f>
        <v>47</v>
      </c>
      <c r="H21" s="153">
        <f>'Utility report '!AE21</f>
        <v>64</v>
      </c>
      <c r="I21" s="296">
        <f>'Water-Meter'!E21</f>
        <v>51</v>
      </c>
      <c r="J21" s="154">
        <f>'Lpg (2)'!B25</f>
        <v>85</v>
      </c>
      <c r="K21" s="154">
        <f>'Lpg (2)'!C25</f>
        <v>40</v>
      </c>
      <c r="L21" s="154">
        <f>'Lpg (2)'!D25</f>
        <v>0</v>
      </c>
      <c r="M21" s="449">
        <f>'Lpg (2)'!G25</f>
        <v>0</v>
      </c>
      <c r="N21" s="151">
        <f t="shared" si="2"/>
        <v>3596.6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>
        <f>Gen!U27</f>
        <v>0.42336850037678969</v>
      </c>
      <c r="D22" s="152">
        <f>Gen!T27</f>
        <v>2654</v>
      </c>
      <c r="E22" s="152">
        <f>Gen!AK27</f>
        <v>0</v>
      </c>
      <c r="F22" s="152">
        <f>Gen!AS27</f>
        <v>0</v>
      </c>
      <c r="G22" s="153">
        <f>'Utility report '!AC22</f>
        <v>33</v>
      </c>
      <c r="H22" s="153">
        <f>'Utility report '!AE22</f>
        <v>64</v>
      </c>
      <c r="I22" s="296">
        <f>'Water-Meter'!E22</f>
        <v>59</v>
      </c>
      <c r="J22" s="154">
        <f>'Lpg (2)'!B26</f>
        <v>85</v>
      </c>
      <c r="K22" s="154">
        <f>'Lpg (2)'!C26</f>
        <v>38</v>
      </c>
      <c r="L22" s="154">
        <f>'Lpg (2)'!D26</f>
        <v>0</v>
      </c>
      <c r="M22" s="449">
        <f>'Lpg (2)'!G26</f>
        <v>60.191999999969269</v>
      </c>
      <c r="N22" s="151">
        <f t="shared" si="2"/>
        <v>3715.6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>
        <f>Gen!U28</f>
        <v>0.43370511841100079</v>
      </c>
      <c r="D23" s="152">
        <f>Gen!T28</f>
        <v>2618</v>
      </c>
      <c r="E23" s="152">
        <f>Gen!AK28</f>
        <v>0</v>
      </c>
      <c r="F23" s="152">
        <f>Gen!AS28</f>
        <v>0</v>
      </c>
      <c r="G23" s="153">
        <f>'Utility report '!AC23</f>
        <v>121</v>
      </c>
      <c r="H23" s="153">
        <f>'Utility report '!AE23</f>
        <v>39</v>
      </c>
      <c r="I23" s="296">
        <f>'Water-Meter'!E23</f>
        <v>60</v>
      </c>
      <c r="J23" s="154">
        <f>'Lpg (2)'!B27</f>
        <v>85</v>
      </c>
      <c r="K23" s="154">
        <f>'Lpg (2)'!C27</f>
        <v>35</v>
      </c>
      <c r="L23" s="154">
        <f>'Lpg (2)'!D27</f>
        <v>0</v>
      </c>
      <c r="M23" s="449">
        <f>'Lpg (2)'!G27</f>
        <v>-228.8</v>
      </c>
      <c r="N23" s="151">
        <f t="shared" si="2"/>
        <v>3665.2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>
        <f>Gen!U29</f>
        <v>0.43793204238217021</v>
      </c>
      <c r="D24" s="152">
        <f>Gen!T29</f>
        <v>2737</v>
      </c>
      <c r="E24" s="152">
        <f>Gen!AK29</f>
        <v>0</v>
      </c>
      <c r="F24" s="152">
        <f>Gen!AS29</f>
        <v>0</v>
      </c>
      <c r="G24" s="153">
        <f>'Utility report '!AC24</f>
        <v>54</v>
      </c>
      <c r="H24" s="153">
        <f>'Utility report '!AE24</f>
        <v>42</v>
      </c>
      <c r="I24" s="296">
        <f>'Water-Meter'!E24</f>
        <v>68</v>
      </c>
      <c r="J24" s="154">
        <f>'Lpg (2)'!B28</f>
        <v>85</v>
      </c>
      <c r="K24" s="154">
        <f>'Lpg (2)'!C28</f>
        <v>31</v>
      </c>
      <c r="L24" s="154">
        <f>'Lpg (2)'!D28</f>
        <v>0</v>
      </c>
      <c r="M24" s="449">
        <f>'Lpg (2)'!G28</f>
        <v>521.26800000000515</v>
      </c>
      <c r="N24" s="151">
        <f t="shared" si="2"/>
        <v>3831.7999999999997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>
        <f>Gen!U30</f>
        <v>0.42095513748191027</v>
      </c>
      <c r="D25" s="152">
        <f>Gen!T30</f>
        <v>2764</v>
      </c>
      <c r="E25" s="152">
        <f>Gen!AK30</f>
        <v>0</v>
      </c>
      <c r="F25" s="152">
        <f>Gen!AS30</f>
        <v>0</v>
      </c>
      <c r="G25" s="153">
        <f>'Utility report '!AC25</f>
        <v>79</v>
      </c>
      <c r="H25" s="153">
        <f>'Utility report '!AE25</f>
        <v>54</v>
      </c>
      <c r="I25" s="296">
        <f>'Water-Meter'!E25</f>
        <v>75</v>
      </c>
      <c r="J25" s="154">
        <f>'Lpg (2)'!B29</f>
        <v>85</v>
      </c>
      <c r="K25" s="154">
        <f>'Lpg (2)'!C29</f>
        <v>29</v>
      </c>
      <c r="L25" s="154">
        <f>'Lpg (2)'!D29</f>
        <v>0</v>
      </c>
      <c r="M25" s="449">
        <f>'Lpg (2)'!G29</f>
        <v>74.579999999987194</v>
      </c>
      <c r="N25" s="151">
        <f t="shared" si="2"/>
        <v>3869.6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>
        <f>Gen!U31</f>
        <v>0.40893916349809883</v>
      </c>
      <c r="D26" s="152">
        <f>Gen!T31</f>
        <v>2630</v>
      </c>
      <c r="E26" s="152">
        <f>Gen!AK31</f>
        <v>0</v>
      </c>
      <c r="F26" s="152">
        <f>Gen!AS31</f>
        <v>0</v>
      </c>
      <c r="G26" s="153">
        <f>'Utility report '!AC26</f>
        <v>117</v>
      </c>
      <c r="H26" s="153">
        <f>'Utility report '!AE26</f>
        <v>24</v>
      </c>
      <c r="I26" s="296">
        <f>'Water-Meter'!E26</f>
        <v>60</v>
      </c>
      <c r="J26" s="154">
        <f>'Lpg (2)'!B30</f>
        <v>85</v>
      </c>
      <c r="K26" s="154">
        <f>'Lpg (2)'!C30</f>
        <v>27</v>
      </c>
      <c r="L26" s="154">
        <f>'Lpg (2)'!D30</f>
        <v>0</v>
      </c>
      <c r="M26" s="449">
        <f>'Lpg (2)'!G30</f>
        <v>88.088000000017942</v>
      </c>
      <c r="N26" s="151">
        <f t="shared" si="2"/>
        <v>3681.9999999999995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>
        <f>Gen!U32</f>
        <v>0.4296860095389507</v>
      </c>
      <c r="D27" s="152">
        <f>Gen!T32</f>
        <v>2516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57</v>
      </c>
      <c r="I27" s="296">
        <f>'Water-Meter'!E27</f>
        <v>56</v>
      </c>
      <c r="J27" s="154">
        <f>'Lpg (2)'!B31</f>
        <v>85</v>
      </c>
      <c r="K27" s="154">
        <f>'Lpg (2)'!C31</f>
        <v>24</v>
      </c>
      <c r="L27" s="154">
        <f>'Lpg (2)'!D31</f>
        <v>0</v>
      </c>
      <c r="M27" s="449">
        <f>'Lpg (2)'!G31</f>
        <v>89.143999999976955</v>
      </c>
      <c r="N27" s="151">
        <f t="shared" si="2"/>
        <v>3522.3999999999996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>
        <f>Gen!U33</f>
        <v>0.44390199637023597</v>
      </c>
      <c r="D28" s="152">
        <f>Gen!T33</f>
        <v>2755</v>
      </c>
      <c r="E28" s="152">
        <f>Gen!AK33</f>
        <v>0</v>
      </c>
      <c r="F28" s="152">
        <f>Gen!AS33</f>
        <v>0</v>
      </c>
      <c r="G28" s="153">
        <f>'Utility report '!AC28</f>
        <v>160</v>
      </c>
      <c r="H28" s="153">
        <f>'Utility report '!AE28</f>
        <v>58</v>
      </c>
      <c r="I28" s="296">
        <f>'Water-Meter'!E28</f>
        <v>59</v>
      </c>
      <c r="J28" s="154">
        <f>'Lpg (2)'!B32</f>
        <v>85</v>
      </c>
      <c r="K28" s="154">
        <f>'Lpg (2)'!C32</f>
        <v>21</v>
      </c>
      <c r="L28" s="154">
        <f>'Lpg (2)'!D32</f>
        <v>0</v>
      </c>
      <c r="M28" s="449">
        <f>'Lpg (2)'!G32</f>
        <v>81.840000000025611</v>
      </c>
      <c r="N28" s="151">
        <f t="shared" si="2"/>
        <v>3856.9999999999995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>
        <f>Gen!U34</f>
        <v>0.43341834927382217</v>
      </c>
      <c r="D29" s="152">
        <f>Gen!T34</f>
        <v>2823</v>
      </c>
      <c r="E29" s="152">
        <f>Gen!AK34</f>
        <v>0</v>
      </c>
      <c r="F29" s="152">
        <f>Gen!AS34</f>
        <v>0</v>
      </c>
      <c r="G29" s="153">
        <f>'Utility report '!AC29</f>
        <v>38</v>
      </c>
      <c r="H29" s="153">
        <f>'Utility report '!AE29</f>
        <v>59</v>
      </c>
      <c r="I29" s="296">
        <f>'Water-Meter'!E29</f>
        <v>69</v>
      </c>
      <c r="J29" s="154">
        <f>'Lpg (2)'!B33</f>
        <v>85</v>
      </c>
      <c r="K29" s="154">
        <f>'Lpg (2)'!C33</f>
        <v>19</v>
      </c>
      <c r="L29" s="154">
        <f>'Lpg (2)'!D33</f>
        <v>0</v>
      </c>
      <c r="M29" s="449">
        <f>'Lpg (2)'!G33</f>
        <v>79.111999999982075</v>
      </c>
      <c r="N29" s="151">
        <f t="shared" si="2"/>
        <v>3952.2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>
        <f>Gen!U35</f>
        <v>0.44308844507845935</v>
      </c>
      <c r="D30" s="152">
        <f>Gen!T35</f>
        <v>2804</v>
      </c>
      <c r="E30" s="152">
        <f>Gen!AK35</f>
        <v>0</v>
      </c>
      <c r="F30" s="152">
        <f>Gen!AS35</f>
        <v>0</v>
      </c>
      <c r="G30" s="153">
        <f>'Utility report '!AC30</f>
        <v>48</v>
      </c>
      <c r="H30" s="153">
        <f>'Utility report '!AE30</f>
        <v>57</v>
      </c>
      <c r="I30" s="296">
        <f>'Water-Meter'!E30</f>
        <v>61</v>
      </c>
      <c r="J30" s="154">
        <f>'Lpg (2)'!B34</f>
        <v>85</v>
      </c>
      <c r="K30" s="154">
        <f>'Lpg (2)'!C34</f>
        <v>17</v>
      </c>
      <c r="L30" s="154">
        <f>'Lpg (2)'!D34</f>
        <v>0</v>
      </c>
      <c r="M30" s="449">
        <f>'Lpg (2)'!G34</f>
        <v>96.624000000028175</v>
      </c>
      <c r="N30" s="151">
        <f t="shared" si="2"/>
        <v>3925.6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>
        <f>Gen!U36</f>
        <v>0.40698138747884943</v>
      </c>
      <c r="D31" s="152">
        <f>Gen!T36</f>
        <v>2955</v>
      </c>
      <c r="E31" s="152">
        <f>Gen!AK36</f>
        <v>0</v>
      </c>
      <c r="F31" s="152">
        <f>Gen!AS36</f>
        <v>0</v>
      </c>
      <c r="G31" s="153">
        <f>'Utility report '!AC31</f>
        <v>50</v>
      </c>
      <c r="H31" s="153">
        <f>'Utility report '!AE31</f>
        <v>8</v>
      </c>
      <c r="I31" s="296">
        <f>'Water-Meter'!E31</f>
        <v>74</v>
      </c>
      <c r="J31" s="154">
        <f>'Lpg (2)'!B35</f>
        <v>85</v>
      </c>
      <c r="K31" s="154">
        <f>'Lpg (2)'!C35</f>
        <v>14</v>
      </c>
      <c r="L31" s="154">
        <f>'Lpg (2)'!D35</f>
        <v>0</v>
      </c>
      <c r="M31" s="449">
        <f>'Lpg (2)'!G35</f>
        <v>87.339999999961591</v>
      </c>
      <c r="N31" s="151">
        <f t="shared" si="2"/>
        <v>4137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>
        <f>Gen!U37</f>
        <v>0.42095846645367407</v>
      </c>
      <c r="D32" s="152">
        <f>Gen!T37</f>
        <v>2817</v>
      </c>
      <c r="E32" s="152">
        <f>Gen!AK37</f>
        <v>0</v>
      </c>
      <c r="F32" s="152">
        <f>Gen!AS37</f>
        <v>0</v>
      </c>
      <c r="G32" s="153">
        <f>'Utility report '!AC32</f>
        <v>46</v>
      </c>
      <c r="H32" s="153">
        <f>'Utility report '!AE32</f>
        <v>36</v>
      </c>
      <c r="I32" s="296">
        <f>'Water-Meter'!E32</f>
        <v>68</v>
      </c>
      <c r="J32" s="154">
        <f>'Lpg (2)'!B36</f>
        <v>83</v>
      </c>
      <c r="K32" s="154">
        <f>'Lpg (2)'!C36</f>
        <v>0</v>
      </c>
      <c r="L32" s="154">
        <f>'Lpg (2)'!D36</f>
        <v>0</v>
      </c>
      <c r="M32" s="449">
        <f>'Lpg (2)'!G36</f>
        <v>89.495999999984647</v>
      </c>
      <c r="N32" s="151">
        <f t="shared" si="2"/>
        <v>3943.7999999999997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>
        <f>Gen!U38</f>
        <v>0.42743608473338202</v>
      </c>
      <c r="D33" s="152">
        <f>Gen!T38</f>
        <v>2738</v>
      </c>
      <c r="E33" s="152">
        <f>Gen!AK38</f>
        <v>0</v>
      </c>
      <c r="F33" s="152">
        <f>Gen!AS38</f>
        <v>0</v>
      </c>
      <c r="G33" s="153">
        <f>'Utility report '!AC33</f>
        <v>42</v>
      </c>
      <c r="H33" s="153">
        <f>'Utility report '!AE33</f>
        <v>26</v>
      </c>
      <c r="I33" s="296">
        <f>'Water-Meter'!E33</f>
        <v>55</v>
      </c>
      <c r="J33" s="154">
        <f>'Lpg (2)'!B37</f>
        <v>81</v>
      </c>
      <c r="K33" s="154">
        <f>'Lpg (2)'!C37</f>
        <v>0</v>
      </c>
      <c r="L33" s="154">
        <f>'Lpg (2)'!D37</f>
        <v>0</v>
      </c>
      <c r="M33" s="449">
        <f>'Lpg (2)'!G37</f>
        <v>93.368000000005125</v>
      </c>
      <c r="N33" s="151">
        <f t="shared" si="2"/>
        <v>3833.2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>
        <f>Gen!U39</f>
        <v>0.4167245747376041</v>
      </c>
      <c r="D34" s="152">
        <f>Gen!T39</f>
        <v>2763</v>
      </c>
      <c r="E34" s="152">
        <f>Gen!AK39</f>
        <v>0</v>
      </c>
      <c r="F34" s="152">
        <f>Gen!AS39</f>
        <v>0</v>
      </c>
      <c r="G34" s="153">
        <f>'Utility report '!AC34</f>
        <v>157</v>
      </c>
      <c r="H34" s="153">
        <f>'Utility report '!AE34</f>
        <v>35</v>
      </c>
      <c r="I34" s="296">
        <f>'Water-Meter'!E34</f>
        <v>60</v>
      </c>
      <c r="J34" s="154">
        <f>'Lpg (2)'!B38</f>
        <v>80</v>
      </c>
      <c r="K34" s="154">
        <f>'Lpg (2)'!C38</f>
        <v>0</v>
      </c>
      <c r="L34" s="154">
        <f>'Lpg (2)'!D38</f>
        <v>0</v>
      </c>
      <c r="M34" s="449">
        <f>'Lpg (2)'!G38</f>
        <v>88.660000000038423</v>
      </c>
      <c r="N34" s="151">
        <f t="shared" si="2"/>
        <v>3868.2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-45672</v>
      </c>
      <c r="H35" s="153">
        <f>'Utility report '!AE35</f>
        <v>-210939</v>
      </c>
      <c r="I35" s="296" t="str">
        <f>'Water-Meter'!E35</f>
        <v>0</v>
      </c>
      <c r="J35" s="154">
        <f>'Lpg (2)'!B39</f>
        <v>80</v>
      </c>
      <c r="K35" s="154">
        <f>'Lpg (2)'!C39</f>
        <v>0</v>
      </c>
      <c r="L35" s="154">
        <f>'Lpg (2)'!D39</f>
        <v>0</v>
      </c>
      <c r="M35" s="449">
        <f>'Lpg (2)'!G39</f>
        <v>87.075999999971827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-328572.59600000002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83241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2043</v>
      </c>
      <c r="J39" s="453">
        <f t="shared" si="3"/>
        <v>2449</v>
      </c>
      <c r="K39" s="453">
        <f t="shared" si="3"/>
        <v>1328</v>
      </c>
      <c r="L39" s="453">
        <f t="shared" si="3"/>
        <v>30</v>
      </c>
      <c r="M39" s="453">
        <f t="shared" si="3"/>
        <v>2775.1239999999812</v>
      </c>
      <c r="N39" s="453">
        <f t="shared" si="3"/>
        <v>116537.40000000001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K1" activePane="topRight" state="frozen"/>
      <selection pane="topRight" activeCell="AD36" sqref="AD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49">
        <f>A6</f>
        <v>44197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1"/>
    </row>
    <row r="2" spans="1:37" ht="61.5" customHeight="1" thickBot="1">
      <c r="A2" s="137" t="s">
        <v>98</v>
      </c>
      <c r="B2" s="852" t="s">
        <v>99</v>
      </c>
      <c r="C2" s="853"/>
      <c r="D2" s="854"/>
      <c r="E2" s="138"/>
      <c r="F2" s="138"/>
      <c r="G2" s="138"/>
      <c r="H2" s="135" t="s">
        <v>124</v>
      </c>
      <c r="I2" s="748" t="s">
        <v>100</v>
      </c>
      <c r="J2" s="750" t="s">
        <v>122</v>
      </c>
      <c r="K2" s="751"/>
      <c r="L2" s="752" t="s">
        <v>123</v>
      </c>
      <c r="M2" s="621" t="s">
        <v>101</v>
      </c>
      <c r="N2" s="284" t="s">
        <v>102</v>
      </c>
      <c r="O2" s="842" t="s">
        <v>103</v>
      </c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842"/>
      <c r="AA2" s="284" t="s">
        <v>104</v>
      </c>
      <c r="AB2" s="852" t="s">
        <v>164</v>
      </c>
      <c r="AC2" s="854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5">
        <f>SUM(D3/B3)</f>
        <v>1.3262195121951219</v>
      </c>
      <c r="G3" s="856"/>
      <c r="H3" s="127">
        <f>Gen!C11</f>
        <v>33639.449999999997</v>
      </c>
      <c r="I3" s="622"/>
      <c r="J3" s="753"/>
      <c r="K3" s="754" t="s">
        <v>165</v>
      </c>
      <c r="L3" s="753"/>
      <c r="M3" s="624" t="s">
        <v>111</v>
      </c>
      <c r="N3" s="753"/>
      <c r="O3" s="842" t="s">
        <v>112</v>
      </c>
      <c r="P3" s="842"/>
      <c r="Q3" s="842"/>
      <c r="R3" s="842"/>
      <c r="S3" s="843" t="s">
        <v>113</v>
      </c>
      <c r="T3" s="844"/>
      <c r="U3" s="844"/>
      <c r="V3" s="845"/>
      <c r="W3" s="846" t="s">
        <v>114</v>
      </c>
      <c r="X3" s="847"/>
      <c r="Y3" s="847"/>
      <c r="Z3" s="848"/>
      <c r="AA3" s="286" t="s">
        <v>115</v>
      </c>
      <c r="AB3" s="126" t="s">
        <v>111</v>
      </c>
      <c r="AD3" s="126">
        <v>0</v>
      </c>
      <c r="AE3" s="126" t="s">
        <v>116</v>
      </c>
      <c r="AF3" s="742" t="s">
        <v>117</v>
      </c>
      <c r="AG3" s="743" t="s">
        <v>117</v>
      </c>
      <c r="AH3" s="400" t="s">
        <v>117</v>
      </c>
      <c r="AI3" s="134" t="s">
        <v>118</v>
      </c>
      <c r="AJ3" s="744" t="s">
        <v>115</v>
      </c>
      <c r="AK3" s="745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9"/>
      <c r="J4" s="763"/>
      <c r="K4" s="289"/>
      <c r="L4" s="752"/>
      <c r="M4" s="755"/>
      <c r="N4" s="284"/>
      <c r="O4" s="756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6">
        <v>2000</v>
      </c>
      <c r="AG4" s="747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58"/>
      <c r="B5" s="766"/>
      <c r="C5" s="767"/>
      <c r="D5" s="768"/>
      <c r="E5" s="768"/>
      <c r="F5" s="768"/>
      <c r="G5" s="768"/>
      <c r="H5" s="769"/>
      <c r="I5" s="769"/>
      <c r="J5" s="702"/>
      <c r="K5" s="720"/>
      <c r="L5" s="128"/>
      <c r="M5" s="470"/>
      <c r="N5" s="757"/>
      <c r="O5" s="701"/>
      <c r="P5" s="719">
        <v>19032</v>
      </c>
      <c r="Q5" s="730"/>
      <c r="R5" s="720"/>
      <c r="S5" s="701"/>
      <c r="T5" s="708">
        <v>17204</v>
      </c>
      <c r="U5" s="701"/>
      <c r="V5" s="720"/>
      <c r="W5" s="701"/>
      <c r="X5" s="713">
        <v>26759</v>
      </c>
      <c r="Y5" s="701"/>
      <c r="Z5" s="706"/>
      <c r="AA5" s="716"/>
      <c r="AB5" s="715">
        <v>43403</v>
      </c>
      <c r="AC5" s="701"/>
      <c r="AD5" s="698">
        <v>209322</v>
      </c>
      <c r="AE5" s="703"/>
      <c r="AF5" s="723">
        <v>0.85</v>
      </c>
      <c r="AG5" s="724">
        <v>0.85</v>
      </c>
      <c r="AH5" s="737">
        <v>0.85</v>
      </c>
      <c r="AI5" s="727"/>
      <c r="AJ5" s="716"/>
      <c r="AK5" s="716"/>
    </row>
    <row r="6" spans="1:37" ht="18.75">
      <c r="A6" s="759">
        <f>Gen!A11</f>
        <v>44197</v>
      </c>
      <c r="B6" s="425">
        <f>'Summery Report'!E5</f>
        <v>0</v>
      </c>
      <c r="C6" s="764">
        <f>Gen!B11</f>
        <v>0.53200000000000003</v>
      </c>
      <c r="D6" s="726">
        <f>'Summery Report'!E5</f>
        <v>0</v>
      </c>
      <c r="E6" s="726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6">
        <f>Gen!C11</f>
        <v>33639.449999999997</v>
      </c>
      <c r="I6" s="726">
        <f>Gen!E11</f>
        <v>0</v>
      </c>
      <c r="J6" s="765">
        <f>Gen!T11</f>
        <v>3884</v>
      </c>
      <c r="K6" s="770">
        <f>Gen!AK11</f>
        <v>0</v>
      </c>
      <c r="L6" s="761">
        <f t="shared" ref="L6:L13" si="1">SUM(J6:K6)</f>
        <v>3884</v>
      </c>
      <c r="M6" s="448">
        <f>'Water-Meter'!K46</f>
        <v>498.02459294333192</v>
      </c>
      <c r="N6" s="721">
        <f>'Water-Meter'!E6</f>
        <v>84</v>
      </c>
      <c r="O6" s="712"/>
      <c r="P6" s="719">
        <v>19032</v>
      </c>
      <c r="Q6" s="731">
        <f t="shared" ref="Q6:Q36" si="2">SUM(P6-P5)</f>
        <v>0</v>
      </c>
      <c r="R6" s="426">
        <f>SUM(Q6*O6)</f>
        <v>0</v>
      </c>
      <c r="S6" s="707">
        <v>6.7</v>
      </c>
      <c r="T6" s="708">
        <v>17233</v>
      </c>
      <c r="U6" s="731">
        <f>T6-T5</f>
        <v>29</v>
      </c>
      <c r="V6" s="427" t="s">
        <v>246</v>
      </c>
      <c r="W6" s="712"/>
      <c r="X6" s="713">
        <v>26759</v>
      </c>
      <c r="Y6" s="731">
        <f>X6-X5</f>
        <v>0</v>
      </c>
      <c r="Z6" s="714">
        <f t="shared" ref="Z6:AA6" si="3">Y6-Y5</f>
        <v>0</v>
      </c>
      <c r="AA6" s="717">
        <f t="shared" si="3"/>
        <v>0</v>
      </c>
      <c r="AB6" s="715">
        <v>43403</v>
      </c>
      <c r="AC6" s="696">
        <f>AB6-AB5</f>
        <v>0</v>
      </c>
      <c r="AD6" s="698">
        <v>209389</v>
      </c>
      <c r="AE6" s="178">
        <f>AD6-AD5</f>
        <v>67</v>
      </c>
      <c r="AF6" s="725">
        <f>'Lpg (2)'!B10*2000/85</f>
        <v>2000</v>
      </c>
      <c r="AG6" s="266">
        <f>'Lpg (2)'!C10*1000/85</f>
        <v>1000</v>
      </c>
      <c r="AH6" s="738">
        <f>'Lpg (2)'!D10*1000/85</f>
        <v>223.52941176470588</v>
      </c>
      <c r="AI6" s="728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59">
        <f>Gen!A12</f>
        <v>44198</v>
      </c>
      <c r="B7" s="425">
        <f>'Summery Report'!E6</f>
        <v>0</v>
      </c>
      <c r="C7" s="764">
        <f>Gen!B12</f>
        <v>0.3</v>
      </c>
      <c r="D7" s="726">
        <f>'Summery Report'!E6</f>
        <v>0</v>
      </c>
      <c r="E7" s="726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6">
        <f>Gen!C12</f>
        <v>31851.749999999996</v>
      </c>
      <c r="I7" s="726">
        <f>Gen!E12</f>
        <v>0</v>
      </c>
      <c r="J7" s="765">
        <f>Gen!T12</f>
        <v>3654</v>
      </c>
      <c r="K7" s="770">
        <f>Gen!AK12</f>
        <v>0</v>
      </c>
      <c r="L7" s="761">
        <f t="shared" si="1"/>
        <v>3654</v>
      </c>
      <c r="M7" s="448">
        <f>'Water-Meter'!K47</f>
        <v>455.22510363910226</v>
      </c>
      <c r="N7" s="721">
        <f>'Water-Meter'!E7</f>
        <v>88</v>
      </c>
      <c r="O7" s="712"/>
      <c r="P7" s="719">
        <v>19032</v>
      </c>
      <c r="Q7" s="731">
        <f t="shared" si="2"/>
        <v>0</v>
      </c>
      <c r="R7" s="426">
        <f t="shared" ref="R7:R36" si="5">SUM(Q7*O7)</f>
        <v>0</v>
      </c>
      <c r="S7" s="707">
        <v>6.7</v>
      </c>
      <c r="T7" s="708">
        <v>17256.79</v>
      </c>
      <c r="U7" s="731">
        <f t="shared" ref="U7:U36" si="6">T7-T6</f>
        <v>23.790000000000873</v>
      </c>
      <c r="V7" s="427">
        <f t="shared" ref="V7:V9" si="7">SUM(U7*S7)</f>
        <v>159.39300000000586</v>
      </c>
      <c r="W7" s="712"/>
      <c r="X7" s="713">
        <v>26759</v>
      </c>
      <c r="Y7" s="731">
        <f t="shared" ref="Y7:Y36" si="8">X7-X6</f>
        <v>0</v>
      </c>
      <c r="Z7" s="711">
        <f t="shared" ref="Z7:Z36" si="9">SUM(Y7*W7)</f>
        <v>0</v>
      </c>
      <c r="AA7" s="718">
        <f t="shared" ref="AA7:AA36" si="10">SUM(Z7*X9)</f>
        <v>0</v>
      </c>
      <c r="AB7" s="715">
        <v>43565</v>
      </c>
      <c r="AC7" s="696">
        <f t="shared" ref="AC7:AC27" si="11">AB7-AB6</f>
        <v>162</v>
      </c>
      <c r="AD7" s="698">
        <v>209433</v>
      </c>
      <c r="AE7" s="178">
        <f>AD7-AD6</f>
        <v>44</v>
      </c>
      <c r="AF7" s="725">
        <f>'Lpg (2)'!B11*2000/85</f>
        <v>2000</v>
      </c>
      <c r="AG7" s="266">
        <f>'Lpg (2)'!C11*1000/85</f>
        <v>1000</v>
      </c>
      <c r="AH7" s="738">
        <f>'Lpg (2)'!D11*1000/85</f>
        <v>176.47058823529412</v>
      </c>
      <c r="AI7" s="728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59">
        <f>Gen!A13</f>
        <v>44199</v>
      </c>
      <c r="B8" s="425">
        <f>'Summery Report'!E7</f>
        <v>0</v>
      </c>
      <c r="C8" s="764">
        <f>Gen!B13</f>
        <v>0.26</v>
      </c>
      <c r="D8" s="726">
        <f>'Summery Report'!E7</f>
        <v>0</v>
      </c>
      <c r="E8" s="726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6">
        <f>Gen!C13</f>
        <v>48190.89</v>
      </c>
      <c r="I8" s="726">
        <f>Gen!E13</f>
        <v>18000</v>
      </c>
      <c r="J8" s="765">
        <f>Gen!T13</f>
        <v>3471</v>
      </c>
      <c r="K8" s="770">
        <f>Gen!AK13</f>
        <v>0</v>
      </c>
      <c r="L8" s="761">
        <f t="shared" si="1"/>
        <v>3471</v>
      </c>
      <c r="M8" s="448">
        <f>'Water-Meter'!K48</f>
        <v>396.56595598397803</v>
      </c>
      <c r="N8" s="721">
        <f>'Water-Meter'!E8</f>
        <v>68</v>
      </c>
      <c r="O8" s="712"/>
      <c r="P8" s="719">
        <v>19032</v>
      </c>
      <c r="Q8" s="731">
        <f t="shared" si="2"/>
        <v>0</v>
      </c>
      <c r="R8" s="426">
        <f t="shared" si="5"/>
        <v>0</v>
      </c>
      <c r="S8" s="707">
        <v>6.7</v>
      </c>
      <c r="T8" s="708">
        <v>17280</v>
      </c>
      <c r="U8" s="731">
        <f t="shared" si="6"/>
        <v>23.209999999999127</v>
      </c>
      <c r="V8" s="427">
        <f t="shared" si="7"/>
        <v>155.50699999999415</v>
      </c>
      <c r="W8" s="712"/>
      <c r="X8" s="713">
        <v>26759</v>
      </c>
      <c r="Y8" s="731">
        <f t="shared" si="8"/>
        <v>0</v>
      </c>
      <c r="Z8" s="711">
        <f t="shared" si="9"/>
        <v>0</v>
      </c>
      <c r="AA8" s="718">
        <f t="shared" si="10"/>
        <v>0</v>
      </c>
      <c r="AB8" s="715">
        <v>43727</v>
      </c>
      <c r="AC8" s="696">
        <f t="shared" si="11"/>
        <v>162</v>
      </c>
      <c r="AD8" s="698">
        <v>209520</v>
      </c>
      <c r="AE8" s="178">
        <f t="shared" ref="AE8:AE37" si="15">AD8-AD7</f>
        <v>87</v>
      </c>
      <c r="AF8" s="725">
        <f>'Lpg (2)'!B12*2000/85</f>
        <v>2000</v>
      </c>
      <c r="AG8" s="266">
        <f>'Lpg (2)'!C12*1000/85</f>
        <v>1000</v>
      </c>
      <c r="AH8" s="738">
        <f>'Lpg (2)'!D12*1000/85</f>
        <v>117.64705882352941</v>
      </c>
      <c r="AI8" s="728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59">
        <f>Gen!A14</f>
        <v>44200</v>
      </c>
      <c r="B9" s="425">
        <f>'Summery Report'!E8</f>
        <v>0</v>
      </c>
      <c r="C9" s="764">
        <f>Gen!B14</f>
        <v>0.182</v>
      </c>
      <c r="D9" s="726">
        <f>'Summery Report'!E8</f>
        <v>0</v>
      </c>
      <c r="E9" s="726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6">
        <f>Gen!C14</f>
        <v>46743.22</v>
      </c>
      <c r="I9" s="726">
        <f>Gen!E14</f>
        <v>0</v>
      </c>
      <c r="J9" s="765">
        <f>Gen!T14</f>
        <v>3204</v>
      </c>
      <c r="K9" s="770">
        <f>Gen!AK14</f>
        <v>0</v>
      </c>
      <c r="L9" s="761">
        <f t="shared" si="1"/>
        <v>3204</v>
      </c>
      <c r="M9" s="448">
        <f>'Water-Meter'!K49</f>
        <v>395.41197749873857</v>
      </c>
      <c r="N9" s="721">
        <f>'Water-Meter'!E9</f>
        <v>72</v>
      </c>
      <c r="O9" s="712"/>
      <c r="P9" s="719">
        <v>19032</v>
      </c>
      <c r="Q9" s="731">
        <f t="shared" si="2"/>
        <v>0</v>
      </c>
      <c r="R9" s="426">
        <f t="shared" si="5"/>
        <v>0</v>
      </c>
      <c r="S9" s="707">
        <v>6.7</v>
      </c>
      <c r="T9" s="708">
        <v>17290</v>
      </c>
      <c r="U9" s="731">
        <f t="shared" si="6"/>
        <v>10</v>
      </c>
      <c r="V9" s="427">
        <f t="shared" si="7"/>
        <v>67</v>
      </c>
      <c r="W9" s="712"/>
      <c r="X9" s="713">
        <v>26759</v>
      </c>
      <c r="Y9" s="731">
        <f t="shared" si="8"/>
        <v>0</v>
      </c>
      <c r="Z9" s="711">
        <f t="shared" si="9"/>
        <v>0</v>
      </c>
      <c r="AA9" s="718">
        <f t="shared" si="10"/>
        <v>0</v>
      </c>
      <c r="AB9" s="715">
        <v>43792</v>
      </c>
      <c r="AC9" s="696">
        <f t="shared" si="11"/>
        <v>65</v>
      </c>
      <c r="AD9" s="698">
        <v>209589</v>
      </c>
      <c r="AE9" s="178">
        <f t="shared" si="15"/>
        <v>69</v>
      </c>
      <c r="AF9" s="725">
        <f>'Lpg (2)'!B13*2000/85</f>
        <v>2000</v>
      </c>
      <c r="AG9" s="266">
        <f>'Lpg (2)'!C13*1000/85</f>
        <v>1000</v>
      </c>
      <c r="AH9" s="738">
        <f>'Lpg (2)'!D13*1000/85</f>
        <v>35.294117647058826</v>
      </c>
      <c r="AI9" s="728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59">
        <f>Gen!A15</f>
        <v>44201</v>
      </c>
      <c r="B10" s="425">
        <f>'Summery Report'!E9</f>
        <v>0</v>
      </c>
      <c r="C10" s="764">
        <f>Gen!B15</f>
        <v>0.20799999999999999</v>
      </c>
      <c r="D10" s="726">
        <f>'Summery Report'!E9</f>
        <v>0</v>
      </c>
      <c r="E10" s="726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6">
        <f>Gen!C15</f>
        <v>45311.1</v>
      </c>
      <c r="I10" s="726">
        <f>Gen!E15</f>
        <v>0</v>
      </c>
      <c r="J10" s="765">
        <f>Gen!T15</f>
        <v>3451</v>
      </c>
      <c r="K10" s="770">
        <f>Gen!AK15</f>
        <v>0</v>
      </c>
      <c r="L10" s="761">
        <f t="shared" si="1"/>
        <v>3451</v>
      </c>
      <c r="M10" s="448">
        <f>'Water-Meter'!K50</f>
        <v>543.08564523621453</v>
      </c>
      <c r="N10" s="721">
        <f>'Water-Meter'!E10</f>
        <v>61</v>
      </c>
      <c r="O10" s="712"/>
      <c r="P10" s="719">
        <v>19032</v>
      </c>
      <c r="Q10" s="731">
        <f t="shared" si="2"/>
        <v>0</v>
      </c>
      <c r="R10" s="426">
        <f t="shared" si="5"/>
        <v>0</v>
      </c>
      <c r="S10" s="707">
        <v>6.7</v>
      </c>
      <c r="T10" s="708">
        <v>17295</v>
      </c>
      <c r="U10" s="731">
        <f t="shared" si="6"/>
        <v>5</v>
      </c>
      <c r="V10" s="427">
        <f t="shared" ref="V10:V16" si="16">SUM(U10*S10)</f>
        <v>33.5</v>
      </c>
      <c r="W10" s="712"/>
      <c r="X10" s="713">
        <v>26759</v>
      </c>
      <c r="Y10" s="731">
        <f t="shared" si="8"/>
        <v>0</v>
      </c>
      <c r="Z10" s="711">
        <f t="shared" si="9"/>
        <v>0</v>
      </c>
      <c r="AA10" s="718">
        <f t="shared" si="10"/>
        <v>0</v>
      </c>
      <c r="AB10" s="715">
        <v>43828</v>
      </c>
      <c r="AC10" s="696">
        <f t="shared" si="11"/>
        <v>36</v>
      </c>
      <c r="AD10" s="698">
        <v>209655</v>
      </c>
      <c r="AE10" s="178">
        <f t="shared" si="15"/>
        <v>66</v>
      </c>
      <c r="AF10" s="725">
        <f>'Lpg (2)'!B14*2000/85</f>
        <v>2000</v>
      </c>
      <c r="AG10" s="266">
        <f>'Lpg (2)'!C14*1000/85</f>
        <v>1000</v>
      </c>
      <c r="AH10" s="738">
        <f>'Lpg (2)'!D14*1000/85</f>
        <v>11.764705882352942</v>
      </c>
      <c r="AI10" s="728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59">
        <f>Gen!A16</f>
        <v>44202</v>
      </c>
      <c r="B11" s="425">
        <f>'Summery Report'!E10</f>
        <v>0</v>
      </c>
      <c r="C11" s="764">
        <f>Gen!B16</f>
        <v>0.182</v>
      </c>
      <c r="D11" s="726">
        <f>'Summery Report'!E10</f>
        <v>0</v>
      </c>
      <c r="E11" s="726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6">
        <f>Gen!C16</f>
        <v>43826.78</v>
      </c>
      <c r="I11" s="726">
        <f>Gen!E16</f>
        <v>0</v>
      </c>
      <c r="J11" s="765">
        <f>Gen!T16</f>
        <v>3269</v>
      </c>
      <c r="K11" s="770">
        <f>Gen!AK16</f>
        <v>0</v>
      </c>
      <c r="L11" s="761">
        <f t="shared" si="1"/>
        <v>3269</v>
      </c>
      <c r="M11" s="448">
        <f>'Water-Meter'!K51</f>
        <v>538.30787913808285</v>
      </c>
      <c r="N11" s="721">
        <f>'Water-Meter'!E11</f>
        <v>64</v>
      </c>
      <c r="O11" s="712"/>
      <c r="P11" s="719">
        <v>19032</v>
      </c>
      <c r="Q11" s="731">
        <f t="shared" si="2"/>
        <v>0</v>
      </c>
      <c r="R11" s="426">
        <f t="shared" si="5"/>
        <v>0</v>
      </c>
      <c r="S11" s="707">
        <v>6.7</v>
      </c>
      <c r="T11" s="708">
        <v>17311</v>
      </c>
      <c r="U11" s="731">
        <f t="shared" si="6"/>
        <v>16</v>
      </c>
      <c r="V11" s="427">
        <f t="shared" si="16"/>
        <v>107.2</v>
      </c>
      <c r="W11" s="712"/>
      <c r="X11" s="713">
        <v>26759</v>
      </c>
      <c r="Y11" s="731">
        <f t="shared" si="8"/>
        <v>0</v>
      </c>
      <c r="Z11" s="711">
        <f t="shared" si="9"/>
        <v>0</v>
      </c>
      <c r="AA11" s="718">
        <f t="shared" si="10"/>
        <v>0</v>
      </c>
      <c r="AB11" s="715">
        <v>43931</v>
      </c>
      <c r="AC11" s="696">
        <f t="shared" si="11"/>
        <v>103</v>
      </c>
      <c r="AD11" s="698">
        <v>209723</v>
      </c>
      <c r="AE11" s="178">
        <f t="shared" si="15"/>
        <v>68</v>
      </c>
      <c r="AF11" s="725">
        <f>'Lpg (2)'!B15*2000/85</f>
        <v>2000</v>
      </c>
      <c r="AG11" s="266">
        <f>'Lpg (2)'!C15*1000/85</f>
        <v>1000</v>
      </c>
      <c r="AH11" s="738">
        <f>'Lpg (2)'!D15*1000/85</f>
        <v>11.764705882352942</v>
      </c>
      <c r="AI11" s="728">
        <f t="shared" si="12"/>
        <v>5011764.7058823528</v>
      </c>
      <c r="AJ11" s="428">
        <f t="shared" si="4"/>
        <v>0</v>
      </c>
      <c r="AK11" s="132"/>
    </row>
    <row r="12" spans="1:37" ht="18.75">
      <c r="A12" s="759">
        <f>Gen!A17</f>
        <v>44203</v>
      </c>
      <c r="B12" s="425">
        <f>'Summery Report'!E11</f>
        <v>0</v>
      </c>
      <c r="C12" s="764">
        <f>Gen!B17</f>
        <v>0.32500000000000001</v>
      </c>
      <c r="D12" s="726">
        <f>'Summery Report'!E11</f>
        <v>0</v>
      </c>
      <c r="E12" s="726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6">
        <f>Gen!C17</f>
        <v>42495.42</v>
      </c>
      <c r="I12" s="726">
        <f>Gen!E17</f>
        <v>0</v>
      </c>
      <c r="J12" s="765">
        <f>Gen!T17</f>
        <v>3551</v>
      </c>
      <c r="K12" s="770">
        <f>Gen!AK17</f>
        <v>0</v>
      </c>
      <c r="L12" s="761">
        <f t="shared" si="1"/>
        <v>3551</v>
      </c>
      <c r="M12" s="448">
        <f>'Water-Meter'!K52</f>
        <v>594.56601305427432</v>
      </c>
      <c r="N12" s="721">
        <f>'Water-Meter'!E12</f>
        <v>67</v>
      </c>
      <c r="O12" s="712"/>
      <c r="P12" s="719">
        <v>19032</v>
      </c>
      <c r="Q12" s="731">
        <f t="shared" si="2"/>
        <v>0</v>
      </c>
      <c r="R12" s="426">
        <f t="shared" si="5"/>
        <v>0</v>
      </c>
      <c r="S12" s="707">
        <v>6.7</v>
      </c>
      <c r="T12" s="708">
        <v>17351</v>
      </c>
      <c r="U12" s="731">
        <f t="shared" si="6"/>
        <v>40</v>
      </c>
      <c r="V12" s="427">
        <f t="shared" si="16"/>
        <v>268</v>
      </c>
      <c r="W12" s="707"/>
      <c r="X12" s="713">
        <v>26759</v>
      </c>
      <c r="Y12" s="731">
        <f t="shared" si="8"/>
        <v>0</v>
      </c>
      <c r="Z12" s="711">
        <f t="shared" si="9"/>
        <v>0</v>
      </c>
      <c r="AA12" s="718">
        <f t="shared" si="10"/>
        <v>0</v>
      </c>
      <c r="AB12" s="715">
        <v>43955</v>
      </c>
      <c r="AC12" s="696">
        <f t="shared" si="11"/>
        <v>24</v>
      </c>
      <c r="AD12" s="698">
        <v>209792</v>
      </c>
      <c r="AE12" s="178">
        <f t="shared" si="15"/>
        <v>69</v>
      </c>
      <c r="AF12" s="725">
        <f>'Lpg (2)'!B16*2000/85</f>
        <v>2000</v>
      </c>
      <c r="AG12" s="266">
        <f>'Lpg (2)'!C16*1000/85</f>
        <v>1000</v>
      </c>
      <c r="AH12" s="738">
        <f>'Lpg (2)'!D16*1000/85</f>
        <v>0</v>
      </c>
      <c r="AI12" s="728">
        <f t="shared" si="12"/>
        <v>5000000</v>
      </c>
      <c r="AJ12" s="428">
        <f t="shared" si="4"/>
        <v>11764.705882352777</v>
      </c>
      <c r="AK12" s="132"/>
    </row>
    <row r="13" spans="1:37" ht="18.75">
      <c r="A13" s="759">
        <f>Gen!A18</f>
        <v>44204</v>
      </c>
      <c r="B13" s="425">
        <f>'Summery Report'!E12</f>
        <v>0</v>
      </c>
      <c r="C13" s="764">
        <f>Gen!B18</f>
        <v>0.247</v>
      </c>
      <c r="D13" s="726">
        <f>'Summery Report'!E12</f>
        <v>0</v>
      </c>
      <c r="E13" s="726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6">
        <f>Gen!C18</f>
        <v>40732.11</v>
      </c>
      <c r="I13" s="726">
        <f>Gen!E18</f>
        <v>0</v>
      </c>
      <c r="J13" s="765">
        <f>Gen!T18</f>
        <v>3401</v>
      </c>
      <c r="K13" s="770">
        <f>Gen!AK18</f>
        <v>0</v>
      </c>
      <c r="L13" s="761">
        <f t="shared" si="1"/>
        <v>3401</v>
      </c>
      <c r="M13" s="448">
        <f>'Water-Meter'!K53</f>
        <v>413.01292201584886</v>
      </c>
      <c r="N13" s="721">
        <f>'Water-Meter'!E13</f>
        <v>195</v>
      </c>
      <c r="O13" s="712"/>
      <c r="P13" s="719">
        <v>19032</v>
      </c>
      <c r="Q13" s="731">
        <f t="shared" si="2"/>
        <v>0</v>
      </c>
      <c r="R13" s="426">
        <f t="shared" si="5"/>
        <v>0</v>
      </c>
      <c r="S13" s="707">
        <v>6.4</v>
      </c>
      <c r="T13" s="708">
        <v>17374</v>
      </c>
      <c r="U13" s="731">
        <f t="shared" si="6"/>
        <v>23</v>
      </c>
      <c r="V13" s="427">
        <f t="shared" si="16"/>
        <v>147.20000000000002</v>
      </c>
      <c r="W13" s="707"/>
      <c r="X13" s="713">
        <v>26759</v>
      </c>
      <c r="Y13" s="731">
        <f t="shared" si="8"/>
        <v>0</v>
      </c>
      <c r="Z13" s="711">
        <f t="shared" si="9"/>
        <v>0</v>
      </c>
      <c r="AA13" s="718">
        <f t="shared" si="10"/>
        <v>0</v>
      </c>
      <c r="AB13" s="715">
        <v>44064</v>
      </c>
      <c r="AC13" s="696">
        <f t="shared" si="11"/>
        <v>109</v>
      </c>
      <c r="AD13" s="698">
        <v>209862</v>
      </c>
      <c r="AE13" s="178">
        <f t="shared" si="15"/>
        <v>70</v>
      </c>
      <c r="AF13" s="725">
        <f>'Lpg (2)'!B17*2000/85</f>
        <v>2000</v>
      </c>
      <c r="AG13" s="266">
        <f>'Lpg (2)'!C17*1000/85</f>
        <v>941.17647058823525</v>
      </c>
      <c r="AH13" s="738">
        <f>'Lpg (2)'!D17*1000/85</f>
        <v>0</v>
      </c>
      <c r="AI13" s="728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59">
        <f>Gen!A19</f>
        <v>44205</v>
      </c>
      <c r="B14" s="425">
        <f>'Summery Report'!E13</f>
        <v>0</v>
      </c>
      <c r="C14" s="764">
        <f>Gen!B19</f>
        <v>0.14000000000000001</v>
      </c>
      <c r="D14" s="726">
        <f>'Summery Report'!E13</f>
        <v>0</v>
      </c>
      <c r="E14" s="726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6">
        <f>Gen!C19</f>
        <v>39079.26</v>
      </c>
      <c r="I14" s="726">
        <f>Gen!E19</f>
        <v>0</v>
      </c>
      <c r="J14" s="765">
        <f>Gen!T19</f>
        <v>3362</v>
      </c>
      <c r="K14" s="770">
        <f>Gen!AK19</f>
        <v>0</v>
      </c>
      <c r="L14" s="761">
        <f t="shared" ref="L14:L37" si="17">SUM(J14:K14)</f>
        <v>3362</v>
      </c>
      <c r="M14" s="448">
        <f>'Water-Meter'!K54</f>
        <v>519.54246570177099</v>
      </c>
      <c r="N14" s="721">
        <f>'Water-Meter'!E14</f>
        <v>149</v>
      </c>
      <c r="O14" s="712"/>
      <c r="P14" s="719">
        <v>19032</v>
      </c>
      <c r="Q14" s="731">
        <f t="shared" si="2"/>
        <v>0</v>
      </c>
      <c r="R14" s="426">
        <f t="shared" si="5"/>
        <v>0</v>
      </c>
      <c r="S14" s="707">
        <v>6.4</v>
      </c>
      <c r="T14" s="708">
        <v>17374</v>
      </c>
      <c r="U14" s="731">
        <f t="shared" si="6"/>
        <v>0</v>
      </c>
      <c r="V14" s="427">
        <f t="shared" si="16"/>
        <v>0</v>
      </c>
      <c r="W14" s="707"/>
      <c r="X14" s="713">
        <v>26759</v>
      </c>
      <c r="Y14" s="731">
        <f t="shared" si="8"/>
        <v>0</v>
      </c>
      <c r="Z14" s="711">
        <f t="shared" si="9"/>
        <v>0</v>
      </c>
      <c r="AA14" s="718">
        <f t="shared" si="10"/>
        <v>0</v>
      </c>
      <c r="AB14" s="715">
        <v>44194</v>
      </c>
      <c r="AC14" s="696">
        <f t="shared" si="11"/>
        <v>130</v>
      </c>
      <c r="AD14" s="698">
        <v>209927</v>
      </c>
      <c r="AE14" s="178">
        <f t="shared" si="15"/>
        <v>65</v>
      </c>
      <c r="AF14" s="725">
        <f>'Lpg (2)'!B18*2000/85</f>
        <v>2000</v>
      </c>
      <c r="AG14" s="266">
        <f>'Lpg (2)'!C18*1000/85</f>
        <v>929.41176470588232</v>
      </c>
      <c r="AH14" s="738">
        <f>'Lpg (2)'!D18*1000/85</f>
        <v>0</v>
      </c>
      <c r="AI14" s="728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59">
        <f>Gen!A20</f>
        <v>44206</v>
      </c>
      <c r="B15" s="425">
        <f>'Summery Report'!E14</f>
        <v>0</v>
      </c>
      <c r="C15" s="764">
        <f>Gen!B20</f>
        <v>0.221</v>
      </c>
      <c r="D15" s="726">
        <f>'Summery Report'!E14</f>
        <v>0</v>
      </c>
      <c r="E15" s="726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6">
        <f>Gen!C20</f>
        <v>37596.720000000001</v>
      </c>
      <c r="I15" s="726">
        <f>Gen!E20</f>
        <v>0</v>
      </c>
      <c r="J15" s="765">
        <f>Gen!T20</f>
        <v>3243</v>
      </c>
      <c r="K15" s="770">
        <f>Gen!AK20</f>
        <v>0</v>
      </c>
      <c r="L15" s="761">
        <f t="shared" si="17"/>
        <v>3243</v>
      </c>
      <c r="M15" s="448">
        <f>'Water-Meter'!K55</f>
        <v>519.54246570177099</v>
      </c>
      <c r="N15" s="721">
        <f>'Water-Meter'!E15</f>
        <v>71</v>
      </c>
      <c r="O15" s="712"/>
      <c r="P15" s="719">
        <v>19032</v>
      </c>
      <c r="Q15" s="731">
        <f t="shared" si="2"/>
        <v>0</v>
      </c>
      <c r="R15" s="426">
        <f t="shared" si="5"/>
        <v>0</v>
      </c>
      <c r="S15" s="707">
        <v>6.4</v>
      </c>
      <c r="T15" s="708">
        <v>17374</v>
      </c>
      <c r="U15" s="731">
        <f t="shared" si="6"/>
        <v>0</v>
      </c>
      <c r="V15" s="427">
        <f t="shared" si="16"/>
        <v>0</v>
      </c>
      <c r="W15" s="707"/>
      <c r="X15" s="713">
        <v>26759</v>
      </c>
      <c r="Y15" s="731">
        <f t="shared" si="8"/>
        <v>0</v>
      </c>
      <c r="Z15" s="711">
        <f t="shared" si="9"/>
        <v>0</v>
      </c>
      <c r="AA15" s="718">
        <f t="shared" si="10"/>
        <v>0</v>
      </c>
      <c r="AB15" s="715">
        <v>44361</v>
      </c>
      <c r="AC15" s="696">
        <f t="shared" si="11"/>
        <v>167</v>
      </c>
      <c r="AD15" s="698">
        <v>209991</v>
      </c>
      <c r="AE15" s="178">
        <f>AD15-AD14</f>
        <v>64</v>
      </c>
      <c r="AF15" s="725">
        <f>'Lpg (2)'!B19*2000/85</f>
        <v>2000</v>
      </c>
      <c r="AG15" s="266">
        <f>'Lpg (2)'!C19*1000/85</f>
        <v>905.88235294117646</v>
      </c>
      <c r="AH15" s="738">
        <f>'Lpg (2)'!D19*1000/85</f>
        <v>0</v>
      </c>
      <c r="AI15" s="728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59">
        <f>Gen!A21</f>
        <v>44207</v>
      </c>
      <c r="B16" s="425">
        <f>'Summery Report'!E15</f>
        <v>0</v>
      </c>
      <c r="C16" s="764">
        <f>Gen!B21</f>
        <v>0.11700000000000001</v>
      </c>
      <c r="D16" s="726">
        <f>'Summery Report'!E15</f>
        <v>0</v>
      </c>
      <c r="E16" s="726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6">
        <f>Gen!C21</f>
        <v>35950.480000000003</v>
      </c>
      <c r="I16" s="726">
        <f>Gen!E21</f>
        <v>0</v>
      </c>
      <c r="J16" s="765">
        <f>Gen!T21</f>
        <v>3048</v>
      </c>
      <c r="K16" s="770">
        <f>Gen!AK21</f>
        <v>0</v>
      </c>
      <c r="L16" s="761">
        <f t="shared" si="17"/>
        <v>3048</v>
      </c>
      <c r="M16" s="448">
        <f>'Water-Meter'!K56</f>
        <v>518.85090726021258</v>
      </c>
      <c r="N16" s="721">
        <f>'Water-Meter'!E16</f>
        <v>70</v>
      </c>
      <c r="O16" s="712"/>
      <c r="P16" s="719">
        <v>19032</v>
      </c>
      <c r="Q16" s="731">
        <f t="shared" si="2"/>
        <v>0</v>
      </c>
      <c r="R16" s="426">
        <f t="shared" si="5"/>
        <v>0</v>
      </c>
      <c r="S16" s="707">
        <v>6.4</v>
      </c>
      <c r="T16" s="708">
        <v>17398.419999999998</v>
      </c>
      <c r="U16" s="731">
        <f t="shared" si="6"/>
        <v>24.419999999998254</v>
      </c>
      <c r="V16" s="427">
        <f t="shared" si="16"/>
        <v>156.28799999998884</v>
      </c>
      <c r="W16" s="707"/>
      <c r="X16" s="713">
        <v>26759</v>
      </c>
      <c r="Y16" s="731">
        <f t="shared" si="8"/>
        <v>0</v>
      </c>
      <c r="Z16" s="711">
        <f t="shared" si="9"/>
        <v>0</v>
      </c>
      <c r="AA16" s="718">
        <f t="shared" si="10"/>
        <v>0</v>
      </c>
      <c r="AB16" s="715">
        <v>44505</v>
      </c>
      <c r="AC16" s="696">
        <f t="shared" si="11"/>
        <v>144</v>
      </c>
      <c r="AD16" s="698">
        <v>210055</v>
      </c>
      <c r="AE16" s="178">
        <f t="shared" si="15"/>
        <v>64</v>
      </c>
      <c r="AF16" s="725">
        <f>'Lpg (2)'!B20*2000/85</f>
        <v>2000</v>
      </c>
      <c r="AG16" s="266">
        <f>'Lpg (2)'!C20*1000/85</f>
        <v>882.35294117647061</v>
      </c>
      <c r="AH16" s="738">
        <f>'Lpg (2)'!D20*1000/85</f>
        <v>0</v>
      </c>
      <c r="AI16" s="728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59">
        <f>Gen!A22</f>
        <v>44208</v>
      </c>
      <c r="B17" s="425">
        <f>'Summery Report'!E16</f>
        <v>0</v>
      </c>
      <c r="C17" s="764">
        <f>Gen!B22</f>
        <v>0.16900000000000001</v>
      </c>
      <c r="D17" s="726">
        <f>'Summery Report'!E16</f>
        <v>0</v>
      </c>
      <c r="E17" s="726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6">
        <f>Gen!C22</f>
        <v>34549.060000000005</v>
      </c>
      <c r="I17" s="726">
        <f>Gen!E22</f>
        <v>0</v>
      </c>
      <c r="J17" s="765">
        <f>Gen!T22</f>
        <v>3121</v>
      </c>
      <c r="K17" s="770">
        <f>Gen!AK22</f>
        <v>0</v>
      </c>
      <c r="L17" s="761">
        <f t="shared" si="17"/>
        <v>3121</v>
      </c>
      <c r="M17" s="448">
        <f>'Water-Meter'!K57</f>
        <v>526.97632708358003</v>
      </c>
      <c r="N17" s="721">
        <f>'Water-Meter'!E17</f>
        <v>69</v>
      </c>
      <c r="O17" s="712"/>
      <c r="P17" s="719">
        <v>19032</v>
      </c>
      <c r="Q17" s="731">
        <f>SUM(P18-P16)</f>
        <v>0</v>
      </c>
      <c r="R17" s="426">
        <f t="shared" si="5"/>
        <v>0</v>
      </c>
      <c r="S17" s="707">
        <v>6.4</v>
      </c>
      <c r="T17" s="708">
        <v>17398.419999999998</v>
      </c>
      <c r="U17" s="731">
        <f t="shared" si="6"/>
        <v>0</v>
      </c>
      <c r="V17" s="427">
        <f t="shared" ref="V17:V36" si="19">SUM(U17*S17)</f>
        <v>0</v>
      </c>
      <c r="W17" s="707">
        <v>2.6</v>
      </c>
      <c r="X17" s="713">
        <v>26771</v>
      </c>
      <c r="Y17" s="731">
        <f t="shared" si="8"/>
        <v>12</v>
      </c>
      <c r="Z17" s="711">
        <f t="shared" si="9"/>
        <v>31.200000000000003</v>
      </c>
      <c r="AA17" s="718">
        <f t="shared" si="10"/>
        <v>836690.4</v>
      </c>
      <c r="AB17" s="715">
        <v>44549</v>
      </c>
      <c r="AC17" s="696">
        <f t="shared" si="11"/>
        <v>44</v>
      </c>
      <c r="AD17" s="698">
        <v>210120</v>
      </c>
      <c r="AE17" s="178">
        <f t="shared" si="15"/>
        <v>65</v>
      </c>
      <c r="AF17" s="725">
        <f>'Lpg (2)'!B21*2000/85</f>
        <v>2000</v>
      </c>
      <c r="AG17" s="266">
        <f>'Lpg (2)'!C21*1000/85</f>
        <v>858.82352941176475</v>
      </c>
      <c r="AH17" s="738">
        <f>'Lpg (2)'!D21*1000/85</f>
        <v>0</v>
      </c>
      <c r="AI17" s="728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59">
        <f>Gen!A23</f>
        <v>44209</v>
      </c>
      <c r="B18" s="425">
        <f>'Summery Report'!E17</f>
        <v>0</v>
      </c>
      <c r="C18" s="764">
        <f>Gen!B23</f>
        <v>2.5999999999999999E-2</v>
      </c>
      <c r="D18" s="726">
        <f>'Summery Report'!E17</f>
        <v>0</v>
      </c>
      <c r="E18" s="726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6">
        <f>Gen!C23</f>
        <v>33291.340000000004</v>
      </c>
      <c r="I18" s="726">
        <f>Gen!E23</f>
        <v>0</v>
      </c>
      <c r="J18" s="765">
        <f>Gen!T23</f>
        <v>2800</v>
      </c>
      <c r="K18" s="770">
        <f>Gen!AK23</f>
        <v>0</v>
      </c>
      <c r="L18" s="761">
        <f t="shared" si="17"/>
        <v>2800</v>
      </c>
      <c r="M18" s="448">
        <f>'Water-Meter'!K58</f>
        <v>610.47835988862403</v>
      </c>
      <c r="N18" s="721">
        <f>'Water-Meter'!E18</f>
        <v>55</v>
      </c>
      <c r="O18" s="712"/>
      <c r="P18" s="719">
        <v>19032</v>
      </c>
      <c r="Q18" s="731"/>
      <c r="R18" s="426">
        <f t="shared" si="5"/>
        <v>0</v>
      </c>
      <c r="S18" s="707">
        <v>6.4</v>
      </c>
      <c r="T18" s="708">
        <v>17398.419999999998</v>
      </c>
      <c r="U18" s="731">
        <f t="shared" si="6"/>
        <v>0</v>
      </c>
      <c r="V18" s="427">
        <f t="shared" si="19"/>
        <v>0</v>
      </c>
      <c r="W18" s="707">
        <v>2</v>
      </c>
      <c r="X18" s="713">
        <v>26793</v>
      </c>
      <c r="Y18" s="731">
        <f t="shared" si="8"/>
        <v>22</v>
      </c>
      <c r="Z18" s="711">
        <f t="shared" si="9"/>
        <v>44</v>
      </c>
      <c r="AA18" s="718">
        <f t="shared" si="10"/>
        <v>1181004</v>
      </c>
      <c r="AB18" s="715">
        <v>44592</v>
      </c>
      <c r="AC18" s="696">
        <f t="shared" si="11"/>
        <v>43</v>
      </c>
      <c r="AD18" s="698">
        <v>210184</v>
      </c>
      <c r="AE18" s="178">
        <f t="shared" si="15"/>
        <v>64</v>
      </c>
      <c r="AF18" s="725">
        <f>'Lpg (2)'!B22*2000/85</f>
        <v>2000</v>
      </c>
      <c r="AG18" s="266">
        <f>'Lpg (2)'!C22*1000/85</f>
        <v>705.88235294117646</v>
      </c>
      <c r="AH18" s="738">
        <f>'Lpg (2)'!D22*1000/85</f>
        <v>0</v>
      </c>
      <c r="AI18" s="728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59">
        <f>Gen!A24</f>
        <v>44210</v>
      </c>
      <c r="B19" s="425">
        <f>'Summery Report'!E18</f>
        <v>0</v>
      </c>
      <c r="C19" s="764">
        <f>Gen!B24</f>
        <v>3.9E-2</v>
      </c>
      <c r="D19" s="726">
        <f>'Summery Report'!E18</f>
        <v>0</v>
      </c>
      <c r="E19" s="726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6">
        <f>Gen!C24</f>
        <v>47078.73</v>
      </c>
      <c r="I19" s="726">
        <f>Gen!E24</f>
        <v>15000</v>
      </c>
      <c r="J19" s="765">
        <f>Gen!T24</f>
        <v>2741</v>
      </c>
      <c r="K19" s="770">
        <f>Gen!AK24</f>
        <v>0</v>
      </c>
      <c r="L19" s="761">
        <f t="shared" si="17"/>
        <v>2741</v>
      </c>
      <c r="M19" s="448">
        <f>'Water-Meter'!K59</f>
        <v>595.23655021732111</v>
      </c>
      <c r="N19" s="721">
        <f>'Water-Meter'!E19</f>
        <v>61</v>
      </c>
      <c r="O19" s="712"/>
      <c r="P19" s="719">
        <v>19032</v>
      </c>
      <c r="Q19" s="731"/>
      <c r="R19" s="426">
        <f t="shared" si="5"/>
        <v>0</v>
      </c>
      <c r="S19" s="707">
        <v>6.4</v>
      </c>
      <c r="T19" s="708">
        <v>17398.419999999998</v>
      </c>
      <c r="U19" s="731">
        <f t="shared" si="6"/>
        <v>0</v>
      </c>
      <c r="V19" s="427">
        <f t="shared" si="19"/>
        <v>0</v>
      </c>
      <c r="W19" s="707">
        <v>2</v>
      </c>
      <c r="X19" s="713">
        <v>26817</v>
      </c>
      <c r="Y19" s="731">
        <f t="shared" si="8"/>
        <v>24</v>
      </c>
      <c r="Z19" s="711">
        <f t="shared" si="9"/>
        <v>48</v>
      </c>
      <c r="AA19" s="718">
        <f t="shared" si="10"/>
        <v>1289520</v>
      </c>
      <c r="AB19" s="715">
        <v>44635</v>
      </c>
      <c r="AC19" s="696">
        <f t="shared" si="11"/>
        <v>43</v>
      </c>
      <c r="AD19" s="698">
        <v>210251</v>
      </c>
      <c r="AE19" s="178">
        <f t="shared" si="15"/>
        <v>67</v>
      </c>
      <c r="AF19" s="725">
        <f>'Lpg (2)'!B23*2000/85</f>
        <v>2000</v>
      </c>
      <c r="AG19" s="266">
        <f>'Lpg (2)'!C23*1000/85</f>
        <v>682.35294117647061</v>
      </c>
      <c r="AH19" s="738">
        <f>'Lpg (2)'!D23*1000/85</f>
        <v>0</v>
      </c>
      <c r="AI19" s="728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59">
        <f>Gen!A25</f>
        <v>44211</v>
      </c>
      <c r="B20" s="425">
        <f>'Summery Report'!E19</f>
        <v>0</v>
      </c>
      <c r="C20" s="764">
        <f>Gen!B25</f>
        <v>5.1999999999999998E-2</v>
      </c>
      <c r="D20" s="726">
        <f>'Summery Report'!E19</f>
        <v>0</v>
      </c>
      <c r="E20" s="726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6">
        <f>Gen!C25</f>
        <v>45664.450000000004</v>
      </c>
      <c r="I20" s="726">
        <f>Gen!E25</f>
        <v>0</v>
      </c>
      <c r="J20" s="765">
        <f>Gen!T25</f>
        <v>2782</v>
      </c>
      <c r="K20" s="770">
        <f>Gen!AK25</f>
        <v>0</v>
      </c>
      <c r="L20" s="761">
        <f t="shared" si="17"/>
        <v>2782</v>
      </c>
      <c r="M20" s="448">
        <f>'Water-Meter'!K60</f>
        <v>543.45816945542151</v>
      </c>
      <c r="N20" s="721">
        <f>'Water-Meter'!E20</f>
        <v>78</v>
      </c>
      <c r="O20" s="712"/>
      <c r="P20" s="719">
        <v>19032</v>
      </c>
      <c r="Q20" s="731">
        <f t="shared" si="2"/>
        <v>0</v>
      </c>
      <c r="R20" s="426">
        <f t="shared" si="5"/>
        <v>0</v>
      </c>
      <c r="S20" s="707">
        <v>6.4</v>
      </c>
      <c r="T20" s="708">
        <v>17398.419999999998</v>
      </c>
      <c r="U20" s="731">
        <f t="shared" si="6"/>
        <v>0</v>
      </c>
      <c r="V20" s="427">
        <f t="shared" si="19"/>
        <v>0</v>
      </c>
      <c r="W20" s="707">
        <v>1.9</v>
      </c>
      <c r="X20" s="713">
        <v>26841</v>
      </c>
      <c r="Y20" s="731">
        <f t="shared" si="8"/>
        <v>24</v>
      </c>
      <c r="Z20" s="711">
        <f t="shared" si="9"/>
        <v>45.599999999999994</v>
      </c>
      <c r="AA20" s="718">
        <f t="shared" si="10"/>
        <v>1226183.9999999998</v>
      </c>
      <c r="AB20" s="715">
        <v>44680</v>
      </c>
      <c r="AC20" s="696">
        <f t="shared" si="11"/>
        <v>45</v>
      </c>
      <c r="AD20" s="698">
        <v>210316</v>
      </c>
      <c r="AE20" s="178">
        <f t="shared" si="15"/>
        <v>65</v>
      </c>
      <c r="AF20" s="725">
        <f>'Lpg (2)'!B24*2000/85</f>
        <v>2000</v>
      </c>
      <c r="AG20" s="266">
        <f>'Lpg (2)'!C24*1000/85</f>
        <v>635.29411764705878</v>
      </c>
      <c r="AH20" s="738">
        <f>'Lpg (2)'!D24*1000/85</f>
        <v>0</v>
      </c>
      <c r="AI20" s="728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59">
        <f>Gen!A26</f>
        <v>44212</v>
      </c>
      <c r="B21" s="425">
        <f>'Summery Report'!E20</f>
        <v>0</v>
      </c>
      <c r="C21" s="764">
        <f>Gen!B26</f>
        <v>1.2999999999999999E-2</v>
      </c>
      <c r="D21" s="726">
        <f>'Summery Report'!E20</f>
        <v>0</v>
      </c>
      <c r="E21" s="726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6">
        <f>Gen!C26</f>
        <v>44278.720000000001</v>
      </c>
      <c r="I21" s="726">
        <f>Gen!E26</f>
        <v>0</v>
      </c>
      <c r="J21" s="765">
        <f>Gen!T26</f>
        <v>2569</v>
      </c>
      <c r="K21" s="770">
        <f>Gen!AK26</f>
        <v>0</v>
      </c>
      <c r="L21" s="761">
        <f t="shared" si="17"/>
        <v>2569</v>
      </c>
      <c r="M21" s="448">
        <f>'Water-Meter'!K61</f>
        <v>498.38109301290956</v>
      </c>
      <c r="N21" s="721">
        <f>'Water-Meter'!E21</f>
        <v>51</v>
      </c>
      <c r="O21" s="712"/>
      <c r="P21" s="719">
        <v>19032</v>
      </c>
      <c r="Q21" s="731">
        <f t="shared" si="2"/>
        <v>0</v>
      </c>
      <c r="R21" s="426">
        <f t="shared" si="5"/>
        <v>0</v>
      </c>
      <c r="S21" s="707">
        <v>6.4</v>
      </c>
      <c r="T21" s="708">
        <v>17398.419999999998</v>
      </c>
      <c r="U21" s="731">
        <f>T22-T20</f>
        <v>0</v>
      </c>
      <c r="V21" s="427">
        <f t="shared" si="19"/>
        <v>0</v>
      </c>
      <c r="W21" s="707">
        <v>1.9</v>
      </c>
      <c r="X21" s="713">
        <v>26865</v>
      </c>
      <c r="Y21" s="731">
        <f t="shared" si="8"/>
        <v>24</v>
      </c>
      <c r="Z21" s="711">
        <f t="shared" si="9"/>
        <v>45.599999999999994</v>
      </c>
      <c r="AA21" s="718">
        <f t="shared" si="10"/>
        <v>1226457.5999999999</v>
      </c>
      <c r="AB21" s="715">
        <v>44727</v>
      </c>
      <c r="AC21" s="696">
        <f t="shared" si="11"/>
        <v>47</v>
      </c>
      <c r="AD21" s="698">
        <v>210380</v>
      </c>
      <c r="AE21" s="178">
        <f t="shared" si="15"/>
        <v>64</v>
      </c>
      <c r="AF21" s="725">
        <f>'Lpg (2)'!B25*2000/85</f>
        <v>2000</v>
      </c>
      <c r="AG21" s="266">
        <f>'Lpg (2)'!C25*1000/85</f>
        <v>470.58823529411762</v>
      </c>
      <c r="AH21" s="738">
        <f>'Lpg (2)'!D25*1000/85</f>
        <v>0</v>
      </c>
      <c r="AI21" s="728">
        <f t="shared" si="18"/>
        <v>4470588.2352941176</v>
      </c>
      <c r="AJ21" s="428">
        <f t="shared" si="4"/>
        <v>164705.88235294167</v>
      </c>
      <c r="AK21" s="132"/>
    </row>
    <row r="22" spans="1:37" ht="18.75">
      <c r="A22" s="759">
        <f>Gen!A27</f>
        <v>44213</v>
      </c>
      <c r="B22" s="425">
        <f>'Summery Report'!E21</f>
        <v>0</v>
      </c>
      <c r="C22" s="764">
        <f>Gen!B27</f>
        <v>7.8E-2</v>
      </c>
      <c r="D22" s="726">
        <f>'Summery Report'!E21</f>
        <v>0</v>
      </c>
      <c r="E22" s="726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6">
        <f>Gen!C27</f>
        <v>43074.23</v>
      </c>
      <c r="I22" s="726">
        <f>Gen!E27</f>
        <v>0</v>
      </c>
      <c r="J22" s="765">
        <f>Gen!T27</f>
        <v>2654</v>
      </c>
      <c r="K22" s="770">
        <f>Gen!AK27</f>
        <v>0</v>
      </c>
      <c r="L22" s="761">
        <f t="shared" si="17"/>
        <v>2654</v>
      </c>
      <c r="M22" s="448">
        <f>'Water-Meter'!K62</f>
        <v>458.03162263637716</v>
      </c>
      <c r="N22" s="721">
        <f>'Water-Meter'!E22</f>
        <v>59</v>
      </c>
      <c r="O22" s="712"/>
      <c r="P22" s="719">
        <v>19032</v>
      </c>
      <c r="Q22" s="731">
        <f t="shared" si="2"/>
        <v>0</v>
      </c>
      <c r="R22" s="426">
        <f t="shared" si="5"/>
        <v>0</v>
      </c>
      <c r="S22" s="707">
        <v>6.4</v>
      </c>
      <c r="T22" s="708">
        <v>17398.419999999998</v>
      </c>
      <c r="U22" s="731">
        <f t="shared" ref="U22:U23" si="20">T23-T21</f>
        <v>16.580000000001746</v>
      </c>
      <c r="V22" s="427">
        <f t="shared" si="19"/>
        <v>106.11200000001118</v>
      </c>
      <c r="W22" s="707">
        <v>1.9</v>
      </c>
      <c r="X22" s="713">
        <v>26890</v>
      </c>
      <c r="Y22" s="731">
        <f t="shared" si="8"/>
        <v>25</v>
      </c>
      <c r="Z22" s="711">
        <f t="shared" si="9"/>
        <v>47.5</v>
      </c>
      <c r="AA22" s="718">
        <f t="shared" si="10"/>
        <v>1277560</v>
      </c>
      <c r="AB22" s="715">
        <v>44760</v>
      </c>
      <c r="AC22" s="696">
        <f t="shared" si="11"/>
        <v>33</v>
      </c>
      <c r="AD22" s="698">
        <v>210444</v>
      </c>
      <c r="AE22" s="178">
        <f t="shared" si="15"/>
        <v>64</v>
      </c>
      <c r="AF22" s="725">
        <f>'Lpg (2)'!B26*2000/85</f>
        <v>2000</v>
      </c>
      <c r="AG22" s="266">
        <f>'Lpg (2)'!C26*1000/85</f>
        <v>447.05882352941177</v>
      </c>
      <c r="AH22" s="738">
        <f>'Lpg (2)'!D26*1000/85</f>
        <v>0</v>
      </c>
      <c r="AI22" s="728">
        <f t="shared" si="18"/>
        <v>4447058.823529412</v>
      </c>
      <c r="AJ22" s="428">
        <f t="shared" si="4"/>
        <v>23529.411764705554</v>
      </c>
      <c r="AK22" s="132"/>
    </row>
    <row r="23" spans="1:37" ht="18.75">
      <c r="A23" s="759">
        <f>Gen!A28</f>
        <v>44214</v>
      </c>
      <c r="B23" s="425">
        <f>'Summery Report'!E22</f>
        <v>0</v>
      </c>
      <c r="C23" s="764">
        <f>Gen!B28</f>
        <v>9.0999999999999998E-2</v>
      </c>
      <c r="D23" s="726">
        <f>'Summery Report'!E22</f>
        <v>0</v>
      </c>
      <c r="E23" s="726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6">
        <f>Gen!C28</f>
        <v>41950.61</v>
      </c>
      <c r="I23" s="726">
        <f>Gen!E28</f>
        <v>0</v>
      </c>
      <c r="J23" s="765">
        <f>Gen!T28</f>
        <v>2618</v>
      </c>
      <c r="K23" s="770">
        <f>Gen!AK28</f>
        <v>0</v>
      </c>
      <c r="L23" s="761">
        <f t="shared" si="17"/>
        <v>2618</v>
      </c>
      <c r="M23" s="448">
        <f>'Water-Meter'!K63</f>
        <v>413.38574252439338</v>
      </c>
      <c r="N23" s="721">
        <f>'Water-Meter'!E23</f>
        <v>60</v>
      </c>
      <c r="O23" s="712"/>
      <c r="P23" s="719">
        <v>19032</v>
      </c>
      <c r="Q23" s="731">
        <f t="shared" si="2"/>
        <v>0</v>
      </c>
      <c r="R23" s="426">
        <f t="shared" si="5"/>
        <v>0</v>
      </c>
      <c r="S23" s="707">
        <v>6.4</v>
      </c>
      <c r="T23" s="708">
        <v>17415</v>
      </c>
      <c r="U23" s="731">
        <f t="shared" si="20"/>
        <v>25.980000000003201</v>
      </c>
      <c r="V23" s="427">
        <f t="shared" si="19"/>
        <v>166.27200000002051</v>
      </c>
      <c r="W23" s="707">
        <v>1.9</v>
      </c>
      <c r="X23" s="713">
        <v>26896</v>
      </c>
      <c r="Y23" s="731">
        <f t="shared" si="8"/>
        <v>6</v>
      </c>
      <c r="Z23" s="711">
        <f t="shared" si="9"/>
        <v>11.399999999999999</v>
      </c>
      <c r="AA23" s="718">
        <f t="shared" si="10"/>
        <v>306614.39999999997</v>
      </c>
      <c r="AB23" s="715">
        <v>44881</v>
      </c>
      <c r="AC23" s="696">
        <f t="shared" si="11"/>
        <v>121</v>
      </c>
      <c r="AD23" s="699">
        <v>210483</v>
      </c>
      <c r="AE23" s="178">
        <f t="shared" si="15"/>
        <v>39</v>
      </c>
      <c r="AF23" s="725">
        <f>'Lpg (2)'!B27*2000/85</f>
        <v>2000</v>
      </c>
      <c r="AG23" s="266">
        <f>'Lpg (2)'!C27*1000/85</f>
        <v>411.76470588235293</v>
      </c>
      <c r="AH23" s="738">
        <f>'Lpg (2)'!D27*1000/85</f>
        <v>0</v>
      </c>
      <c r="AI23" s="728">
        <f t="shared" si="18"/>
        <v>4411764.7058823528</v>
      </c>
      <c r="AJ23" s="428">
        <f t="shared" si="4"/>
        <v>35294.117647059262</v>
      </c>
      <c r="AK23" s="132"/>
    </row>
    <row r="24" spans="1:37" ht="18.75">
      <c r="A24" s="759">
        <f>Gen!A29</f>
        <v>44215</v>
      </c>
      <c r="B24" s="425">
        <f>'Summery Report'!E23</f>
        <v>0</v>
      </c>
      <c r="C24" s="764">
        <f>Gen!B29</f>
        <v>0.13</v>
      </c>
      <c r="D24" s="726">
        <f>'Summery Report'!E23</f>
        <v>0</v>
      </c>
      <c r="E24" s="726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6">
        <f>Gen!C29</f>
        <v>40815.17</v>
      </c>
      <c r="I24" s="726">
        <f>Gen!E29</f>
        <v>0</v>
      </c>
      <c r="J24" s="765">
        <f>Gen!T29</f>
        <v>2737</v>
      </c>
      <c r="K24" s="770">
        <f>Gen!AK29</f>
        <v>0</v>
      </c>
      <c r="L24" s="761">
        <f t="shared" si="17"/>
        <v>2737</v>
      </c>
      <c r="M24" s="448">
        <f>'Water-Meter'!K64</f>
        <v>381.65484886469949</v>
      </c>
      <c r="N24" s="721">
        <f>'Water-Meter'!E24</f>
        <v>68</v>
      </c>
      <c r="O24" s="712"/>
      <c r="P24" s="719">
        <v>19032</v>
      </c>
      <c r="Q24" s="731">
        <f t="shared" si="2"/>
        <v>0</v>
      </c>
      <c r="R24" s="426">
        <f t="shared" si="5"/>
        <v>0</v>
      </c>
      <c r="S24" s="707">
        <v>6.4</v>
      </c>
      <c r="T24" s="708">
        <v>17424.400000000001</v>
      </c>
      <c r="U24" s="731">
        <f t="shared" si="6"/>
        <v>9.4000000000014552</v>
      </c>
      <c r="V24" s="427">
        <f t="shared" si="19"/>
        <v>60.160000000009319</v>
      </c>
      <c r="W24" s="707">
        <v>1.9</v>
      </c>
      <c r="X24" s="713">
        <v>26896</v>
      </c>
      <c r="Y24" s="731">
        <f t="shared" si="8"/>
        <v>0</v>
      </c>
      <c r="Z24" s="711">
        <f t="shared" si="9"/>
        <v>0</v>
      </c>
      <c r="AA24" s="718">
        <f t="shared" si="10"/>
        <v>0</v>
      </c>
      <c r="AB24" s="715">
        <v>44935</v>
      </c>
      <c r="AC24" s="696">
        <f t="shared" si="11"/>
        <v>54</v>
      </c>
      <c r="AD24" s="699">
        <v>210525</v>
      </c>
      <c r="AE24" s="178">
        <f t="shared" si="15"/>
        <v>42</v>
      </c>
      <c r="AF24" s="725">
        <f>'Lpg (2)'!B28*2000/85</f>
        <v>2000</v>
      </c>
      <c r="AG24" s="266">
        <f>'Lpg (2)'!C28*1000/85</f>
        <v>364.70588235294116</v>
      </c>
      <c r="AH24" s="738">
        <f>'Lpg (2)'!D28*1000/85</f>
        <v>0</v>
      </c>
      <c r="AI24" s="728">
        <f t="shared" si="18"/>
        <v>4364705.8823529407</v>
      </c>
      <c r="AJ24" s="428">
        <f t="shared" si="4"/>
        <v>47058.823529412039</v>
      </c>
      <c r="AK24" s="132"/>
    </row>
    <row r="25" spans="1:37" ht="18.75">
      <c r="A25" s="759">
        <f>Gen!A30</f>
        <v>44216</v>
      </c>
      <c r="B25" s="425">
        <f>'Summery Report'!E24</f>
        <v>0</v>
      </c>
      <c r="C25" s="764">
        <f>Gen!B30</f>
        <v>6.5000000000000002E-2</v>
      </c>
      <c r="D25" s="726">
        <f>'Summery Report'!E24</f>
        <v>0</v>
      </c>
      <c r="E25" s="726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6">
        <f>Gen!C30</f>
        <v>39524.549999999996</v>
      </c>
      <c r="I25" s="726">
        <f>Gen!E30</f>
        <v>0</v>
      </c>
      <c r="J25" s="765">
        <f>Gen!T30</f>
        <v>2764</v>
      </c>
      <c r="K25" s="770">
        <f>Gen!AK30</f>
        <v>0</v>
      </c>
      <c r="L25" s="761">
        <f t="shared" si="17"/>
        <v>2764</v>
      </c>
      <c r="M25" s="448">
        <f>'Water-Meter'!K65</f>
        <v>392.9382469283488</v>
      </c>
      <c r="N25" s="721">
        <f>'Water-Meter'!E25</f>
        <v>75</v>
      </c>
      <c r="O25" s="712"/>
      <c r="P25" s="719">
        <v>19032</v>
      </c>
      <c r="Q25" s="731">
        <f t="shared" si="2"/>
        <v>0</v>
      </c>
      <c r="R25" s="426">
        <f t="shared" si="5"/>
        <v>0</v>
      </c>
      <c r="S25" s="707">
        <v>6.4</v>
      </c>
      <c r="T25" s="708">
        <v>17437</v>
      </c>
      <c r="U25" s="731">
        <f t="shared" si="6"/>
        <v>12.599999999998545</v>
      </c>
      <c r="V25" s="427">
        <f t="shared" si="19"/>
        <v>80.639999999990692</v>
      </c>
      <c r="W25" s="707">
        <v>1.9</v>
      </c>
      <c r="X25" s="713">
        <v>26896</v>
      </c>
      <c r="Y25" s="731">
        <f t="shared" si="8"/>
        <v>0</v>
      </c>
      <c r="Z25" s="711">
        <f t="shared" si="9"/>
        <v>0</v>
      </c>
      <c r="AA25" s="718">
        <f t="shared" si="10"/>
        <v>0</v>
      </c>
      <c r="AB25" s="715">
        <v>45014</v>
      </c>
      <c r="AC25" s="696">
        <f t="shared" si="11"/>
        <v>79</v>
      </c>
      <c r="AD25" s="699">
        <v>210579</v>
      </c>
      <c r="AE25" s="178">
        <f t="shared" si="15"/>
        <v>54</v>
      </c>
      <c r="AF25" s="725">
        <f>'Lpg (2)'!B29*2000/85</f>
        <v>2000</v>
      </c>
      <c r="AG25" s="266">
        <f>'Lpg (2)'!C29*1000/85</f>
        <v>341.1764705882353</v>
      </c>
      <c r="AH25" s="738">
        <f>'Lpg (2)'!D29*1000/85</f>
        <v>0</v>
      </c>
      <c r="AI25" s="728">
        <f t="shared" si="18"/>
        <v>4341176.4705882352</v>
      </c>
      <c r="AJ25" s="428">
        <f t="shared" si="4"/>
        <v>23529.411764705554</v>
      </c>
      <c r="AK25" s="132"/>
    </row>
    <row r="26" spans="1:37" ht="18.75">
      <c r="A26" s="759">
        <f>Gen!A31</f>
        <v>44217</v>
      </c>
      <c r="B26" s="425">
        <f>'Summery Report'!E25</f>
        <v>0</v>
      </c>
      <c r="C26" s="764">
        <f>Gen!B31</f>
        <v>5.1999999999999998E-2</v>
      </c>
      <c r="D26" s="726">
        <f>'Summery Report'!E25</f>
        <v>0</v>
      </c>
      <c r="E26" s="726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6">
        <f>Gen!C31</f>
        <v>37732.92</v>
      </c>
      <c r="I26" s="726">
        <f>Gen!E31</f>
        <v>0</v>
      </c>
      <c r="J26" s="765">
        <f>Gen!T31</f>
        <v>2630</v>
      </c>
      <c r="K26" s="770">
        <f>Gen!AK31</f>
        <v>0</v>
      </c>
      <c r="L26" s="761">
        <f t="shared" si="17"/>
        <v>2630</v>
      </c>
      <c r="M26" s="448">
        <f>'Water-Meter'!K66</f>
        <v>423.68030630999215</v>
      </c>
      <c r="N26" s="721">
        <f>'Water-Meter'!E26</f>
        <v>60</v>
      </c>
      <c r="O26" s="712"/>
      <c r="P26" s="719">
        <v>19032</v>
      </c>
      <c r="Q26" s="731">
        <f t="shared" si="2"/>
        <v>0</v>
      </c>
      <c r="R26" s="426">
        <f t="shared" si="5"/>
        <v>0</v>
      </c>
      <c r="S26" s="707">
        <v>6.4</v>
      </c>
      <c r="T26" s="708">
        <v>17455</v>
      </c>
      <c r="U26" s="731">
        <f t="shared" si="6"/>
        <v>18</v>
      </c>
      <c r="V26" s="427">
        <f t="shared" si="19"/>
        <v>115.2</v>
      </c>
      <c r="W26" s="707">
        <v>1.9</v>
      </c>
      <c r="X26" s="713">
        <v>26896</v>
      </c>
      <c r="Y26" s="731">
        <f t="shared" si="8"/>
        <v>0</v>
      </c>
      <c r="Z26" s="711">
        <f t="shared" si="9"/>
        <v>0</v>
      </c>
      <c r="AA26" s="718">
        <f t="shared" si="10"/>
        <v>0</v>
      </c>
      <c r="AB26" s="715">
        <v>45131</v>
      </c>
      <c r="AC26" s="696">
        <f t="shared" si="11"/>
        <v>117</v>
      </c>
      <c r="AD26" s="699">
        <v>210603</v>
      </c>
      <c r="AE26" s="178">
        <f t="shared" si="15"/>
        <v>24</v>
      </c>
      <c r="AF26" s="725">
        <f>'Lpg (2)'!B30*2000/85</f>
        <v>2000</v>
      </c>
      <c r="AG26" s="266">
        <f>'Lpg (2)'!C30*1000/85</f>
        <v>317.64705882352939</v>
      </c>
      <c r="AH26" s="738">
        <f>'Lpg (2)'!D30*1000/85</f>
        <v>0</v>
      </c>
      <c r="AI26" s="728">
        <f t="shared" si="18"/>
        <v>4317647.0588235296</v>
      </c>
      <c r="AJ26" s="428">
        <f t="shared" si="4"/>
        <v>23529.411764705554</v>
      </c>
      <c r="AK26" s="132"/>
    </row>
    <row r="27" spans="1:37" ht="18.75">
      <c r="A27" s="759">
        <f>Gen!A32</f>
        <v>44218</v>
      </c>
      <c r="B27" s="425">
        <f>'Summery Report'!E26</f>
        <v>0</v>
      </c>
      <c r="C27" s="764">
        <f>Gen!B32</f>
        <v>2.5999999999999999E-2</v>
      </c>
      <c r="D27" s="726">
        <f>'Summery Report'!E26</f>
        <v>0</v>
      </c>
      <c r="E27" s="726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6">
        <f>Gen!C32</f>
        <v>36657.409999999996</v>
      </c>
      <c r="I27" s="726">
        <f>Gen!E32</f>
        <v>0</v>
      </c>
      <c r="J27" s="765">
        <f>Gen!T32</f>
        <v>2516</v>
      </c>
      <c r="K27" s="770">
        <f>Gen!AK32</f>
        <v>0</v>
      </c>
      <c r="L27" s="761">
        <f t="shared" si="17"/>
        <v>2516</v>
      </c>
      <c r="M27" s="448">
        <f>'Water-Meter'!K67</f>
        <v>446.82608650448697</v>
      </c>
      <c r="N27" s="721">
        <f>'Water-Meter'!E27</f>
        <v>56</v>
      </c>
      <c r="O27" s="712"/>
      <c r="P27" s="719">
        <v>19032</v>
      </c>
      <c r="Q27" s="731">
        <f t="shared" si="2"/>
        <v>0</v>
      </c>
      <c r="R27" s="426">
        <f t="shared" si="5"/>
        <v>0</v>
      </c>
      <c r="S27" s="707">
        <v>6.4</v>
      </c>
      <c r="T27" s="708">
        <v>17455</v>
      </c>
      <c r="U27" s="731">
        <f t="shared" si="6"/>
        <v>0</v>
      </c>
      <c r="V27" s="427">
        <f t="shared" si="19"/>
        <v>0</v>
      </c>
      <c r="W27" s="707">
        <v>1.9</v>
      </c>
      <c r="X27" s="713">
        <v>26896</v>
      </c>
      <c r="Y27" s="731">
        <f t="shared" si="8"/>
        <v>0</v>
      </c>
      <c r="Z27" s="711">
        <f t="shared" si="9"/>
        <v>0</v>
      </c>
      <c r="AA27" s="718">
        <f t="shared" si="10"/>
        <v>0</v>
      </c>
      <c r="AB27" s="715">
        <v>45131</v>
      </c>
      <c r="AC27" s="696">
        <f t="shared" si="11"/>
        <v>0</v>
      </c>
      <c r="AD27" s="699">
        <v>210660</v>
      </c>
      <c r="AE27" s="178">
        <f t="shared" si="15"/>
        <v>57</v>
      </c>
      <c r="AF27" s="725">
        <f>'Lpg (2)'!B31*2000/85</f>
        <v>2000</v>
      </c>
      <c r="AG27" s="266">
        <f>'Lpg (2)'!C31*1000/85</f>
        <v>282.35294117647061</v>
      </c>
      <c r="AH27" s="738">
        <f>'Lpg (2)'!D31*1000/85</f>
        <v>0</v>
      </c>
      <c r="AI27" s="728">
        <f t="shared" si="18"/>
        <v>4282352.9411764704</v>
      </c>
      <c r="AJ27" s="428">
        <f t="shared" si="4"/>
        <v>35294.117647059262</v>
      </c>
      <c r="AK27" s="132"/>
    </row>
    <row r="28" spans="1:37" ht="18.75">
      <c r="A28" s="759">
        <f>Gen!A33</f>
        <v>44219</v>
      </c>
      <c r="B28" s="425">
        <f>'Summery Report'!E27</f>
        <v>0</v>
      </c>
      <c r="C28" s="764">
        <f>Gen!B33</f>
        <v>3.9E-2</v>
      </c>
      <c r="D28" s="726">
        <f>'Summery Report'!E27</f>
        <v>0</v>
      </c>
      <c r="E28" s="726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6">
        <f>Gen!C33</f>
        <v>35341.649999999994</v>
      </c>
      <c r="I28" s="726">
        <f>Gen!E33</f>
        <v>0</v>
      </c>
      <c r="J28" s="765">
        <f>Gen!T33</f>
        <v>2755</v>
      </c>
      <c r="K28" s="770">
        <f>Gen!AK33</f>
        <v>0</v>
      </c>
      <c r="L28" s="761">
        <f t="shared" si="17"/>
        <v>2755</v>
      </c>
      <c r="M28" s="448">
        <f>'Water-Meter'!K68</f>
        <v>510.32511582212817</v>
      </c>
      <c r="N28" s="721">
        <f>'Water-Meter'!E28</f>
        <v>59</v>
      </c>
      <c r="O28" s="712"/>
      <c r="P28" s="719">
        <v>19032</v>
      </c>
      <c r="Q28" s="731">
        <f t="shared" si="2"/>
        <v>0</v>
      </c>
      <c r="R28" s="426">
        <f t="shared" si="5"/>
        <v>0</v>
      </c>
      <c r="S28" s="707">
        <v>6.4</v>
      </c>
      <c r="T28" s="708">
        <v>17478</v>
      </c>
      <c r="U28" s="731">
        <f t="shared" si="6"/>
        <v>23</v>
      </c>
      <c r="V28" s="427">
        <f t="shared" si="19"/>
        <v>147.20000000000002</v>
      </c>
      <c r="W28" s="707">
        <v>1.9</v>
      </c>
      <c r="X28" s="713">
        <v>26896</v>
      </c>
      <c r="Y28" s="731">
        <f t="shared" si="8"/>
        <v>0</v>
      </c>
      <c r="Z28" s="711">
        <f t="shared" si="9"/>
        <v>0</v>
      </c>
      <c r="AA28" s="718">
        <f t="shared" si="10"/>
        <v>0</v>
      </c>
      <c r="AB28" s="715">
        <v>45291</v>
      </c>
      <c r="AC28" s="696">
        <f t="shared" ref="AC28:AC37" si="21">SUM(AB28-AB27)</f>
        <v>160</v>
      </c>
      <c r="AD28" s="699">
        <v>210718</v>
      </c>
      <c r="AE28" s="178">
        <f t="shared" si="15"/>
        <v>58</v>
      </c>
      <c r="AF28" s="725">
        <f>'Lpg (2)'!B32*2000/85</f>
        <v>2000</v>
      </c>
      <c r="AG28" s="266">
        <f>'Lpg (2)'!C32*1000/85</f>
        <v>247.05882352941177</v>
      </c>
      <c r="AH28" s="738">
        <f>'Lpg (2)'!D32*1000/85</f>
        <v>0</v>
      </c>
      <c r="AI28" s="728">
        <f t="shared" si="18"/>
        <v>4247058.823529412</v>
      </c>
      <c r="AJ28" s="428">
        <f t="shared" si="4"/>
        <v>35294.11764705833</v>
      </c>
      <c r="AK28" s="132"/>
    </row>
    <row r="29" spans="1:37" ht="18.75">
      <c r="A29" s="759">
        <f>Gen!A34</f>
        <v>44220</v>
      </c>
      <c r="B29" s="425">
        <f>'Summery Report'!E28</f>
        <v>0</v>
      </c>
      <c r="C29" s="764">
        <f>Gen!B34</f>
        <v>0.11700000000000001</v>
      </c>
      <c r="D29" s="726">
        <f>'Summery Report'!E28</f>
        <v>0</v>
      </c>
      <c r="E29" s="726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6">
        <f>Gen!C34</f>
        <v>34118.699999999997</v>
      </c>
      <c r="I29" s="726">
        <f>Gen!E34</f>
        <v>0</v>
      </c>
      <c r="J29" s="765">
        <f>Gen!T34</f>
        <v>2823</v>
      </c>
      <c r="K29" s="770">
        <f>Gen!AK34</f>
        <v>0</v>
      </c>
      <c r="L29" s="761">
        <f t="shared" si="17"/>
        <v>2823</v>
      </c>
      <c r="M29" s="448">
        <f>'Water-Meter'!K69</f>
        <v>501.49009757538329</v>
      </c>
      <c r="N29" s="721">
        <f>'Water-Meter'!E29</f>
        <v>69</v>
      </c>
      <c r="O29" s="712"/>
      <c r="P29" s="719">
        <v>19032</v>
      </c>
      <c r="Q29" s="731">
        <f t="shared" si="2"/>
        <v>0</v>
      </c>
      <c r="R29" s="426">
        <f t="shared" si="5"/>
        <v>0</v>
      </c>
      <c r="S29" s="707">
        <v>6.4</v>
      </c>
      <c r="T29" s="708">
        <v>17478</v>
      </c>
      <c r="U29" s="731">
        <f t="shared" si="6"/>
        <v>0</v>
      </c>
      <c r="V29" s="427">
        <f t="shared" si="19"/>
        <v>0</v>
      </c>
      <c r="W29" s="707">
        <v>2.2999999999999998</v>
      </c>
      <c r="X29" s="713">
        <v>26915</v>
      </c>
      <c r="Y29" s="731">
        <f t="shared" si="8"/>
        <v>19</v>
      </c>
      <c r="Z29" s="711">
        <f t="shared" si="9"/>
        <v>43.699999999999996</v>
      </c>
      <c r="AA29" s="718">
        <f t="shared" si="10"/>
        <v>1178283.0999999999</v>
      </c>
      <c r="AB29" s="715">
        <v>45329</v>
      </c>
      <c r="AC29" s="696">
        <f t="shared" si="21"/>
        <v>38</v>
      </c>
      <c r="AD29" s="699">
        <v>210777</v>
      </c>
      <c r="AE29" s="178">
        <f t="shared" si="15"/>
        <v>59</v>
      </c>
      <c r="AF29" s="725">
        <f>'Lpg (2)'!B33*2000/85</f>
        <v>2000</v>
      </c>
      <c r="AG29" s="266">
        <f>'Lpg (2)'!C33*1000/85</f>
        <v>223.52941176470588</v>
      </c>
      <c r="AH29" s="738">
        <f>'Lpg (2)'!D33*1000/85</f>
        <v>0</v>
      </c>
      <c r="AI29" s="728">
        <f t="shared" si="18"/>
        <v>4223529.4117647056</v>
      </c>
      <c r="AJ29" s="428">
        <f t="shared" si="4"/>
        <v>23529.411764706485</v>
      </c>
      <c r="AK29" s="132"/>
    </row>
    <row r="30" spans="1:37" ht="18.75">
      <c r="A30" s="759">
        <f>Gen!A35</f>
        <v>44221</v>
      </c>
      <c r="B30" s="425">
        <f>'Summery Report'!E29</f>
        <v>0</v>
      </c>
      <c r="C30" s="764">
        <f>Gen!B35</f>
        <v>0.13</v>
      </c>
      <c r="D30" s="726">
        <f>'Summery Report'!E29</f>
        <v>0</v>
      </c>
      <c r="E30" s="726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6">
        <f>Gen!C35</f>
        <v>32857.259999999995</v>
      </c>
      <c r="I30" s="726">
        <f>Gen!E35</f>
        <v>18000</v>
      </c>
      <c r="J30" s="765">
        <f>Gen!T35</f>
        <v>2804</v>
      </c>
      <c r="K30" s="770">
        <f>Gen!AK35</f>
        <v>0</v>
      </c>
      <c r="L30" s="761">
        <f t="shared" si="17"/>
        <v>2804</v>
      </c>
      <c r="M30" s="448">
        <f>'Water-Meter'!K70</f>
        <v>539.98621451242047</v>
      </c>
      <c r="N30" s="721">
        <f>'Water-Meter'!E30</f>
        <v>61</v>
      </c>
      <c r="O30" s="712"/>
      <c r="P30" s="719">
        <v>19032</v>
      </c>
      <c r="Q30" s="731">
        <f t="shared" si="2"/>
        <v>0</v>
      </c>
      <c r="R30" s="426">
        <f t="shared" si="5"/>
        <v>0</v>
      </c>
      <c r="S30" s="707">
        <v>6.4</v>
      </c>
      <c r="T30" s="708">
        <v>17478</v>
      </c>
      <c r="U30" s="731">
        <f t="shared" si="6"/>
        <v>0</v>
      </c>
      <c r="V30" s="427">
        <f t="shared" si="19"/>
        <v>0</v>
      </c>
      <c r="W30" s="707">
        <v>2.2999999999999998</v>
      </c>
      <c r="X30" s="713">
        <v>26939</v>
      </c>
      <c r="Y30" s="731">
        <f t="shared" si="8"/>
        <v>24</v>
      </c>
      <c r="Z30" s="711">
        <f t="shared" si="9"/>
        <v>55.199999999999996</v>
      </c>
      <c r="AA30" s="718">
        <f t="shared" si="10"/>
        <v>1489682.4</v>
      </c>
      <c r="AB30" s="715">
        <v>45377</v>
      </c>
      <c r="AC30" s="696">
        <f t="shared" si="21"/>
        <v>48</v>
      </c>
      <c r="AD30" s="699">
        <v>210834</v>
      </c>
      <c r="AE30" s="178">
        <f t="shared" si="15"/>
        <v>57</v>
      </c>
      <c r="AF30" s="725">
        <f>'Lpg (2)'!B34*2000/85</f>
        <v>2000</v>
      </c>
      <c r="AG30" s="266">
        <f>'Lpg (2)'!C34*1000/85</f>
        <v>200</v>
      </c>
      <c r="AH30" s="738">
        <f>'Lpg (2)'!D34*1000/85</f>
        <v>0</v>
      </c>
      <c r="AI30" s="728">
        <f t="shared" si="18"/>
        <v>4200000</v>
      </c>
      <c r="AJ30" s="428">
        <f t="shared" si="4"/>
        <v>23529.411764705554</v>
      </c>
      <c r="AK30" s="132"/>
    </row>
    <row r="31" spans="1:37" ht="18.75">
      <c r="A31" s="759">
        <f>Gen!A36</f>
        <v>44222</v>
      </c>
      <c r="B31" s="425">
        <f>'Summery Report'!E30</f>
        <v>0</v>
      </c>
      <c r="C31" s="764">
        <f>Gen!B36</f>
        <v>0.20799999999999999</v>
      </c>
      <c r="D31" s="726">
        <f>'Summery Report'!E30</f>
        <v>0</v>
      </c>
      <c r="E31" s="726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6">
        <f>Gen!C36</f>
        <v>31489.329999999994</v>
      </c>
      <c r="I31" s="726">
        <f>Gen!E36</f>
        <v>0</v>
      </c>
      <c r="J31" s="765">
        <f>Gen!T36</f>
        <v>2955</v>
      </c>
      <c r="K31" s="770">
        <f>Gen!AK36</f>
        <v>0</v>
      </c>
      <c r="L31" s="761">
        <f t="shared" si="17"/>
        <v>2955</v>
      </c>
      <c r="M31" s="448">
        <f>'Water-Meter'!K71</f>
        <v>585.28769432852812</v>
      </c>
      <c r="N31" s="721">
        <f>'Water-Meter'!E31</f>
        <v>74</v>
      </c>
      <c r="O31" s="712"/>
      <c r="P31" s="719">
        <v>19032</v>
      </c>
      <c r="Q31" s="731">
        <f t="shared" si="2"/>
        <v>0</v>
      </c>
      <c r="R31" s="426">
        <f t="shared" si="5"/>
        <v>0</v>
      </c>
      <c r="S31" s="707">
        <v>6.4</v>
      </c>
      <c r="T31" s="708">
        <v>17478</v>
      </c>
      <c r="U31" s="731">
        <f t="shared" si="6"/>
        <v>0</v>
      </c>
      <c r="V31" s="427">
        <f t="shared" si="19"/>
        <v>0</v>
      </c>
      <c r="W31" s="707">
        <v>2.2999999999999998</v>
      </c>
      <c r="X31" s="713">
        <v>26963</v>
      </c>
      <c r="Y31" s="731">
        <f t="shared" si="8"/>
        <v>24</v>
      </c>
      <c r="Z31" s="711">
        <f t="shared" si="9"/>
        <v>55.199999999999996</v>
      </c>
      <c r="AA31" s="718">
        <f t="shared" si="10"/>
        <v>1491007.2</v>
      </c>
      <c r="AB31" s="715">
        <v>45427</v>
      </c>
      <c r="AC31" s="696">
        <f t="shared" si="21"/>
        <v>50</v>
      </c>
      <c r="AD31" s="699">
        <v>210842</v>
      </c>
      <c r="AE31" s="178">
        <f t="shared" si="15"/>
        <v>8</v>
      </c>
      <c r="AF31" s="725">
        <f>'Lpg (2)'!B35*2000/85</f>
        <v>2000</v>
      </c>
      <c r="AG31" s="266">
        <f>'Lpg (2)'!C35*1000/85</f>
        <v>164.70588235294119</v>
      </c>
      <c r="AH31" s="738">
        <f>'Lpg (2)'!D35*1000/85</f>
        <v>0</v>
      </c>
      <c r="AI31" s="728">
        <f t="shared" si="18"/>
        <v>4164705.8823529412</v>
      </c>
      <c r="AJ31" s="428">
        <f t="shared" si="4"/>
        <v>35294.117647058796</v>
      </c>
      <c r="AK31" s="132"/>
    </row>
    <row r="32" spans="1:37" ht="18.75">
      <c r="A32" s="759">
        <f>Gen!A37</f>
        <v>44223</v>
      </c>
      <c r="B32" s="425">
        <f>'Summery Report'!E31</f>
        <v>0</v>
      </c>
      <c r="C32" s="764">
        <f>Gen!B37</f>
        <v>7.8E-2</v>
      </c>
      <c r="D32" s="726">
        <f>'Summery Report'!E31</f>
        <v>0</v>
      </c>
      <c r="E32" s="726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6">
        <f>Gen!C37</f>
        <v>30248.099999999995</v>
      </c>
      <c r="I32" s="726">
        <f>Gen!E37</f>
        <v>0</v>
      </c>
      <c r="J32" s="765">
        <f>Gen!T37</f>
        <v>2817</v>
      </c>
      <c r="K32" s="770">
        <f>Gen!AK37</f>
        <v>0</v>
      </c>
      <c r="L32" s="761">
        <f t="shared" si="17"/>
        <v>2817</v>
      </c>
      <c r="M32" s="448">
        <f>'Water-Meter'!K72</f>
        <v>522.95871590350896</v>
      </c>
      <c r="N32" s="721">
        <f>'Water-Meter'!E32</f>
        <v>68</v>
      </c>
      <c r="O32" s="712"/>
      <c r="P32" s="719">
        <v>19032</v>
      </c>
      <c r="Q32" s="731">
        <f t="shared" si="2"/>
        <v>0</v>
      </c>
      <c r="R32" s="426">
        <f t="shared" si="5"/>
        <v>0</v>
      </c>
      <c r="S32" s="707">
        <v>6.4</v>
      </c>
      <c r="T32" s="708">
        <v>17478</v>
      </c>
      <c r="U32" s="731">
        <f t="shared" si="6"/>
        <v>0</v>
      </c>
      <c r="V32" s="427">
        <f t="shared" si="19"/>
        <v>0</v>
      </c>
      <c r="W32" s="707">
        <v>2</v>
      </c>
      <c r="X32" s="713">
        <v>26987</v>
      </c>
      <c r="Y32" s="731">
        <f t="shared" si="8"/>
        <v>24</v>
      </c>
      <c r="Z32" s="711">
        <f t="shared" si="9"/>
        <v>48</v>
      </c>
      <c r="AA32" s="718">
        <f t="shared" si="10"/>
        <v>1296624</v>
      </c>
      <c r="AB32" s="715">
        <v>45473</v>
      </c>
      <c r="AC32" s="696">
        <f t="shared" si="21"/>
        <v>46</v>
      </c>
      <c r="AD32" s="699">
        <v>210878</v>
      </c>
      <c r="AE32" s="178">
        <f t="shared" si="15"/>
        <v>36</v>
      </c>
      <c r="AF32" s="725">
        <f>'Lpg (2)'!B36*2000/85</f>
        <v>1952.9411764705883</v>
      </c>
      <c r="AG32" s="266">
        <f>'Lpg (2)'!C36*1000/85</f>
        <v>0</v>
      </c>
      <c r="AH32" s="738">
        <f>'Lpg (2)'!D36*1000/85</f>
        <v>0</v>
      </c>
      <c r="AI32" s="728">
        <f t="shared" si="18"/>
        <v>3905882.3529411764</v>
      </c>
      <c r="AJ32" s="428">
        <f t="shared" si="4"/>
        <v>258823.52941176482</v>
      </c>
      <c r="AK32" s="132"/>
    </row>
    <row r="33" spans="1:37" ht="18.75">
      <c r="A33" s="759">
        <f>Gen!A38</f>
        <v>44224</v>
      </c>
      <c r="B33" s="425">
        <f>'Summery Report'!E32</f>
        <v>0</v>
      </c>
      <c r="C33" s="764">
        <f>Gen!B38</f>
        <v>0</v>
      </c>
      <c r="D33" s="726">
        <f>'Summery Report'!E32</f>
        <v>0</v>
      </c>
      <c r="E33" s="726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6">
        <f>Gen!C38</f>
        <v>43920.259999999995</v>
      </c>
      <c r="I33" s="726">
        <f>Gen!E38</f>
        <v>15000</v>
      </c>
      <c r="J33" s="765">
        <f>Gen!T38</f>
        <v>2738</v>
      </c>
      <c r="K33" s="770">
        <f>Gen!AK38</f>
        <v>0</v>
      </c>
      <c r="L33" s="761">
        <f t="shared" si="17"/>
        <v>2738</v>
      </c>
      <c r="M33" s="448">
        <f>'Water-Meter'!K73</f>
        <v>365.38624462256058</v>
      </c>
      <c r="N33" s="721">
        <f>'Water-Meter'!E33</f>
        <v>55</v>
      </c>
      <c r="O33" s="712"/>
      <c r="P33" s="719">
        <v>19032</v>
      </c>
      <c r="Q33" s="731">
        <f t="shared" si="2"/>
        <v>0</v>
      </c>
      <c r="R33" s="426">
        <f t="shared" si="5"/>
        <v>0</v>
      </c>
      <c r="S33" s="707">
        <v>6.4</v>
      </c>
      <c r="T33" s="708">
        <v>17478</v>
      </c>
      <c r="U33" s="731">
        <f t="shared" si="6"/>
        <v>0</v>
      </c>
      <c r="V33" s="427">
        <f t="shared" si="19"/>
        <v>0</v>
      </c>
      <c r="W33" s="707">
        <v>2</v>
      </c>
      <c r="X33" s="713">
        <v>27011</v>
      </c>
      <c r="Y33" s="731">
        <f t="shared" si="8"/>
        <v>24</v>
      </c>
      <c r="Z33" s="711">
        <f t="shared" si="9"/>
        <v>48</v>
      </c>
      <c r="AA33" s="718">
        <f t="shared" si="10"/>
        <v>0</v>
      </c>
      <c r="AB33" s="715">
        <v>45515</v>
      </c>
      <c r="AC33" s="696">
        <f t="shared" si="21"/>
        <v>42</v>
      </c>
      <c r="AD33" s="699">
        <v>210904</v>
      </c>
      <c r="AE33" s="178">
        <f t="shared" si="15"/>
        <v>26</v>
      </c>
      <c r="AF33" s="725">
        <f>'Lpg (2)'!B37*2000/85</f>
        <v>1905.8823529411766</v>
      </c>
      <c r="AG33" s="266">
        <f>'Lpg (2)'!C37*1000/85</f>
        <v>0</v>
      </c>
      <c r="AH33" s="738">
        <f>'Lpg (2)'!D37*1000/85</f>
        <v>0</v>
      </c>
      <c r="AI33" s="728">
        <f t="shared" si="18"/>
        <v>3811764.7058823532</v>
      </c>
      <c r="AJ33" s="428">
        <f t="shared" si="4"/>
        <v>94117.647058823146</v>
      </c>
      <c r="AK33" s="132"/>
    </row>
    <row r="34" spans="1:37" ht="18.75">
      <c r="A34" s="759">
        <f>Gen!A39</f>
        <v>44225</v>
      </c>
      <c r="B34" s="425">
        <f>'Summery Report'!E33</f>
        <v>0</v>
      </c>
      <c r="C34" s="764">
        <f>Gen!B39</f>
        <v>0</v>
      </c>
      <c r="D34" s="726">
        <f>'Summery Report'!E33</f>
        <v>0</v>
      </c>
      <c r="E34" s="726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6">
        <f>Gen!C39</f>
        <v>42749.939999999995</v>
      </c>
      <c r="I34" s="726">
        <f>Gen!E39</f>
        <v>0</v>
      </c>
      <c r="J34" s="765">
        <f>Gen!T39</f>
        <v>2763</v>
      </c>
      <c r="K34" s="770">
        <f>Gen!AK39</f>
        <v>0</v>
      </c>
      <c r="L34" s="761">
        <f t="shared" si="17"/>
        <v>2763</v>
      </c>
      <c r="M34" s="448">
        <f>'Water-Meter'!K74</f>
        <v>435.73491684876353</v>
      </c>
      <c r="N34" s="721">
        <f>'Water-Meter'!E34</f>
        <v>60</v>
      </c>
      <c r="O34" s="712"/>
      <c r="P34" s="719"/>
      <c r="Q34" s="731">
        <f t="shared" si="2"/>
        <v>-19032</v>
      </c>
      <c r="R34" s="426">
        <f t="shared" si="5"/>
        <v>0</v>
      </c>
      <c r="S34" s="707">
        <v>6.4</v>
      </c>
      <c r="T34" s="708">
        <v>17499</v>
      </c>
      <c r="U34" s="731">
        <f t="shared" si="6"/>
        <v>21</v>
      </c>
      <c r="V34" s="427">
        <f t="shared" si="19"/>
        <v>134.4</v>
      </c>
      <c r="W34" s="707">
        <v>2</v>
      </c>
      <c r="X34" s="713">
        <v>27013</v>
      </c>
      <c r="Y34" s="731">
        <f t="shared" si="8"/>
        <v>2</v>
      </c>
      <c r="Z34" s="711">
        <f t="shared" si="9"/>
        <v>4</v>
      </c>
      <c r="AA34" s="718">
        <f t="shared" si="10"/>
        <v>0</v>
      </c>
      <c r="AB34" s="715">
        <v>45672</v>
      </c>
      <c r="AC34" s="696">
        <f t="shared" si="21"/>
        <v>157</v>
      </c>
      <c r="AD34" s="699">
        <v>210939</v>
      </c>
      <c r="AE34" s="178">
        <f t="shared" si="15"/>
        <v>35</v>
      </c>
      <c r="AF34" s="725">
        <f>'Lpg (2)'!B38*2000/85</f>
        <v>1882.3529411764705</v>
      </c>
      <c r="AG34" s="266">
        <f>'Lpg (2)'!C38*1000/85</f>
        <v>0</v>
      </c>
      <c r="AH34" s="738">
        <f>'Lpg (2)'!D38*1000/85</f>
        <v>0</v>
      </c>
      <c r="AI34" s="728">
        <f t="shared" si="18"/>
        <v>3764705.8823529412</v>
      </c>
      <c r="AJ34" s="428">
        <f t="shared" si="4"/>
        <v>47058.823529412039</v>
      </c>
      <c r="AK34" s="132"/>
    </row>
    <row r="35" spans="1:37" ht="18.75">
      <c r="A35" s="759">
        <f>Gen!A40</f>
        <v>44226</v>
      </c>
      <c r="B35" s="425">
        <f>'Summery Report'!E34</f>
        <v>0</v>
      </c>
      <c r="C35" s="764">
        <f>Gen!B40</f>
        <v>0</v>
      </c>
      <c r="D35" s="726">
        <f>'Summery Report'!E34</f>
        <v>0</v>
      </c>
      <c r="E35" s="726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6">
        <f>Gen!C40</f>
        <v>41555.909999999996</v>
      </c>
      <c r="I35" s="726">
        <f>Gen!E40</f>
        <v>0</v>
      </c>
      <c r="J35" s="765">
        <f>Gen!T40</f>
        <v>0</v>
      </c>
      <c r="K35" s="770">
        <f>Gen!AK40</f>
        <v>0</v>
      </c>
      <c r="L35" s="761">
        <f t="shared" si="17"/>
        <v>0</v>
      </c>
      <c r="M35" s="448">
        <f>'Water-Meter'!K75</f>
        <v>453.69925590339403</v>
      </c>
      <c r="N35" s="721" t="str">
        <f>'Water-Meter'!E35</f>
        <v>0</v>
      </c>
      <c r="O35" s="712"/>
      <c r="P35" s="719"/>
      <c r="Q35" s="731">
        <f t="shared" si="2"/>
        <v>0</v>
      </c>
      <c r="R35" s="426">
        <f t="shared" si="5"/>
        <v>0</v>
      </c>
      <c r="S35" s="707"/>
      <c r="T35" s="708"/>
      <c r="U35" s="731">
        <f t="shared" si="6"/>
        <v>-17499</v>
      </c>
      <c r="V35" s="427">
        <f t="shared" si="19"/>
        <v>0</v>
      </c>
      <c r="W35" s="707"/>
      <c r="X35" s="713"/>
      <c r="Y35" s="731">
        <f t="shared" si="8"/>
        <v>-27013</v>
      </c>
      <c r="Z35" s="711">
        <f t="shared" si="9"/>
        <v>0</v>
      </c>
      <c r="AA35" s="718">
        <f t="shared" si="10"/>
        <v>0</v>
      </c>
      <c r="AB35" s="715"/>
      <c r="AC35" s="696">
        <f t="shared" si="21"/>
        <v>-45672</v>
      </c>
      <c r="AD35" s="699"/>
      <c r="AE35" s="178">
        <f t="shared" si="15"/>
        <v>-210939</v>
      </c>
      <c r="AF35" s="725">
        <f>'Lpg (2)'!B39*2000/85</f>
        <v>1882.3529411764705</v>
      </c>
      <c r="AG35" s="266">
        <f>'Lpg (2)'!C39*1000/85</f>
        <v>0</v>
      </c>
      <c r="AH35" s="738">
        <f>'Lpg (2)'!D39*1000/85</f>
        <v>0</v>
      </c>
      <c r="AI35" s="728">
        <f t="shared" si="18"/>
        <v>3764705.8823529412</v>
      </c>
      <c r="AJ35" s="428">
        <f t="shared" si="4"/>
        <v>0</v>
      </c>
      <c r="AK35" s="132"/>
    </row>
    <row r="36" spans="1:37" ht="18.75">
      <c r="A36" s="759">
        <f>Gen!A41</f>
        <v>44227</v>
      </c>
      <c r="B36" s="425">
        <f>'Summery Report'!E35</f>
        <v>0</v>
      </c>
      <c r="C36" s="764">
        <f>Gen!B41</f>
        <v>0</v>
      </c>
      <c r="D36" s="726">
        <f>'Summery Report'!E35</f>
        <v>0</v>
      </c>
      <c r="E36" s="726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6">
        <f>Gen!C41</f>
        <v>41555.909999999996</v>
      </c>
      <c r="I36" s="726">
        <f>Gen!E41</f>
        <v>0</v>
      </c>
      <c r="J36" s="765">
        <f>Gen!T41</f>
        <v>0</v>
      </c>
      <c r="K36" s="770">
        <f>Gen!AK41</f>
        <v>0</v>
      </c>
      <c r="L36" s="761">
        <f t="shared" si="17"/>
        <v>0</v>
      </c>
      <c r="M36" s="448">
        <f>'Water-Meter'!K76</f>
        <v>0</v>
      </c>
      <c r="N36" s="721">
        <f>'Water-Meter'!E36</f>
        <v>0</v>
      </c>
      <c r="O36" s="712"/>
      <c r="P36" s="719"/>
      <c r="Q36" s="731">
        <f t="shared" si="2"/>
        <v>0</v>
      </c>
      <c r="R36" s="426">
        <f t="shared" si="5"/>
        <v>0</v>
      </c>
      <c r="S36" s="707"/>
      <c r="T36" s="708"/>
      <c r="U36" s="731">
        <f t="shared" si="6"/>
        <v>0</v>
      </c>
      <c r="V36" s="427">
        <f t="shared" si="19"/>
        <v>0</v>
      </c>
      <c r="W36" s="707"/>
      <c r="X36" s="713"/>
      <c r="Y36" s="731">
        <f t="shared" si="8"/>
        <v>0</v>
      </c>
      <c r="Z36" s="711">
        <f t="shared" si="9"/>
        <v>0</v>
      </c>
      <c r="AA36" s="718">
        <f t="shared" si="10"/>
        <v>0</v>
      </c>
      <c r="AB36" s="715"/>
      <c r="AC36" s="696">
        <f t="shared" si="21"/>
        <v>0</v>
      </c>
      <c r="AD36" s="699"/>
      <c r="AE36" s="178">
        <f t="shared" si="15"/>
        <v>0</v>
      </c>
      <c r="AF36" s="725">
        <f>'Lpg (2)'!B40*2000/85</f>
        <v>0</v>
      </c>
      <c r="AG36" s="266">
        <f>'Lpg (2)'!C40*1000/85</f>
        <v>0</v>
      </c>
      <c r="AH36" s="738">
        <f>'Lpg (2)'!D40*1000/85</f>
        <v>0</v>
      </c>
      <c r="AI36" s="728">
        <f>SUM(AF36*1000)+(AG36*1000)+(AH36*2000)</f>
        <v>0</v>
      </c>
      <c r="AJ36" s="428">
        <f t="shared" si="4"/>
        <v>3764705.8823529412</v>
      </c>
      <c r="AK36" s="132"/>
    </row>
    <row r="37" spans="1:37" s="8" customFormat="1" ht="18" thickBot="1">
      <c r="A37" s="760">
        <f>Gen!A42</f>
        <v>0</v>
      </c>
      <c r="B37" s="771">
        <v>0</v>
      </c>
      <c r="C37" s="772"/>
      <c r="D37" s="772"/>
      <c r="E37" s="772"/>
      <c r="F37" s="772"/>
      <c r="G37" s="772"/>
      <c r="H37" s="773"/>
      <c r="I37" s="774"/>
      <c r="J37" s="775">
        <f>SUM(J6:J36)</f>
        <v>87125</v>
      </c>
      <c r="K37" s="776"/>
      <c r="L37" s="762">
        <f t="shared" si="17"/>
        <v>87125</v>
      </c>
      <c r="M37" s="448">
        <f>'Water-Meter'!K77</f>
        <v>0</v>
      </c>
      <c r="N37" s="722">
        <f>'Water-Meter'!E37</f>
        <v>0</v>
      </c>
      <c r="O37" s="709"/>
      <c r="P37" s="710"/>
      <c r="Q37" s="732">
        <f t="shared" ref="Q37" si="22">SUM(P37-P36)</f>
        <v>0</v>
      </c>
      <c r="R37" s="733">
        <f t="shared" ref="R37" si="23">SUM(Q37*O37)</f>
        <v>0</v>
      </c>
      <c r="S37" s="709"/>
      <c r="T37" s="710"/>
      <c r="U37" s="732">
        <f t="shared" ref="U37" si="24">T37-T36</f>
        <v>0</v>
      </c>
      <c r="V37" s="734">
        <f t="shared" ref="V37" si="25">SUM(U37*S37)</f>
        <v>0</v>
      </c>
      <c r="W37" s="709"/>
      <c r="X37" s="710"/>
      <c r="Y37" s="732">
        <f t="shared" ref="Y37" si="26">X37-X36</f>
        <v>0</v>
      </c>
      <c r="Z37" s="735">
        <f t="shared" ref="Z37" si="27">SUM(Y37*W37)</f>
        <v>0</v>
      </c>
      <c r="AA37" s="736">
        <f t="shared" ref="AA37" si="28">SUM(Z37*X39)</f>
        <v>0</v>
      </c>
      <c r="AB37" s="704"/>
      <c r="AC37" s="697">
        <f t="shared" si="21"/>
        <v>0</v>
      </c>
      <c r="AD37" s="700"/>
      <c r="AE37" s="705">
        <f t="shared" si="15"/>
        <v>0</v>
      </c>
      <c r="AF37" s="739">
        <f>'Lpg (2)'!B41*2000/85</f>
        <v>0</v>
      </c>
      <c r="AG37" s="740">
        <f>'Lpg (2)'!C41*1000/85</f>
        <v>0</v>
      </c>
      <c r="AH37" s="741">
        <f>'Lpg (2)'!D41*1000/85</f>
        <v>0</v>
      </c>
      <c r="AI37" s="729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4" sqref="W34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7" t="s">
        <v>150</v>
      </c>
      <c r="C1" s="858"/>
      <c r="D1" s="858"/>
      <c r="E1" s="858"/>
      <c r="F1" s="859"/>
      <c r="G1" s="157"/>
      <c r="H1" s="857" t="s">
        <v>151</v>
      </c>
      <c r="I1" s="858"/>
      <c r="J1" s="858"/>
      <c r="K1" s="858"/>
      <c r="L1" s="859"/>
      <c r="M1" s="857" t="s">
        <v>170</v>
      </c>
      <c r="N1" s="858"/>
      <c r="O1" s="858"/>
      <c r="P1" s="858"/>
      <c r="Q1" s="859"/>
      <c r="R1" s="157"/>
      <c r="T1" s="857" t="s">
        <v>166</v>
      </c>
      <c r="U1" s="858"/>
      <c r="V1" s="858"/>
      <c r="W1" s="858"/>
      <c r="X1" s="859"/>
      <c r="Y1" s="857" t="s">
        <v>169</v>
      </c>
      <c r="Z1" s="858"/>
      <c r="AA1" s="858"/>
      <c r="AB1" s="858"/>
      <c r="AC1" s="859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0" t="s">
        <v>156</v>
      </c>
      <c r="C3" s="861"/>
      <c r="D3" s="166"/>
      <c r="E3" s="579">
        <v>9018.2000000000007</v>
      </c>
      <c r="F3" s="586" t="s">
        <v>157</v>
      </c>
      <c r="G3" s="587"/>
      <c r="H3" s="860" t="s">
        <v>156</v>
      </c>
      <c r="I3" s="861"/>
      <c r="J3" s="613">
        <f>'Water-Meter'!G5</f>
        <v>0</v>
      </c>
      <c r="K3" s="588">
        <f>'Water-Meter'!G5</f>
        <v>0</v>
      </c>
      <c r="L3" s="241"/>
      <c r="M3" s="860" t="s">
        <v>156</v>
      </c>
      <c r="N3" s="861"/>
      <c r="O3" s="166"/>
      <c r="P3" s="589">
        <f>'Water-Meter'!J5</f>
        <v>8184</v>
      </c>
      <c r="Q3" s="165"/>
      <c r="R3" s="241"/>
      <c r="S3" s="642"/>
      <c r="T3" s="860" t="s">
        <v>156</v>
      </c>
      <c r="U3" s="861"/>
      <c r="V3" s="166"/>
      <c r="W3" s="580">
        <v>7926.8</v>
      </c>
      <c r="X3" s="590">
        <f t="shared" ref="X3:X35" si="0">(W3-V3)*200</f>
        <v>1585360</v>
      </c>
      <c r="Y3" s="860" t="s">
        <v>156</v>
      </c>
      <c r="Z3" s="861"/>
      <c r="AA3" s="166"/>
      <c r="AB3" s="169"/>
      <c r="AC3" s="170"/>
    </row>
    <row r="4" spans="1:29" ht="19.5" thickBot="1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9018.2000000000007</v>
      </c>
      <c r="E4" s="579">
        <v>9020.2000000000007</v>
      </c>
      <c r="F4" s="593">
        <f t="shared" ref="F4:F15" si="2">SUM(E4-D4)*120</f>
        <v>240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7926.8</v>
      </c>
      <c r="W4" s="580">
        <v>7931.2</v>
      </c>
      <c r="X4" s="593">
        <f t="shared" si="0"/>
        <v>879.99999999992724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9.5" thickBot="1">
      <c r="A5" s="644">
        <f>Gen!B12</f>
        <v>0.3</v>
      </c>
      <c r="B5" s="594">
        <f>Gen!A12</f>
        <v>44198</v>
      </c>
      <c r="C5" s="578"/>
      <c r="D5" s="583">
        <f t="shared" si="1"/>
        <v>9020.2000000000007</v>
      </c>
      <c r="E5" s="579">
        <v>9022.1</v>
      </c>
      <c r="F5" s="583">
        <f t="shared" si="2"/>
        <v>227.99999999995634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30">
        <f t="shared" ref="T5:T34" si="9">M5</f>
        <v>44198</v>
      </c>
      <c r="U5" s="578"/>
      <c r="V5" s="583">
        <f t="shared" si="5"/>
        <v>7931.2</v>
      </c>
      <c r="W5" s="580">
        <v>7934.1</v>
      </c>
      <c r="X5" s="583">
        <f t="shared" si="0"/>
        <v>580.00000000010914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9.5" thickBot="1">
      <c r="A6" s="644">
        <f>Gen!B13</f>
        <v>0.26</v>
      </c>
      <c r="B6" s="594">
        <f>Gen!A13</f>
        <v>44199</v>
      </c>
      <c r="C6" s="578"/>
      <c r="D6" s="583">
        <f t="shared" si="1"/>
        <v>9022.1</v>
      </c>
      <c r="E6" s="579">
        <v>9024.1</v>
      </c>
      <c r="F6" s="583">
        <f t="shared" si="2"/>
        <v>240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30">
        <f t="shared" si="9"/>
        <v>44199</v>
      </c>
      <c r="U6" s="578"/>
      <c r="V6" s="583">
        <f t="shared" si="5"/>
        <v>7934.1</v>
      </c>
      <c r="W6" s="580">
        <v>7936.6</v>
      </c>
      <c r="X6" s="583">
        <f t="shared" si="0"/>
        <v>500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9.5" thickBot="1">
      <c r="A7" s="644">
        <f>Gen!B14</f>
        <v>0.182</v>
      </c>
      <c r="B7" s="594">
        <f>Gen!A14</f>
        <v>44200</v>
      </c>
      <c r="C7" s="578"/>
      <c r="D7" s="583">
        <f t="shared" si="1"/>
        <v>9024.1</v>
      </c>
      <c r="E7" s="579">
        <v>9025.7999999999993</v>
      </c>
      <c r="F7" s="583">
        <f t="shared" si="2"/>
        <v>203.99999999986903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30">
        <f t="shared" si="9"/>
        <v>44200</v>
      </c>
      <c r="U7" s="578"/>
      <c r="V7" s="583">
        <f t="shared" si="5"/>
        <v>7936.6</v>
      </c>
      <c r="W7" s="580">
        <v>7939.8</v>
      </c>
      <c r="X7" s="583">
        <f t="shared" si="0"/>
        <v>639.99999999996362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9.5" thickBot="1">
      <c r="A8" s="644">
        <f>Gen!B15</f>
        <v>0.20799999999999999</v>
      </c>
      <c r="B8" s="594">
        <f>Gen!A15</f>
        <v>44201</v>
      </c>
      <c r="C8" s="578"/>
      <c r="D8" s="583">
        <f t="shared" si="1"/>
        <v>9025.7999999999993</v>
      </c>
      <c r="E8" s="579">
        <v>9027.7000000000007</v>
      </c>
      <c r="F8" s="583">
        <f t="shared" si="2"/>
        <v>228.00000000017462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30">
        <f t="shared" si="9"/>
        <v>44201</v>
      </c>
      <c r="U8" s="578"/>
      <c r="V8" s="583">
        <f t="shared" si="5"/>
        <v>7939.8</v>
      </c>
      <c r="W8" s="580">
        <v>7942.1</v>
      </c>
      <c r="X8" s="583">
        <f t="shared" si="0"/>
        <v>460.00000000003638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9.5" thickBot="1">
      <c r="A9" s="644">
        <f>Gen!B16</f>
        <v>0.182</v>
      </c>
      <c r="B9" s="594">
        <f>Gen!A16</f>
        <v>44202</v>
      </c>
      <c r="C9" s="578"/>
      <c r="D9" s="583">
        <f t="shared" si="1"/>
        <v>9027.7000000000007</v>
      </c>
      <c r="E9" s="579">
        <v>9029.6</v>
      </c>
      <c r="F9" s="583">
        <f t="shared" si="2"/>
        <v>227.99999999995634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30">
        <f t="shared" si="9"/>
        <v>44202</v>
      </c>
      <c r="U9" s="578"/>
      <c r="V9" s="583">
        <f t="shared" si="5"/>
        <v>7942.1</v>
      </c>
      <c r="W9" s="580">
        <v>7944.9</v>
      </c>
      <c r="X9" s="583">
        <f t="shared" si="0"/>
        <v>559.99999999985448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9.5" thickBot="1">
      <c r="A10" s="644">
        <f>Gen!B17</f>
        <v>0.32500000000000001</v>
      </c>
      <c r="B10" s="594">
        <f>Gen!A17</f>
        <v>44203</v>
      </c>
      <c r="C10" s="578"/>
      <c r="D10" s="583">
        <f t="shared" si="1"/>
        <v>9029.6</v>
      </c>
      <c r="E10" s="579">
        <v>9031.5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30">
        <f t="shared" si="9"/>
        <v>44203</v>
      </c>
      <c r="U10" s="578"/>
      <c r="V10" s="583">
        <f t="shared" si="5"/>
        <v>7944.9</v>
      </c>
      <c r="W10" s="580">
        <v>7947.6</v>
      </c>
      <c r="X10" s="583">
        <f t="shared" si="0"/>
        <v>540.00000000014552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9.5" thickBot="1">
      <c r="A11" s="644">
        <f>Gen!B18</f>
        <v>0.247</v>
      </c>
      <c r="B11" s="594">
        <f>Gen!A18</f>
        <v>44204</v>
      </c>
      <c r="C11" s="578"/>
      <c r="D11" s="583">
        <f t="shared" si="1"/>
        <v>9031.5</v>
      </c>
      <c r="E11" s="579">
        <v>9033.4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30">
        <f t="shared" si="9"/>
        <v>44204</v>
      </c>
      <c r="U11" s="578"/>
      <c r="V11" s="583">
        <f t="shared" si="5"/>
        <v>7947.6</v>
      </c>
      <c r="W11" s="580">
        <v>7950.6</v>
      </c>
      <c r="X11" s="583">
        <f t="shared" si="0"/>
        <v>600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9.5" thickBot="1">
      <c r="A12" s="644">
        <f>Gen!B19</f>
        <v>0.14000000000000001</v>
      </c>
      <c r="B12" s="594">
        <f>Gen!A19</f>
        <v>44205</v>
      </c>
      <c r="C12" s="578"/>
      <c r="D12" s="583">
        <f t="shared" si="1"/>
        <v>9033.4</v>
      </c>
      <c r="E12" s="579">
        <v>9035.2000000000007</v>
      </c>
      <c r="F12" s="583">
        <f t="shared" si="2"/>
        <v>216.00000000013097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30">
        <f t="shared" si="9"/>
        <v>44205</v>
      </c>
      <c r="U12" s="578"/>
      <c r="V12" s="583">
        <f t="shared" si="5"/>
        <v>7950.6</v>
      </c>
      <c r="W12" s="580">
        <v>7953.4</v>
      </c>
      <c r="X12" s="583">
        <f t="shared" si="0"/>
        <v>559.99999999985448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9.5" thickBot="1">
      <c r="A13" s="644">
        <f>Gen!B20</f>
        <v>0.221</v>
      </c>
      <c r="B13" s="594">
        <f>Gen!A20</f>
        <v>44206</v>
      </c>
      <c r="C13" s="578"/>
      <c r="D13" s="583">
        <f t="shared" si="1"/>
        <v>9035.2000000000007</v>
      </c>
      <c r="E13" s="579">
        <v>9037.1</v>
      </c>
      <c r="F13" s="583">
        <f t="shared" si="2"/>
        <v>227.99999999995634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30">
        <f t="shared" si="9"/>
        <v>44206</v>
      </c>
      <c r="U13" s="578"/>
      <c r="V13" s="583">
        <f t="shared" si="5"/>
        <v>7953.4</v>
      </c>
      <c r="W13" s="580">
        <v>7955.2</v>
      </c>
      <c r="X13" s="583">
        <f t="shared" si="0"/>
        <v>360.00000000003638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9.5" thickBot="1">
      <c r="A14" s="644">
        <f>Gen!B21</f>
        <v>0.11700000000000001</v>
      </c>
      <c r="B14" s="594">
        <f>Gen!A21</f>
        <v>44207</v>
      </c>
      <c r="C14" s="578"/>
      <c r="D14" s="583">
        <f t="shared" si="1"/>
        <v>9037.1</v>
      </c>
      <c r="E14" s="579">
        <v>9039.1</v>
      </c>
      <c r="F14" s="583">
        <f t="shared" si="2"/>
        <v>240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30">
        <f t="shared" si="9"/>
        <v>44207</v>
      </c>
      <c r="U14" s="578"/>
      <c r="V14" s="583">
        <f t="shared" si="5"/>
        <v>7955.2</v>
      </c>
      <c r="W14" s="580">
        <v>7955.2</v>
      </c>
      <c r="X14" s="583">
        <f t="shared" si="0"/>
        <v>0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9.5" thickBot="1">
      <c r="A15" s="644">
        <f>Gen!B22</f>
        <v>0.16900000000000001</v>
      </c>
      <c r="B15" s="594">
        <f>Gen!A22</f>
        <v>44208</v>
      </c>
      <c r="C15" s="578"/>
      <c r="D15" s="583">
        <f t="shared" si="1"/>
        <v>9039.1</v>
      </c>
      <c r="E15" s="579">
        <v>9040.9</v>
      </c>
      <c r="F15" s="583">
        <f t="shared" si="2"/>
        <v>215.99999999991269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30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9.5" thickBot="1">
      <c r="A16" s="644">
        <f>Gen!B23</f>
        <v>2.5999999999999999E-2</v>
      </c>
      <c r="B16" s="594">
        <f>Gen!A23</f>
        <v>44209</v>
      </c>
      <c r="C16" s="578"/>
      <c r="D16" s="583">
        <f t="shared" si="1"/>
        <v>9040.9</v>
      </c>
      <c r="E16" s="579">
        <v>9039.1</v>
      </c>
      <c r="F16" s="583">
        <f>SUM(E16-D16)*120</f>
        <v>-215.99999999991269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30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9.5" thickBot="1">
      <c r="A17" s="644">
        <f>Gen!B24</f>
        <v>3.9E-2</v>
      </c>
      <c r="B17" s="594">
        <f>Gen!A24</f>
        <v>44210</v>
      </c>
      <c r="C17" s="578"/>
      <c r="D17" s="583">
        <f t="shared" si="1"/>
        <v>9039.1</v>
      </c>
      <c r="E17" s="579">
        <v>9042.9</v>
      </c>
      <c r="F17" s="583">
        <f>SUM(E17-D17)*120</f>
        <v>455.99999999991269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30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9.5" thickBot="1">
      <c r="A18" s="644">
        <f>Gen!B25</f>
        <v>5.1999999999999998E-2</v>
      </c>
      <c r="B18" s="594">
        <f>Gen!A25</f>
        <v>44211</v>
      </c>
      <c r="C18" s="578"/>
      <c r="D18" s="583">
        <f t="shared" si="1"/>
        <v>9042.9</v>
      </c>
      <c r="E18" s="579">
        <v>9045.2999999999993</v>
      </c>
      <c r="F18" s="583">
        <f t="shared" ref="F18:F22" si="12">SUM(E18-D18)*120</f>
        <v>287.99999999995634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8205</v>
      </c>
      <c r="P18" s="582">
        <f>'Water-Meter'!J20</f>
        <v>8205</v>
      </c>
      <c r="Q18" s="578">
        <f t="shared" si="8"/>
        <v>0</v>
      </c>
      <c r="R18" s="628">
        <f t="shared" si="4"/>
        <v>0</v>
      </c>
      <c r="S18" s="629">
        <f>Gen!T25</f>
        <v>2782</v>
      </c>
      <c r="T18" s="630">
        <f t="shared" si="9"/>
        <v>44211</v>
      </c>
      <c r="U18" s="578"/>
      <c r="V18" s="583">
        <f t="shared" si="5"/>
        <v>7961.5</v>
      </c>
      <c r="W18" s="580">
        <v>7963.8</v>
      </c>
      <c r="X18" s="583">
        <f t="shared" si="0"/>
        <v>460.00000000003638</v>
      </c>
      <c r="Y18" s="625">
        <f t="shared" si="10"/>
        <v>44211</v>
      </c>
      <c r="Z18" s="578"/>
      <c r="AA18" s="578"/>
      <c r="AB18" s="582">
        <f>'Water-Meter'!P20</f>
        <v>20815</v>
      </c>
      <c r="AC18" s="635">
        <f t="shared" si="11"/>
        <v>-20811</v>
      </c>
    </row>
    <row r="19" spans="1:29" ht="19.5" thickBot="1">
      <c r="A19" s="644">
        <f>Gen!B26</f>
        <v>1.2999999999999999E-2</v>
      </c>
      <c r="B19" s="594">
        <f>Gen!A26</f>
        <v>44212</v>
      </c>
      <c r="C19" s="581"/>
      <c r="D19" s="583">
        <f t="shared" si="1"/>
        <v>9045.2999999999993</v>
      </c>
      <c r="E19" s="579">
        <v>9047.6</v>
      </c>
      <c r="F19" s="583">
        <f t="shared" si="12"/>
        <v>276.00000000013097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8206</v>
      </c>
      <c r="P19" s="582">
        <f>'Water-Meter'!J21</f>
        <v>8206</v>
      </c>
      <c r="Q19" s="578">
        <f t="shared" si="8"/>
        <v>-8205</v>
      </c>
      <c r="R19" s="628">
        <f t="shared" si="4"/>
        <v>-5.0804953560371517</v>
      </c>
      <c r="S19" s="629">
        <f>Gen!T26</f>
        <v>2569</v>
      </c>
      <c r="T19" s="630">
        <f t="shared" si="9"/>
        <v>44212</v>
      </c>
      <c r="U19" s="581"/>
      <c r="V19" s="583">
        <f t="shared" si="5"/>
        <v>7963.8</v>
      </c>
      <c r="W19" s="580">
        <v>7964.7</v>
      </c>
      <c r="X19" s="583">
        <f t="shared" si="0"/>
        <v>179.99999999992724</v>
      </c>
      <c r="Y19" s="625">
        <f t="shared" si="10"/>
        <v>44212</v>
      </c>
      <c r="Z19" s="581"/>
      <c r="AA19" s="578"/>
      <c r="AB19" s="582">
        <f>'Water-Meter'!P21</f>
        <v>20819</v>
      </c>
      <c r="AC19" s="635">
        <f t="shared" si="11"/>
        <v>-20815</v>
      </c>
    </row>
    <row r="20" spans="1:29" ht="19.5" thickBot="1">
      <c r="A20" s="644">
        <f>Gen!B27</f>
        <v>7.8E-2</v>
      </c>
      <c r="B20" s="594">
        <f>Gen!A27</f>
        <v>44213</v>
      </c>
      <c r="C20" s="581"/>
      <c r="D20" s="583">
        <f t="shared" si="1"/>
        <v>9047.6</v>
      </c>
      <c r="E20" s="579">
        <v>9049.5</v>
      </c>
      <c r="F20" s="583">
        <f t="shared" si="12"/>
        <v>227.99999999995634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8208</v>
      </c>
      <c r="P20" s="582">
        <f>'Water-Meter'!J22</f>
        <v>8208</v>
      </c>
      <c r="Q20" s="578">
        <f t="shared" si="8"/>
        <v>-8206</v>
      </c>
      <c r="R20" s="628">
        <f t="shared" si="4"/>
        <v>-5.0811145510835916</v>
      </c>
      <c r="S20" s="629">
        <f>Gen!T27</f>
        <v>2654</v>
      </c>
      <c r="T20" s="630">
        <f t="shared" si="9"/>
        <v>44213</v>
      </c>
      <c r="U20" s="581"/>
      <c r="V20" s="583">
        <f t="shared" si="5"/>
        <v>7964.7</v>
      </c>
      <c r="W20" s="580">
        <v>7966.6</v>
      </c>
      <c r="X20" s="583">
        <f t="shared" si="0"/>
        <v>380.00000000010914</v>
      </c>
      <c r="Y20" s="625">
        <f t="shared" si="10"/>
        <v>44213</v>
      </c>
      <c r="Z20" s="581"/>
      <c r="AA20" s="578"/>
      <c r="AB20" s="582">
        <f>'Water-Meter'!P22</f>
        <v>20824</v>
      </c>
      <c r="AC20" s="635">
        <f t="shared" si="11"/>
        <v>-20819</v>
      </c>
    </row>
    <row r="21" spans="1:29" ht="19.5" thickBot="1">
      <c r="A21" s="644">
        <f>Gen!B28</f>
        <v>9.0999999999999998E-2</v>
      </c>
      <c r="B21" s="594">
        <f>Gen!A28</f>
        <v>44214</v>
      </c>
      <c r="C21" s="581"/>
      <c r="D21" s="583">
        <f t="shared" si="1"/>
        <v>9049.5</v>
      </c>
      <c r="E21" s="579">
        <v>9051.5</v>
      </c>
      <c r="F21" s="583">
        <f t="shared" si="12"/>
        <v>240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8209</v>
      </c>
      <c r="P21" s="582">
        <f>'Water-Meter'!J23</f>
        <v>8209</v>
      </c>
      <c r="Q21" s="578">
        <f t="shared" ref="Q21:Q35" si="13">N21-O20</f>
        <v>-8208</v>
      </c>
      <c r="R21" s="628">
        <f t="shared" ref="R21:R35" si="14">SUM(Q21/1615)</f>
        <v>-5.0823529411764703</v>
      </c>
      <c r="S21" s="629">
        <f>Gen!T28</f>
        <v>2618</v>
      </c>
      <c r="T21" s="630">
        <f t="shared" si="9"/>
        <v>44214</v>
      </c>
      <c r="U21" s="581"/>
      <c r="V21" s="583">
        <f t="shared" si="5"/>
        <v>7966.6</v>
      </c>
      <c r="W21" s="580">
        <v>7968.2</v>
      </c>
      <c r="X21" s="583">
        <f t="shared" si="0"/>
        <v>319.99999999989086</v>
      </c>
      <c r="Y21" s="625">
        <f t="shared" si="10"/>
        <v>44214</v>
      </c>
      <c r="Z21" s="581"/>
      <c r="AA21" s="578"/>
      <c r="AB21" s="582">
        <f>'Water-Meter'!P23</f>
        <v>20829</v>
      </c>
      <c r="AC21" s="635">
        <f t="shared" si="11"/>
        <v>-20824</v>
      </c>
    </row>
    <row r="22" spans="1:29" ht="19.5" thickBot="1">
      <c r="A22" s="644">
        <f>Gen!B29</f>
        <v>0.13</v>
      </c>
      <c r="B22" s="594">
        <f>Gen!A29</f>
        <v>44215</v>
      </c>
      <c r="C22" s="578"/>
      <c r="D22" s="583">
        <f t="shared" si="1"/>
        <v>9051.5</v>
      </c>
      <c r="E22" s="579">
        <v>9053.5</v>
      </c>
      <c r="F22" s="583">
        <f t="shared" si="12"/>
        <v>240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8222</v>
      </c>
      <c r="P22" s="582">
        <f>'Water-Meter'!J24</f>
        <v>8222</v>
      </c>
      <c r="Q22" s="578">
        <f t="shared" si="13"/>
        <v>-8209</v>
      </c>
      <c r="R22" s="628">
        <f t="shared" si="14"/>
        <v>-5.0829721362229101</v>
      </c>
      <c r="S22" s="629">
        <f>Gen!T29</f>
        <v>2737</v>
      </c>
      <c r="T22" s="630">
        <f t="shared" si="9"/>
        <v>44215</v>
      </c>
      <c r="U22" s="578"/>
      <c r="V22" s="583">
        <f t="shared" si="5"/>
        <v>7968.2</v>
      </c>
      <c r="W22" s="580">
        <v>7970.1</v>
      </c>
      <c r="X22" s="583">
        <f t="shared" si="0"/>
        <v>380.00000000010914</v>
      </c>
      <c r="Y22" s="625">
        <f t="shared" si="10"/>
        <v>44215</v>
      </c>
      <c r="Z22" s="578"/>
      <c r="AA22" s="578"/>
      <c r="AB22" s="582">
        <f>'Water-Meter'!P24</f>
        <v>20832</v>
      </c>
      <c r="AC22" s="635">
        <f t="shared" si="11"/>
        <v>-20829</v>
      </c>
    </row>
    <row r="23" spans="1:29" ht="19.5" thickBot="1">
      <c r="A23" s="644">
        <f>Gen!B30</f>
        <v>6.5000000000000002E-2</v>
      </c>
      <c r="B23" s="594">
        <f>Gen!A30</f>
        <v>44216</v>
      </c>
      <c r="C23" s="581"/>
      <c r="D23" s="583">
        <f t="shared" si="1"/>
        <v>9053.5</v>
      </c>
      <c r="E23" s="579">
        <v>9055.5</v>
      </c>
      <c r="F23" s="583">
        <f t="shared" ref="F23:F34" si="15">SUM(E23-D23)*120</f>
        <v>240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8223</v>
      </c>
      <c r="P23" s="582">
        <f>'Water-Meter'!J25</f>
        <v>8223</v>
      </c>
      <c r="Q23" s="578">
        <f t="shared" si="13"/>
        <v>-8222</v>
      </c>
      <c r="R23" s="628">
        <f t="shared" si="14"/>
        <v>-5.091021671826625</v>
      </c>
      <c r="S23" s="629">
        <f>Gen!T30</f>
        <v>2764</v>
      </c>
      <c r="T23" s="630">
        <f t="shared" si="9"/>
        <v>44216</v>
      </c>
      <c r="U23" s="581"/>
      <c r="V23" s="583">
        <f t="shared" si="5"/>
        <v>7970.1</v>
      </c>
      <c r="W23" s="580">
        <v>7971.4</v>
      </c>
      <c r="X23" s="583">
        <f t="shared" si="0"/>
        <v>259.99999999985448</v>
      </c>
      <c r="Y23" s="625">
        <f t="shared" si="10"/>
        <v>44216</v>
      </c>
      <c r="Z23" s="581"/>
      <c r="AA23" s="578"/>
      <c r="AB23" s="582">
        <f>'Water-Meter'!P25</f>
        <v>20835</v>
      </c>
      <c r="AC23" s="635">
        <f t="shared" si="11"/>
        <v>-20832</v>
      </c>
    </row>
    <row r="24" spans="1:29" ht="19.5" thickBot="1">
      <c r="A24" s="644">
        <f>Gen!B31</f>
        <v>5.1999999999999998E-2</v>
      </c>
      <c r="B24" s="594">
        <f>Gen!A31</f>
        <v>44217</v>
      </c>
      <c r="C24" s="581"/>
      <c r="D24" s="583">
        <f t="shared" ref="D24:D35" si="16">SUM(E23)</f>
        <v>9055.5</v>
      </c>
      <c r="E24" s="579">
        <v>9057.4</v>
      </c>
      <c r="F24" s="583">
        <f t="shared" si="15"/>
        <v>227.99999999995634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8224</v>
      </c>
      <c r="P24" s="582">
        <f>'Water-Meter'!J26</f>
        <v>8224</v>
      </c>
      <c r="Q24" s="578">
        <f t="shared" si="13"/>
        <v>-8223</v>
      </c>
      <c r="R24" s="628">
        <f t="shared" si="14"/>
        <v>-5.0916408668730648</v>
      </c>
      <c r="S24" s="629">
        <f>Gen!T31</f>
        <v>2630</v>
      </c>
      <c r="T24" s="630">
        <f t="shared" si="9"/>
        <v>44217</v>
      </c>
      <c r="U24" s="581"/>
      <c r="V24" s="583">
        <f t="shared" si="5"/>
        <v>7971.4</v>
      </c>
      <c r="W24" s="580">
        <v>7972.7</v>
      </c>
      <c r="X24" s="583">
        <f t="shared" si="0"/>
        <v>260.00000000003638</v>
      </c>
      <c r="Y24" s="625">
        <f t="shared" si="10"/>
        <v>44217</v>
      </c>
      <c r="Z24" s="581"/>
      <c r="AA24" s="578"/>
      <c r="AB24" s="582">
        <f>'Water-Meter'!P26</f>
        <v>20844</v>
      </c>
      <c r="AC24" s="635">
        <f t="shared" si="11"/>
        <v>-20835</v>
      </c>
    </row>
    <row r="25" spans="1:29" ht="19.5" thickBot="1">
      <c r="A25" s="644">
        <f>Gen!B32</f>
        <v>2.5999999999999999E-2</v>
      </c>
      <c r="B25" s="594">
        <f>Gen!A32</f>
        <v>44218</v>
      </c>
      <c r="C25" s="581"/>
      <c r="D25" s="583">
        <f t="shared" si="16"/>
        <v>9057.4</v>
      </c>
      <c r="E25" s="579">
        <v>9059.4</v>
      </c>
      <c r="F25" s="583">
        <f t="shared" si="15"/>
        <v>240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8227</v>
      </c>
      <c r="P25" s="582">
        <f>'Water-Meter'!J27</f>
        <v>8227</v>
      </c>
      <c r="Q25" s="578">
        <f t="shared" si="13"/>
        <v>-8224</v>
      </c>
      <c r="R25" s="628">
        <f t="shared" si="14"/>
        <v>-5.0922600619195046</v>
      </c>
      <c r="S25" s="629">
        <f>Gen!T32</f>
        <v>2516</v>
      </c>
      <c r="T25" s="630">
        <f t="shared" si="9"/>
        <v>44218</v>
      </c>
      <c r="U25" s="581"/>
      <c r="V25" s="583">
        <f t="shared" si="5"/>
        <v>7972.7</v>
      </c>
      <c r="W25" s="580">
        <v>7974.4</v>
      </c>
      <c r="X25" s="583">
        <f t="shared" si="0"/>
        <v>339.99999999996362</v>
      </c>
      <c r="Y25" s="625">
        <f t="shared" si="10"/>
        <v>44218</v>
      </c>
      <c r="Z25" s="581"/>
      <c r="AA25" s="578"/>
      <c r="AB25" s="582">
        <f>'Water-Meter'!P27</f>
        <v>20846</v>
      </c>
      <c r="AC25" s="635">
        <f t="shared" si="11"/>
        <v>-20844</v>
      </c>
    </row>
    <row r="26" spans="1:29" ht="19.5" thickBot="1">
      <c r="A26" s="644">
        <f>Gen!B33</f>
        <v>3.9E-2</v>
      </c>
      <c r="B26" s="594">
        <f>Gen!A33</f>
        <v>44219</v>
      </c>
      <c r="C26" s="581"/>
      <c r="D26" s="583">
        <f t="shared" si="16"/>
        <v>9059.4</v>
      </c>
      <c r="E26" s="579">
        <v>9061.4</v>
      </c>
      <c r="F26" s="583">
        <f t="shared" si="15"/>
        <v>240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8228</v>
      </c>
      <c r="P26" s="582">
        <f>'Water-Meter'!J28</f>
        <v>8228</v>
      </c>
      <c r="Q26" s="578">
        <f t="shared" si="13"/>
        <v>-8227</v>
      </c>
      <c r="R26" s="628">
        <f t="shared" si="14"/>
        <v>-5.0941176470588232</v>
      </c>
      <c r="S26" s="629">
        <f>Gen!T33</f>
        <v>2755</v>
      </c>
      <c r="T26" s="630">
        <f t="shared" si="9"/>
        <v>44219</v>
      </c>
      <c r="U26" s="581"/>
      <c r="V26" s="583">
        <f t="shared" si="5"/>
        <v>7974.4</v>
      </c>
      <c r="W26" s="580">
        <v>7975.6</v>
      </c>
      <c r="X26" s="583">
        <f t="shared" si="0"/>
        <v>240.00000000014552</v>
      </c>
      <c r="Y26" s="625">
        <f t="shared" si="10"/>
        <v>44219</v>
      </c>
      <c r="Z26" s="581"/>
      <c r="AA26" s="578"/>
      <c r="AB26" s="582">
        <f>'Water-Meter'!P28</f>
        <v>20850</v>
      </c>
      <c r="AC26" s="635">
        <f t="shared" si="11"/>
        <v>-20846</v>
      </c>
    </row>
    <row r="27" spans="1:29" ht="19.5" thickBot="1">
      <c r="A27" s="644">
        <f>Gen!B34</f>
        <v>0.11700000000000001</v>
      </c>
      <c r="B27" s="594">
        <f>Gen!A34</f>
        <v>44220</v>
      </c>
      <c r="C27" s="581"/>
      <c r="D27" s="583">
        <f t="shared" si="16"/>
        <v>9061.4</v>
      </c>
      <c r="E27" s="579">
        <v>9063.4</v>
      </c>
      <c r="F27" s="583">
        <f t="shared" si="15"/>
        <v>240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8230</v>
      </c>
      <c r="P27" s="582">
        <f>'Water-Meter'!J29</f>
        <v>8230</v>
      </c>
      <c r="Q27" s="578">
        <f t="shared" si="13"/>
        <v>-8228</v>
      </c>
      <c r="R27" s="628">
        <f t="shared" si="14"/>
        <v>-5.094736842105263</v>
      </c>
      <c r="S27" s="629">
        <f>Gen!T34</f>
        <v>2823</v>
      </c>
      <c r="T27" s="630">
        <f t="shared" si="9"/>
        <v>44220</v>
      </c>
      <c r="U27" s="581"/>
      <c r="V27" s="583">
        <f t="shared" si="5"/>
        <v>7975.6</v>
      </c>
      <c r="W27" s="580">
        <v>7977.9</v>
      </c>
      <c r="X27" s="583">
        <f t="shared" si="0"/>
        <v>459.99999999985448</v>
      </c>
      <c r="Y27" s="625">
        <f t="shared" si="10"/>
        <v>44220</v>
      </c>
      <c r="Z27" s="581"/>
      <c r="AA27" s="578"/>
      <c r="AB27" s="582">
        <f>'Water-Meter'!P29</f>
        <v>20854</v>
      </c>
      <c r="AC27" s="635">
        <f t="shared" si="11"/>
        <v>-20850</v>
      </c>
    </row>
    <row r="28" spans="1:29" ht="19.5" thickBot="1">
      <c r="A28" s="644">
        <f>Gen!B35</f>
        <v>0.13</v>
      </c>
      <c r="B28" s="594">
        <f>Gen!A35</f>
        <v>44221</v>
      </c>
      <c r="C28" s="581"/>
      <c r="D28" s="583">
        <f t="shared" si="16"/>
        <v>9063.4</v>
      </c>
      <c r="E28" s="579">
        <v>9065.6</v>
      </c>
      <c r="F28" s="583">
        <f t="shared" si="15"/>
        <v>264.00000000008731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8231</v>
      </c>
      <c r="P28" s="582">
        <f>'Water-Meter'!J30</f>
        <v>8231</v>
      </c>
      <c r="Q28" s="578">
        <f t="shared" si="13"/>
        <v>-8230</v>
      </c>
      <c r="R28" s="628">
        <f t="shared" si="14"/>
        <v>-5.0959752321981426</v>
      </c>
      <c r="S28" s="629">
        <f>Gen!T35</f>
        <v>2804</v>
      </c>
      <c r="T28" s="630">
        <f t="shared" si="9"/>
        <v>44221</v>
      </c>
      <c r="U28" s="581"/>
      <c r="V28" s="583">
        <f t="shared" si="5"/>
        <v>7977.9</v>
      </c>
      <c r="W28" s="580">
        <v>7978.4</v>
      </c>
      <c r="X28" s="583">
        <f t="shared" si="0"/>
        <v>100</v>
      </c>
      <c r="Y28" s="625">
        <f t="shared" si="10"/>
        <v>44221</v>
      </c>
      <c r="Z28" s="581"/>
      <c r="AA28" s="578"/>
      <c r="AB28" s="582">
        <f>'Water-Meter'!P30</f>
        <v>20860</v>
      </c>
      <c r="AC28" s="635">
        <f t="shared" si="11"/>
        <v>-20854</v>
      </c>
    </row>
    <row r="29" spans="1:29" ht="19.5" thickBot="1">
      <c r="A29" s="644">
        <f>Gen!B36</f>
        <v>0.20799999999999999</v>
      </c>
      <c r="B29" s="594">
        <f>Gen!A36</f>
        <v>44222</v>
      </c>
      <c r="C29" s="581"/>
      <c r="D29" s="583">
        <f t="shared" si="16"/>
        <v>9065.6</v>
      </c>
      <c r="E29" s="579">
        <v>9067.6</v>
      </c>
      <c r="F29" s="583">
        <f t="shared" si="15"/>
        <v>240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8233</v>
      </c>
      <c r="P29" s="582">
        <f>'Water-Meter'!J31</f>
        <v>8233</v>
      </c>
      <c r="Q29" s="578">
        <f t="shared" si="13"/>
        <v>-8231</v>
      </c>
      <c r="R29" s="628">
        <f t="shared" si="14"/>
        <v>-5.0965944272445824</v>
      </c>
      <c r="S29" s="629">
        <f>Gen!T36</f>
        <v>2955</v>
      </c>
      <c r="T29" s="630">
        <f t="shared" si="9"/>
        <v>44222</v>
      </c>
      <c r="U29" s="581"/>
      <c r="V29" s="583">
        <f t="shared" si="5"/>
        <v>7978.4</v>
      </c>
      <c r="W29" s="580">
        <v>7980.1</v>
      </c>
      <c r="X29" s="583">
        <f t="shared" si="0"/>
        <v>340.00000000014552</v>
      </c>
      <c r="Y29" s="625">
        <f t="shared" si="10"/>
        <v>44222</v>
      </c>
      <c r="Z29" s="581"/>
      <c r="AA29" s="578"/>
      <c r="AB29" s="582">
        <f>'Water-Meter'!P31</f>
        <v>20865</v>
      </c>
      <c r="AC29" s="635">
        <f t="shared" si="11"/>
        <v>-20860</v>
      </c>
    </row>
    <row r="30" spans="1:29" ht="19.5" thickBot="1">
      <c r="A30" s="644">
        <f>Gen!B37</f>
        <v>7.8E-2</v>
      </c>
      <c r="B30" s="594">
        <f>Gen!A37</f>
        <v>44223</v>
      </c>
      <c r="C30" s="581"/>
      <c r="D30" s="583">
        <f t="shared" si="16"/>
        <v>9067.6</v>
      </c>
      <c r="E30" s="579">
        <v>9069.7000000000007</v>
      </c>
      <c r="F30" s="583">
        <f t="shared" si="15"/>
        <v>252.00000000004366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8235</v>
      </c>
      <c r="P30" s="582">
        <f>'Water-Meter'!J32</f>
        <v>8235</v>
      </c>
      <c r="Q30" s="578">
        <f t="shared" si="13"/>
        <v>-8233</v>
      </c>
      <c r="R30" s="628">
        <f t="shared" si="14"/>
        <v>-5.0978328173374612</v>
      </c>
      <c r="S30" s="629">
        <f>Gen!T37</f>
        <v>2817</v>
      </c>
      <c r="T30" s="630">
        <f t="shared" si="9"/>
        <v>44223</v>
      </c>
      <c r="U30" s="581"/>
      <c r="V30" s="583">
        <f t="shared" si="5"/>
        <v>7980.1</v>
      </c>
      <c r="W30" s="580">
        <v>7981.4</v>
      </c>
      <c r="X30" s="583">
        <f t="shared" si="0"/>
        <v>259.99999999985448</v>
      </c>
      <c r="Y30" s="625">
        <f t="shared" si="10"/>
        <v>44223</v>
      </c>
      <c r="Z30" s="581"/>
      <c r="AA30" s="578"/>
      <c r="AB30" s="582">
        <f>'Water-Meter'!P32</f>
        <v>20865</v>
      </c>
      <c r="AC30" s="635">
        <f t="shared" si="11"/>
        <v>-20865</v>
      </c>
    </row>
    <row r="31" spans="1:29" ht="19.5" thickBot="1">
      <c r="A31" s="644">
        <f>Gen!B38</f>
        <v>0</v>
      </c>
      <c r="B31" s="594">
        <f>Gen!A38</f>
        <v>44224</v>
      </c>
      <c r="C31" s="581"/>
      <c r="D31" s="583">
        <f t="shared" si="16"/>
        <v>9069.7000000000007</v>
      </c>
      <c r="E31" s="579">
        <v>9071.7000000000007</v>
      </c>
      <c r="F31" s="583">
        <f t="shared" si="15"/>
        <v>240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8237</v>
      </c>
      <c r="P31" s="582">
        <f>'Water-Meter'!J33</f>
        <v>8237</v>
      </c>
      <c r="Q31" s="578">
        <f t="shared" si="13"/>
        <v>-8235</v>
      </c>
      <c r="R31" s="628">
        <f t="shared" si="14"/>
        <v>-5.0990712074303408</v>
      </c>
      <c r="S31" s="629">
        <f>Gen!T38</f>
        <v>2738</v>
      </c>
      <c r="T31" s="630">
        <f t="shared" si="9"/>
        <v>44224</v>
      </c>
      <c r="U31" s="581"/>
      <c r="V31" s="583">
        <f t="shared" si="5"/>
        <v>7981.4</v>
      </c>
      <c r="W31" s="580">
        <v>7983.4</v>
      </c>
      <c r="X31" s="583">
        <f t="shared" si="0"/>
        <v>400</v>
      </c>
      <c r="Y31" s="625">
        <f>T31</f>
        <v>44224</v>
      </c>
      <c r="Z31" s="581"/>
      <c r="AA31" s="578"/>
      <c r="AB31" s="582">
        <f>'Water-Meter'!P33</f>
        <v>20865</v>
      </c>
      <c r="AC31" s="635">
        <f t="shared" si="11"/>
        <v>-20865</v>
      </c>
    </row>
    <row r="32" spans="1:29" ht="19.5" thickBot="1">
      <c r="A32" s="644">
        <f>Gen!B39</f>
        <v>0</v>
      </c>
      <c r="B32" s="594">
        <f>Gen!A39</f>
        <v>44225</v>
      </c>
      <c r="C32" s="581"/>
      <c r="D32" s="583">
        <f t="shared" si="16"/>
        <v>9071.7000000000007</v>
      </c>
      <c r="E32" s="579">
        <v>9073.7000000000007</v>
      </c>
      <c r="F32" s="583">
        <f t="shared" si="15"/>
        <v>240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8238</v>
      </c>
      <c r="P32" s="582">
        <f>'Water-Meter'!J34</f>
        <v>8238</v>
      </c>
      <c r="Q32" s="578">
        <f t="shared" si="13"/>
        <v>-8237</v>
      </c>
      <c r="R32" s="628">
        <f t="shared" si="14"/>
        <v>-5.1003095975232196</v>
      </c>
      <c r="S32" s="629">
        <f>Gen!T39</f>
        <v>2763</v>
      </c>
      <c r="T32" s="630">
        <f t="shared" si="9"/>
        <v>44225</v>
      </c>
      <c r="U32" s="581"/>
      <c r="V32" s="583">
        <f t="shared" si="5"/>
        <v>7983.4</v>
      </c>
      <c r="W32" s="580">
        <v>7984.9</v>
      </c>
      <c r="X32" s="583">
        <f t="shared" si="0"/>
        <v>300</v>
      </c>
      <c r="Y32" s="625">
        <f t="shared" ref="Y32:Y35" si="17">T32</f>
        <v>44225</v>
      </c>
      <c r="Z32" s="581"/>
      <c r="AA32" s="578"/>
      <c r="AB32" s="582">
        <f>'Water-Meter'!P34</f>
        <v>20879</v>
      </c>
      <c r="AC32" s="635">
        <f t="shared" si="11"/>
        <v>-20865</v>
      </c>
    </row>
    <row r="33" spans="1:29" ht="19.5" thickBot="1">
      <c r="A33" s="644">
        <f>Gen!B40</f>
        <v>0</v>
      </c>
      <c r="B33" s="594">
        <f>Gen!A40</f>
        <v>44226</v>
      </c>
      <c r="C33" s="581"/>
      <c r="D33" s="583">
        <f t="shared" si="16"/>
        <v>9073.7000000000007</v>
      </c>
      <c r="E33" s="579"/>
      <c r="F33" s="583">
        <f t="shared" si="15"/>
        <v>-1088844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-8238</v>
      </c>
      <c r="R33" s="628">
        <f t="shared" si="14"/>
        <v>-5.1009287925696594</v>
      </c>
      <c r="S33" s="629">
        <f>Gen!T40</f>
        <v>0</v>
      </c>
      <c r="T33" s="630">
        <f t="shared" si="9"/>
        <v>44226</v>
      </c>
      <c r="U33" s="581"/>
      <c r="V33" s="583">
        <f t="shared" si="5"/>
        <v>7984.9</v>
      </c>
      <c r="W33" s="580"/>
      <c r="X33" s="583">
        <f t="shared" si="0"/>
        <v>-1596980</v>
      </c>
      <c r="Y33" s="625">
        <f t="shared" si="17"/>
        <v>44226</v>
      </c>
      <c r="Z33" s="581"/>
      <c r="AA33" s="578"/>
      <c r="AB33" s="582">
        <f>'Water-Meter'!P35</f>
        <v>0</v>
      </c>
      <c r="AC33" s="635">
        <f t="shared" si="11"/>
        <v>-20879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30">
        <f t="shared" si="9"/>
        <v>44227</v>
      </c>
      <c r="U34" s="6"/>
      <c r="V34" s="583">
        <f t="shared" ref="V34:V35" si="18">SUM(W33)</f>
        <v>0</v>
      </c>
      <c r="W34" s="580"/>
      <c r="X34" s="583">
        <f t="shared" si="0"/>
        <v>0</v>
      </c>
      <c r="Y34" s="625">
        <f t="shared" si="17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707.99999999995634</v>
      </c>
      <c r="G35" s="7"/>
      <c r="H35" s="636" t="e">
        <f t="shared" si="6"/>
        <v>#REF!</v>
      </c>
      <c r="I35" s="7"/>
      <c r="J35" s="601">
        <f t="shared" ref="J35" si="19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ref="T35" si="20">M35</f>
        <v>#REF!</v>
      </c>
      <c r="U35" s="7"/>
      <c r="V35" s="596">
        <f t="shared" si="18"/>
        <v>0</v>
      </c>
      <c r="W35" s="603"/>
      <c r="X35" s="596">
        <f t="shared" si="0"/>
        <v>0</v>
      </c>
      <c r="Y35" s="636" t="e">
        <f t="shared" si="17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1960.0000000000364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2">
        <f>A5</f>
        <v>44197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</row>
    <row r="2" spans="1:13">
      <c r="A2" s="863"/>
      <c r="B2" s="863"/>
      <c r="C2" s="863"/>
      <c r="D2" s="863"/>
      <c r="E2" s="863"/>
      <c r="F2" s="863"/>
      <c r="G2" s="863"/>
      <c r="H2" s="863"/>
      <c r="I2" s="863"/>
      <c r="J2" s="863"/>
      <c r="K2" s="863"/>
      <c r="L2" s="863"/>
    </row>
    <row r="3" spans="1:13" ht="50.25" customHeight="1" thickBot="1">
      <c r="A3" s="666"/>
      <c r="B3" s="667"/>
      <c r="C3" s="75"/>
      <c r="D3" s="75"/>
      <c r="E3" s="75"/>
      <c r="F3" s="75"/>
      <c r="G3" s="75"/>
      <c r="H3" s="75"/>
      <c r="I3" s="75"/>
      <c r="J3" s="75"/>
      <c r="K3" s="75"/>
      <c r="L3" s="668"/>
    </row>
    <row r="4" spans="1:13" s="50" customFormat="1" ht="50.25" customHeight="1" thickBot="1">
      <c r="A4" s="669" t="s">
        <v>0</v>
      </c>
      <c r="B4" s="670" t="s">
        <v>66</v>
      </c>
      <c r="C4" s="671" t="s">
        <v>50</v>
      </c>
      <c r="D4" s="672" t="s">
        <v>64</v>
      </c>
      <c r="E4" s="672" t="s">
        <v>65</v>
      </c>
      <c r="F4" s="673" t="s">
        <v>42</v>
      </c>
      <c r="G4" s="672" t="s">
        <v>203</v>
      </c>
      <c r="H4" s="672" t="s">
        <v>206</v>
      </c>
      <c r="I4" s="672" t="s">
        <v>204</v>
      </c>
      <c r="J4" s="672" t="s">
        <v>205</v>
      </c>
      <c r="K4" s="673" t="s">
        <v>51</v>
      </c>
      <c r="L4" s="674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0.11700000000000001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0.16900000000000001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2.5999999999999999E-2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25</v>
      </c>
      <c r="C18" s="87">
        <f>Gen!B24</f>
        <v>3.9E-2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24</v>
      </c>
      <c r="C19" s="87">
        <f>Gen!B25</f>
        <v>5.1999999999999998E-2</v>
      </c>
      <c r="D19" s="434">
        <f t="shared" si="0"/>
        <v>0</v>
      </c>
      <c r="E19" s="74"/>
      <c r="F19" s="70">
        <f>Gen!U25</f>
        <v>0.41934938892882823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>
        <f>'Water-Meter'!E20</f>
        <v>78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25</v>
      </c>
      <c r="C20" s="87">
        <f>Gen!B26</f>
        <v>1.2999999999999999E-2</v>
      </c>
      <c r="D20" s="434">
        <f t="shared" si="0"/>
        <v>0</v>
      </c>
      <c r="E20" s="74"/>
      <c r="F20" s="70">
        <f>Gen!U26</f>
        <v>0.42870766835344487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44278.720000000001</v>
      </c>
      <c r="K20" s="295">
        <f>'Water-Meter'!E21</f>
        <v>51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-57451</v>
      </c>
      <c r="C21" s="87">
        <f>Gen!B27</f>
        <v>7.8E-2</v>
      </c>
      <c r="D21" s="434">
        <f t="shared" si="0"/>
        <v>0</v>
      </c>
      <c r="E21" s="74"/>
      <c r="F21" s="70">
        <f>Gen!U27</f>
        <v>0.42336850037678969</v>
      </c>
      <c r="G21" s="85">
        <f>Gen!T25</f>
        <v>2782</v>
      </c>
      <c r="H21" s="85">
        <f>Gen!AK27</f>
        <v>0</v>
      </c>
      <c r="I21" s="85">
        <f t="shared" si="1"/>
        <v>2782</v>
      </c>
      <c r="J21" s="446">
        <f>Gen!C27</f>
        <v>43074.23</v>
      </c>
      <c r="K21" s="295">
        <f>'Water-Meter'!E22</f>
        <v>59</v>
      </c>
      <c r="L21" s="655">
        <f>'Lpg (2)'!G26</f>
        <v>60.191999999969269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57480</v>
      </c>
      <c r="C22" s="87">
        <f>Gen!B28</f>
        <v>9.0999999999999998E-2</v>
      </c>
      <c r="D22" s="434">
        <f t="shared" si="0"/>
        <v>0</v>
      </c>
      <c r="E22" s="74"/>
      <c r="F22" s="70">
        <f>Gen!U28</f>
        <v>0.43370511841100079</v>
      </c>
      <c r="G22" s="85">
        <f>Gen!T26</f>
        <v>2569</v>
      </c>
      <c r="H22" s="85">
        <f>Gen!AK28</f>
        <v>0</v>
      </c>
      <c r="I22" s="85">
        <f t="shared" si="1"/>
        <v>2569</v>
      </c>
      <c r="J22" s="446">
        <f>Gen!C28</f>
        <v>41950.61</v>
      </c>
      <c r="K22" s="295">
        <f>'Water-Meter'!E23</f>
        <v>60</v>
      </c>
      <c r="L22" s="655">
        <f>'Lpg (2)'!G27</f>
        <v>-228.8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24</v>
      </c>
      <c r="C23" s="87">
        <f>Gen!B29</f>
        <v>0.13</v>
      </c>
      <c r="D23" s="434">
        <f t="shared" si="0"/>
        <v>0</v>
      </c>
      <c r="E23" s="74"/>
      <c r="F23" s="70">
        <f>Gen!U29</f>
        <v>0.43793204238217021</v>
      </c>
      <c r="G23" s="85">
        <f>Gen!T27</f>
        <v>2654</v>
      </c>
      <c r="H23" s="85">
        <f>Gen!AK29</f>
        <v>0</v>
      </c>
      <c r="I23" s="85">
        <f t="shared" si="1"/>
        <v>2654</v>
      </c>
      <c r="J23" s="446">
        <f>Gen!C29</f>
        <v>40815.17</v>
      </c>
      <c r="K23" s="295">
        <f>'Water-Meter'!E24</f>
        <v>68</v>
      </c>
      <c r="L23" s="655">
        <f>'Lpg (2)'!G28</f>
        <v>521.26800000000515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24</v>
      </c>
      <c r="C24" s="87">
        <f>Gen!B30</f>
        <v>6.5000000000000002E-2</v>
      </c>
      <c r="D24" s="434">
        <f t="shared" si="0"/>
        <v>0</v>
      </c>
      <c r="E24" s="74"/>
      <c r="F24" s="70">
        <f>Gen!U30</f>
        <v>0.42095513748191027</v>
      </c>
      <c r="G24" s="85">
        <f>Gen!T28</f>
        <v>2618</v>
      </c>
      <c r="H24" s="85">
        <f>Gen!AK30</f>
        <v>0</v>
      </c>
      <c r="I24" s="85">
        <f t="shared" si="1"/>
        <v>2618</v>
      </c>
      <c r="J24" s="446">
        <f>Gen!C30</f>
        <v>39524.549999999996</v>
      </c>
      <c r="K24" s="295">
        <f>'Water-Meter'!E25</f>
        <v>75</v>
      </c>
      <c r="L24" s="655">
        <f>'Lpg (2)'!G29</f>
        <v>74.579999999987194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49</v>
      </c>
      <c r="C25" s="87">
        <f>Gen!B31</f>
        <v>5.1999999999999998E-2</v>
      </c>
      <c r="D25" s="434">
        <f t="shared" si="0"/>
        <v>0</v>
      </c>
      <c r="E25" s="74"/>
      <c r="F25" s="70">
        <f>Gen!U31</f>
        <v>0.40893916349809883</v>
      </c>
      <c r="G25" s="85">
        <f>Gen!T29</f>
        <v>2737</v>
      </c>
      <c r="H25" s="85">
        <f>Gen!AK31</f>
        <v>0</v>
      </c>
      <c r="I25" s="85">
        <f t="shared" si="1"/>
        <v>2737</v>
      </c>
      <c r="J25" s="446">
        <f>Gen!C31</f>
        <v>37732.92</v>
      </c>
      <c r="K25" s="295">
        <f>'Water-Meter'!E26</f>
        <v>60</v>
      </c>
      <c r="L25" s="655">
        <f>'Lpg (2)'!G30</f>
        <v>88.088000000017942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25</v>
      </c>
      <c r="C26" s="87">
        <f>Gen!B32</f>
        <v>2.5999999999999999E-2</v>
      </c>
      <c r="D26" s="434">
        <f t="shared" si="0"/>
        <v>0</v>
      </c>
      <c r="E26" s="74"/>
      <c r="F26" s="70">
        <f>Gen!U32</f>
        <v>0.4296860095389507</v>
      </c>
      <c r="G26" s="85">
        <f>Gen!T30</f>
        <v>2764</v>
      </c>
      <c r="H26" s="85">
        <f>Gen!AK32</f>
        <v>0</v>
      </c>
      <c r="I26" s="85">
        <f t="shared" si="1"/>
        <v>2764</v>
      </c>
      <c r="J26" s="446">
        <f>Gen!C32</f>
        <v>36657.409999999996</v>
      </c>
      <c r="K26" s="295">
        <f>'Water-Meter'!E27</f>
        <v>56</v>
      </c>
      <c r="L26" s="655">
        <f>'Lpg (2)'!G31</f>
        <v>89.143999999976955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26</v>
      </c>
      <c r="C27" s="87">
        <f>Gen!B33</f>
        <v>3.9E-2</v>
      </c>
      <c r="D27" s="434">
        <f t="shared" si="0"/>
        <v>0</v>
      </c>
      <c r="E27" s="74"/>
      <c r="F27" s="70">
        <f>Gen!U33</f>
        <v>0.44390199637023597</v>
      </c>
      <c r="G27" s="85">
        <f>Gen!T31</f>
        <v>2630</v>
      </c>
      <c r="H27" s="85">
        <f>Gen!AK33</f>
        <v>0</v>
      </c>
      <c r="I27" s="85">
        <f t="shared" si="1"/>
        <v>2630</v>
      </c>
      <c r="J27" s="446">
        <f>Gen!C33</f>
        <v>35341.649999999994</v>
      </c>
      <c r="K27" s="295">
        <f>'Water-Meter'!E28</f>
        <v>59</v>
      </c>
      <c r="L27" s="655">
        <f>'Lpg (2)'!G32</f>
        <v>81.840000000025611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27</v>
      </c>
      <c r="C28" s="87">
        <f>Gen!B34</f>
        <v>0.11700000000000001</v>
      </c>
      <c r="D28" s="434">
        <f t="shared" si="0"/>
        <v>0</v>
      </c>
      <c r="E28" s="74"/>
      <c r="F28" s="70">
        <f>Gen!U34</f>
        <v>0.43341834927382217</v>
      </c>
      <c r="G28" s="85">
        <f>Gen!T32</f>
        <v>2516</v>
      </c>
      <c r="H28" s="85">
        <f>Gen!AK34</f>
        <v>0</v>
      </c>
      <c r="I28" s="85">
        <f t="shared" si="1"/>
        <v>2516</v>
      </c>
      <c r="J28" s="446">
        <f>Gen!C34</f>
        <v>34118.699999999997</v>
      </c>
      <c r="K28" s="295">
        <f>'Water-Meter'!E29</f>
        <v>69</v>
      </c>
      <c r="L28" s="655">
        <f>'Lpg (2)'!G33</f>
        <v>79.111999999982075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23</v>
      </c>
      <c r="C29" s="87">
        <f>Gen!B35</f>
        <v>0.13</v>
      </c>
      <c r="D29" s="434">
        <f t="shared" si="0"/>
        <v>0</v>
      </c>
      <c r="E29" s="74"/>
      <c r="F29" s="70">
        <f>Gen!U35</f>
        <v>0.44308844507845935</v>
      </c>
      <c r="G29" s="85">
        <f>Gen!T33</f>
        <v>2755</v>
      </c>
      <c r="H29" s="85">
        <f>Gen!AK35</f>
        <v>0</v>
      </c>
      <c r="I29" s="85">
        <f t="shared" si="1"/>
        <v>2755</v>
      </c>
      <c r="J29" s="446">
        <f>Gen!C35</f>
        <v>32857.259999999995</v>
      </c>
      <c r="K29" s="295">
        <f>'Water-Meter'!E30</f>
        <v>61</v>
      </c>
      <c r="L29" s="655">
        <f>'Lpg (2)'!G34</f>
        <v>96.624000000028175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25</v>
      </c>
      <c r="C30" s="87">
        <f>Gen!B36</f>
        <v>0.20799999999999999</v>
      </c>
      <c r="D30" s="434">
        <f t="shared" si="0"/>
        <v>0</v>
      </c>
      <c r="E30" s="74"/>
      <c r="F30" s="70">
        <f>Gen!U36</f>
        <v>0.40698138747884943</v>
      </c>
      <c r="G30" s="85">
        <f>Gen!T34</f>
        <v>2823</v>
      </c>
      <c r="H30" s="85">
        <f>Gen!AK36</f>
        <v>0</v>
      </c>
      <c r="I30" s="85">
        <f t="shared" si="1"/>
        <v>2823</v>
      </c>
      <c r="J30" s="446">
        <f>Gen!C36</f>
        <v>31489.329999999994</v>
      </c>
      <c r="K30" s="295">
        <f>'Water-Meter'!E31</f>
        <v>74</v>
      </c>
      <c r="L30" s="655">
        <f>'Lpg (2)'!G35</f>
        <v>87.339999999961591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25</v>
      </c>
      <c r="C31" s="87">
        <f>Gen!B37</f>
        <v>7.8E-2</v>
      </c>
      <c r="D31" s="434">
        <f t="shared" si="0"/>
        <v>0</v>
      </c>
      <c r="E31" s="74"/>
      <c r="F31" s="70">
        <f>Gen!U37</f>
        <v>0.42095846645367407</v>
      </c>
      <c r="G31" s="85">
        <f>Gen!T35</f>
        <v>2804</v>
      </c>
      <c r="H31" s="85">
        <f>Gen!AK37</f>
        <v>0</v>
      </c>
      <c r="I31" s="85">
        <f t="shared" si="1"/>
        <v>2804</v>
      </c>
      <c r="J31" s="446">
        <f>Gen!C37</f>
        <v>30248.099999999995</v>
      </c>
      <c r="K31" s="295">
        <f>'Water-Meter'!E32</f>
        <v>68</v>
      </c>
      <c r="L31" s="655">
        <f>'Lpg (2)'!G36</f>
        <v>89.495999999984647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25</v>
      </c>
      <c r="C32" s="87">
        <f>Gen!B38</f>
        <v>0</v>
      </c>
      <c r="D32" s="434">
        <f t="shared" si="0"/>
        <v>0</v>
      </c>
      <c r="E32" s="74"/>
      <c r="F32" s="70">
        <f>Gen!U38</f>
        <v>0.42743608473338202</v>
      </c>
      <c r="G32" s="85">
        <f>Gen!T36</f>
        <v>2955</v>
      </c>
      <c r="H32" s="85">
        <f>Gen!AK38</f>
        <v>0</v>
      </c>
      <c r="I32" s="85">
        <f t="shared" si="1"/>
        <v>2955</v>
      </c>
      <c r="J32" s="446">
        <f>Gen!C38</f>
        <v>43920.259999999995</v>
      </c>
      <c r="K32" s="295">
        <f>'Water-Meter'!E33</f>
        <v>55</v>
      </c>
      <c r="L32" s="655">
        <f>'Lpg (2)'!G37</f>
        <v>93.368000000005125</v>
      </c>
      <c r="M32" s="79" t="e">
        <f>SUM(#REF!-#REF!)</f>
        <v>#REF!</v>
      </c>
    </row>
    <row r="33" spans="1:13">
      <c r="A33" s="664">
        <f>Gen!A39</f>
        <v>44225</v>
      </c>
      <c r="B33" s="654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>
        <f>Gen!U39</f>
        <v>0.4167245747376041</v>
      </c>
      <c r="G33" s="85">
        <f>Gen!T37</f>
        <v>2817</v>
      </c>
      <c r="H33" s="85">
        <f>Gen!AK39</f>
        <v>0</v>
      </c>
      <c r="I33" s="85">
        <f t="shared" si="1"/>
        <v>2817</v>
      </c>
      <c r="J33" s="446">
        <f>Gen!C39</f>
        <v>42749.939999999995</v>
      </c>
      <c r="K33" s="295">
        <f>'Water-Meter'!E34</f>
        <v>60</v>
      </c>
      <c r="L33" s="655">
        <f>'Lpg (2)'!G38</f>
        <v>88.660000000038423</v>
      </c>
      <c r="M33" s="79" t="e">
        <f>SUM(#REF!-#REF!)</f>
        <v>#REF!</v>
      </c>
    </row>
    <row r="34" spans="1:13">
      <c r="A34" s="664">
        <f>Gen!A40</f>
        <v>44226</v>
      </c>
      <c r="B34" s="654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2738</v>
      </c>
      <c r="H34" s="85">
        <f>Gen!AK40</f>
        <v>0</v>
      </c>
      <c r="I34" s="85">
        <f t="shared" si="1"/>
        <v>2738</v>
      </c>
      <c r="J34" s="446">
        <f>Gen!C40</f>
        <v>41555.909999999996</v>
      </c>
      <c r="K34" s="295" t="str">
        <f>'Water-Meter'!E35</f>
        <v>0</v>
      </c>
      <c r="L34" s="655">
        <f>'Lpg (2)'!G39</f>
        <v>87.075999999971827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>
        <f>Gen!U39</f>
        <v>0.4167245747376041</v>
      </c>
      <c r="G35" s="85">
        <f>Gen!T39</f>
        <v>2763</v>
      </c>
      <c r="H35" s="85">
        <f>Gen!AK41</f>
        <v>0</v>
      </c>
      <c r="I35" s="85">
        <f t="shared" si="1"/>
        <v>2763</v>
      </c>
      <c r="J35" s="446">
        <f>Gen!C41</f>
        <v>41555.909999999996</v>
      </c>
      <c r="K35" s="295">
        <f>'Water-Meter'!E36</f>
        <v>0</v>
      </c>
      <c r="L35" s="655">
        <f>'Lpg (2)'!G40</f>
        <v>-328572.59600000002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41555.909999999996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AB36" sqref="AB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4">
        <f>A6</f>
        <v>44197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19"/>
    </row>
    <row r="2" spans="1:29" ht="12" customHeight="1" thickBot="1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Y2" s="865"/>
      <c r="Z2" s="865"/>
      <c r="AA2" s="865"/>
      <c r="AB2" s="865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6" t="s">
        <v>298</v>
      </c>
      <c r="L3" s="867"/>
      <c r="M3" s="868"/>
      <c r="N3" s="866" t="s">
        <v>299</v>
      </c>
      <c r="O3" s="867"/>
      <c r="P3" s="868"/>
      <c r="Q3" s="866" t="s">
        <v>300</v>
      </c>
      <c r="R3" s="867"/>
      <c r="S3" s="868"/>
      <c r="T3" s="866" t="s">
        <v>301</v>
      </c>
      <c r="U3" s="867"/>
      <c r="V3" s="868"/>
      <c r="W3" s="866" t="s">
        <v>302</v>
      </c>
      <c r="X3" s="867"/>
      <c r="Y3" s="868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0" t="s">
        <v>191</v>
      </c>
      <c r="R4" s="339" t="s">
        <v>192</v>
      </c>
      <c r="S4" s="831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2"/>
      <c r="B5" s="675"/>
      <c r="C5" s="795">
        <v>14708.63</v>
      </c>
      <c r="D5" s="676">
        <v>18930.82</v>
      </c>
      <c r="E5" s="677"/>
      <c r="F5" s="677"/>
      <c r="G5" s="677"/>
      <c r="H5" s="677"/>
      <c r="I5" s="305">
        <v>31415.9</v>
      </c>
      <c r="J5" s="679">
        <v>20906.8</v>
      </c>
      <c r="K5" s="685"/>
      <c r="L5" s="305">
        <v>35536</v>
      </c>
      <c r="M5" s="686"/>
      <c r="N5" s="676"/>
      <c r="O5" s="829">
        <v>30626</v>
      </c>
      <c r="P5" s="687"/>
      <c r="Q5" s="676"/>
      <c r="R5" s="305">
        <v>35879</v>
      </c>
      <c r="S5" s="687"/>
      <c r="T5" s="676"/>
      <c r="U5" s="829">
        <v>33003</v>
      </c>
      <c r="V5" s="687"/>
      <c r="W5" s="676"/>
      <c r="X5" s="676">
        <v>21648</v>
      </c>
      <c r="Y5" s="687"/>
      <c r="Z5" s="687"/>
      <c r="AA5" s="676"/>
      <c r="AB5" s="676"/>
      <c r="AC5" s="688"/>
    </row>
    <row r="6" spans="1:29" ht="20.100000000000001" customHeight="1">
      <c r="A6" s="683">
        <f>Gen!A11</f>
        <v>44197</v>
      </c>
      <c r="B6" s="678">
        <f>Gen!B11</f>
        <v>0.53200000000000003</v>
      </c>
      <c r="C6" s="795">
        <v>14708.63</v>
      </c>
      <c r="D6" s="676">
        <v>18930.82</v>
      </c>
      <c r="E6" s="491"/>
      <c r="F6" s="305"/>
      <c r="G6" s="305">
        <v>150.83000000000001</v>
      </c>
      <c r="H6" s="305"/>
      <c r="I6" s="305">
        <v>31415.9</v>
      </c>
      <c r="J6" s="679">
        <v>20906.8</v>
      </c>
      <c r="K6" s="689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29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6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0">
        <f>Gen!AR11</f>
        <v>1787.6999999999998</v>
      </c>
    </row>
    <row r="7" spans="1:29" ht="20.100000000000001" customHeight="1">
      <c r="A7" s="683">
        <f>Gen!A12</f>
        <v>44198</v>
      </c>
      <c r="B7" s="678">
        <f>Gen!B12</f>
        <v>0.3</v>
      </c>
      <c r="C7" s="795">
        <v>14708.63</v>
      </c>
      <c r="D7" s="796">
        <v>17143.12</v>
      </c>
      <c r="E7" s="491"/>
      <c r="F7" s="305"/>
      <c r="G7" s="305">
        <v>76.53</v>
      </c>
      <c r="H7" s="305"/>
      <c r="I7" s="305">
        <v>31423.3</v>
      </c>
      <c r="J7" s="679">
        <v>20910.900000000001</v>
      </c>
      <c r="K7" s="689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0">
        <f>Gen!AR12</f>
        <v>1660.86</v>
      </c>
    </row>
    <row r="8" spans="1:29" ht="20.100000000000001" customHeight="1">
      <c r="A8" s="683">
        <f>Gen!A13</f>
        <v>44199</v>
      </c>
      <c r="B8" s="678">
        <f>Gen!B13</f>
        <v>0.26</v>
      </c>
      <c r="C8" s="795">
        <v>13047.77</v>
      </c>
      <c r="D8" s="796">
        <v>17143.12</v>
      </c>
      <c r="E8" s="491"/>
      <c r="F8" s="795">
        <v>14708.63</v>
      </c>
      <c r="G8" s="305"/>
      <c r="H8" s="305"/>
      <c r="I8" s="305">
        <v>31430.1</v>
      </c>
      <c r="J8" s="679">
        <v>20914.900000000001</v>
      </c>
      <c r="K8" s="689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0">
        <f>Gen!AR13</f>
        <v>1447.67</v>
      </c>
    </row>
    <row r="9" spans="1:29" ht="20.100000000000001" customHeight="1">
      <c r="A9" s="683">
        <f>Gen!A14</f>
        <v>44200</v>
      </c>
      <c r="B9" s="678">
        <f>Gen!B14</f>
        <v>0.182</v>
      </c>
      <c r="C9" s="795">
        <v>29600.11</v>
      </c>
      <c r="D9" s="796">
        <v>17143.12</v>
      </c>
      <c r="E9" s="491"/>
      <c r="F9" s="796">
        <v>17143.12</v>
      </c>
      <c r="G9" s="305"/>
      <c r="H9" s="305"/>
      <c r="I9" s="305">
        <v>31436.400000000001</v>
      </c>
      <c r="J9" s="679">
        <v>20918.900000000001</v>
      </c>
      <c r="K9" s="689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0">
        <f>Gen!AR14</f>
        <v>1432.12</v>
      </c>
    </row>
    <row r="10" spans="1:29" ht="20.100000000000001" customHeight="1">
      <c r="A10" s="683">
        <f>Gen!A15</f>
        <v>44201</v>
      </c>
      <c r="B10" s="678">
        <f>Gen!B15</f>
        <v>0.20799999999999999</v>
      </c>
      <c r="C10" s="795">
        <v>28167.98</v>
      </c>
      <c r="D10" s="796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79">
        <v>20922.599999999999</v>
      </c>
      <c r="K10" s="689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0">
        <f>Gen!AR15</f>
        <v>1484.32</v>
      </c>
    </row>
    <row r="11" spans="1:29" ht="20.100000000000001" customHeight="1">
      <c r="A11" s="683">
        <f>Gen!A16</f>
        <v>44202</v>
      </c>
      <c r="B11" s="678">
        <f>Gen!B16</f>
        <v>0.182</v>
      </c>
      <c r="C11" s="795">
        <v>26683.66</v>
      </c>
      <c r="D11" s="796">
        <v>17143.12</v>
      </c>
      <c r="E11" s="491"/>
      <c r="F11" s="305"/>
      <c r="G11" s="305"/>
      <c r="H11" s="305"/>
      <c r="I11" s="305">
        <v>31448.1</v>
      </c>
      <c r="J11" s="679">
        <v>20926.7</v>
      </c>
      <c r="K11" s="689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0">
        <f>Gen!AR16</f>
        <v>1331.36</v>
      </c>
    </row>
    <row r="12" spans="1:29" ht="20.100000000000001" customHeight="1">
      <c r="A12" s="683">
        <f>Gen!A17</f>
        <v>44203</v>
      </c>
      <c r="B12" s="678">
        <f>Gen!B17</f>
        <v>0.32500000000000001</v>
      </c>
      <c r="C12" s="795">
        <v>25352.3</v>
      </c>
      <c r="D12" s="796">
        <v>17143.12</v>
      </c>
      <c r="E12" s="491"/>
      <c r="F12" s="305"/>
      <c r="G12" s="305"/>
      <c r="H12" s="305"/>
      <c r="I12" s="305">
        <v>31453.7</v>
      </c>
      <c r="J12" s="679">
        <v>20930.599999999999</v>
      </c>
      <c r="K12" s="689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0">
        <f>Gen!AR17</f>
        <v>1763.31</v>
      </c>
    </row>
    <row r="13" spans="1:29" ht="20.100000000000001" customHeight="1">
      <c r="A13" s="683">
        <f>Gen!A18</f>
        <v>44204</v>
      </c>
      <c r="B13" s="678">
        <f>Gen!B18</f>
        <v>0.247</v>
      </c>
      <c r="C13" s="795">
        <v>23588.99</v>
      </c>
      <c r="D13" s="796">
        <v>17143.12</v>
      </c>
      <c r="E13" s="491"/>
      <c r="F13" s="305"/>
      <c r="G13" s="305"/>
      <c r="H13" s="305"/>
      <c r="I13" s="305">
        <v>31459.9</v>
      </c>
      <c r="J13" s="679">
        <v>20934.7</v>
      </c>
      <c r="K13" s="689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6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0">
        <f>Gen!AR18</f>
        <v>1652.85</v>
      </c>
    </row>
    <row r="14" spans="1:29" ht="20.100000000000001" customHeight="1">
      <c r="A14" s="683">
        <f>Gen!A19</f>
        <v>44205</v>
      </c>
      <c r="B14" s="678">
        <f>Gen!B19</f>
        <v>0.14000000000000001</v>
      </c>
      <c r="C14" s="795">
        <v>22190.98</v>
      </c>
      <c r="D14" s="796">
        <v>17143.12</v>
      </c>
      <c r="E14" s="491"/>
      <c r="F14" s="305"/>
      <c r="G14" s="305"/>
      <c r="H14" s="305"/>
      <c r="I14" s="305">
        <v>31465.9</v>
      </c>
      <c r="J14" s="679">
        <v>20938.7</v>
      </c>
      <c r="K14" s="689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0">
        <f>Gen!AR19</f>
        <v>1482.5400000000002</v>
      </c>
    </row>
    <row r="15" spans="1:29" ht="20.100000000000001" customHeight="1">
      <c r="A15" s="683">
        <f>Gen!A20</f>
        <v>44206</v>
      </c>
      <c r="B15" s="678">
        <f>Gen!B20</f>
        <v>0.221</v>
      </c>
      <c r="C15" s="795">
        <v>20453.599999999999</v>
      </c>
      <c r="D15" s="796">
        <v>17143.12</v>
      </c>
      <c r="E15" s="491"/>
      <c r="F15" s="305"/>
      <c r="G15" s="305"/>
      <c r="H15" s="305"/>
      <c r="I15" s="305">
        <v>31471.8</v>
      </c>
      <c r="J15" s="679">
        <v>20942.900000000001</v>
      </c>
      <c r="K15" s="689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0">
        <f>Gen!AR20</f>
        <v>1646.2399999999998</v>
      </c>
    </row>
    <row r="16" spans="1:29" ht="20.100000000000001" customHeight="1">
      <c r="A16" s="683">
        <f>Gen!A21</f>
        <v>44207</v>
      </c>
      <c r="B16" s="678">
        <f>Gen!B21</f>
        <v>0.11700000000000001</v>
      </c>
      <c r="C16" s="795">
        <v>18807.36</v>
      </c>
      <c r="D16" s="796">
        <v>17143.12</v>
      </c>
      <c r="E16" s="491"/>
      <c r="F16" s="305"/>
      <c r="G16" s="305"/>
      <c r="H16" s="305"/>
      <c r="I16" s="305">
        <v>31477.200000000001</v>
      </c>
      <c r="J16" s="679">
        <v>20946.900000000001</v>
      </c>
      <c r="K16" s="689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0">
        <f>Gen!AR21</f>
        <v>1401.42</v>
      </c>
    </row>
    <row r="17" spans="1:29" ht="20.100000000000001" customHeight="1">
      <c r="A17" s="683">
        <f>Gen!A22</f>
        <v>44208</v>
      </c>
      <c r="B17" s="678">
        <f>Gen!B22</f>
        <v>0.16900000000000001</v>
      </c>
      <c r="C17" s="795">
        <v>17581.810000000001</v>
      </c>
      <c r="D17" s="796">
        <v>17143.12</v>
      </c>
      <c r="E17" s="491"/>
      <c r="F17" s="305"/>
      <c r="G17" s="305"/>
      <c r="H17" s="305"/>
      <c r="I17" s="305">
        <v>31482.3</v>
      </c>
      <c r="J17" s="679">
        <v>20950.8</v>
      </c>
      <c r="K17" s="689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0">
        <f>Gen!AR22</f>
        <v>1257.72</v>
      </c>
    </row>
    <row r="18" spans="1:29" ht="20.100000000000001" customHeight="1">
      <c r="A18" s="683">
        <f>Gen!A23</f>
        <v>44209</v>
      </c>
      <c r="B18" s="678">
        <f>Gen!B23</f>
        <v>2.5999999999999999E-2</v>
      </c>
      <c r="C18" s="795">
        <v>16148.22</v>
      </c>
      <c r="D18" s="796">
        <v>17143.12</v>
      </c>
      <c r="E18" s="305"/>
      <c r="F18" s="305"/>
      <c r="G18" s="305"/>
      <c r="H18" s="305"/>
      <c r="I18" s="305">
        <v>31487.7</v>
      </c>
      <c r="J18" s="679">
        <v>20954.599999999999</v>
      </c>
      <c r="K18" s="689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0">
        <f>Gen!AR23</f>
        <v>1212.6099999999999</v>
      </c>
    </row>
    <row r="19" spans="1:29" ht="20.100000000000001" customHeight="1">
      <c r="A19" s="683">
        <f>Gen!A24</f>
        <v>44210</v>
      </c>
      <c r="B19" s="678">
        <f>Gen!B24</f>
        <v>3.9E-2</v>
      </c>
      <c r="C19" s="795">
        <v>14935.61</v>
      </c>
      <c r="D19" s="796">
        <v>17143.12</v>
      </c>
      <c r="E19" s="305"/>
      <c r="F19" s="305"/>
      <c r="G19" s="305"/>
      <c r="H19" s="305"/>
      <c r="I19" s="305">
        <v>31492.5</v>
      </c>
      <c r="J19" s="679">
        <v>20957.900000000001</v>
      </c>
      <c r="K19" s="689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21746</v>
      </c>
      <c r="Y19" s="304">
        <f t="shared" si="9"/>
        <v>1</v>
      </c>
      <c r="Z19" s="307">
        <f t="shared" si="10"/>
        <v>25</v>
      </c>
      <c r="AA19" s="125">
        <v>215</v>
      </c>
      <c r="AB19" s="125">
        <v>200</v>
      </c>
      <c r="AC19" s="690">
        <f>Gen!AR24</f>
        <v>1414.28</v>
      </c>
    </row>
    <row r="20" spans="1:29" ht="20.100000000000001" customHeight="1">
      <c r="A20" s="683">
        <f>Gen!A25</f>
        <v>44211</v>
      </c>
      <c r="B20" s="678">
        <f>Gen!B25</f>
        <v>5.1999999999999998E-2</v>
      </c>
      <c r="C20" s="795">
        <v>13521.33</v>
      </c>
      <c r="D20" s="796">
        <v>17143.12</v>
      </c>
      <c r="E20" s="305"/>
      <c r="F20" s="305"/>
      <c r="G20" s="305"/>
      <c r="H20" s="305"/>
      <c r="I20" s="305">
        <v>31497.4</v>
      </c>
      <c r="J20" s="679">
        <v>20961.099999999999</v>
      </c>
      <c r="K20" s="689">
        <f t="shared" si="0"/>
        <v>35681</v>
      </c>
      <c r="L20" s="305">
        <v>35681</v>
      </c>
      <c r="M20" s="304">
        <f t="shared" si="1"/>
        <v>0</v>
      </c>
      <c r="N20" s="306">
        <f t="shared" si="2"/>
        <v>30628</v>
      </c>
      <c r="O20" s="125">
        <v>30628</v>
      </c>
      <c r="P20" s="304">
        <f t="shared" si="3"/>
        <v>0</v>
      </c>
      <c r="Q20" s="304">
        <f t="shared" si="4"/>
        <v>35892</v>
      </c>
      <c r="R20" s="125">
        <v>35892</v>
      </c>
      <c r="S20" s="304">
        <f t="shared" si="5"/>
        <v>0</v>
      </c>
      <c r="T20" s="304">
        <f t="shared" si="6"/>
        <v>33110</v>
      </c>
      <c r="U20" s="305">
        <v>33110</v>
      </c>
      <c r="V20" s="304">
        <f t="shared" si="7"/>
        <v>0</v>
      </c>
      <c r="W20" s="306">
        <f t="shared" si="8"/>
        <v>21746</v>
      </c>
      <c r="X20" s="305">
        <v>21770</v>
      </c>
      <c r="Y20" s="304">
        <f t="shared" si="9"/>
        <v>24</v>
      </c>
      <c r="Z20" s="307">
        <f t="shared" si="10"/>
        <v>24</v>
      </c>
      <c r="AA20" s="125">
        <v>200</v>
      </c>
      <c r="AB20" s="125">
        <v>200</v>
      </c>
      <c r="AC20" s="690">
        <f>Gen!AR25</f>
        <v>1385.73</v>
      </c>
    </row>
    <row r="21" spans="1:29" ht="20.100000000000001" customHeight="1">
      <c r="A21" s="683">
        <f>Gen!A26</f>
        <v>44212</v>
      </c>
      <c r="B21" s="678">
        <f>Gen!B26</f>
        <v>1.2999999999999999E-2</v>
      </c>
      <c r="C21" s="795">
        <v>27135.599999999999</v>
      </c>
      <c r="D21" s="796">
        <v>17143.12</v>
      </c>
      <c r="E21" s="305"/>
      <c r="F21" s="305"/>
      <c r="G21" s="305"/>
      <c r="H21" s="305"/>
      <c r="I21" s="305">
        <v>31502.400000000001</v>
      </c>
      <c r="J21" s="679">
        <v>20964.2</v>
      </c>
      <c r="K21" s="689">
        <f t="shared" si="0"/>
        <v>35681</v>
      </c>
      <c r="L21" s="305">
        <v>35681</v>
      </c>
      <c r="M21" s="304">
        <f t="shared" si="1"/>
        <v>0</v>
      </c>
      <c r="N21" s="306">
        <f t="shared" si="2"/>
        <v>30628</v>
      </c>
      <c r="O21" s="125">
        <v>30628</v>
      </c>
      <c r="P21" s="304">
        <f t="shared" si="3"/>
        <v>0</v>
      </c>
      <c r="Q21" s="304">
        <f t="shared" si="4"/>
        <v>35892</v>
      </c>
      <c r="R21" s="125">
        <v>35892</v>
      </c>
      <c r="S21" s="304">
        <f t="shared" si="5"/>
        <v>0</v>
      </c>
      <c r="T21" s="304">
        <f t="shared" si="6"/>
        <v>33110</v>
      </c>
      <c r="U21" s="305">
        <v>33135</v>
      </c>
      <c r="V21" s="304">
        <f t="shared" si="7"/>
        <v>25</v>
      </c>
      <c r="W21" s="306">
        <f t="shared" si="8"/>
        <v>21770</v>
      </c>
      <c r="X21" s="305">
        <v>21770</v>
      </c>
      <c r="Y21" s="304">
        <f t="shared" si="9"/>
        <v>0</v>
      </c>
      <c r="Z21" s="307">
        <f t="shared" si="10"/>
        <v>25</v>
      </c>
      <c r="AA21" s="125">
        <v>115</v>
      </c>
      <c r="AB21" s="125">
        <v>100</v>
      </c>
      <c r="AC21" s="690">
        <f>Gen!AR26</f>
        <v>1204.49</v>
      </c>
    </row>
    <row r="22" spans="1:29" ht="18.75" customHeight="1">
      <c r="A22" s="683">
        <f>Gen!A27</f>
        <v>44213</v>
      </c>
      <c r="B22" s="678">
        <f>Gen!B27</f>
        <v>7.8E-2</v>
      </c>
      <c r="C22" s="795">
        <v>2593.11</v>
      </c>
      <c r="D22" s="796">
        <v>17143.12</v>
      </c>
      <c r="E22" s="305"/>
      <c r="F22" s="305"/>
      <c r="G22" s="305"/>
      <c r="H22" s="305"/>
      <c r="I22" s="305">
        <v>31507.1</v>
      </c>
      <c r="J22" s="679">
        <v>20967.599999999999</v>
      </c>
      <c r="K22" s="689">
        <f t="shared" si="0"/>
        <v>35681</v>
      </c>
      <c r="L22" s="305"/>
      <c r="M22" s="304">
        <f t="shared" si="1"/>
        <v>-35681</v>
      </c>
      <c r="N22" s="306">
        <f t="shared" si="2"/>
        <v>30628</v>
      </c>
      <c r="O22" s="125">
        <v>30628</v>
      </c>
      <c r="P22" s="304">
        <f t="shared" si="3"/>
        <v>0</v>
      </c>
      <c r="Q22" s="304">
        <f t="shared" si="4"/>
        <v>35892</v>
      </c>
      <c r="R22" s="125">
        <v>35892</v>
      </c>
      <c r="S22" s="304">
        <f t="shared" si="5"/>
        <v>0</v>
      </c>
      <c r="T22" s="304">
        <f t="shared" si="6"/>
        <v>33135</v>
      </c>
      <c r="U22" s="305">
        <v>33135</v>
      </c>
      <c r="V22" s="304">
        <f t="shared" si="7"/>
        <v>0</v>
      </c>
      <c r="W22" s="306">
        <f t="shared" si="8"/>
        <v>21770</v>
      </c>
      <c r="X22" s="305"/>
      <c r="Y22" s="304">
        <f t="shared" si="9"/>
        <v>-21770</v>
      </c>
      <c r="Z22" s="307">
        <f t="shared" si="10"/>
        <v>-57451</v>
      </c>
      <c r="AA22" s="125"/>
      <c r="AB22" s="125"/>
      <c r="AC22" s="690">
        <f>Gen!AR27</f>
        <v>1123.6199999999999</v>
      </c>
    </row>
    <row r="23" spans="1:29" ht="20.100000000000001" customHeight="1">
      <c r="A23" s="683">
        <f>Gen!A28</f>
        <v>44214</v>
      </c>
      <c r="B23" s="678">
        <f>Gen!B28</f>
        <v>9.0999999999999998E-2</v>
      </c>
      <c r="C23" s="795">
        <v>23672.59</v>
      </c>
      <c r="D23" s="796">
        <v>17143.12</v>
      </c>
      <c r="E23" s="491"/>
      <c r="F23" s="305"/>
      <c r="G23" s="305"/>
      <c r="H23" s="305"/>
      <c r="I23" s="305">
        <v>31515.9</v>
      </c>
      <c r="J23" s="679">
        <v>20974.1</v>
      </c>
      <c r="K23" s="689">
        <f t="shared" si="0"/>
        <v>0</v>
      </c>
      <c r="L23" s="305">
        <v>35681</v>
      </c>
      <c r="M23" s="304">
        <f t="shared" si="1"/>
        <v>35681</v>
      </c>
      <c r="N23" s="306">
        <f t="shared" si="2"/>
        <v>30628</v>
      </c>
      <c r="O23" s="125">
        <v>30628</v>
      </c>
      <c r="P23" s="304">
        <f t="shared" si="3"/>
        <v>0</v>
      </c>
      <c r="Q23" s="304">
        <f t="shared" si="4"/>
        <v>35892</v>
      </c>
      <c r="R23" s="125">
        <v>35896</v>
      </c>
      <c r="S23" s="304">
        <f t="shared" si="5"/>
        <v>4</v>
      </c>
      <c r="T23" s="304">
        <f t="shared" si="6"/>
        <v>33135</v>
      </c>
      <c r="U23" s="305">
        <v>33135</v>
      </c>
      <c r="V23" s="304">
        <f t="shared" si="7"/>
        <v>0</v>
      </c>
      <c r="W23" s="306">
        <f t="shared" si="8"/>
        <v>0</v>
      </c>
      <c r="X23" s="305">
        <v>21795</v>
      </c>
      <c r="Y23" s="304">
        <f t="shared" si="9"/>
        <v>21795</v>
      </c>
      <c r="Z23" s="307">
        <f t="shared" si="10"/>
        <v>57480</v>
      </c>
      <c r="AA23" s="125">
        <v>200</v>
      </c>
      <c r="AB23" s="125">
        <v>115</v>
      </c>
      <c r="AC23" s="690">
        <f>Gen!AR28</f>
        <v>1135.44</v>
      </c>
    </row>
    <row r="24" spans="1:29" ht="20.100000000000001" customHeight="1">
      <c r="A24" s="683">
        <f>Gen!A29</f>
        <v>44215</v>
      </c>
      <c r="B24" s="678">
        <f>Gen!B29</f>
        <v>0.13</v>
      </c>
      <c r="C24" s="795">
        <v>22381.43</v>
      </c>
      <c r="D24" s="796">
        <v>17143.12</v>
      </c>
      <c r="E24" s="305"/>
      <c r="F24" s="305"/>
      <c r="G24" s="305"/>
      <c r="H24" s="305"/>
      <c r="I24" s="305">
        <v>31520.7</v>
      </c>
      <c r="J24" s="679">
        <v>20977.3</v>
      </c>
      <c r="K24" s="689">
        <f t="shared" si="0"/>
        <v>35681</v>
      </c>
      <c r="L24" s="305">
        <v>35681</v>
      </c>
      <c r="M24" s="304">
        <f t="shared" si="1"/>
        <v>0</v>
      </c>
      <c r="N24" s="306">
        <f t="shared" si="2"/>
        <v>30628</v>
      </c>
      <c r="O24" s="125">
        <v>30628</v>
      </c>
      <c r="P24" s="304">
        <f t="shared" si="3"/>
        <v>0</v>
      </c>
      <c r="Q24" s="304">
        <f t="shared" si="4"/>
        <v>35896</v>
      </c>
      <c r="R24" s="125">
        <v>35896</v>
      </c>
      <c r="S24" s="304">
        <f t="shared" si="5"/>
        <v>0</v>
      </c>
      <c r="T24" s="304">
        <f t="shared" si="6"/>
        <v>33135</v>
      </c>
      <c r="U24" s="305">
        <v>33159</v>
      </c>
      <c r="V24" s="304">
        <f t="shared" si="7"/>
        <v>24</v>
      </c>
      <c r="W24" s="306">
        <f t="shared" si="8"/>
        <v>21795</v>
      </c>
      <c r="X24" s="305">
        <v>21795</v>
      </c>
      <c r="Y24" s="304">
        <f t="shared" si="9"/>
        <v>0</v>
      </c>
      <c r="Z24" s="307">
        <f t="shared" si="10"/>
        <v>24</v>
      </c>
      <c r="AA24" s="125">
        <v>220</v>
      </c>
      <c r="AB24" s="125">
        <v>100</v>
      </c>
      <c r="AC24" s="690">
        <f>Gen!AR29</f>
        <v>1290.6199999999999</v>
      </c>
    </row>
    <row r="25" spans="1:29" ht="18.75" customHeight="1">
      <c r="A25" s="683">
        <f>Gen!A30</f>
        <v>44216</v>
      </c>
      <c r="B25" s="678">
        <f>Gen!B30</f>
        <v>6.5000000000000002E-2</v>
      </c>
      <c r="C25" s="795">
        <v>20589.080000000002</v>
      </c>
      <c r="D25" s="796">
        <v>17143.12</v>
      </c>
      <c r="E25" s="305"/>
      <c r="F25" s="305"/>
      <c r="G25" s="305"/>
      <c r="H25" s="305"/>
      <c r="I25" s="305">
        <v>31525.5</v>
      </c>
      <c r="J25" s="679">
        <v>20980.6</v>
      </c>
      <c r="K25" s="689">
        <f t="shared" si="0"/>
        <v>35681</v>
      </c>
      <c r="L25" s="305">
        <v>35681</v>
      </c>
      <c r="M25" s="304">
        <f t="shared" si="1"/>
        <v>0</v>
      </c>
      <c r="N25" s="306">
        <f t="shared" si="2"/>
        <v>30628</v>
      </c>
      <c r="O25" s="125">
        <v>30628</v>
      </c>
      <c r="P25" s="304">
        <f t="shared" si="3"/>
        <v>0</v>
      </c>
      <c r="Q25" s="304">
        <f t="shared" si="4"/>
        <v>35896</v>
      </c>
      <c r="R25" s="305">
        <v>35920</v>
      </c>
      <c r="S25" s="304">
        <f t="shared" si="5"/>
        <v>24</v>
      </c>
      <c r="T25" s="304">
        <f t="shared" si="6"/>
        <v>33159</v>
      </c>
      <c r="U25" s="305">
        <v>33159</v>
      </c>
      <c r="V25" s="304">
        <f t="shared" si="7"/>
        <v>0</v>
      </c>
      <c r="W25" s="306">
        <f t="shared" si="8"/>
        <v>21795</v>
      </c>
      <c r="X25" s="305">
        <v>21795</v>
      </c>
      <c r="Y25" s="304">
        <f t="shared" si="9"/>
        <v>0</v>
      </c>
      <c r="Z25" s="307">
        <f t="shared" si="10"/>
        <v>24</v>
      </c>
      <c r="AA25" s="125">
        <v>250</v>
      </c>
      <c r="AB25" s="125">
        <v>115</v>
      </c>
      <c r="AC25" s="690">
        <f>Gen!AR30</f>
        <v>1791.63</v>
      </c>
    </row>
    <row r="26" spans="1:29" ht="20.100000000000001" customHeight="1">
      <c r="A26" s="683">
        <f>Gen!A31</f>
        <v>44217</v>
      </c>
      <c r="B26" s="678">
        <f>Gen!B31</f>
        <v>5.1999999999999998E-2</v>
      </c>
      <c r="C26" s="795">
        <v>19514.29</v>
      </c>
      <c r="D26" s="796">
        <v>17143.12</v>
      </c>
      <c r="E26" s="305"/>
      <c r="F26" s="305"/>
      <c r="G26" s="305"/>
      <c r="H26" s="305"/>
      <c r="I26" s="305">
        <v>31529.9</v>
      </c>
      <c r="J26" s="679">
        <v>20983.8</v>
      </c>
      <c r="K26" s="689">
        <f t="shared" si="0"/>
        <v>35681</v>
      </c>
      <c r="L26" s="305">
        <v>35706</v>
      </c>
      <c r="M26" s="304">
        <f t="shared" si="1"/>
        <v>25</v>
      </c>
      <c r="N26" s="306">
        <f t="shared" si="2"/>
        <v>30628</v>
      </c>
      <c r="O26" s="125">
        <v>30628</v>
      </c>
      <c r="P26" s="304">
        <f t="shared" si="3"/>
        <v>0</v>
      </c>
      <c r="Q26" s="304">
        <f t="shared" si="4"/>
        <v>35920</v>
      </c>
      <c r="R26" s="305">
        <v>35920</v>
      </c>
      <c r="S26" s="304">
        <f t="shared" si="5"/>
        <v>0</v>
      </c>
      <c r="T26" s="304">
        <f t="shared" si="6"/>
        <v>33159</v>
      </c>
      <c r="U26" s="305">
        <v>33159</v>
      </c>
      <c r="V26" s="304">
        <f t="shared" si="7"/>
        <v>0</v>
      </c>
      <c r="W26" s="306">
        <f t="shared" si="8"/>
        <v>21795</v>
      </c>
      <c r="X26" s="305">
        <v>21819</v>
      </c>
      <c r="Y26" s="304">
        <f t="shared" si="9"/>
        <v>24</v>
      </c>
      <c r="Z26" s="307">
        <f t="shared" ref="Z26:Z37" si="11">Y26+V26+S26+P26+M26</f>
        <v>49</v>
      </c>
      <c r="AA26" s="125">
        <v>270</v>
      </c>
      <c r="AB26" s="125">
        <v>200</v>
      </c>
      <c r="AC26" s="690">
        <f>Gen!AR31</f>
        <v>1075.51</v>
      </c>
    </row>
    <row r="27" spans="1:29" ht="20.100000000000001" customHeight="1">
      <c r="A27" s="683">
        <f>Gen!A32</f>
        <v>44218</v>
      </c>
      <c r="B27" s="678">
        <f>Gen!B32</f>
        <v>2.5999999999999999E-2</v>
      </c>
      <c r="C27" s="795">
        <v>18198.53</v>
      </c>
      <c r="D27" s="796">
        <v>17143.12</v>
      </c>
      <c r="E27" s="305"/>
      <c r="F27" s="305"/>
      <c r="G27" s="305"/>
      <c r="H27" s="305"/>
      <c r="I27" s="305">
        <v>31534.6</v>
      </c>
      <c r="J27" s="679">
        <v>20986.7</v>
      </c>
      <c r="K27" s="689">
        <f t="shared" si="0"/>
        <v>35706</v>
      </c>
      <c r="L27" s="305">
        <v>35729</v>
      </c>
      <c r="M27" s="304">
        <f t="shared" si="1"/>
        <v>23</v>
      </c>
      <c r="N27" s="306">
        <f t="shared" si="2"/>
        <v>30628</v>
      </c>
      <c r="O27" s="125">
        <v>30630</v>
      </c>
      <c r="P27" s="304">
        <f t="shared" si="3"/>
        <v>2</v>
      </c>
      <c r="Q27" s="304">
        <f t="shared" si="4"/>
        <v>35920</v>
      </c>
      <c r="R27" s="305">
        <v>35920</v>
      </c>
      <c r="S27" s="304">
        <f t="shared" si="5"/>
        <v>0</v>
      </c>
      <c r="T27" s="304">
        <f t="shared" si="6"/>
        <v>33159</v>
      </c>
      <c r="U27" s="305">
        <v>33159</v>
      </c>
      <c r="V27" s="304">
        <f t="shared" si="7"/>
        <v>0</v>
      </c>
      <c r="W27" s="306">
        <f t="shared" si="8"/>
        <v>21819</v>
      </c>
      <c r="X27" s="305">
        <v>21819</v>
      </c>
      <c r="Y27" s="304">
        <f t="shared" si="9"/>
        <v>0</v>
      </c>
      <c r="Z27" s="307">
        <f t="shared" si="11"/>
        <v>25</v>
      </c>
      <c r="AA27" s="125">
        <v>250</v>
      </c>
      <c r="AB27" s="125">
        <v>115</v>
      </c>
      <c r="AC27" s="690">
        <f>Gen!AR32</f>
        <v>1315.76</v>
      </c>
    </row>
    <row r="28" spans="1:29" ht="20.100000000000001" customHeight="1">
      <c r="A28" s="683">
        <f>Gen!A33</f>
        <v>44219</v>
      </c>
      <c r="B28" s="678">
        <f>Gen!B33</f>
        <v>3.9E-2</v>
      </c>
      <c r="C28" s="795">
        <v>16975.580000000002</v>
      </c>
      <c r="D28" s="796">
        <v>17143.12</v>
      </c>
      <c r="E28" s="305"/>
      <c r="F28" s="305"/>
      <c r="G28" s="305"/>
      <c r="H28" s="305"/>
      <c r="I28" s="305">
        <v>31539.1</v>
      </c>
      <c r="J28" s="679">
        <v>20990.2</v>
      </c>
      <c r="K28" s="689">
        <f t="shared" si="0"/>
        <v>35729</v>
      </c>
      <c r="L28" s="305">
        <v>35729</v>
      </c>
      <c r="M28" s="304">
        <f t="shared" si="1"/>
        <v>0</v>
      </c>
      <c r="N28" s="306">
        <f t="shared" si="2"/>
        <v>30630</v>
      </c>
      <c r="O28" s="305">
        <v>30654</v>
      </c>
      <c r="P28" s="304">
        <f t="shared" si="3"/>
        <v>24</v>
      </c>
      <c r="Q28" s="304">
        <f t="shared" si="4"/>
        <v>35920</v>
      </c>
      <c r="R28" s="305">
        <v>35921</v>
      </c>
      <c r="S28" s="304">
        <f t="shared" si="5"/>
        <v>1</v>
      </c>
      <c r="T28" s="304">
        <f t="shared" si="6"/>
        <v>33159</v>
      </c>
      <c r="U28" s="305">
        <v>33160</v>
      </c>
      <c r="V28" s="304">
        <f t="shared" si="7"/>
        <v>1</v>
      </c>
      <c r="W28" s="306">
        <f t="shared" si="8"/>
        <v>21819</v>
      </c>
      <c r="X28" s="305">
        <v>21819</v>
      </c>
      <c r="Y28" s="304">
        <f t="shared" si="9"/>
        <v>0</v>
      </c>
      <c r="Z28" s="307">
        <f t="shared" si="11"/>
        <v>26</v>
      </c>
      <c r="AA28" s="125">
        <v>215</v>
      </c>
      <c r="AB28" s="125">
        <v>100</v>
      </c>
      <c r="AC28" s="690">
        <f>Gen!AR33</f>
        <v>1222.95</v>
      </c>
    </row>
    <row r="29" spans="1:29" ht="20.100000000000001" customHeight="1">
      <c r="A29" s="683">
        <f>Gen!A34</f>
        <v>44220</v>
      </c>
      <c r="B29" s="678">
        <f>Gen!B34</f>
        <v>0.11700000000000001</v>
      </c>
      <c r="C29" s="795">
        <v>15714.14</v>
      </c>
      <c r="D29" s="796">
        <v>17143.12</v>
      </c>
      <c r="E29" s="305"/>
      <c r="F29" s="305"/>
      <c r="G29" s="305"/>
      <c r="H29" s="305"/>
      <c r="I29" s="305">
        <v>31543.5</v>
      </c>
      <c r="J29" s="679">
        <v>20993.8</v>
      </c>
      <c r="K29" s="689">
        <f t="shared" si="0"/>
        <v>35729</v>
      </c>
      <c r="L29" s="305">
        <v>35730</v>
      </c>
      <c r="M29" s="304">
        <f t="shared" si="1"/>
        <v>1</v>
      </c>
      <c r="N29" s="306">
        <f t="shared" si="2"/>
        <v>30654</v>
      </c>
      <c r="O29" s="305">
        <v>30654</v>
      </c>
      <c r="P29" s="304">
        <f t="shared" si="3"/>
        <v>0</v>
      </c>
      <c r="Q29" s="304">
        <f t="shared" si="4"/>
        <v>35921</v>
      </c>
      <c r="R29" s="305">
        <v>35927</v>
      </c>
      <c r="S29" s="304">
        <f t="shared" si="5"/>
        <v>6</v>
      </c>
      <c r="T29" s="304">
        <f t="shared" si="6"/>
        <v>33160</v>
      </c>
      <c r="U29" s="305">
        <v>33180</v>
      </c>
      <c r="V29" s="304">
        <f t="shared" si="7"/>
        <v>20</v>
      </c>
      <c r="W29" s="306">
        <f t="shared" si="8"/>
        <v>21819</v>
      </c>
      <c r="X29" s="305">
        <v>21819</v>
      </c>
      <c r="Y29" s="304">
        <f t="shared" si="9"/>
        <v>0</v>
      </c>
      <c r="Z29" s="307">
        <f t="shared" si="11"/>
        <v>27</v>
      </c>
      <c r="AA29" s="125">
        <v>200</v>
      </c>
      <c r="AB29" s="125">
        <v>100</v>
      </c>
      <c r="AC29" s="690">
        <f>Gen!AR34</f>
        <v>1261.44</v>
      </c>
    </row>
    <row r="30" spans="1:29" ht="20.100000000000001" customHeight="1">
      <c r="A30" s="683">
        <f>Gen!A35</f>
        <v>44221</v>
      </c>
      <c r="B30" s="678">
        <f>Gen!B35</f>
        <v>0.13</v>
      </c>
      <c r="C30" s="795">
        <v>14346.21</v>
      </c>
      <c r="D30" s="796">
        <v>17143.12</v>
      </c>
      <c r="E30" s="305"/>
      <c r="F30" s="305"/>
      <c r="G30" s="305"/>
      <c r="H30" s="305"/>
      <c r="I30" s="305">
        <v>31548.1</v>
      </c>
      <c r="J30" s="679">
        <v>20997.599999999999</v>
      </c>
      <c r="K30" s="689">
        <f t="shared" si="0"/>
        <v>35730</v>
      </c>
      <c r="L30" s="305">
        <v>35753</v>
      </c>
      <c r="M30" s="304">
        <f t="shared" si="1"/>
        <v>23</v>
      </c>
      <c r="N30" s="306">
        <f t="shared" si="2"/>
        <v>30654</v>
      </c>
      <c r="O30" s="305">
        <v>30654</v>
      </c>
      <c r="P30" s="304">
        <f t="shared" si="3"/>
        <v>0</v>
      </c>
      <c r="Q30" s="304">
        <f t="shared" si="4"/>
        <v>35927</v>
      </c>
      <c r="R30" s="305">
        <v>35927</v>
      </c>
      <c r="S30" s="304">
        <f t="shared" si="5"/>
        <v>0</v>
      </c>
      <c r="T30" s="304">
        <f t="shared" si="6"/>
        <v>33180</v>
      </c>
      <c r="U30" s="305">
        <v>33180</v>
      </c>
      <c r="V30" s="304">
        <f t="shared" si="7"/>
        <v>0</v>
      </c>
      <c r="W30" s="306">
        <f t="shared" si="8"/>
        <v>21819</v>
      </c>
      <c r="X30" s="305">
        <v>21819</v>
      </c>
      <c r="Y30" s="304">
        <f t="shared" si="9"/>
        <v>0</v>
      </c>
      <c r="Z30" s="307">
        <f t="shared" si="11"/>
        <v>23</v>
      </c>
      <c r="AA30" s="125">
        <v>115</v>
      </c>
      <c r="AB30" s="125">
        <v>200</v>
      </c>
      <c r="AC30" s="690">
        <f>Gen!AR35</f>
        <v>1367.93</v>
      </c>
    </row>
    <row r="31" spans="1:29" ht="20.100000000000001" customHeight="1">
      <c r="A31" s="683">
        <f>Gen!A36</f>
        <v>44222</v>
      </c>
      <c r="B31" s="678">
        <f>Gen!B36</f>
        <v>0.20799999999999999</v>
      </c>
      <c r="C31" s="795">
        <v>13104.98</v>
      </c>
      <c r="D31" s="796">
        <v>17143.12</v>
      </c>
      <c r="E31" s="305"/>
      <c r="F31" s="305"/>
      <c r="G31" s="305"/>
      <c r="H31" s="305"/>
      <c r="I31" s="305">
        <v>31552.799999999999</v>
      </c>
      <c r="J31" s="679">
        <v>21001.5</v>
      </c>
      <c r="K31" s="689">
        <f t="shared" si="0"/>
        <v>35753</v>
      </c>
      <c r="L31" s="305">
        <v>35753</v>
      </c>
      <c r="M31" s="304">
        <f t="shared" si="1"/>
        <v>0</v>
      </c>
      <c r="N31" s="306">
        <f t="shared" si="2"/>
        <v>30654</v>
      </c>
      <c r="O31" s="305">
        <v>30654</v>
      </c>
      <c r="P31" s="304">
        <f t="shared" si="3"/>
        <v>0</v>
      </c>
      <c r="Q31" s="304">
        <f t="shared" si="4"/>
        <v>35927</v>
      </c>
      <c r="R31" s="305">
        <v>35927</v>
      </c>
      <c r="S31" s="304">
        <f t="shared" si="5"/>
        <v>0</v>
      </c>
      <c r="T31" s="304">
        <f t="shared" si="6"/>
        <v>33180</v>
      </c>
      <c r="U31" s="305">
        <v>33180</v>
      </c>
      <c r="V31" s="304">
        <f t="shared" si="7"/>
        <v>0</v>
      </c>
      <c r="W31" s="306">
        <f t="shared" si="8"/>
        <v>21819</v>
      </c>
      <c r="X31" s="305">
        <v>21844</v>
      </c>
      <c r="Y31" s="304">
        <f t="shared" si="9"/>
        <v>25</v>
      </c>
      <c r="Z31" s="307">
        <f t="shared" si="11"/>
        <v>25</v>
      </c>
      <c r="AA31" s="125">
        <v>200</v>
      </c>
      <c r="AB31" s="125">
        <v>225</v>
      </c>
      <c r="AC31" s="690">
        <f>Gen!AR36</f>
        <v>1241.23</v>
      </c>
    </row>
    <row r="32" spans="1:29" ht="20.100000000000001" customHeight="1">
      <c r="A32" s="683">
        <f>Gen!A37</f>
        <v>44223</v>
      </c>
      <c r="B32" s="678">
        <f>Gen!B37</f>
        <v>7.8E-2</v>
      </c>
      <c r="C32" s="795">
        <v>11777.14</v>
      </c>
      <c r="D32" s="796">
        <v>17143.12</v>
      </c>
      <c r="E32" s="305"/>
      <c r="F32" s="305"/>
      <c r="G32" s="305"/>
      <c r="H32" s="305"/>
      <c r="I32" s="305">
        <v>31557.3</v>
      </c>
      <c r="J32" s="679">
        <v>21005.3</v>
      </c>
      <c r="K32" s="689">
        <f t="shared" si="0"/>
        <v>35753</v>
      </c>
      <c r="L32" s="305">
        <v>35753</v>
      </c>
      <c r="M32" s="304">
        <f t="shared" si="1"/>
        <v>0</v>
      </c>
      <c r="N32" s="306">
        <f t="shared" si="2"/>
        <v>30654</v>
      </c>
      <c r="O32" s="305">
        <v>30654</v>
      </c>
      <c r="P32" s="304">
        <f t="shared" si="3"/>
        <v>0</v>
      </c>
      <c r="Q32" s="304">
        <f t="shared" si="4"/>
        <v>35927</v>
      </c>
      <c r="R32" s="305">
        <v>35951</v>
      </c>
      <c r="S32" s="304">
        <f t="shared" si="5"/>
        <v>24</v>
      </c>
      <c r="T32" s="304">
        <f t="shared" si="6"/>
        <v>33180</v>
      </c>
      <c r="U32" s="305">
        <v>33181</v>
      </c>
      <c r="V32" s="304">
        <f t="shared" si="7"/>
        <v>1</v>
      </c>
      <c r="W32" s="306">
        <f t="shared" si="8"/>
        <v>21844</v>
      </c>
      <c r="X32" s="305">
        <v>21844</v>
      </c>
      <c r="Y32" s="304">
        <f t="shared" si="9"/>
        <v>0</v>
      </c>
      <c r="Z32" s="307">
        <f t="shared" si="11"/>
        <v>25</v>
      </c>
      <c r="AA32" s="125">
        <v>250</v>
      </c>
      <c r="AB32" s="125">
        <v>200</v>
      </c>
      <c r="AC32" s="690">
        <f>Gen!AR37</f>
        <v>1327.84</v>
      </c>
    </row>
    <row r="33" spans="1:29" ht="20.100000000000001" customHeight="1">
      <c r="A33" s="683">
        <f>Gen!A38</f>
        <v>44224</v>
      </c>
      <c r="B33" s="678">
        <f>Gen!B38</f>
        <v>0</v>
      </c>
      <c r="C33" s="795">
        <v>10606.82</v>
      </c>
      <c r="D33" s="796">
        <v>17143.12</v>
      </c>
      <c r="E33" s="305"/>
      <c r="F33" s="305"/>
      <c r="G33" s="305"/>
      <c r="H33" s="305"/>
      <c r="I33" s="305">
        <v>31562.1</v>
      </c>
      <c r="J33" s="679">
        <v>21008.7</v>
      </c>
      <c r="K33" s="689">
        <f t="shared" si="0"/>
        <v>35753</v>
      </c>
      <c r="L33" s="305">
        <v>35754</v>
      </c>
      <c r="M33" s="304">
        <f t="shared" si="1"/>
        <v>1</v>
      </c>
      <c r="N33" s="306">
        <f t="shared" si="2"/>
        <v>30654</v>
      </c>
      <c r="O33" s="305">
        <v>30662</v>
      </c>
      <c r="P33" s="304">
        <f t="shared" si="3"/>
        <v>8</v>
      </c>
      <c r="Q33" s="304">
        <f t="shared" si="4"/>
        <v>35951</v>
      </c>
      <c r="R33" s="305">
        <v>35951</v>
      </c>
      <c r="S33" s="304">
        <f>R34-Q33</f>
        <v>0</v>
      </c>
      <c r="T33" s="304">
        <f t="shared" si="6"/>
        <v>33181</v>
      </c>
      <c r="U33" s="305">
        <v>33197</v>
      </c>
      <c r="V33" s="304">
        <f t="shared" si="7"/>
        <v>16</v>
      </c>
      <c r="W33" s="306">
        <f t="shared" si="8"/>
        <v>21844</v>
      </c>
      <c r="X33" s="305">
        <v>21844</v>
      </c>
      <c r="Y33" s="304">
        <f t="shared" si="9"/>
        <v>0</v>
      </c>
      <c r="Z33" s="307">
        <f t="shared" si="11"/>
        <v>25</v>
      </c>
      <c r="AA33" s="125">
        <v>215</v>
      </c>
      <c r="AB33" s="125">
        <v>115</v>
      </c>
      <c r="AC33" s="690">
        <f>Gen!AR38</f>
        <v>1170.32</v>
      </c>
    </row>
    <row r="34" spans="1:29" ht="20.100000000000001" customHeight="1">
      <c r="A34" s="683">
        <f>Gen!A39</f>
        <v>44225</v>
      </c>
      <c r="B34" s="678">
        <f>Gen!B39</f>
        <v>0</v>
      </c>
      <c r="C34" s="795">
        <v>24412.79</v>
      </c>
      <c r="D34" s="796">
        <v>17143.12</v>
      </c>
      <c r="E34" s="305"/>
      <c r="F34" s="305"/>
      <c r="G34" s="305"/>
      <c r="H34" s="305"/>
      <c r="I34" s="305">
        <v>31566.6</v>
      </c>
      <c r="J34" s="679">
        <v>21012.2</v>
      </c>
      <c r="K34" s="689">
        <f t="shared" si="0"/>
        <v>35754</v>
      </c>
      <c r="L34" s="305">
        <v>35778</v>
      </c>
      <c r="M34" s="304">
        <f t="shared" si="1"/>
        <v>24</v>
      </c>
      <c r="N34" s="306">
        <f t="shared" si="2"/>
        <v>30662</v>
      </c>
      <c r="O34" s="305">
        <v>30662</v>
      </c>
      <c r="P34" s="304">
        <f t="shared" si="3"/>
        <v>0</v>
      </c>
      <c r="Q34" s="304">
        <f>R34</f>
        <v>35951</v>
      </c>
      <c r="R34" s="305">
        <v>35951</v>
      </c>
      <c r="S34" s="304" t="e">
        <f>#REF!-Q34</f>
        <v>#REF!</v>
      </c>
      <c r="T34" s="304">
        <f t="shared" si="6"/>
        <v>33197</v>
      </c>
      <c r="U34" s="305">
        <v>33197</v>
      </c>
      <c r="V34" s="304">
        <f t="shared" si="7"/>
        <v>0</v>
      </c>
      <c r="W34" s="306">
        <f t="shared" si="8"/>
        <v>21844</v>
      </c>
      <c r="X34" s="305">
        <v>21844</v>
      </c>
      <c r="Y34" s="304">
        <f t="shared" si="9"/>
        <v>0</v>
      </c>
      <c r="Z34" s="307" t="e">
        <f t="shared" si="11"/>
        <v>#REF!</v>
      </c>
      <c r="AA34" s="125">
        <v>220</v>
      </c>
      <c r="AB34" s="125">
        <v>110</v>
      </c>
      <c r="AC34" s="690">
        <f>Gen!AR39</f>
        <v>1194.03</v>
      </c>
    </row>
    <row r="35" spans="1:29" ht="20.100000000000001" customHeight="1">
      <c r="A35" s="683">
        <f>Gen!A40</f>
        <v>44226</v>
      </c>
      <c r="B35" s="678">
        <f>Gen!B40</f>
        <v>0</v>
      </c>
      <c r="C35" s="795"/>
      <c r="D35" s="796"/>
      <c r="E35" s="305"/>
      <c r="F35" s="305"/>
      <c r="G35" s="305"/>
      <c r="H35" s="305"/>
      <c r="I35" s="305"/>
      <c r="J35" s="679"/>
      <c r="K35" s="689">
        <f t="shared" si="0"/>
        <v>35778</v>
      </c>
      <c r="L35" s="305"/>
      <c r="M35" s="304">
        <f t="shared" si="1"/>
        <v>-35778</v>
      </c>
      <c r="N35" s="306">
        <f t="shared" si="2"/>
        <v>30662</v>
      </c>
      <c r="O35" s="305"/>
      <c r="P35" s="304">
        <f t="shared" si="3"/>
        <v>-30662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33197</v>
      </c>
      <c r="U35" s="305"/>
      <c r="V35" s="304">
        <f t="shared" si="7"/>
        <v>-33197</v>
      </c>
      <c r="W35" s="306">
        <f t="shared" si="8"/>
        <v>21844</v>
      </c>
      <c r="X35" s="305"/>
      <c r="Y35" s="304">
        <f t="shared" si="9"/>
        <v>-21844</v>
      </c>
      <c r="Z35" s="307" t="e">
        <f t="shared" si="11"/>
        <v>#REF!</v>
      </c>
      <c r="AA35" s="125"/>
      <c r="AB35" s="125"/>
      <c r="AC35" s="690">
        <f>Gen!AR40</f>
        <v>0</v>
      </c>
    </row>
    <row r="36" spans="1:29" ht="20.100000000000001" customHeight="1" thickBot="1">
      <c r="A36" s="684">
        <f>Gen!A41</f>
        <v>44227</v>
      </c>
      <c r="B36" s="678">
        <f>Gen!B41</f>
        <v>0</v>
      </c>
      <c r="C36" s="795"/>
      <c r="D36" s="796"/>
      <c r="E36" s="305"/>
      <c r="F36" s="305"/>
      <c r="G36" s="305"/>
      <c r="H36" s="305"/>
      <c r="I36" s="305"/>
      <c r="J36" s="679"/>
      <c r="K36" s="689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0">
        <f>Gen!AR41</f>
        <v>0</v>
      </c>
    </row>
    <row r="37" spans="1:29" ht="21" customHeight="1" thickBot="1">
      <c r="A37" s="684">
        <f>Gen!A42</f>
        <v>0</v>
      </c>
      <c r="B37" s="678">
        <f>Gen!B42</f>
        <v>0</v>
      </c>
      <c r="C37" s="680"/>
      <c r="D37" s="680"/>
      <c r="E37" s="680"/>
      <c r="F37" s="680"/>
      <c r="G37" s="680"/>
      <c r="H37" s="680"/>
      <c r="I37" s="680"/>
      <c r="J37" s="681"/>
      <c r="K37" s="691">
        <f t="shared" si="0"/>
        <v>0</v>
      </c>
      <c r="L37" s="680"/>
      <c r="M37" s="692">
        <f t="shared" si="1"/>
        <v>0</v>
      </c>
      <c r="N37" s="693">
        <f t="shared" si="2"/>
        <v>0</v>
      </c>
      <c r="O37" s="680"/>
      <c r="P37" s="692">
        <f t="shared" si="3"/>
        <v>0</v>
      </c>
      <c r="Q37" s="692">
        <f t="shared" si="4"/>
        <v>0</v>
      </c>
      <c r="R37" s="680"/>
      <c r="S37" s="692">
        <f t="shared" si="5"/>
        <v>0</v>
      </c>
      <c r="T37" s="692">
        <f t="shared" si="6"/>
        <v>0</v>
      </c>
      <c r="U37" s="680"/>
      <c r="V37" s="692">
        <f t="shared" si="7"/>
        <v>0</v>
      </c>
      <c r="W37" s="693">
        <f t="shared" si="8"/>
        <v>0</v>
      </c>
      <c r="X37" s="305"/>
      <c r="Y37" s="692">
        <f t="shared" si="9"/>
        <v>0</v>
      </c>
      <c r="Z37" s="694">
        <f t="shared" si="11"/>
        <v>0</v>
      </c>
      <c r="AA37" s="695"/>
      <c r="AB37" s="695"/>
      <c r="AC37" s="690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Z41" sqref="Z41"/>
    </sheetView>
  </sheetViews>
  <sheetFormatPr defaultColWidth="9.140625" defaultRowHeight="11.25"/>
  <cols>
    <col min="1" max="1" width="9.85546875" style="797" customWidth="1"/>
    <col min="2" max="2" width="9.5703125" style="797" customWidth="1"/>
    <col min="3" max="3" width="9.85546875" style="797" bestFit="1" customWidth="1"/>
    <col min="4" max="4" width="9.140625" style="797" customWidth="1"/>
    <col min="5" max="5" width="10.140625" style="797" customWidth="1"/>
    <col min="6" max="6" width="10.7109375" style="797" customWidth="1"/>
    <col min="7" max="7" width="11.28515625" style="797" customWidth="1"/>
    <col min="8" max="8" width="9.7109375" style="797" customWidth="1"/>
    <col min="9" max="9" width="8" style="797" customWidth="1"/>
    <col min="10" max="10" width="8.7109375" style="797" customWidth="1"/>
    <col min="11" max="11" width="8.85546875" style="797" bestFit="1" customWidth="1"/>
    <col min="12" max="12" width="10.140625" style="797" customWidth="1"/>
    <col min="13" max="13" width="10.85546875" style="797" customWidth="1"/>
    <col min="14" max="14" width="11.42578125" style="797" customWidth="1"/>
    <col min="15" max="15" width="10.140625" style="797" customWidth="1"/>
    <col min="16" max="16" width="11.140625" style="797" customWidth="1"/>
    <col min="17" max="17" width="10.7109375" style="797" customWidth="1"/>
    <col min="18" max="18" width="13.140625" style="797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8"/>
      <c r="B1" s="878"/>
    </row>
    <row r="2" spans="1:46" ht="26.25">
      <c r="A2" s="878"/>
      <c r="B2" s="878"/>
      <c r="D2" s="879">
        <f>A11</f>
        <v>44197</v>
      </c>
      <c r="E2" s="879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0"/>
      <c r="AG2" s="880"/>
      <c r="AH2" s="880"/>
      <c r="AI2" s="880"/>
      <c r="AJ2" s="880"/>
      <c r="AK2" s="880"/>
      <c r="AL2" s="880"/>
      <c r="AM2" s="880"/>
      <c r="AN2" s="880"/>
      <c r="AO2" s="880"/>
      <c r="AP2" s="880"/>
      <c r="AQ2" s="880"/>
      <c r="AR2" s="880"/>
      <c r="AS2" s="880"/>
      <c r="AT2" s="880"/>
    </row>
    <row r="3" spans="1:46" ht="12.75" customHeight="1">
      <c r="A3" s="878"/>
      <c r="B3" s="878"/>
      <c r="H3" s="881"/>
      <c r="I3" s="881"/>
      <c r="J3" s="881"/>
      <c r="K3" s="181"/>
      <c r="Q3" s="181"/>
    </row>
    <row r="4" spans="1:46" ht="11.25" customHeight="1">
      <c r="A4" s="878"/>
      <c r="B4" s="878"/>
      <c r="H4" s="881"/>
      <c r="I4" s="881"/>
      <c r="J4" s="881"/>
      <c r="K4" s="181"/>
      <c r="Q4" s="181"/>
    </row>
    <row r="5" spans="1:46" ht="12" thickBot="1">
      <c r="A5" s="878"/>
      <c r="B5" s="878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8"/>
      <c r="B6" s="878"/>
      <c r="C6" s="186"/>
      <c r="F6" s="882" t="s">
        <v>57</v>
      </c>
      <c r="G6" s="883"/>
      <c r="H6" s="883"/>
      <c r="I6" s="883"/>
      <c r="J6" s="883"/>
      <c r="K6" s="883"/>
      <c r="L6" s="884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5" t="s">
        <v>201</v>
      </c>
      <c r="G7" s="886"/>
      <c r="H7" s="886"/>
      <c r="I7" s="886"/>
      <c r="J7" s="886"/>
      <c r="K7" s="886"/>
      <c r="L7" s="887"/>
      <c r="M7" s="888" t="s">
        <v>40</v>
      </c>
      <c r="N7" s="889"/>
      <c r="O7" s="889"/>
      <c r="P7" s="889"/>
      <c r="Q7" s="889"/>
      <c r="R7" s="890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8" t="s">
        <v>2</v>
      </c>
      <c r="D8" s="799" t="s">
        <v>38</v>
      </c>
      <c r="E8" s="799" t="s">
        <v>96</v>
      </c>
      <c r="F8" s="800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2">
        <v>33639.449999999997</v>
      </c>
      <c r="D9" s="801"/>
      <c r="E9" s="802"/>
      <c r="F9" s="803"/>
      <c r="G9" s="804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5"/>
      <c r="D10" s="806"/>
      <c r="E10" s="807"/>
      <c r="F10" s="299"/>
      <c r="G10" s="808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3">
        <v>0.53200000000000003</v>
      </c>
      <c r="C11" s="809">
        <f>SUM(C9+D11)</f>
        <v>33639.449999999997</v>
      </c>
      <c r="D11" s="810"/>
      <c r="E11" s="807"/>
      <c r="F11" s="299"/>
      <c r="G11" s="808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4">
        <v>0.3</v>
      </c>
      <c r="C12" s="809">
        <f t="shared" ref="C12:C43" si="6">SUM(C11-AR11+D12)</f>
        <v>31851.749999999996</v>
      </c>
      <c r="D12" s="810"/>
      <c r="E12" s="807"/>
      <c r="F12" s="526"/>
      <c r="G12" s="808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5">
        <v>0.26</v>
      </c>
      <c r="C13" s="809">
        <f t="shared" si="6"/>
        <v>48190.89</v>
      </c>
      <c r="D13" s="810">
        <v>18000</v>
      </c>
      <c r="E13" s="807">
        <v>18000</v>
      </c>
      <c r="F13" s="827" t="s">
        <v>318</v>
      </c>
      <c r="G13" s="808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5">
        <v>0.182</v>
      </c>
      <c r="C14" s="809">
        <f t="shared" si="6"/>
        <v>46743.22</v>
      </c>
      <c r="D14" s="810"/>
      <c r="E14" s="807"/>
      <c r="F14" s="811"/>
      <c r="G14" s="808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5">
        <v>0.20799999999999999</v>
      </c>
      <c r="C15" s="809">
        <f t="shared" si="6"/>
        <v>45311.1</v>
      </c>
      <c r="D15" s="810"/>
      <c r="E15" s="807"/>
      <c r="F15" s="811"/>
      <c r="G15" s="808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5">
        <v>0.182</v>
      </c>
      <c r="C16" s="809">
        <f t="shared" si="6"/>
        <v>43826.78</v>
      </c>
      <c r="D16" s="810"/>
      <c r="E16" s="807"/>
      <c r="F16" s="811"/>
      <c r="G16" s="808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5">
        <v>0.32500000000000001</v>
      </c>
      <c r="C17" s="809">
        <f t="shared" si="6"/>
        <v>42495.42</v>
      </c>
      <c r="D17" s="810"/>
      <c r="E17" s="807"/>
      <c r="F17" s="811"/>
      <c r="G17" s="808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5">
        <v>0.247</v>
      </c>
      <c r="C18" s="809">
        <f t="shared" si="6"/>
        <v>40732.11</v>
      </c>
      <c r="D18" s="810"/>
      <c r="E18" s="807"/>
      <c r="F18" s="811"/>
      <c r="G18" s="808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5">
        <v>0.14000000000000001</v>
      </c>
      <c r="C19" s="809">
        <f t="shared" si="6"/>
        <v>39079.26</v>
      </c>
      <c r="D19" s="810"/>
      <c r="E19" s="807"/>
      <c r="F19" s="811"/>
      <c r="G19" s="808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5">
        <v>0.221</v>
      </c>
      <c r="C20" s="809">
        <f t="shared" si="6"/>
        <v>37596.720000000001</v>
      </c>
      <c r="D20" s="810"/>
      <c r="E20" s="807"/>
      <c r="F20" s="811"/>
      <c r="G20" s="808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5">
        <v>0.11700000000000001</v>
      </c>
      <c r="C21" s="809">
        <f t="shared" si="6"/>
        <v>35950.480000000003</v>
      </c>
      <c r="D21" s="810"/>
      <c r="E21" s="807"/>
      <c r="F21" s="811"/>
      <c r="G21" s="808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5.75">
      <c r="A22" s="577">
        <v>44208</v>
      </c>
      <c r="B22" s="835">
        <v>0.16900000000000001</v>
      </c>
      <c r="C22" s="809">
        <f t="shared" si="6"/>
        <v>34549.060000000005</v>
      </c>
      <c r="D22" s="810"/>
      <c r="E22" s="807"/>
      <c r="F22" s="812"/>
      <c r="G22" s="808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835">
        <v>2.5999999999999999E-2</v>
      </c>
      <c r="C23" s="809">
        <f t="shared" si="6"/>
        <v>33291.340000000004</v>
      </c>
      <c r="D23" s="810"/>
      <c r="E23" s="807"/>
      <c r="F23" s="812"/>
      <c r="G23" s="808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5.75">
      <c r="A24" s="577">
        <v>44210</v>
      </c>
      <c r="B24" s="835">
        <v>3.9E-2</v>
      </c>
      <c r="C24" s="809">
        <f t="shared" si="6"/>
        <v>47078.73</v>
      </c>
      <c r="D24" s="813">
        <v>15000</v>
      </c>
      <c r="E24" s="807">
        <v>15000</v>
      </c>
      <c r="F24" s="828" t="s">
        <v>319</v>
      </c>
      <c r="G24" s="808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5.75">
      <c r="A25" s="577">
        <v>44211</v>
      </c>
      <c r="B25" s="835">
        <v>5.1999999999999998E-2</v>
      </c>
      <c r="C25" s="809">
        <f t="shared" si="6"/>
        <v>45664.450000000004</v>
      </c>
      <c r="D25" s="810"/>
      <c r="E25" s="807"/>
      <c r="F25" s="811"/>
      <c r="G25" s="808"/>
      <c r="H25" s="219"/>
      <c r="I25" s="223"/>
      <c r="J25" s="204"/>
      <c r="K25" s="204"/>
      <c r="L25" s="526">
        <v>1166.6300000000001</v>
      </c>
      <c r="M25" s="298"/>
      <c r="N25" s="206"/>
      <c r="O25" s="206"/>
      <c r="P25" s="206"/>
      <c r="Q25" s="206"/>
      <c r="R25" s="563">
        <v>2782</v>
      </c>
      <c r="S25" s="571">
        <f t="shared" si="0"/>
        <v>1166.6300000000001</v>
      </c>
      <c r="T25" s="218">
        <f t="shared" si="1"/>
        <v>2782</v>
      </c>
      <c r="U25" s="572">
        <f t="shared" si="4"/>
        <v>0.41934938892882823</v>
      </c>
      <c r="V25" s="211"/>
      <c r="W25" s="219"/>
      <c r="X25" s="197"/>
      <c r="Y25" s="219"/>
      <c r="Z25" s="204">
        <v>73.099999999999994</v>
      </c>
      <c r="AA25" s="273"/>
      <c r="AB25" s="219"/>
      <c r="AC25" s="219"/>
      <c r="AD25" s="219"/>
      <c r="AE25" s="219"/>
      <c r="AF25" s="219"/>
      <c r="AG25" s="219"/>
      <c r="AH25" s="219">
        <v>146</v>
      </c>
      <c r="AI25" s="386"/>
      <c r="AJ25" s="271">
        <f t="shared" si="3"/>
        <v>219.1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1385.73</v>
      </c>
      <c r="AS25" s="221">
        <f t="shared" si="7"/>
        <v>0</v>
      </c>
      <c r="AT25" s="283">
        <f t="shared" si="5"/>
        <v>45664.450000000004</v>
      </c>
    </row>
    <row r="26" spans="1:46" ht="15.75">
      <c r="A26" s="577">
        <v>44212</v>
      </c>
      <c r="B26" s="835">
        <v>1.2999999999999999E-2</v>
      </c>
      <c r="C26" s="809">
        <f t="shared" si="6"/>
        <v>44278.720000000001</v>
      </c>
      <c r="D26" s="810"/>
      <c r="E26" s="807"/>
      <c r="F26" s="812"/>
      <c r="G26" s="808"/>
      <c r="H26" s="219"/>
      <c r="I26" s="223"/>
      <c r="J26" s="204"/>
      <c r="K26" s="204">
        <v>1101.3499999999999</v>
      </c>
      <c r="L26" s="526"/>
      <c r="M26" s="298"/>
      <c r="N26" s="206"/>
      <c r="O26" s="206"/>
      <c r="P26" s="206"/>
      <c r="Q26" s="206">
        <v>2569</v>
      </c>
      <c r="R26" s="563"/>
      <c r="S26" s="571">
        <f t="shared" si="0"/>
        <v>1101.3499999999999</v>
      </c>
      <c r="T26" s="218">
        <f t="shared" si="1"/>
        <v>2569</v>
      </c>
      <c r="U26" s="572">
        <f t="shared" si="4"/>
        <v>0.42870766835344487</v>
      </c>
      <c r="V26" s="211"/>
      <c r="W26" s="219"/>
      <c r="X26" s="197">
        <v>33.799999999999997</v>
      </c>
      <c r="Y26" s="219"/>
      <c r="Z26" s="219">
        <v>69.34</v>
      </c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103.14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1204.49</v>
      </c>
      <c r="AS26" s="221">
        <f t="shared" si="7"/>
        <v>0</v>
      </c>
      <c r="AT26" s="283">
        <f t="shared" si="5"/>
        <v>44278.720000000001</v>
      </c>
    </row>
    <row r="27" spans="1:46" ht="15.75">
      <c r="A27" s="577">
        <v>44213</v>
      </c>
      <c r="B27" s="835">
        <v>7.8E-2</v>
      </c>
      <c r="C27" s="809">
        <f t="shared" si="6"/>
        <v>43074.23</v>
      </c>
      <c r="D27" s="810"/>
      <c r="E27" s="807"/>
      <c r="F27" s="811"/>
      <c r="G27" s="808">
        <v>1123.6199999999999</v>
      </c>
      <c r="H27" s="219"/>
      <c r="I27" s="223"/>
      <c r="J27" s="204"/>
      <c r="K27" s="204"/>
      <c r="L27" s="526"/>
      <c r="M27" s="298">
        <v>2654</v>
      </c>
      <c r="N27" s="206"/>
      <c r="O27" s="206"/>
      <c r="P27" s="206"/>
      <c r="Q27" s="206"/>
      <c r="R27" s="563"/>
      <c r="S27" s="571">
        <f t="shared" si="0"/>
        <v>1123.6199999999999</v>
      </c>
      <c r="T27" s="218">
        <f t="shared" si="1"/>
        <v>2654</v>
      </c>
      <c r="U27" s="572">
        <f t="shared" si="4"/>
        <v>0.42336850037678969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1123.6199999999999</v>
      </c>
      <c r="AS27" s="221">
        <f t="shared" si="7"/>
        <v>0</v>
      </c>
      <c r="AT27" s="283">
        <f t="shared" si="5"/>
        <v>43074.23</v>
      </c>
    </row>
    <row r="28" spans="1:46" ht="15.75">
      <c r="A28" s="577">
        <v>44214</v>
      </c>
      <c r="B28" s="835">
        <v>9.0999999999999998E-2</v>
      </c>
      <c r="C28" s="809">
        <f t="shared" si="6"/>
        <v>41950.61</v>
      </c>
      <c r="D28" s="810"/>
      <c r="E28" s="807"/>
      <c r="F28" s="811"/>
      <c r="G28" s="808"/>
      <c r="H28" s="219"/>
      <c r="I28" s="205"/>
      <c r="J28" s="204"/>
      <c r="K28" s="204"/>
      <c r="L28" s="526">
        <v>1135.44</v>
      </c>
      <c r="M28" s="298"/>
      <c r="N28" s="206"/>
      <c r="O28" s="206"/>
      <c r="P28" s="206"/>
      <c r="Q28" s="206"/>
      <c r="R28" s="563">
        <v>2618</v>
      </c>
      <c r="S28" s="571">
        <f t="shared" si="0"/>
        <v>1135.44</v>
      </c>
      <c r="T28" s="218">
        <f t="shared" si="1"/>
        <v>2618</v>
      </c>
      <c r="U28" s="572">
        <f t="shared" si="4"/>
        <v>0.43370511841100079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1135.44</v>
      </c>
      <c r="AS28" s="221">
        <f t="shared" si="7"/>
        <v>0</v>
      </c>
      <c r="AT28" s="283">
        <f>C28</f>
        <v>41950.61</v>
      </c>
    </row>
    <row r="29" spans="1:46" ht="15.75">
      <c r="A29" s="577">
        <v>44215</v>
      </c>
      <c r="B29" s="835">
        <v>0.13</v>
      </c>
      <c r="C29" s="809">
        <f t="shared" si="6"/>
        <v>40815.17</v>
      </c>
      <c r="D29" s="810"/>
      <c r="E29" s="807"/>
      <c r="F29" s="811"/>
      <c r="G29" s="808"/>
      <c r="H29" s="219"/>
      <c r="I29" s="205"/>
      <c r="J29" s="204">
        <v>127.55</v>
      </c>
      <c r="K29" s="204">
        <v>1071.07</v>
      </c>
      <c r="L29" s="526"/>
      <c r="M29" s="298"/>
      <c r="N29" s="206"/>
      <c r="O29" s="206"/>
      <c r="P29" s="206">
        <v>287</v>
      </c>
      <c r="Q29" s="206">
        <v>2450</v>
      </c>
      <c r="R29" s="563"/>
      <c r="S29" s="571">
        <f t="shared" si="0"/>
        <v>1198.6199999999999</v>
      </c>
      <c r="T29" s="218">
        <f t="shared" si="1"/>
        <v>2737</v>
      </c>
      <c r="U29" s="572">
        <f t="shared" si="4"/>
        <v>0.43793204238217021</v>
      </c>
      <c r="V29" s="211"/>
      <c r="W29" s="219"/>
      <c r="X29" s="197"/>
      <c r="Y29" s="219"/>
      <c r="Z29" s="204"/>
      <c r="AA29" s="273"/>
      <c r="AB29" s="219">
        <v>92</v>
      </c>
      <c r="AC29" s="219"/>
      <c r="AD29" s="219"/>
      <c r="AE29" s="219"/>
      <c r="AF29" s="219"/>
      <c r="AG29" s="219"/>
      <c r="AH29" s="219"/>
      <c r="AI29" s="386"/>
      <c r="AJ29" s="271">
        <f t="shared" si="3"/>
        <v>92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1290.6199999999999</v>
      </c>
      <c r="AS29" s="221">
        <f t="shared" si="7"/>
        <v>0</v>
      </c>
      <c r="AT29" s="283">
        <f t="shared" si="5"/>
        <v>40815.17</v>
      </c>
    </row>
    <row r="30" spans="1:46" ht="15.75">
      <c r="A30" s="577">
        <v>44216</v>
      </c>
      <c r="B30" s="835">
        <v>6.5000000000000002E-2</v>
      </c>
      <c r="C30" s="809">
        <f t="shared" si="6"/>
        <v>39524.549999999996</v>
      </c>
      <c r="D30" s="810"/>
      <c r="E30" s="807"/>
      <c r="F30" s="811"/>
      <c r="G30" s="808"/>
      <c r="H30" s="219"/>
      <c r="I30" s="205"/>
      <c r="J30" s="204">
        <v>1163.52</v>
      </c>
      <c r="K30" s="204"/>
      <c r="L30" s="526"/>
      <c r="M30" s="298"/>
      <c r="N30" s="206"/>
      <c r="O30" s="206"/>
      <c r="P30" s="206">
        <v>2764</v>
      </c>
      <c r="Q30" s="206"/>
      <c r="R30" s="563"/>
      <c r="S30" s="571">
        <f t="shared" si="0"/>
        <v>1163.52</v>
      </c>
      <c r="T30" s="218">
        <f t="shared" si="1"/>
        <v>2764</v>
      </c>
      <c r="U30" s="572">
        <f t="shared" si="4"/>
        <v>0.42095513748191027</v>
      </c>
      <c r="V30" s="211"/>
      <c r="W30" s="219"/>
      <c r="X30" s="197">
        <v>27.67</v>
      </c>
      <c r="Y30" s="219"/>
      <c r="Z30" s="204"/>
      <c r="AA30" s="273"/>
      <c r="AB30" s="219"/>
      <c r="AC30" s="219"/>
      <c r="AD30" s="219"/>
      <c r="AE30" s="219"/>
      <c r="AF30" s="219"/>
      <c r="AG30" s="219">
        <v>600.44000000000005</v>
      </c>
      <c r="AH30" s="219"/>
      <c r="AI30" s="386"/>
      <c r="AJ30" s="271">
        <f t="shared" si="3"/>
        <v>628.11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1791.63</v>
      </c>
      <c r="AS30" s="221">
        <f t="shared" si="7"/>
        <v>0</v>
      </c>
      <c r="AT30" s="283">
        <f t="shared" si="5"/>
        <v>39524.549999999996</v>
      </c>
    </row>
    <row r="31" spans="1:46" ht="15.75">
      <c r="A31" s="577">
        <v>44217</v>
      </c>
      <c r="B31" s="835">
        <v>5.1999999999999998E-2</v>
      </c>
      <c r="C31" s="809">
        <f t="shared" si="6"/>
        <v>37732.92</v>
      </c>
      <c r="D31" s="810"/>
      <c r="E31" s="807"/>
      <c r="F31" s="811"/>
      <c r="G31" s="808"/>
      <c r="H31" s="219"/>
      <c r="I31" s="205"/>
      <c r="J31" s="204"/>
      <c r="K31" s="204"/>
      <c r="L31" s="526">
        <v>1075.51</v>
      </c>
      <c r="M31" s="298"/>
      <c r="N31" s="206"/>
      <c r="O31" s="206"/>
      <c r="P31" s="206"/>
      <c r="Q31" s="206"/>
      <c r="R31" s="563">
        <v>2630</v>
      </c>
      <c r="S31" s="571">
        <f t="shared" si="0"/>
        <v>1075.51</v>
      </c>
      <c r="T31" s="218">
        <f t="shared" si="1"/>
        <v>2630</v>
      </c>
      <c r="U31" s="572">
        <f t="shared" si="4"/>
        <v>0.40893916349809883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1075.51</v>
      </c>
      <c r="AS31" s="221">
        <f t="shared" si="7"/>
        <v>0</v>
      </c>
      <c r="AT31" s="283">
        <f t="shared" si="5"/>
        <v>37732.92</v>
      </c>
    </row>
    <row r="32" spans="1:46" ht="15.75">
      <c r="A32" s="577">
        <v>44218</v>
      </c>
      <c r="B32" s="835">
        <v>2.5999999999999999E-2</v>
      </c>
      <c r="C32" s="809">
        <f t="shared" si="6"/>
        <v>36657.409999999996</v>
      </c>
      <c r="D32" s="810"/>
      <c r="E32" s="807"/>
      <c r="F32" s="811"/>
      <c r="G32" s="808">
        <v>1081.0899999999999</v>
      </c>
      <c r="H32" s="219"/>
      <c r="I32" s="205"/>
      <c r="J32" s="204"/>
      <c r="K32" s="204"/>
      <c r="L32" s="526"/>
      <c r="M32" s="298">
        <v>2516</v>
      </c>
      <c r="N32" s="206"/>
      <c r="O32" s="206"/>
      <c r="P32" s="206"/>
      <c r="Q32" s="206"/>
      <c r="R32" s="563"/>
      <c r="S32" s="571">
        <f t="shared" si="0"/>
        <v>1081.0899999999999</v>
      </c>
      <c r="T32" s="218">
        <f t="shared" si="1"/>
        <v>2516</v>
      </c>
      <c r="U32" s="572">
        <f t="shared" si="4"/>
        <v>0.4296860095389507</v>
      </c>
      <c r="V32" s="211"/>
      <c r="W32" s="219"/>
      <c r="X32" s="197">
        <v>29.44</v>
      </c>
      <c r="Y32" s="219">
        <v>56.75</v>
      </c>
      <c r="Z32" s="204"/>
      <c r="AA32" s="273"/>
      <c r="AB32" s="219">
        <v>24.48</v>
      </c>
      <c r="AC32" s="219"/>
      <c r="AD32" s="219"/>
      <c r="AE32" s="219"/>
      <c r="AF32" s="219"/>
      <c r="AG32" s="219"/>
      <c r="AH32" s="219">
        <v>124</v>
      </c>
      <c r="AI32" s="386"/>
      <c r="AJ32" s="271">
        <f t="shared" si="3"/>
        <v>234.67000000000002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1315.76</v>
      </c>
      <c r="AS32" s="221">
        <f t="shared" si="7"/>
        <v>0</v>
      </c>
      <c r="AT32" s="283">
        <f t="shared" si="5"/>
        <v>36657.409999999996</v>
      </c>
    </row>
    <row r="33" spans="1:46" ht="15.75">
      <c r="A33" s="577">
        <v>44219</v>
      </c>
      <c r="B33" s="835">
        <v>3.9E-2</v>
      </c>
      <c r="C33" s="809">
        <f t="shared" si="6"/>
        <v>35341.649999999994</v>
      </c>
      <c r="D33" s="810"/>
      <c r="E33" s="807"/>
      <c r="F33" s="811"/>
      <c r="G33" s="808"/>
      <c r="H33" s="219">
        <v>1222.95</v>
      </c>
      <c r="I33" s="205"/>
      <c r="J33" s="204"/>
      <c r="K33" s="204"/>
      <c r="L33" s="526"/>
      <c r="M33" s="298"/>
      <c r="N33" s="206">
        <v>2755</v>
      </c>
      <c r="O33" s="206"/>
      <c r="P33" s="206"/>
      <c r="Q33" s="206"/>
      <c r="R33" s="563"/>
      <c r="S33" s="571">
        <f t="shared" si="0"/>
        <v>1222.95</v>
      </c>
      <c r="T33" s="218">
        <f t="shared" si="1"/>
        <v>2755</v>
      </c>
      <c r="U33" s="572">
        <f t="shared" si="4"/>
        <v>0.44390199637023597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1222.95</v>
      </c>
      <c r="AS33" s="221">
        <f t="shared" si="7"/>
        <v>0</v>
      </c>
      <c r="AT33" s="283">
        <f t="shared" si="5"/>
        <v>35341.649999999994</v>
      </c>
    </row>
    <row r="34" spans="1:46" ht="15.75">
      <c r="A34" s="577">
        <v>44220</v>
      </c>
      <c r="B34" s="835">
        <v>0.11700000000000001</v>
      </c>
      <c r="C34" s="809">
        <f t="shared" si="6"/>
        <v>34118.699999999997</v>
      </c>
      <c r="D34" s="810"/>
      <c r="E34" s="807"/>
      <c r="F34" s="811"/>
      <c r="G34" s="808"/>
      <c r="H34" s="204"/>
      <c r="I34" s="204"/>
      <c r="J34" s="204">
        <v>264.38</v>
      </c>
      <c r="K34" s="204">
        <v>959.16</v>
      </c>
      <c r="L34" s="526"/>
      <c r="M34" s="298"/>
      <c r="N34" s="206"/>
      <c r="O34" s="206"/>
      <c r="P34" s="206">
        <v>621</v>
      </c>
      <c r="Q34" s="206">
        <v>2202</v>
      </c>
      <c r="R34" s="563"/>
      <c r="S34" s="571">
        <f t="shared" si="0"/>
        <v>1223.54</v>
      </c>
      <c r="T34" s="218">
        <f t="shared" si="1"/>
        <v>2823</v>
      </c>
      <c r="U34" s="572">
        <f t="shared" si="4"/>
        <v>0.43341834927382217</v>
      </c>
      <c r="V34" s="211"/>
      <c r="W34" s="219"/>
      <c r="X34" s="197">
        <v>37.9</v>
      </c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37.9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1261.44</v>
      </c>
      <c r="AS34" s="221">
        <f t="shared" si="7"/>
        <v>0</v>
      </c>
      <c r="AT34" s="283">
        <f t="shared" si="5"/>
        <v>34118.699999999997</v>
      </c>
    </row>
    <row r="35" spans="1:46" ht="15.75">
      <c r="A35" s="577">
        <v>44221</v>
      </c>
      <c r="B35" s="835">
        <v>0.13</v>
      </c>
      <c r="C35" s="809">
        <f t="shared" si="6"/>
        <v>32857.259999999995</v>
      </c>
      <c r="D35" s="810"/>
      <c r="E35" s="807">
        <v>18000</v>
      </c>
      <c r="F35" s="827" t="s">
        <v>318</v>
      </c>
      <c r="G35" s="808">
        <v>1242.42</v>
      </c>
      <c r="H35" s="219"/>
      <c r="I35" s="205"/>
      <c r="J35" s="204"/>
      <c r="K35" s="204"/>
      <c r="L35" s="526"/>
      <c r="M35" s="298">
        <v>2804</v>
      </c>
      <c r="N35" s="206"/>
      <c r="O35" s="206"/>
      <c r="P35" s="206"/>
      <c r="Q35" s="206"/>
      <c r="R35" s="563"/>
      <c r="S35" s="571">
        <f t="shared" si="0"/>
        <v>1242.42</v>
      </c>
      <c r="T35" s="218">
        <f t="shared" si="1"/>
        <v>2804</v>
      </c>
      <c r="U35" s="572">
        <f t="shared" si="4"/>
        <v>0.44308844507845935</v>
      </c>
      <c r="V35" s="211"/>
      <c r="W35" s="219">
        <v>40.06</v>
      </c>
      <c r="X35" s="197"/>
      <c r="Y35" s="219"/>
      <c r="Z35" s="204">
        <v>85.45</v>
      </c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125.51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1367.93</v>
      </c>
      <c r="AS35" s="221">
        <f t="shared" si="7"/>
        <v>0</v>
      </c>
      <c r="AT35" s="283">
        <f t="shared" si="5"/>
        <v>32857.259999999995</v>
      </c>
    </row>
    <row r="36" spans="1:46" ht="15.75">
      <c r="A36" s="577">
        <v>44222</v>
      </c>
      <c r="B36" s="835">
        <v>0.20799999999999999</v>
      </c>
      <c r="C36" s="809">
        <f t="shared" si="6"/>
        <v>31489.329999999994</v>
      </c>
      <c r="D36" s="810"/>
      <c r="E36" s="807"/>
      <c r="F36" s="811"/>
      <c r="G36" s="808"/>
      <c r="H36" s="219"/>
      <c r="I36" s="205"/>
      <c r="J36" s="204"/>
      <c r="K36" s="204"/>
      <c r="L36" s="526">
        <v>1202.6300000000001</v>
      </c>
      <c r="M36" s="298"/>
      <c r="N36" s="206"/>
      <c r="O36" s="206"/>
      <c r="P36" s="206"/>
      <c r="Q36" s="206"/>
      <c r="R36" s="563">
        <v>2955</v>
      </c>
      <c r="S36" s="571">
        <f t="shared" si="0"/>
        <v>1202.6300000000001</v>
      </c>
      <c r="T36" s="218">
        <f t="shared" si="1"/>
        <v>2955</v>
      </c>
      <c r="U36" s="572">
        <f t="shared" si="4"/>
        <v>0.40698138747884943</v>
      </c>
      <c r="V36" s="211"/>
      <c r="W36" s="219"/>
      <c r="X36" s="197">
        <v>38.6</v>
      </c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38.6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1241.23</v>
      </c>
      <c r="AS36" s="221">
        <f t="shared" si="7"/>
        <v>0</v>
      </c>
      <c r="AT36" s="283">
        <f t="shared" si="5"/>
        <v>31489.329999999994</v>
      </c>
    </row>
    <row r="37" spans="1:46" ht="15.75">
      <c r="A37" s="577">
        <v>44223</v>
      </c>
      <c r="B37" s="835">
        <v>7.8E-2</v>
      </c>
      <c r="C37" s="809">
        <f t="shared" si="6"/>
        <v>30248.099999999995</v>
      </c>
      <c r="D37" s="810"/>
      <c r="E37" s="807"/>
      <c r="F37" s="526"/>
      <c r="G37" s="808"/>
      <c r="H37" s="219"/>
      <c r="I37" s="205"/>
      <c r="J37" s="204">
        <v>1185.8399999999999</v>
      </c>
      <c r="K37" s="204"/>
      <c r="L37" s="526"/>
      <c r="M37" s="298"/>
      <c r="N37" s="206"/>
      <c r="O37" s="206"/>
      <c r="P37" s="206">
        <v>2817</v>
      </c>
      <c r="Q37" s="206"/>
      <c r="R37" s="206"/>
      <c r="S37" s="571">
        <f t="shared" si="0"/>
        <v>1185.8399999999999</v>
      </c>
      <c r="T37" s="218">
        <f t="shared" si="1"/>
        <v>2817</v>
      </c>
      <c r="U37" s="572">
        <f t="shared" si="4"/>
        <v>0.42095846645367407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>
        <v>142</v>
      </c>
      <c r="AI37" s="386"/>
      <c r="AJ37" s="271">
        <f t="shared" si="3"/>
        <v>142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1327.84</v>
      </c>
      <c r="AS37" s="221">
        <f t="shared" si="7"/>
        <v>0</v>
      </c>
      <c r="AT37" s="283">
        <f t="shared" si="5"/>
        <v>30248.099999999995</v>
      </c>
    </row>
    <row r="38" spans="1:46" ht="14.25">
      <c r="A38" s="577">
        <v>44224</v>
      </c>
      <c r="B38" s="575"/>
      <c r="C38" s="809">
        <f t="shared" si="6"/>
        <v>43920.259999999995</v>
      </c>
      <c r="D38" s="810">
        <v>15000</v>
      </c>
      <c r="E38" s="807">
        <v>15000</v>
      </c>
      <c r="F38" s="828" t="s">
        <v>319</v>
      </c>
      <c r="G38" s="808"/>
      <c r="H38" s="219">
        <v>313.45999999999998</v>
      </c>
      <c r="I38" s="205"/>
      <c r="J38" s="204"/>
      <c r="K38" s="204">
        <v>856.86</v>
      </c>
      <c r="L38" s="526"/>
      <c r="M38" s="298"/>
      <c r="N38" s="206">
        <v>719</v>
      </c>
      <c r="O38" s="206"/>
      <c r="P38" s="206"/>
      <c r="Q38" s="206">
        <v>2019</v>
      </c>
      <c r="R38" s="206"/>
      <c r="S38" s="571">
        <f t="shared" si="0"/>
        <v>1170.32</v>
      </c>
      <c r="T38" s="218">
        <f t="shared" si="1"/>
        <v>2738</v>
      </c>
      <c r="U38" s="572">
        <f t="shared" si="4"/>
        <v>0.42743608473338202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1170.32</v>
      </c>
      <c r="AS38" s="221">
        <f t="shared" si="7"/>
        <v>0</v>
      </c>
      <c r="AT38" s="283">
        <f t="shared" si="5"/>
        <v>43920.259999999995</v>
      </c>
    </row>
    <row r="39" spans="1:46" ht="14.25">
      <c r="A39" s="577">
        <v>44225</v>
      </c>
      <c r="B39" s="575"/>
      <c r="C39" s="809">
        <f t="shared" si="6"/>
        <v>42749.939999999995</v>
      </c>
      <c r="D39" s="810"/>
      <c r="E39" s="807"/>
      <c r="F39" s="526"/>
      <c r="G39" s="808">
        <v>1151.4100000000001</v>
      </c>
      <c r="H39" s="219"/>
      <c r="I39" s="227"/>
      <c r="J39" s="204"/>
      <c r="K39" s="204"/>
      <c r="L39" s="526"/>
      <c r="M39" s="298">
        <v>2763</v>
      </c>
      <c r="N39" s="206"/>
      <c r="O39" s="228"/>
      <c r="P39" s="206"/>
      <c r="Q39" s="206"/>
      <c r="R39" s="563"/>
      <c r="S39" s="571">
        <f t="shared" si="0"/>
        <v>1151.4100000000001</v>
      </c>
      <c r="T39" s="218">
        <f t="shared" si="1"/>
        <v>2763</v>
      </c>
      <c r="U39" s="572">
        <f t="shared" si="4"/>
        <v>0.4167245747376041</v>
      </c>
      <c r="V39" s="211"/>
      <c r="W39" s="219"/>
      <c r="X39" s="197"/>
      <c r="Y39" s="219"/>
      <c r="Z39" s="204">
        <v>42.62</v>
      </c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42.62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1194.03</v>
      </c>
      <c r="AS39" s="221">
        <f t="shared" si="7"/>
        <v>0</v>
      </c>
      <c r="AT39" s="283">
        <f t="shared" si="5"/>
        <v>42749.939999999995</v>
      </c>
    </row>
    <row r="40" spans="1:46" ht="14.25">
      <c r="A40" s="577">
        <v>44226</v>
      </c>
      <c r="B40" s="575"/>
      <c r="C40" s="809">
        <f t="shared" si="6"/>
        <v>41555.909999999996</v>
      </c>
      <c r="D40" s="810"/>
      <c r="E40" s="807"/>
      <c r="F40" s="299"/>
      <c r="G40" s="808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41555.909999999996</v>
      </c>
    </row>
    <row r="41" spans="1:46" ht="14.25">
      <c r="A41" s="577">
        <v>44227</v>
      </c>
      <c r="B41" s="575"/>
      <c r="C41" s="809">
        <f t="shared" si="6"/>
        <v>41555.909999999996</v>
      </c>
      <c r="D41" s="810"/>
      <c r="E41" s="807"/>
      <c r="F41" s="299"/>
      <c r="G41" s="808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41555.909999999996</v>
      </c>
    </row>
    <row r="42" spans="1:46" ht="14.25">
      <c r="A42" s="577"/>
      <c r="B42" s="576"/>
      <c r="C42" s="809">
        <f t="shared" si="6"/>
        <v>41555.909999999996</v>
      </c>
      <c r="D42" s="814"/>
      <c r="E42" s="807"/>
      <c r="F42" s="299"/>
      <c r="G42" s="808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41555.909999999996</v>
      </c>
    </row>
    <row r="43" spans="1:46" ht="14.25">
      <c r="A43" s="496" t="s">
        <v>25</v>
      </c>
      <c r="B43" s="469">
        <f>AVERAGE(B11:B42)</f>
        <v>0.14914814814814814</v>
      </c>
      <c r="C43" s="805">
        <f t="shared" si="6"/>
        <v>41555.909999999996</v>
      </c>
      <c r="D43" s="814"/>
      <c r="E43" s="807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41555.909999999996</v>
      </c>
    </row>
    <row r="44" spans="1:46" ht="15" thickBot="1">
      <c r="A44" s="497"/>
      <c r="B44" s="498"/>
      <c r="C44" s="815"/>
      <c r="D44" s="816"/>
      <c r="E44" s="817"/>
      <c r="F44" s="818"/>
      <c r="G44" s="819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0"/>
      <c r="D45" s="308">
        <f>SUM(D11:D44)</f>
        <v>48000</v>
      </c>
      <c r="E45" s="313">
        <f>SUM(E11:E42)</f>
        <v>66000</v>
      </c>
      <c r="F45" s="821">
        <f t="shared" ref="F45:O45" si="8">SUM(F11:F44)</f>
        <v>0</v>
      </c>
      <c r="G45" s="313">
        <f t="shared" si="8"/>
        <v>11943.48</v>
      </c>
      <c r="H45" s="308">
        <f t="shared" si="8"/>
        <v>1536.41</v>
      </c>
      <c r="I45" s="313">
        <f t="shared" si="8"/>
        <v>0</v>
      </c>
      <c r="J45" s="308">
        <f t="shared" si="8"/>
        <v>4679.21</v>
      </c>
      <c r="K45" s="313">
        <f t="shared" si="8"/>
        <v>8499.49</v>
      </c>
      <c r="L45" s="308">
        <f t="shared" si="8"/>
        <v>9892.8300000000017</v>
      </c>
      <c r="M45" s="313">
        <f t="shared" si="8"/>
        <v>28390</v>
      </c>
      <c r="N45" s="554">
        <f t="shared" si="8"/>
        <v>3474</v>
      </c>
      <c r="O45" s="313">
        <f t="shared" si="8"/>
        <v>0</v>
      </c>
      <c r="P45" s="308">
        <f>SUM(P11:P43)</f>
        <v>11238</v>
      </c>
      <c r="Q45" s="313">
        <f>SUM(Q11:Q44)</f>
        <v>20181</v>
      </c>
      <c r="R45" s="308">
        <f>SUM(R11:R44)</f>
        <v>23842</v>
      </c>
      <c r="S45" s="552">
        <f>SUM(G45:L45)</f>
        <v>36551.42</v>
      </c>
      <c r="T45" s="308">
        <f>SUM(M45:R45)</f>
        <v>87125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79.89</v>
      </c>
      <c r="X45" s="547">
        <f t="shared" si="9"/>
        <v>281.73</v>
      </c>
      <c r="Y45" s="234">
        <f t="shared" si="9"/>
        <v>235.11</v>
      </c>
      <c r="Z45" s="547">
        <f t="shared" si="9"/>
        <v>629.46000000000015</v>
      </c>
      <c r="AA45" s="234">
        <f t="shared" si="9"/>
        <v>0</v>
      </c>
      <c r="AB45" s="547">
        <f t="shared" si="9"/>
        <v>116.48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600.44000000000005</v>
      </c>
      <c r="AH45" s="547">
        <f>SUM(AH9:AH43)</f>
        <v>1153</v>
      </c>
      <c r="AI45" s="234">
        <f>SUM(AI9:AI39)</f>
        <v>141</v>
      </c>
      <c r="AJ45" s="547">
        <f>SUM(AJ9:AJ44)</f>
        <v>3532.1200000000003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40083.539999999994</v>
      </c>
      <c r="AS45" s="550">
        <f>SUM(AS11:AS44)</f>
        <v>0</v>
      </c>
      <c r="AT45" s="551"/>
    </row>
    <row r="46" spans="1:46" ht="14.25" thickBot="1">
      <c r="A46" s="797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2">
        <f>AVERAGE(S11:S41)</f>
        <v>1179.0780645161287</v>
      </c>
      <c r="T47" s="316">
        <f>S45*2315</f>
        <v>84616537.299999997</v>
      </c>
      <c r="U47" s="317" t="s">
        <v>244</v>
      </c>
      <c r="AR47" s="523">
        <f>AR45*2143</f>
        <v>85899026.219999984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7" t="s">
        <v>253</v>
      </c>
      <c r="T48" s="316">
        <f>T47/2289</f>
        <v>36966.595587592834</v>
      </c>
      <c r="U48" s="317" t="s">
        <v>245</v>
      </c>
      <c r="W48" s="191"/>
      <c r="X48" s="191"/>
      <c r="Y48" s="191"/>
      <c r="Z48" s="191"/>
      <c r="AA48" s="191"/>
      <c r="AR48" s="316">
        <f>AR47/2289</f>
        <v>37526.879082568797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1" t="s">
        <v>241</v>
      </c>
      <c r="C50" s="892"/>
      <c r="D50" s="892"/>
      <c r="E50" s="892"/>
      <c r="F50" s="893"/>
      <c r="H50" s="869" t="s">
        <v>213</v>
      </c>
      <c r="I50" s="870"/>
      <c r="J50" s="870"/>
      <c r="K50" s="870"/>
      <c r="L50" s="871"/>
      <c r="N50" s="872" t="s">
        <v>309</v>
      </c>
      <c r="O50" s="873"/>
      <c r="P50" s="873"/>
      <c r="Q50" s="873"/>
      <c r="R50" s="874"/>
      <c r="T50" s="875" t="s">
        <v>226</v>
      </c>
      <c r="U50" s="876"/>
      <c r="V50" s="876"/>
      <c r="W50" s="876"/>
      <c r="X50" s="876"/>
      <c r="Y50" s="877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325</v>
      </c>
      <c r="D52" s="501">
        <v>42</v>
      </c>
      <c r="E52" s="500" t="s">
        <v>326</v>
      </c>
      <c r="F52" s="527" t="s">
        <v>327</v>
      </c>
      <c r="H52" s="530"/>
      <c r="I52" s="507"/>
      <c r="J52" s="507"/>
      <c r="K52" s="507"/>
      <c r="L52" s="531"/>
      <c r="N52" s="348">
        <v>44197</v>
      </c>
      <c r="O52" s="507" t="s">
        <v>320</v>
      </c>
      <c r="P52" s="525">
        <v>31</v>
      </c>
      <c r="Q52" s="525" t="s">
        <v>321</v>
      </c>
      <c r="R52" s="511" t="s">
        <v>322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328</v>
      </c>
      <c r="D53" s="501">
        <v>56</v>
      </c>
      <c r="E53" s="500" t="s">
        <v>329</v>
      </c>
      <c r="F53" s="527" t="s">
        <v>327</v>
      </c>
      <c r="H53" s="823"/>
      <c r="I53" s="824"/>
      <c r="J53" s="824"/>
      <c r="K53" s="824"/>
      <c r="L53" s="527"/>
      <c r="N53" s="499">
        <v>44197</v>
      </c>
      <c r="O53" s="824" t="s">
        <v>323</v>
      </c>
      <c r="P53" s="825">
        <v>80</v>
      </c>
      <c r="Q53" s="825" t="s">
        <v>324</v>
      </c>
      <c r="R53" s="511" t="s">
        <v>322</v>
      </c>
      <c r="T53" s="499"/>
      <c r="U53" s="200"/>
      <c r="V53" s="614"/>
      <c r="W53" s="500"/>
      <c r="X53" s="500"/>
      <c r="Y53" s="826"/>
    </row>
    <row r="54" spans="2:46" ht="11.25" customHeight="1">
      <c r="B54" s="499">
        <v>44203</v>
      </c>
      <c r="C54" s="499" t="s">
        <v>330</v>
      </c>
      <c r="D54" s="501">
        <v>80</v>
      </c>
      <c r="E54" s="500" t="s">
        <v>331</v>
      </c>
      <c r="F54" s="527" t="s">
        <v>327</v>
      </c>
      <c r="H54" s="516"/>
      <c r="I54" s="265"/>
      <c r="J54" s="265"/>
      <c r="K54" s="265"/>
      <c r="L54" s="527"/>
      <c r="N54" s="341">
        <v>44199</v>
      </c>
      <c r="O54" s="265" t="s">
        <v>323</v>
      </c>
      <c r="P54" s="420">
        <v>30</v>
      </c>
      <c r="Q54" s="420" t="s">
        <v>324</v>
      </c>
      <c r="R54" s="512" t="s">
        <v>322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B39" sqref="B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5"/>
      <c r="D6" s="896"/>
      <c r="E6" s="897"/>
      <c r="F6" s="897"/>
      <c r="G6" s="48" t="s">
        <v>4</v>
      </c>
      <c r="H6" s="46" t="s">
        <v>14</v>
      </c>
      <c r="I6" s="41"/>
      <c r="J6" s="113"/>
    </row>
    <row r="7" spans="1:15" ht="18" customHeight="1">
      <c r="A7" s="898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899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>
        <v>85</v>
      </c>
      <c r="C25" s="268">
        <v>40</v>
      </c>
      <c r="D25" s="268">
        <v>0</v>
      </c>
      <c r="E25" s="268"/>
      <c r="F25" s="268">
        <v>74378.320000000007</v>
      </c>
      <c r="G25" s="268">
        <f t="shared" si="0"/>
        <v>0</v>
      </c>
      <c r="H25" s="111">
        <f>[4]Gen!B26</f>
        <v>0.03</v>
      </c>
      <c r="I25" s="6">
        <f t="shared" si="2"/>
        <v>2479277.3333333335</v>
      </c>
      <c r="J25" s="116">
        <f t="shared" si="1"/>
        <v>0</v>
      </c>
    </row>
    <row r="26" spans="1:14" ht="18.75">
      <c r="A26" s="94">
        <f>[4]Gen!A27</f>
        <v>44182</v>
      </c>
      <c r="B26" s="268">
        <v>85</v>
      </c>
      <c r="C26" s="268">
        <v>38</v>
      </c>
      <c r="D26" s="268">
        <v>0</v>
      </c>
      <c r="E26" s="268"/>
      <c r="F26" s="268">
        <v>74392</v>
      </c>
      <c r="G26" s="268">
        <f t="shared" si="0"/>
        <v>60.191999999969269</v>
      </c>
      <c r="H26" s="111">
        <f>[4]Gen!B27</f>
        <v>0.06</v>
      </c>
      <c r="I26" s="6">
        <f t="shared" si="2"/>
        <v>1239866.6666666667</v>
      </c>
      <c r="J26" s="116">
        <f t="shared" si="1"/>
        <v>4.8547155608105118E-5</v>
      </c>
    </row>
    <row r="27" spans="1:14" ht="18.75">
      <c r="A27" s="94">
        <f>[4]Gen!A28</f>
        <v>44183</v>
      </c>
      <c r="B27" s="268">
        <v>85</v>
      </c>
      <c r="C27" s="268">
        <v>35</v>
      </c>
      <c r="D27" s="268">
        <v>0</v>
      </c>
      <c r="E27" s="268"/>
      <c r="F27" s="268">
        <v>74340</v>
      </c>
      <c r="G27" s="268">
        <f t="shared" si="0"/>
        <v>-228.8</v>
      </c>
      <c r="H27" s="111">
        <f>[4]Gen!B28</f>
        <v>0.05</v>
      </c>
      <c r="I27" s="6">
        <f t="shared" si="2"/>
        <v>1486800</v>
      </c>
      <c r="J27" s="116">
        <f t="shared" si="1"/>
        <v>-1.538875437180522E-4</v>
      </c>
    </row>
    <row r="28" spans="1:14" ht="18.75">
      <c r="A28" s="94">
        <f>[4]Gen!A29</f>
        <v>44184</v>
      </c>
      <c r="B28" s="268">
        <v>85</v>
      </c>
      <c r="C28" s="268">
        <v>31</v>
      </c>
      <c r="D28" s="268">
        <v>0</v>
      </c>
      <c r="E28" s="268"/>
      <c r="F28" s="268">
        <v>74458.47</v>
      </c>
      <c r="G28" s="268">
        <f t="shared" si="0"/>
        <v>521.26800000000515</v>
      </c>
      <c r="H28" s="111">
        <f>[4]Gen!B29</f>
        <v>7.7899999999999997E-2</v>
      </c>
      <c r="I28" s="6">
        <f t="shared" si="2"/>
        <v>955821.18100128369</v>
      </c>
      <c r="J28" s="116">
        <f t="shared" si="1"/>
        <v>5.4536142362313382E-4</v>
      </c>
    </row>
    <row r="29" spans="1:14" ht="18.75">
      <c r="A29" s="94">
        <f>[4]Gen!A30</f>
        <v>44185</v>
      </c>
      <c r="B29" s="268">
        <v>85</v>
      </c>
      <c r="C29" s="268">
        <v>29</v>
      </c>
      <c r="D29" s="268">
        <v>0</v>
      </c>
      <c r="E29" s="268"/>
      <c r="F29" s="268">
        <v>74475.42</v>
      </c>
      <c r="G29" s="268">
        <f t="shared" si="0"/>
        <v>74.579999999987194</v>
      </c>
      <c r="H29" s="111">
        <f>[4]Gen!B30</f>
        <v>0.12989999999999999</v>
      </c>
      <c r="I29" s="6">
        <f t="shared" si="2"/>
        <v>573328.86836027715</v>
      </c>
      <c r="J29" s="116">
        <f t="shared" si="1"/>
        <v>1.3008240839727168E-4</v>
      </c>
    </row>
    <row r="30" spans="1:14" ht="18.75">
      <c r="A30" s="94">
        <f>[4]Gen!A31</f>
        <v>44186</v>
      </c>
      <c r="B30" s="268">
        <v>85</v>
      </c>
      <c r="C30" s="268">
        <v>27</v>
      </c>
      <c r="D30" s="268">
        <v>0</v>
      </c>
      <c r="E30" s="268"/>
      <c r="F30" s="268">
        <v>74495.44</v>
      </c>
      <c r="G30" s="268">
        <f t="shared" si="0"/>
        <v>88.088000000017942</v>
      </c>
      <c r="H30" s="111">
        <f>[4]Gen!B31</f>
        <v>0.18179999999999999</v>
      </c>
      <c r="I30" s="6">
        <f t="shared" si="2"/>
        <v>409765.89658965898</v>
      </c>
      <c r="J30" s="116">
        <f t="shared" si="1"/>
        <v>2.1497152577397034E-4</v>
      </c>
    </row>
    <row r="31" spans="1:14" ht="18.75">
      <c r="A31" s="94">
        <f>[4]Gen!A32</f>
        <v>44187</v>
      </c>
      <c r="B31" s="268">
        <v>85</v>
      </c>
      <c r="C31" s="268">
        <v>24</v>
      </c>
      <c r="D31" s="268">
        <v>0</v>
      </c>
      <c r="E31" s="268"/>
      <c r="F31" s="268">
        <v>74515.7</v>
      </c>
      <c r="G31" s="268">
        <f t="shared" si="0"/>
        <v>89.143999999976955</v>
      </c>
      <c r="H31" s="111">
        <f>[4]Gen!B32</f>
        <v>0.31169999999999998</v>
      </c>
      <c r="I31" s="6">
        <f t="shared" si="2"/>
        <v>239062.23933269171</v>
      </c>
      <c r="J31" s="116">
        <f t="shared" si="1"/>
        <v>3.7289034123000678E-4</v>
      </c>
    </row>
    <row r="32" spans="1:14" ht="18.75">
      <c r="A32" s="94">
        <f>[4]Gen!A33</f>
        <v>44188</v>
      </c>
      <c r="B32" s="268">
        <v>85</v>
      </c>
      <c r="C32" s="268">
        <v>21</v>
      </c>
      <c r="D32" s="268">
        <v>0</v>
      </c>
      <c r="E32" s="268"/>
      <c r="F32" s="268">
        <v>74534.3</v>
      </c>
      <c r="G32" s="268">
        <f t="shared" si="0"/>
        <v>81.840000000025611</v>
      </c>
      <c r="H32" s="111">
        <f>[4]Gen!B33</f>
        <v>0.41560000000000002</v>
      </c>
      <c r="I32" s="6">
        <f t="shared" si="2"/>
        <v>179341.43407122232</v>
      </c>
      <c r="J32" s="116">
        <f t="shared" si="1"/>
        <v>4.5633626397525225E-4</v>
      </c>
    </row>
    <row r="33" spans="1:10" ht="18.75">
      <c r="A33" s="94">
        <f>[4]Gen!A34</f>
        <v>44189</v>
      </c>
      <c r="B33" s="268">
        <v>85</v>
      </c>
      <c r="C33" s="268">
        <v>19</v>
      </c>
      <c r="D33" s="268">
        <v>0</v>
      </c>
      <c r="E33" s="268"/>
      <c r="F33" s="268">
        <v>74552.28</v>
      </c>
      <c r="G33" s="268">
        <f t="shared" si="0"/>
        <v>79.111999999982075</v>
      </c>
      <c r="H33" s="111">
        <f>[4]Gen!B34</f>
        <v>0.37659999999999999</v>
      </c>
      <c r="I33" s="6">
        <f t="shared" si="2"/>
        <v>197961.44450345193</v>
      </c>
      <c r="J33" s="116">
        <f t="shared" si="1"/>
        <v>3.9963337405634345E-4</v>
      </c>
    </row>
    <row r="34" spans="1:10" ht="18.75">
      <c r="A34" s="94">
        <f>[4]Gen!A35</f>
        <v>44190</v>
      </c>
      <c r="B34" s="268">
        <v>85</v>
      </c>
      <c r="C34" s="268">
        <v>17</v>
      </c>
      <c r="D34" s="268">
        <v>0</v>
      </c>
      <c r="E34" s="268"/>
      <c r="F34" s="268">
        <v>74574.240000000005</v>
      </c>
      <c r="G34" s="268">
        <f t="shared" si="0"/>
        <v>96.624000000028175</v>
      </c>
      <c r="H34" s="111">
        <f>[4]Gen!B35</f>
        <v>0.37</v>
      </c>
      <c r="I34" s="6">
        <f t="shared" si="2"/>
        <v>201552.00000000003</v>
      </c>
      <c r="J34" s="116">
        <f t="shared" si="1"/>
        <v>4.7939985710897514E-4</v>
      </c>
    </row>
    <row r="35" spans="1:10" ht="18.75">
      <c r="A35" s="94">
        <f>[4]Gen!A36</f>
        <v>44191</v>
      </c>
      <c r="B35" s="268">
        <v>85</v>
      </c>
      <c r="C35" s="268">
        <v>14</v>
      </c>
      <c r="D35" s="268">
        <v>0</v>
      </c>
      <c r="E35" s="268"/>
      <c r="F35" s="268">
        <v>74594.09</v>
      </c>
      <c r="G35" s="268">
        <f t="shared" si="0"/>
        <v>87.339999999961591</v>
      </c>
      <c r="H35" s="111">
        <f>[4]Gen!B36</f>
        <v>0.29870000000000002</v>
      </c>
      <c r="I35" s="6">
        <f t="shared" si="2"/>
        <v>249729.12621359222</v>
      </c>
      <c r="J35" s="116">
        <f t="shared" si="1"/>
        <v>3.4973894044405568E-4</v>
      </c>
    </row>
    <row r="36" spans="1:10" ht="18.75">
      <c r="A36" s="94">
        <f>[4]Gen!A37</f>
        <v>44192</v>
      </c>
      <c r="B36" s="268">
        <v>83</v>
      </c>
      <c r="C36" s="268">
        <v>0</v>
      </c>
      <c r="D36" s="268">
        <v>0</v>
      </c>
      <c r="E36" s="268"/>
      <c r="F36" s="268">
        <v>74614.429999999993</v>
      </c>
      <c r="G36" s="268">
        <f t="shared" si="0"/>
        <v>89.495999999984647</v>
      </c>
      <c r="H36" s="111">
        <f>[4]Gen!B37</f>
        <v>0.28570000000000001</v>
      </c>
      <c r="I36" s="6">
        <f t="shared" si="2"/>
        <v>261163.56317815889</v>
      </c>
      <c r="J36" s="116">
        <f t="shared" si="1"/>
        <v>3.4268180028977792E-4</v>
      </c>
    </row>
    <row r="37" spans="1:10" ht="18.75">
      <c r="A37" s="94">
        <f>[4]Gen!A38</f>
        <v>44193</v>
      </c>
      <c r="B37" s="268">
        <v>81</v>
      </c>
      <c r="C37" s="268">
        <v>0</v>
      </c>
      <c r="D37" s="268">
        <v>0</v>
      </c>
      <c r="E37" s="268"/>
      <c r="F37" s="268">
        <v>74635.649999999994</v>
      </c>
      <c r="G37" s="268">
        <f t="shared" si="0"/>
        <v>93.368000000005125</v>
      </c>
      <c r="H37" s="111">
        <f>[4]Gen!B38</f>
        <v>0.42859999999999998</v>
      </c>
      <c r="I37" s="6">
        <f t="shared" si="2"/>
        <v>174138.24078394772</v>
      </c>
      <c r="J37" s="116">
        <f t="shared" si="1"/>
        <v>5.3617171954692161E-4</v>
      </c>
    </row>
    <row r="38" spans="1:10" ht="18.75">
      <c r="A38" s="94">
        <f>[4]Gen!A39</f>
        <v>44194</v>
      </c>
      <c r="B38" s="268">
        <v>80</v>
      </c>
      <c r="C38" s="268">
        <v>0</v>
      </c>
      <c r="D38" s="268">
        <v>0</v>
      </c>
      <c r="E38" s="268"/>
      <c r="F38" s="268">
        <v>74655.8</v>
      </c>
      <c r="G38" s="268">
        <f t="shared" si="0"/>
        <v>88.660000000038423</v>
      </c>
      <c r="H38" s="111">
        <f>[4]Gen!B39</f>
        <v>0.55800000000000005</v>
      </c>
      <c r="I38" s="6">
        <f t="shared" si="2"/>
        <v>133791.75627240143</v>
      </c>
      <c r="J38" s="116">
        <f t="shared" si="1"/>
        <v>6.6267162095940899E-4</v>
      </c>
    </row>
    <row r="39" spans="1:10" ht="18.75">
      <c r="A39" s="94">
        <f>[4]Gen!A40</f>
        <v>44195</v>
      </c>
      <c r="B39" s="268">
        <v>80</v>
      </c>
      <c r="C39" s="268">
        <v>0</v>
      </c>
      <c r="D39" s="268">
        <v>0</v>
      </c>
      <c r="E39" s="268"/>
      <c r="F39" s="268">
        <v>74675.59</v>
      </c>
      <c r="G39" s="268">
        <f t="shared" si="0"/>
        <v>87.075999999971827</v>
      </c>
      <c r="H39" s="111">
        <f>[4]Gen!B40</f>
        <v>0.6</v>
      </c>
      <c r="I39" s="6">
        <f t="shared" si="2"/>
        <v>124459.31666666667</v>
      </c>
      <c r="J39" s="116">
        <f t="shared" si="1"/>
        <v>6.9963424460366629E-4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-328572.59600000002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4" t="s">
        <v>6</v>
      </c>
      <c r="D42" s="894"/>
      <c r="E42" s="2">
        <f t="shared" ref="E42:F42" si="3">SUM(E10:E40)</f>
        <v>0</v>
      </c>
      <c r="F42" s="2">
        <f t="shared" si="3"/>
        <v>2157058.62</v>
      </c>
      <c r="G42" s="101">
        <f>SUM(G10:G40)</f>
        <v>0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9" zoomScale="94" zoomScaleNormal="94" workbookViewId="0">
      <pane xSplit="1" topLeftCell="R1" activePane="topRight" state="frozen"/>
      <selection pane="topRight" activeCell="AI35" sqref="AI3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9" t="s">
        <v>315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920"/>
      <c r="Q1" s="920"/>
      <c r="R1" s="920"/>
      <c r="S1" s="920"/>
      <c r="T1" s="920"/>
      <c r="U1" s="920"/>
      <c r="V1" s="920"/>
      <c r="W1" s="920"/>
      <c r="X1" s="920"/>
      <c r="Y1" s="920"/>
      <c r="Z1" s="920"/>
      <c r="AA1" s="920"/>
      <c r="AB1" s="920"/>
      <c r="AC1" s="920"/>
      <c r="AD1" s="920"/>
      <c r="AE1" s="920"/>
      <c r="AF1" s="920"/>
      <c r="AG1" s="920"/>
      <c r="AH1" s="920"/>
      <c r="AI1" s="920"/>
      <c r="AJ1" s="920"/>
      <c r="AK1" s="920"/>
      <c r="AL1" s="920"/>
      <c r="AM1" s="920"/>
      <c r="AN1" s="920"/>
    </row>
    <row r="2" spans="1:40" ht="13.5" customHeight="1" thickTop="1">
      <c r="A2" s="29"/>
      <c r="B2" s="29"/>
      <c r="C2" s="918" t="s">
        <v>52</v>
      </c>
      <c r="D2" s="918"/>
      <c r="E2" s="918"/>
      <c r="F2" s="918" t="s">
        <v>17</v>
      </c>
      <c r="G2" s="918"/>
      <c r="H2" s="918"/>
      <c r="I2" s="918" t="s">
        <v>131</v>
      </c>
      <c r="J2" s="918"/>
      <c r="K2" s="918"/>
      <c r="L2" s="918" t="s">
        <v>134</v>
      </c>
      <c r="M2" s="918"/>
      <c r="N2" s="918"/>
      <c r="O2" s="918" t="s">
        <v>132</v>
      </c>
      <c r="P2" s="918"/>
      <c r="Q2" s="918"/>
      <c r="R2" s="252"/>
      <c r="S2" s="927" t="s">
        <v>181</v>
      </c>
      <c r="T2" s="928"/>
      <c r="U2" s="929"/>
      <c r="V2" s="927" t="s">
        <v>182</v>
      </c>
      <c r="W2" s="928"/>
      <c r="X2" s="929"/>
      <c r="Y2" s="927" t="s">
        <v>183</v>
      </c>
      <c r="Z2" s="928"/>
      <c r="AA2" s="929"/>
      <c r="AB2" s="927" t="s">
        <v>184</v>
      </c>
      <c r="AC2" s="928"/>
      <c r="AD2" s="929"/>
      <c r="AE2" s="921" t="s">
        <v>239</v>
      </c>
      <c r="AF2" s="922"/>
      <c r="AG2" s="933"/>
      <c r="AH2" s="921" t="s">
        <v>243</v>
      </c>
      <c r="AI2" s="922"/>
      <c r="AJ2" s="933"/>
      <c r="AK2" s="921" t="s">
        <v>240</v>
      </c>
      <c r="AL2" s="922"/>
      <c r="AM2" s="922"/>
      <c r="AN2" s="925" t="s">
        <v>189</v>
      </c>
    </row>
    <row r="3" spans="1:40" ht="21.75" customHeight="1" thickBot="1">
      <c r="A3" s="916" t="s">
        <v>7</v>
      </c>
      <c r="B3" s="29"/>
      <c r="C3" s="918" t="s">
        <v>133</v>
      </c>
      <c r="D3" s="918" t="s">
        <v>15</v>
      </c>
      <c r="E3" s="918" t="s">
        <v>16</v>
      </c>
      <c r="F3" s="918" t="s">
        <v>133</v>
      </c>
      <c r="G3" s="918" t="s">
        <v>15</v>
      </c>
      <c r="H3" s="918" t="s">
        <v>16</v>
      </c>
      <c r="I3" s="918" t="s">
        <v>133</v>
      </c>
      <c r="J3" s="918" t="s">
        <v>15</v>
      </c>
      <c r="K3" s="918" t="s">
        <v>16</v>
      </c>
      <c r="L3" s="918" t="s">
        <v>133</v>
      </c>
      <c r="M3" s="918" t="s">
        <v>15</v>
      </c>
      <c r="N3" s="918" t="s">
        <v>16</v>
      </c>
      <c r="O3" s="918" t="s">
        <v>133</v>
      </c>
      <c r="P3" s="918" t="s">
        <v>15</v>
      </c>
      <c r="Q3" s="918" t="s">
        <v>16</v>
      </c>
      <c r="R3" s="935" t="s">
        <v>185</v>
      </c>
      <c r="S3" s="930"/>
      <c r="T3" s="931"/>
      <c r="U3" s="932"/>
      <c r="V3" s="930"/>
      <c r="W3" s="931"/>
      <c r="X3" s="932"/>
      <c r="Y3" s="930"/>
      <c r="Z3" s="931"/>
      <c r="AA3" s="932"/>
      <c r="AB3" s="930"/>
      <c r="AC3" s="931"/>
      <c r="AD3" s="932"/>
      <c r="AE3" s="923"/>
      <c r="AF3" s="924"/>
      <c r="AG3" s="934"/>
      <c r="AH3" s="923"/>
      <c r="AI3" s="924"/>
      <c r="AJ3" s="934"/>
      <c r="AK3" s="923"/>
      <c r="AL3" s="924"/>
      <c r="AM3" s="924"/>
      <c r="AN3" s="926"/>
    </row>
    <row r="4" spans="1:40" ht="15.75" thickTop="1">
      <c r="A4" s="917"/>
      <c r="B4" s="244"/>
      <c r="C4" s="918"/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35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>
        <v>248324</v>
      </c>
      <c r="E20" s="474">
        <f t="shared" si="28"/>
        <v>78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>
        <v>8205</v>
      </c>
      <c r="K20" s="474">
        <f t="shared" si="26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>
        <v>20815</v>
      </c>
      <c r="Q20" s="474">
        <f t="shared" si="7"/>
        <v>4</v>
      </c>
      <c r="R20" s="250"/>
      <c r="S20" s="245">
        <f t="shared" si="15"/>
        <v>63753</v>
      </c>
      <c r="T20" s="384">
        <v>63753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89013</v>
      </c>
      <c r="Z20" s="384">
        <v>89013</v>
      </c>
      <c r="AA20" s="475">
        <f t="shared" si="18"/>
        <v>0</v>
      </c>
      <c r="AB20" s="608">
        <f t="shared" si="22"/>
        <v>17553</v>
      </c>
      <c r="AC20" s="612">
        <v>17570</v>
      </c>
      <c r="AD20" s="611">
        <f t="shared" si="23"/>
        <v>17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28332</v>
      </c>
      <c r="AI20" s="385">
        <v>28358</v>
      </c>
      <c r="AJ20" s="475">
        <f t="shared" si="20"/>
        <v>26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43</v>
      </c>
    </row>
    <row r="21" spans="1:40" ht="23.1" customHeight="1">
      <c r="A21" s="57">
        <f>Gen!A26</f>
        <v>44212</v>
      </c>
      <c r="B21" s="4"/>
      <c r="C21" s="95">
        <f t="shared" si="0"/>
        <v>248324</v>
      </c>
      <c r="D21" s="1">
        <v>248375</v>
      </c>
      <c r="E21" s="474">
        <f t="shared" si="28"/>
        <v>51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8205</v>
      </c>
      <c r="J21" s="1">
        <v>8206</v>
      </c>
      <c r="K21" s="474">
        <f t="shared" si="26"/>
        <v>1</v>
      </c>
      <c r="L21" s="95">
        <f t="shared" si="5"/>
        <v>0</v>
      </c>
      <c r="M21" s="1"/>
      <c r="N21" s="474">
        <f t="shared" si="14"/>
        <v>0</v>
      </c>
      <c r="O21" s="95">
        <f t="shared" si="6"/>
        <v>20815</v>
      </c>
      <c r="P21" s="383">
        <v>20819</v>
      </c>
      <c r="Q21" s="474">
        <f t="shared" si="7"/>
        <v>4</v>
      </c>
      <c r="R21" s="250"/>
      <c r="S21" s="245">
        <f t="shared" si="15"/>
        <v>63753</v>
      </c>
      <c r="T21" s="384">
        <v>63753</v>
      </c>
      <c r="U21" s="475">
        <f t="shared" si="16"/>
        <v>0</v>
      </c>
      <c r="V21" s="245">
        <f t="shared" ref="V21:V37" si="30">W20</f>
        <v>73031</v>
      </c>
      <c r="W21" s="384">
        <v>73031</v>
      </c>
      <c r="X21" s="475">
        <f t="shared" si="17"/>
        <v>0</v>
      </c>
      <c r="Y21" s="245">
        <f t="shared" si="9"/>
        <v>89013</v>
      </c>
      <c r="Z21" s="384">
        <v>89013</v>
      </c>
      <c r="AA21" s="475">
        <f t="shared" si="18"/>
        <v>0</v>
      </c>
      <c r="AB21" s="608">
        <f t="shared" si="22"/>
        <v>17570</v>
      </c>
      <c r="AC21" s="612">
        <v>17588</v>
      </c>
      <c r="AD21" s="611">
        <f t="shared" si="23"/>
        <v>18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28358</v>
      </c>
      <c r="AI21" s="385">
        <v>28384</v>
      </c>
      <c r="AJ21" s="475">
        <f t="shared" si="20"/>
        <v>26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44</v>
      </c>
    </row>
    <row r="22" spans="1:40" ht="23.1" customHeight="1">
      <c r="A22" s="57">
        <f>Gen!A27</f>
        <v>44213</v>
      </c>
      <c r="B22" s="4"/>
      <c r="C22" s="95">
        <f t="shared" si="0"/>
        <v>248375</v>
      </c>
      <c r="D22" s="1">
        <v>248434</v>
      </c>
      <c r="E22" s="474">
        <f t="shared" si="28"/>
        <v>59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8206</v>
      </c>
      <c r="J22" s="1">
        <v>8208</v>
      </c>
      <c r="K22" s="474">
        <f t="shared" si="26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20819</v>
      </c>
      <c r="P22" s="383">
        <v>20824</v>
      </c>
      <c r="Q22" s="474">
        <f t="shared" si="7"/>
        <v>5</v>
      </c>
      <c r="R22" s="250"/>
      <c r="S22" s="245">
        <f t="shared" si="15"/>
        <v>63753</v>
      </c>
      <c r="T22" s="384">
        <v>63753</v>
      </c>
      <c r="U22" s="475">
        <f t="shared" si="16"/>
        <v>0</v>
      </c>
      <c r="V22" s="245">
        <f t="shared" si="30"/>
        <v>73031</v>
      </c>
      <c r="W22" s="384">
        <v>73031</v>
      </c>
      <c r="X22" s="475">
        <f t="shared" si="17"/>
        <v>0</v>
      </c>
      <c r="Y22" s="245">
        <f t="shared" si="9"/>
        <v>89013</v>
      </c>
      <c r="Z22" s="384">
        <v>89013</v>
      </c>
      <c r="AA22" s="475">
        <f t="shared" si="18"/>
        <v>0</v>
      </c>
      <c r="AB22" s="608">
        <f t="shared" si="22"/>
        <v>17588</v>
      </c>
      <c r="AC22" s="612">
        <v>17605</v>
      </c>
      <c r="AD22" s="611">
        <f t="shared" si="23"/>
        <v>17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28384</v>
      </c>
      <c r="AI22" s="385">
        <v>28409</v>
      </c>
      <c r="AJ22" s="475">
        <f t="shared" si="20"/>
        <v>25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42</v>
      </c>
    </row>
    <row r="23" spans="1:40" ht="23.1" customHeight="1">
      <c r="A23" s="57">
        <f>Gen!A28</f>
        <v>44214</v>
      </c>
      <c r="B23" s="4"/>
      <c r="C23" s="95">
        <f t="shared" si="0"/>
        <v>248434</v>
      </c>
      <c r="D23" s="1">
        <v>248494</v>
      </c>
      <c r="E23" s="474">
        <f t="shared" si="28"/>
        <v>60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8208</v>
      </c>
      <c r="J23" s="1">
        <v>8209</v>
      </c>
      <c r="K23" s="474">
        <f t="shared" si="26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20824</v>
      </c>
      <c r="P23" s="383">
        <v>20829</v>
      </c>
      <c r="Q23" s="474">
        <f t="shared" si="7"/>
        <v>5</v>
      </c>
      <c r="R23" s="250"/>
      <c r="S23" s="245">
        <f t="shared" si="15"/>
        <v>63753</v>
      </c>
      <c r="T23" s="384">
        <v>63753</v>
      </c>
      <c r="U23" s="475">
        <f t="shared" si="16"/>
        <v>0</v>
      </c>
      <c r="V23" s="245">
        <f t="shared" si="30"/>
        <v>73031</v>
      </c>
      <c r="W23" s="384">
        <v>73031</v>
      </c>
      <c r="X23" s="475">
        <f t="shared" si="17"/>
        <v>0</v>
      </c>
      <c r="Y23" s="245">
        <f t="shared" si="9"/>
        <v>89013</v>
      </c>
      <c r="Z23" s="384">
        <v>89013</v>
      </c>
      <c r="AA23" s="475">
        <f t="shared" si="18"/>
        <v>0</v>
      </c>
      <c r="AB23" s="608">
        <f t="shared" si="22"/>
        <v>17605</v>
      </c>
      <c r="AC23" s="609">
        <v>17622</v>
      </c>
      <c r="AD23" s="611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28409</v>
      </c>
      <c r="AI23" s="385">
        <v>28435</v>
      </c>
      <c r="AJ23" s="475">
        <f t="shared" si="20"/>
        <v>26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43</v>
      </c>
    </row>
    <row r="24" spans="1:40" ht="23.1" customHeight="1">
      <c r="A24" s="57">
        <f>Gen!A29</f>
        <v>44215</v>
      </c>
      <c r="B24" s="4"/>
      <c r="C24" s="95">
        <f t="shared" si="0"/>
        <v>248494</v>
      </c>
      <c r="D24" s="1">
        <v>248562</v>
      </c>
      <c r="E24" s="474">
        <f t="shared" si="28"/>
        <v>68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8209</v>
      </c>
      <c r="J24" s="1">
        <v>8222</v>
      </c>
      <c r="K24" s="474">
        <f t="shared" si="26"/>
        <v>13</v>
      </c>
      <c r="L24" s="95">
        <f t="shared" si="5"/>
        <v>0</v>
      </c>
      <c r="M24" s="1"/>
      <c r="N24" s="474">
        <f t="shared" si="14"/>
        <v>0</v>
      </c>
      <c r="O24" s="95">
        <f t="shared" si="6"/>
        <v>20829</v>
      </c>
      <c r="P24" s="383">
        <v>20832</v>
      </c>
      <c r="Q24" s="474">
        <f t="shared" si="7"/>
        <v>3</v>
      </c>
      <c r="R24" s="250"/>
      <c r="S24" s="245">
        <f t="shared" si="15"/>
        <v>63753</v>
      </c>
      <c r="T24" s="384">
        <v>63824</v>
      </c>
      <c r="U24" s="475">
        <f t="shared" si="16"/>
        <v>71</v>
      </c>
      <c r="V24" s="245">
        <f t="shared" si="30"/>
        <v>73031</v>
      </c>
      <c r="W24" s="384">
        <v>73031</v>
      </c>
      <c r="X24" s="475">
        <f t="shared" si="17"/>
        <v>0</v>
      </c>
      <c r="Y24" s="245">
        <f t="shared" si="9"/>
        <v>89013</v>
      </c>
      <c r="Z24" s="384">
        <v>89012</v>
      </c>
      <c r="AA24" s="475" t="str">
        <f t="shared" si="18"/>
        <v>0</v>
      </c>
      <c r="AB24" s="608">
        <f t="shared" si="22"/>
        <v>17622</v>
      </c>
      <c r="AC24" s="609">
        <v>17638</v>
      </c>
      <c r="AD24" s="611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28435</v>
      </c>
      <c r="AI24" s="385">
        <v>28460</v>
      </c>
      <c r="AJ24" s="475">
        <f t="shared" si="20"/>
        <v>25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112</v>
      </c>
    </row>
    <row r="25" spans="1:40" ht="23.1" customHeight="1">
      <c r="A25" s="57">
        <f>Gen!A30</f>
        <v>44216</v>
      </c>
      <c r="B25" s="4"/>
      <c r="C25" s="95">
        <f>D24</f>
        <v>248562</v>
      </c>
      <c r="D25" s="1">
        <v>248637</v>
      </c>
      <c r="E25" s="474">
        <f t="shared" si="28"/>
        <v>75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8222</v>
      </c>
      <c r="J25" s="1">
        <v>8223</v>
      </c>
      <c r="K25" s="474">
        <f t="shared" si="26"/>
        <v>1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20832</v>
      </c>
      <c r="P25" s="383">
        <v>20835</v>
      </c>
      <c r="Q25" s="474">
        <f t="shared" si="7"/>
        <v>3</v>
      </c>
      <c r="R25" s="250"/>
      <c r="S25" s="245">
        <f t="shared" ref="S25:S37" si="34">T24</f>
        <v>63824</v>
      </c>
      <c r="T25" s="384">
        <v>63915</v>
      </c>
      <c r="U25" s="475">
        <f t="shared" ref="U25:U37" si="35">IF((T25-T24)&lt;0,"0",(T25-T24))</f>
        <v>91</v>
      </c>
      <c r="V25" s="245">
        <f t="shared" si="30"/>
        <v>73031</v>
      </c>
      <c r="W25" s="384">
        <v>73031</v>
      </c>
      <c r="X25" s="475">
        <f t="shared" si="17"/>
        <v>0</v>
      </c>
      <c r="Y25" s="245">
        <f t="shared" si="9"/>
        <v>89012</v>
      </c>
      <c r="Z25" s="384">
        <v>89012</v>
      </c>
      <c r="AA25" s="475">
        <f t="shared" si="18"/>
        <v>0</v>
      </c>
      <c r="AB25" s="608">
        <f t="shared" si="22"/>
        <v>17638</v>
      </c>
      <c r="AC25" s="609">
        <v>17655</v>
      </c>
      <c r="AD25" s="611">
        <f t="shared" si="23"/>
        <v>17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28460</v>
      </c>
      <c r="AI25" s="385">
        <v>28486</v>
      </c>
      <c r="AJ25" s="475">
        <f t="shared" si="20"/>
        <v>26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134</v>
      </c>
    </row>
    <row r="26" spans="1:40" ht="23.1" customHeight="1">
      <c r="A26" s="57">
        <f>Gen!A31</f>
        <v>44217</v>
      </c>
      <c r="B26" s="4"/>
      <c r="C26" s="95">
        <f>D25</f>
        <v>248637</v>
      </c>
      <c r="D26" s="1">
        <v>248697</v>
      </c>
      <c r="E26" s="474">
        <f t="shared" si="28"/>
        <v>60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8223</v>
      </c>
      <c r="J26" s="1">
        <v>8224</v>
      </c>
      <c r="K26" s="474">
        <f t="shared" si="26"/>
        <v>1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20835</v>
      </c>
      <c r="P26" s="383">
        <v>20844</v>
      </c>
      <c r="Q26" s="474">
        <f t="shared" si="7"/>
        <v>9</v>
      </c>
      <c r="R26" s="250"/>
      <c r="S26" s="245">
        <f t="shared" si="34"/>
        <v>63915</v>
      </c>
      <c r="T26" s="384">
        <v>63998</v>
      </c>
      <c r="U26" s="475">
        <f t="shared" si="35"/>
        <v>83</v>
      </c>
      <c r="V26" s="245">
        <f t="shared" si="30"/>
        <v>73031</v>
      </c>
      <c r="W26" s="384">
        <v>73031</v>
      </c>
      <c r="X26" s="475">
        <f t="shared" si="17"/>
        <v>0</v>
      </c>
      <c r="Y26" s="245">
        <f t="shared" si="9"/>
        <v>89012</v>
      </c>
      <c r="Z26" s="384">
        <v>89012</v>
      </c>
      <c r="AA26" s="475">
        <f t="shared" si="18"/>
        <v>0</v>
      </c>
      <c r="AB26" s="608">
        <f t="shared" si="22"/>
        <v>17655</v>
      </c>
      <c r="AC26" s="609">
        <v>17671</v>
      </c>
      <c r="AD26" s="611">
        <f t="shared" si="23"/>
        <v>16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28486</v>
      </c>
      <c r="AI26" s="385">
        <v>28512</v>
      </c>
      <c r="AJ26" s="475">
        <f t="shared" si="20"/>
        <v>26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125</v>
      </c>
    </row>
    <row r="27" spans="1:40" ht="23.1" customHeight="1">
      <c r="A27" s="57">
        <f>Gen!A32</f>
        <v>44218</v>
      </c>
      <c r="B27" s="4"/>
      <c r="C27" s="95">
        <f>D26</f>
        <v>248697</v>
      </c>
      <c r="D27" s="1">
        <v>248753</v>
      </c>
      <c r="E27" s="474">
        <f t="shared" si="28"/>
        <v>56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8224</v>
      </c>
      <c r="J27" s="1">
        <v>8227</v>
      </c>
      <c r="K27" s="474">
        <f t="shared" si="26"/>
        <v>3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20844</v>
      </c>
      <c r="P27" s="383">
        <v>20846</v>
      </c>
      <c r="Q27" s="474">
        <f t="shared" si="7"/>
        <v>2</v>
      </c>
      <c r="R27" s="250"/>
      <c r="S27" s="245">
        <f t="shared" si="34"/>
        <v>63998</v>
      </c>
      <c r="T27" s="384">
        <v>64081</v>
      </c>
      <c r="U27" s="475">
        <f t="shared" si="35"/>
        <v>83</v>
      </c>
      <c r="V27" s="245">
        <f t="shared" si="30"/>
        <v>73031</v>
      </c>
      <c r="W27" s="384">
        <v>73031</v>
      </c>
      <c r="X27" s="475">
        <f t="shared" si="17"/>
        <v>0</v>
      </c>
      <c r="Y27" s="245">
        <f t="shared" si="9"/>
        <v>89012</v>
      </c>
      <c r="Z27" s="384">
        <v>89012</v>
      </c>
      <c r="AA27" s="475">
        <f t="shared" si="18"/>
        <v>0</v>
      </c>
      <c r="AB27" s="608">
        <f t="shared" si="22"/>
        <v>17671</v>
      </c>
      <c r="AC27" s="609">
        <v>17682</v>
      </c>
      <c r="AD27" s="611">
        <f t="shared" si="23"/>
        <v>11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28512</v>
      </c>
      <c r="AI27" s="385">
        <v>28535</v>
      </c>
      <c r="AJ27" s="475">
        <f t="shared" si="20"/>
        <v>23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117</v>
      </c>
    </row>
    <row r="28" spans="1:40" ht="23.1" customHeight="1">
      <c r="A28" s="57">
        <f>Gen!A33</f>
        <v>44219</v>
      </c>
      <c r="B28" s="4"/>
      <c r="C28" s="95">
        <f t="shared" ref="C28:C37" si="39">D27</f>
        <v>248753</v>
      </c>
      <c r="D28" s="1">
        <v>248812</v>
      </c>
      <c r="E28" s="474">
        <f t="shared" si="28"/>
        <v>59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8227</v>
      </c>
      <c r="J28" s="1">
        <v>8228</v>
      </c>
      <c r="K28" s="474">
        <f>IF((J28-J27)&lt;0,"0",(J28-J27))</f>
        <v>1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20846</v>
      </c>
      <c r="P28" s="383">
        <v>20850</v>
      </c>
      <c r="Q28" s="474">
        <f t="shared" ref="Q28:Q37" si="41">IF((P28-P27)&lt;0,"0",(P28-P27))</f>
        <v>4</v>
      </c>
      <c r="R28" s="250"/>
      <c r="S28" s="245">
        <f t="shared" si="34"/>
        <v>64081</v>
      </c>
      <c r="T28" s="384">
        <v>64163</v>
      </c>
      <c r="U28" s="475">
        <f t="shared" si="35"/>
        <v>82</v>
      </c>
      <c r="V28" s="245">
        <f t="shared" si="30"/>
        <v>73031</v>
      </c>
      <c r="W28" s="384">
        <v>73031</v>
      </c>
      <c r="X28" s="475">
        <f t="shared" si="17"/>
        <v>0</v>
      </c>
      <c r="Y28" s="245">
        <f t="shared" si="9"/>
        <v>89012</v>
      </c>
      <c r="Z28" s="384">
        <v>89012</v>
      </c>
      <c r="AA28" s="475">
        <f t="shared" si="18"/>
        <v>0</v>
      </c>
      <c r="AB28" s="608">
        <f t="shared" si="22"/>
        <v>17682</v>
      </c>
      <c r="AC28" s="609">
        <v>17698</v>
      </c>
      <c r="AD28" s="611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28535</v>
      </c>
      <c r="AI28" s="385">
        <v>28559</v>
      </c>
      <c r="AJ28" s="475">
        <f t="shared" si="20"/>
        <v>24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122</v>
      </c>
    </row>
    <row r="29" spans="1:40" ht="23.1" customHeight="1">
      <c r="A29" s="57">
        <f>Gen!A34</f>
        <v>44220</v>
      </c>
      <c r="B29" s="4"/>
      <c r="C29" s="95">
        <f t="shared" si="39"/>
        <v>248812</v>
      </c>
      <c r="D29" s="1">
        <v>248881</v>
      </c>
      <c r="E29" s="474">
        <f t="shared" si="28"/>
        <v>69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8228</v>
      </c>
      <c r="J29" s="1">
        <v>8230</v>
      </c>
      <c r="K29" s="474">
        <f t="shared" ref="K29:K37" si="42">IF((J29-J28)&lt;0,"0",(J29-J28))</f>
        <v>2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20850</v>
      </c>
      <c r="P29" s="383">
        <v>20854</v>
      </c>
      <c r="Q29" s="474">
        <f t="shared" si="41"/>
        <v>4</v>
      </c>
      <c r="R29" s="250"/>
      <c r="S29" s="245">
        <f t="shared" si="34"/>
        <v>64163</v>
      </c>
      <c r="T29" s="384">
        <v>64246</v>
      </c>
      <c r="U29" s="475">
        <f t="shared" si="35"/>
        <v>83</v>
      </c>
      <c r="V29" s="245">
        <f t="shared" si="30"/>
        <v>73031</v>
      </c>
      <c r="W29" s="384">
        <v>73031</v>
      </c>
      <c r="X29" s="475">
        <f t="shared" si="17"/>
        <v>0</v>
      </c>
      <c r="Y29" s="245">
        <f t="shared" si="9"/>
        <v>89012</v>
      </c>
      <c r="Z29" s="384">
        <v>89012</v>
      </c>
      <c r="AA29" s="475">
        <f t="shared" si="18"/>
        <v>0</v>
      </c>
      <c r="AB29" s="608">
        <f t="shared" si="22"/>
        <v>17698</v>
      </c>
      <c r="AC29" s="609">
        <v>17714</v>
      </c>
      <c r="AD29" s="611">
        <f t="shared" si="23"/>
        <v>16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28559</v>
      </c>
      <c r="AI29" s="385">
        <v>28584</v>
      </c>
      <c r="AJ29" s="475">
        <f t="shared" si="20"/>
        <v>25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124</v>
      </c>
    </row>
    <row r="30" spans="1:40" ht="23.1" customHeight="1">
      <c r="A30" s="57">
        <f>Gen!A35</f>
        <v>44221</v>
      </c>
      <c r="B30" s="4"/>
      <c r="C30" s="95">
        <f t="shared" si="39"/>
        <v>248881</v>
      </c>
      <c r="D30" s="1">
        <v>248942</v>
      </c>
      <c r="E30" s="474">
        <f t="shared" si="28"/>
        <v>61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8230</v>
      </c>
      <c r="J30" s="1">
        <v>8231</v>
      </c>
      <c r="K30" s="474">
        <f t="shared" si="42"/>
        <v>1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20854</v>
      </c>
      <c r="P30" s="383">
        <v>20860</v>
      </c>
      <c r="Q30" s="474">
        <f t="shared" si="41"/>
        <v>6</v>
      </c>
      <c r="R30" s="250"/>
      <c r="S30" s="245">
        <f t="shared" si="34"/>
        <v>64246</v>
      </c>
      <c r="T30" s="384">
        <v>64325</v>
      </c>
      <c r="U30" s="475">
        <f t="shared" si="35"/>
        <v>79</v>
      </c>
      <c r="V30" s="245">
        <f t="shared" si="30"/>
        <v>73031</v>
      </c>
      <c r="W30" s="384">
        <v>73031</v>
      </c>
      <c r="X30" s="475">
        <f t="shared" si="17"/>
        <v>0</v>
      </c>
      <c r="Y30" s="245">
        <f t="shared" si="9"/>
        <v>89012</v>
      </c>
      <c r="Z30" s="384">
        <v>89012</v>
      </c>
      <c r="AA30" s="475">
        <f t="shared" si="18"/>
        <v>0</v>
      </c>
      <c r="AB30" s="608">
        <f t="shared" si="22"/>
        <v>17714</v>
      </c>
      <c r="AC30" s="609">
        <v>17731</v>
      </c>
      <c r="AD30" s="611">
        <f t="shared" si="23"/>
        <v>17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28584</v>
      </c>
      <c r="AI30" s="385">
        <v>28610</v>
      </c>
      <c r="AJ30" s="475">
        <f t="shared" si="20"/>
        <v>26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122</v>
      </c>
    </row>
    <row r="31" spans="1:40" ht="23.1" customHeight="1">
      <c r="A31" s="57">
        <f>Gen!A36</f>
        <v>44222</v>
      </c>
      <c r="B31" s="4"/>
      <c r="C31" s="95">
        <f t="shared" si="39"/>
        <v>248942</v>
      </c>
      <c r="D31" s="1">
        <v>249016</v>
      </c>
      <c r="E31" s="474">
        <f t="shared" si="28"/>
        <v>74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8231</v>
      </c>
      <c r="J31" s="1">
        <v>8233</v>
      </c>
      <c r="K31" s="474">
        <f t="shared" si="42"/>
        <v>2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20860</v>
      </c>
      <c r="P31" s="383">
        <v>20865</v>
      </c>
      <c r="Q31" s="474">
        <f t="shared" si="41"/>
        <v>5</v>
      </c>
      <c r="R31" s="250"/>
      <c r="S31" s="245">
        <f t="shared" si="34"/>
        <v>64325</v>
      </c>
      <c r="T31" s="384">
        <v>64327</v>
      </c>
      <c r="U31" s="475">
        <f t="shared" si="35"/>
        <v>2</v>
      </c>
      <c r="V31" s="245">
        <f t="shared" si="30"/>
        <v>73031</v>
      </c>
      <c r="W31" s="384">
        <v>73031</v>
      </c>
      <c r="X31" s="475">
        <f t="shared" si="17"/>
        <v>0</v>
      </c>
      <c r="Y31" s="245">
        <f t="shared" si="9"/>
        <v>89012</v>
      </c>
      <c r="Z31" s="384">
        <v>89012</v>
      </c>
      <c r="AA31" s="475">
        <f t="shared" si="18"/>
        <v>0</v>
      </c>
      <c r="AB31" s="608">
        <f t="shared" si="22"/>
        <v>17731</v>
      </c>
      <c r="AC31" s="609">
        <v>17752</v>
      </c>
      <c r="AD31" s="611">
        <f t="shared" si="23"/>
        <v>21</v>
      </c>
      <c r="AE31" s="245">
        <f t="shared" si="10"/>
        <v>18300</v>
      </c>
      <c r="AF31" s="385">
        <v>18300</v>
      </c>
      <c r="AG31" s="475">
        <f t="shared" si="19"/>
        <v>0</v>
      </c>
      <c r="AH31" s="245">
        <f t="shared" si="11"/>
        <v>28610</v>
      </c>
      <c r="AI31" s="385">
        <v>28639</v>
      </c>
      <c r="AJ31" s="475">
        <f t="shared" si="20"/>
        <v>29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52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249016</v>
      </c>
      <c r="D32" s="1">
        <v>249084</v>
      </c>
      <c r="E32" s="474">
        <f t="shared" si="28"/>
        <v>68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8233</v>
      </c>
      <c r="J32" s="1">
        <v>8235</v>
      </c>
      <c r="K32" s="474">
        <f t="shared" si="42"/>
        <v>2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20865</v>
      </c>
      <c r="P32" s="383">
        <v>20865</v>
      </c>
      <c r="Q32" s="474">
        <f t="shared" si="41"/>
        <v>0</v>
      </c>
      <c r="R32" s="250"/>
      <c r="S32" s="245">
        <f t="shared" si="34"/>
        <v>64327</v>
      </c>
      <c r="T32" s="384">
        <v>64327</v>
      </c>
      <c r="U32" s="475">
        <f t="shared" si="35"/>
        <v>0</v>
      </c>
      <c r="V32" s="245">
        <f t="shared" si="30"/>
        <v>73031</v>
      </c>
      <c r="W32" s="384">
        <v>73031</v>
      </c>
      <c r="X32" s="475">
        <f t="shared" si="17"/>
        <v>0</v>
      </c>
      <c r="Y32" s="245">
        <f t="shared" si="9"/>
        <v>89012</v>
      </c>
      <c r="Z32" s="384">
        <v>89012</v>
      </c>
      <c r="AA32" s="475">
        <f t="shared" si="18"/>
        <v>0</v>
      </c>
      <c r="AB32" s="608">
        <f t="shared" si="22"/>
        <v>17752</v>
      </c>
      <c r="AC32" s="609">
        <v>17768</v>
      </c>
      <c r="AD32" s="611">
        <f t="shared" si="23"/>
        <v>16</v>
      </c>
      <c r="AE32" s="245">
        <f t="shared" si="10"/>
        <v>18300</v>
      </c>
      <c r="AF32" s="385">
        <v>18300</v>
      </c>
      <c r="AG32" s="475">
        <f t="shared" si="19"/>
        <v>0</v>
      </c>
      <c r="AH32" s="245">
        <f t="shared" si="11"/>
        <v>28639</v>
      </c>
      <c r="AI32" s="385">
        <v>28665</v>
      </c>
      <c r="AJ32" s="475">
        <f t="shared" si="20"/>
        <v>26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42</v>
      </c>
    </row>
    <row r="33" spans="1:41" ht="23.1" customHeight="1">
      <c r="A33" s="57">
        <f>Gen!A38</f>
        <v>44224</v>
      </c>
      <c r="B33" s="4"/>
      <c r="C33" s="95">
        <f t="shared" si="39"/>
        <v>249084</v>
      </c>
      <c r="D33" s="1">
        <v>249139</v>
      </c>
      <c r="E33" s="474">
        <f t="shared" si="28"/>
        <v>55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8235</v>
      </c>
      <c r="J33" s="1">
        <v>8237</v>
      </c>
      <c r="K33" s="474">
        <f t="shared" si="42"/>
        <v>2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20865</v>
      </c>
      <c r="P33" s="383">
        <v>20865</v>
      </c>
      <c r="Q33" s="474">
        <f t="shared" si="41"/>
        <v>0</v>
      </c>
      <c r="R33" s="250"/>
      <c r="S33" s="245">
        <f t="shared" si="34"/>
        <v>64327</v>
      </c>
      <c r="T33" s="384">
        <v>64327</v>
      </c>
      <c r="U33" s="475">
        <f t="shared" si="35"/>
        <v>0</v>
      </c>
      <c r="V33" s="245">
        <f t="shared" si="30"/>
        <v>73031</v>
      </c>
      <c r="W33" s="384">
        <v>73031</v>
      </c>
      <c r="X33" s="475">
        <f t="shared" si="17"/>
        <v>0</v>
      </c>
      <c r="Y33" s="245">
        <f t="shared" si="9"/>
        <v>89012</v>
      </c>
      <c r="Z33" s="384">
        <v>89012</v>
      </c>
      <c r="AA33" s="475">
        <f t="shared" si="18"/>
        <v>0</v>
      </c>
      <c r="AB33" s="608">
        <f t="shared" si="22"/>
        <v>17768</v>
      </c>
      <c r="AC33" s="246">
        <v>17785</v>
      </c>
      <c r="AD33" s="611">
        <f t="shared" si="23"/>
        <v>17</v>
      </c>
      <c r="AE33" s="245">
        <f t="shared" si="10"/>
        <v>18300</v>
      </c>
      <c r="AF33" s="385">
        <v>18300</v>
      </c>
      <c r="AG33" s="475">
        <f t="shared" si="19"/>
        <v>0</v>
      </c>
      <c r="AH33" s="245">
        <f t="shared" si="11"/>
        <v>28665</v>
      </c>
      <c r="AI33" s="385">
        <v>28691</v>
      </c>
      <c r="AJ33" s="475">
        <f t="shared" si="20"/>
        <v>26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43</v>
      </c>
    </row>
    <row r="34" spans="1:41" ht="23.1" customHeight="1">
      <c r="A34" s="57">
        <f>Gen!A39</f>
        <v>44225</v>
      </c>
      <c r="B34" s="148"/>
      <c r="C34" s="95">
        <f t="shared" si="39"/>
        <v>249139</v>
      </c>
      <c r="D34" s="1">
        <v>249199</v>
      </c>
      <c r="E34" s="474">
        <f t="shared" si="28"/>
        <v>60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8237</v>
      </c>
      <c r="J34" s="1">
        <v>8238</v>
      </c>
      <c r="K34" s="474">
        <f t="shared" si="42"/>
        <v>1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20865</v>
      </c>
      <c r="P34" s="383">
        <v>20879</v>
      </c>
      <c r="Q34" s="474">
        <f t="shared" si="41"/>
        <v>14</v>
      </c>
      <c r="R34" s="250"/>
      <c r="S34" s="245">
        <f t="shared" si="34"/>
        <v>64327</v>
      </c>
      <c r="T34" s="384">
        <v>64414</v>
      </c>
      <c r="U34" s="475">
        <f t="shared" si="35"/>
        <v>87</v>
      </c>
      <c r="V34" s="245">
        <f t="shared" si="30"/>
        <v>73031</v>
      </c>
      <c r="W34" s="384">
        <v>73031</v>
      </c>
      <c r="X34" s="475">
        <f t="shared" si="17"/>
        <v>0</v>
      </c>
      <c r="Y34" s="245">
        <f t="shared" si="9"/>
        <v>89012</v>
      </c>
      <c r="Z34" s="384">
        <v>89012</v>
      </c>
      <c r="AA34" s="475">
        <f t="shared" si="18"/>
        <v>0</v>
      </c>
      <c r="AB34" s="608">
        <f t="shared" si="22"/>
        <v>17785</v>
      </c>
      <c r="AC34" s="246">
        <v>17802</v>
      </c>
      <c r="AD34" s="611">
        <f t="shared" si="23"/>
        <v>17</v>
      </c>
      <c r="AE34" s="245">
        <f t="shared" si="10"/>
        <v>18300</v>
      </c>
      <c r="AF34" s="385">
        <v>18300</v>
      </c>
      <c r="AG34" s="475">
        <f t="shared" si="19"/>
        <v>0</v>
      </c>
      <c r="AH34" s="245">
        <f t="shared" si="11"/>
        <v>28691</v>
      </c>
      <c r="AI34" s="385">
        <v>28715</v>
      </c>
      <c r="AJ34" s="475">
        <f t="shared" si="20"/>
        <v>24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128</v>
      </c>
    </row>
    <row r="35" spans="1:41" ht="23.1" customHeight="1">
      <c r="A35" s="57">
        <f>Gen!A40</f>
        <v>44226</v>
      </c>
      <c r="B35" s="148"/>
      <c r="C35" s="95">
        <f t="shared" si="39"/>
        <v>249199</v>
      </c>
      <c r="D35" s="1"/>
      <c r="E35" s="474" t="str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8238</v>
      </c>
      <c r="J35" s="1"/>
      <c r="K35" s="474" t="str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20879</v>
      </c>
      <c r="P35" s="383"/>
      <c r="Q35" s="474" t="str">
        <f t="shared" si="41"/>
        <v>0</v>
      </c>
      <c r="R35" s="250"/>
      <c r="S35" s="245">
        <f t="shared" si="34"/>
        <v>64414</v>
      </c>
      <c r="T35" s="384"/>
      <c r="U35" s="475" t="str">
        <f t="shared" si="35"/>
        <v>0</v>
      </c>
      <c r="V35" s="245">
        <f t="shared" si="30"/>
        <v>73031</v>
      </c>
      <c r="W35" s="384"/>
      <c r="X35" s="475" t="str">
        <f t="shared" si="17"/>
        <v>0</v>
      </c>
      <c r="Y35" s="245">
        <f t="shared" si="9"/>
        <v>89012</v>
      </c>
      <c r="Z35" s="384"/>
      <c r="AA35" s="475" t="str">
        <f t="shared" si="18"/>
        <v>0</v>
      </c>
      <c r="AB35" s="608">
        <f t="shared" si="22"/>
        <v>17802</v>
      </c>
      <c r="AC35" s="246"/>
      <c r="AD35" s="611" t="str">
        <f t="shared" si="23"/>
        <v>0</v>
      </c>
      <c r="AE35" s="245">
        <f t="shared" si="10"/>
        <v>18300</v>
      </c>
      <c r="AF35" s="385"/>
      <c r="AG35" s="475" t="str">
        <f t="shared" si="19"/>
        <v>0</v>
      </c>
      <c r="AH35" s="245">
        <f t="shared" si="11"/>
        <v>28715</v>
      </c>
      <c r="AI35" s="385"/>
      <c r="AJ35" s="475" t="str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1151</v>
      </c>
    </row>
    <row r="38" spans="1:41" ht="18.75">
      <c r="A38" s="57"/>
      <c r="B38" s="21"/>
      <c r="C38" s="936" t="s">
        <v>6</v>
      </c>
      <c r="D38" s="936"/>
      <c r="E38" s="22">
        <f>SUM(E6:E36)</f>
        <v>2127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73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2127</v>
      </c>
      <c r="S38" s="247"/>
      <c r="T38" s="247"/>
      <c r="U38" s="257">
        <f>SUM(U6:U37)</f>
        <v>1151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1151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5"/>
      <c r="B42" s="277"/>
      <c r="C42" s="902" t="s">
        <v>222</v>
      </c>
      <c r="D42" s="903"/>
      <c r="E42" s="903"/>
      <c r="F42" s="903"/>
      <c r="G42" s="903"/>
      <c r="H42" s="903"/>
      <c r="I42" s="903"/>
      <c r="J42" s="903"/>
      <c r="K42" s="904"/>
      <c r="R42" s="19"/>
    </row>
    <row r="43" spans="1:41" ht="24.75" customHeight="1">
      <c r="A43" s="906"/>
      <c r="B43" s="19"/>
      <c r="C43" s="908" t="s">
        <v>216</v>
      </c>
      <c r="D43" s="909"/>
      <c r="E43" s="910" t="s">
        <v>237</v>
      </c>
      <c r="F43" s="911"/>
      <c r="G43" s="912" t="s">
        <v>217</v>
      </c>
      <c r="H43" s="913"/>
      <c r="I43" s="912" t="s">
        <v>238</v>
      </c>
      <c r="J43" s="913"/>
      <c r="K43" s="900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06"/>
      <c r="B44" s="19"/>
      <c r="C44" s="914" t="s">
        <v>218</v>
      </c>
      <c r="D44" s="915"/>
      <c r="E44" s="914" t="s">
        <v>219</v>
      </c>
      <c r="F44" s="915"/>
      <c r="G44" s="914" t="s">
        <v>220</v>
      </c>
      <c r="H44" s="915"/>
      <c r="I44" s="914" t="s">
        <v>221</v>
      </c>
      <c r="J44" s="915"/>
      <c r="K44" s="901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07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>
        <f>I57*213/308</f>
        <v>197.09415584415584</v>
      </c>
      <c r="K56" s="331">
        <f t="shared" si="52"/>
        <v>518.85090726021258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>
        <v>266</v>
      </c>
      <c r="D61" s="325">
        <f t="shared" si="48"/>
        <v>192.40666666666667</v>
      </c>
      <c r="E61" s="6">
        <v>230</v>
      </c>
      <c r="F61" s="325">
        <f t="shared" si="49"/>
        <v>69.377049180327873</v>
      </c>
      <c r="G61" s="477">
        <v>100</v>
      </c>
      <c r="H61" s="325">
        <f t="shared" si="50"/>
        <v>38.120104438642301</v>
      </c>
      <c r="I61" s="6">
        <v>287</v>
      </c>
      <c r="J61" s="325">
        <f t="shared" si="51"/>
        <v>198.47727272727272</v>
      </c>
      <c r="K61" s="331">
        <f t="shared" si="52"/>
        <v>498.38109301290956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>
        <v>241</v>
      </c>
      <c r="D62" s="325">
        <f t="shared" si="48"/>
        <v>174.32333333333332</v>
      </c>
      <c r="E62" s="6">
        <v>205</v>
      </c>
      <c r="F62" s="325">
        <f t="shared" si="49"/>
        <v>61.83606557377049</v>
      </c>
      <c r="G62" s="477">
        <v>65</v>
      </c>
      <c r="H62" s="325">
        <f t="shared" si="50"/>
        <v>24.778067885117494</v>
      </c>
      <c r="I62" s="6">
        <v>285</v>
      </c>
      <c r="J62" s="325">
        <f t="shared" si="51"/>
        <v>197.09415584415584</v>
      </c>
      <c r="K62" s="331">
        <f t="shared" si="52"/>
        <v>458.03162263637716</v>
      </c>
    </row>
    <row r="63" spans="1:15" ht="13.5">
      <c r="A63" s="293">
        <f>Gen!A28</f>
        <v>44214</v>
      </c>
      <c r="B63" s="19"/>
      <c r="C63" s="62">
        <v>210</v>
      </c>
      <c r="D63" s="325">
        <f t="shared" si="48"/>
        <v>151.9</v>
      </c>
      <c r="E63" s="6">
        <v>175</v>
      </c>
      <c r="F63" s="325">
        <f t="shared" si="49"/>
        <v>52.786885245901637</v>
      </c>
      <c r="G63" s="477">
        <v>25</v>
      </c>
      <c r="H63" s="325">
        <f t="shared" si="50"/>
        <v>9.5300261096605752</v>
      </c>
      <c r="I63" s="6">
        <v>288</v>
      </c>
      <c r="J63" s="325">
        <f t="shared" si="51"/>
        <v>199.16883116883116</v>
      </c>
      <c r="K63" s="331">
        <f t="shared" si="52"/>
        <v>413.38574252439338</v>
      </c>
    </row>
    <row r="64" spans="1:15" ht="13.5">
      <c r="A64" s="293">
        <f>Gen!A29</f>
        <v>44215</v>
      </c>
      <c r="B64" s="19"/>
      <c r="C64" s="62">
        <v>138</v>
      </c>
      <c r="D64" s="325">
        <f t="shared" si="48"/>
        <v>99.82</v>
      </c>
      <c r="E64" s="6">
        <v>103</v>
      </c>
      <c r="F64" s="325">
        <f t="shared" si="49"/>
        <v>31.068852459016394</v>
      </c>
      <c r="G64" s="477">
        <v>295</v>
      </c>
      <c r="H64" s="325">
        <f t="shared" si="50"/>
        <v>112.45430809399478</v>
      </c>
      <c r="I64" s="6">
        <v>200</v>
      </c>
      <c r="J64" s="325">
        <f t="shared" si="51"/>
        <v>138.3116883116883</v>
      </c>
      <c r="K64" s="331">
        <f t="shared" si="52"/>
        <v>381.65484886469949</v>
      </c>
    </row>
    <row r="65" spans="1:11" ht="13.5">
      <c r="A65" s="293">
        <f>Gen!A30</f>
        <v>44216</v>
      </c>
      <c r="B65" s="19"/>
      <c r="C65" s="62">
        <v>150</v>
      </c>
      <c r="D65" s="325">
        <f t="shared" si="48"/>
        <v>108.5</v>
      </c>
      <c r="E65" s="6">
        <v>100</v>
      </c>
      <c r="F65" s="325">
        <f t="shared" si="49"/>
        <v>30.16393442622951</v>
      </c>
      <c r="G65" s="477">
        <v>150</v>
      </c>
      <c r="H65" s="325">
        <f t="shared" si="50"/>
        <v>57.180156657963444</v>
      </c>
      <c r="I65" s="6">
        <v>285</v>
      </c>
      <c r="J65" s="325">
        <f t="shared" si="51"/>
        <v>197.09415584415584</v>
      </c>
      <c r="K65" s="331">
        <f t="shared" si="52"/>
        <v>392.9382469283488</v>
      </c>
    </row>
    <row r="66" spans="1:11" ht="13.5">
      <c r="A66" s="293">
        <f>Gen!A31</f>
        <v>44217</v>
      </c>
      <c r="B66" s="19"/>
      <c r="C66" s="62">
        <v>170</v>
      </c>
      <c r="D66" s="325">
        <f t="shared" si="48"/>
        <v>122.96666666666667</v>
      </c>
      <c r="E66" s="6">
        <v>135</v>
      </c>
      <c r="F66" s="325">
        <f t="shared" si="49"/>
        <v>40.721311475409834</v>
      </c>
      <c r="G66" s="477">
        <v>165</v>
      </c>
      <c r="H66" s="325">
        <f t="shared" si="50"/>
        <v>62.898172323759788</v>
      </c>
      <c r="I66" s="6">
        <v>285</v>
      </c>
      <c r="J66" s="325">
        <f t="shared" si="51"/>
        <v>197.09415584415584</v>
      </c>
      <c r="K66" s="331">
        <f t="shared" si="52"/>
        <v>423.68030630999215</v>
      </c>
    </row>
    <row r="67" spans="1:11" ht="13.5">
      <c r="A67" s="293">
        <f>Gen!A32</f>
        <v>44218</v>
      </c>
      <c r="B67" s="19"/>
      <c r="C67" s="62">
        <v>139</v>
      </c>
      <c r="D67" s="325">
        <f t="shared" si="48"/>
        <v>100.54333333333334</v>
      </c>
      <c r="E67" s="6">
        <v>104</v>
      </c>
      <c r="F67" s="325">
        <f t="shared" si="49"/>
        <v>31.370491803278689</v>
      </c>
      <c r="G67" s="477">
        <v>300</v>
      </c>
      <c r="H67" s="325">
        <f t="shared" si="50"/>
        <v>114.36031331592689</v>
      </c>
      <c r="I67" s="6">
        <v>290</v>
      </c>
      <c r="J67" s="325">
        <f t="shared" si="51"/>
        <v>200.55194805194805</v>
      </c>
      <c r="K67" s="331">
        <f t="shared" si="52"/>
        <v>446.82608650448697</v>
      </c>
    </row>
    <row r="68" spans="1:11" ht="13.5">
      <c r="A68" s="293">
        <f>Gen!A33</f>
        <v>44219</v>
      </c>
      <c r="B68" s="19"/>
      <c r="C68" s="62">
        <v>265</v>
      </c>
      <c r="D68" s="325">
        <f t="shared" si="48"/>
        <v>191.68333333333334</v>
      </c>
      <c r="E68" s="6">
        <v>230</v>
      </c>
      <c r="F68" s="325">
        <f t="shared" si="49"/>
        <v>69.377049180327873</v>
      </c>
      <c r="G68" s="477">
        <v>155</v>
      </c>
      <c r="H68" s="325">
        <f t="shared" si="50"/>
        <v>59.086161879895563</v>
      </c>
      <c r="I68" s="6">
        <v>275</v>
      </c>
      <c r="J68" s="325">
        <f t="shared" si="51"/>
        <v>190.17857142857142</v>
      </c>
      <c r="K68" s="331">
        <f t="shared" si="52"/>
        <v>510.32511582212817</v>
      </c>
    </row>
    <row r="69" spans="1:11" ht="13.5">
      <c r="A69" s="293">
        <f>Gen!A34</f>
        <v>44220</v>
      </c>
      <c r="B69" s="19"/>
      <c r="C69" s="62">
        <v>196</v>
      </c>
      <c r="D69" s="325">
        <f t="shared" si="48"/>
        <v>141.77333333333334</v>
      </c>
      <c r="E69" s="6">
        <v>160</v>
      </c>
      <c r="F69" s="325">
        <f t="shared" si="49"/>
        <v>48.26229508196721</v>
      </c>
      <c r="G69" s="477">
        <v>300</v>
      </c>
      <c r="H69" s="325">
        <f t="shared" si="50"/>
        <v>114.36031331592689</v>
      </c>
      <c r="I69" s="6">
        <v>285</v>
      </c>
      <c r="J69" s="325">
        <f t="shared" si="51"/>
        <v>197.09415584415584</v>
      </c>
      <c r="K69" s="331">
        <f t="shared" si="52"/>
        <v>501.49009757538329</v>
      </c>
    </row>
    <row r="70" spans="1:11" ht="13.5">
      <c r="A70" s="293">
        <f>Gen!A35</f>
        <v>44221</v>
      </c>
      <c r="B70" s="19"/>
      <c r="C70" s="62">
        <v>250</v>
      </c>
      <c r="D70" s="325">
        <f t="shared" si="48"/>
        <v>180.83333333333334</v>
      </c>
      <c r="E70" s="6">
        <v>215</v>
      </c>
      <c r="F70" s="325">
        <f t="shared" si="49"/>
        <v>64.852459016393439</v>
      </c>
      <c r="G70" s="477">
        <v>255</v>
      </c>
      <c r="H70" s="325">
        <f t="shared" si="50"/>
        <v>97.206266318537857</v>
      </c>
      <c r="I70" s="6">
        <v>285</v>
      </c>
      <c r="J70" s="325">
        <f t="shared" si="51"/>
        <v>197.09415584415584</v>
      </c>
      <c r="K70" s="331">
        <f t="shared" si="52"/>
        <v>539.98621451242047</v>
      </c>
    </row>
    <row r="71" spans="1:11" ht="13.5">
      <c r="A71" s="293">
        <f>Gen!A36</f>
        <v>44222</v>
      </c>
      <c r="B71" s="19"/>
      <c r="C71" s="62">
        <v>300</v>
      </c>
      <c r="D71" s="325">
        <f t="shared" si="48"/>
        <v>217</v>
      </c>
      <c r="E71" s="6">
        <v>270</v>
      </c>
      <c r="F71" s="325">
        <f t="shared" si="49"/>
        <v>81.442622950819668</v>
      </c>
      <c r="G71" s="477">
        <v>230</v>
      </c>
      <c r="H71" s="325">
        <f t="shared" si="50"/>
        <v>87.676240208877289</v>
      </c>
      <c r="I71" s="6">
        <v>288</v>
      </c>
      <c r="J71" s="325">
        <f t="shared" si="51"/>
        <v>199.16883116883116</v>
      </c>
      <c r="K71" s="331">
        <f t="shared" si="52"/>
        <v>585.28769432852812</v>
      </c>
    </row>
    <row r="72" spans="1:11" ht="13.5">
      <c r="A72" s="293">
        <f>Gen!A37</f>
        <v>44223</v>
      </c>
      <c r="B72" s="19"/>
      <c r="C72" s="62">
        <v>265</v>
      </c>
      <c r="D72" s="325">
        <f t="shared" si="48"/>
        <v>191.68333333333334</v>
      </c>
      <c r="E72" s="6">
        <v>230</v>
      </c>
      <c r="F72" s="325">
        <f t="shared" si="49"/>
        <v>69.377049180327873</v>
      </c>
      <c r="G72" s="477">
        <v>170</v>
      </c>
      <c r="H72" s="325">
        <f t="shared" si="50"/>
        <v>64.8041775456919</v>
      </c>
      <c r="I72" s="6">
        <v>285</v>
      </c>
      <c r="J72" s="325">
        <f t="shared" si="51"/>
        <v>197.09415584415584</v>
      </c>
      <c r="K72" s="331">
        <f t="shared" si="52"/>
        <v>522.95871590350896</v>
      </c>
    </row>
    <row r="73" spans="1:11" ht="13.5">
      <c r="A73" s="293">
        <f>Gen!A38</f>
        <v>44224</v>
      </c>
      <c r="B73" s="19"/>
      <c r="C73" s="62">
        <v>135</v>
      </c>
      <c r="D73" s="325">
        <f t="shared" si="48"/>
        <v>97.65</v>
      </c>
      <c r="E73" s="6">
        <v>100</v>
      </c>
      <c r="F73" s="325">
        <f t="shared" si="49"/>
        <v>30.16393442622951</v>
      </c>
      <c r="G73" s="477">
        <v>108</v>
      </c>
      <c r="H73" s="325">
        <f t="shared" si="50"/>
        <v>41.16971279373368</v>
      </c>
      <c r="I73" s="6">
        <v>284</v>
      </c>
      <c r="J73" s="325">
        <f t="shared" si="51"/>
        <v>196.40259740259739</v>
      </c>
      <c r="K73" s="331">
        <f t="shared" si="52"/>
        <v>365.38624462256058</v>
      </c>
    </row>
    <row r="74" spans="1:11" ht="13.5">
      <c r="A74" s="293">
        <f>Gen!A39</f>
        <v>44225</v>
      </c>
      <c r="B74" s="19"/>
      <c r="C74" s="62">
        <v>210</v>
      </c>
      <c r="D74" s="325">
        <f t="shared" si="48"/>
        <v>151.9</v>
      </c>
      <c r="E74" s="6">
        <v>175</v>
      </c>
      <c r="F74" s="325">
        <f t="shared" si="49"/>
        <v>52.786885245901637</v>
      </c>
      <c r="G74" s="477">
        <v>80</v>
      </c>
      <c r="H74" s="325">
        <f t="shared" si="50"/>
        <v>30.496083550913838</v>
      </c>
      <c r="I74" s="6">
        <v>290</v>
      </c>
      <c r="J74" s="325">
        <f t="shared" si="51"/>
        <v>200.55194805194805</v>
      </c>
      <c r="K74" s="331">
        <f t="shared" si="52"/>
        <v>435.73491684876353</v>
      </c>
    </row>
    <row r="75" spans="1:11" ht="14.25" thickBot="1">
      <c r="A75" s="293">
        <f>Gen!A40</f>
        <v>44226</v>
      </c>
      <c r="B75" s="251"/>
      <c r="C75" s="62">
        <v>146</v>
      </c>
      <c r="D75" s="325">
        <f t="shared" si="48"/>
        <v>105.60666666666667</v>
      </c>
      <c r="E75" s="6">
        <v>110</v>
      </c>
      <c r="F75" s="325">
        <f t="shared" si="49"/>
        <v>33.180327868852459</v>
      </c>
      <c r="G75" s="477">
        <v>300</v>
      </c>
      <c r="H75" s="325">
        <f t="shared" si="50"/>
        <v>114.36031331592689</v>
      </c>
      <c r="I75" s="6">
        <v>290</v>
      </c>
      <c r="J75" s="325">
        <f t="shared" si="51"/>
        <v>200.55194805194805</v>
      </c>
      <c r="K75" s="331">
        <f t="shared" si="52"/>
        <v>453.69925590339403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7" t="s">
        <v>316</v>
      </c>
      <c r="B2" s="938"/>
      <c r="C2" s="938"/>
      <c r="D2" s="938"/>
      <c r="E2" s="939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0.11700000000000001</v>
      </c>
      <c r="D15" s="434">
        <f t="shared" si="2"/>
        <v>9.0090000000000003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0.16900000000000001</v>
      </c>
      <c r="D16" s="434">
        <f t="shared" si="2"/>
        <v>13.013000000000002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2.5999999999999999E-2</v>
      </c>
      <c r="D17" s="434">
        <f t="shared" si="2"/>
        <v>2.0019999999999998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3.9E-2</v>
      </c>
      <c r="D18" s="434">
        <f t="shared" si="2"/>
        <v>3.0030000000000001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>
        <f t="shared" si="3"/>
        <v>1551.1567903897449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5.1999999999999998E-2</v>
      </c>
      <c r="D19" s="434">
        <f t="shared" si="2"/>
        <v>4.0039999999999996</v>
      </c>
      <c r="E19" s="74"/>
      <c r="F19" s="70">
        <f>Gen!U25</f>
        <v>0.41934938892882823</v>
      </c>
      <c r="G19" s="85">
        <f>Gen!T25</f>
        <v>2782</v>
      </c>
      <c r="H19" s="85">
        <f>[1]Gen!AJ28</f>
        <v>227.73000000000002</v>
      </c>
      <c r="I19" s="85">
        <f t="shared" si="0"/>
        <v>3009.73</v>
      </c>
      <c r="J19" s="85">
        <f>[1]Gen!AT25</f>
        <v>42248.240000000034</v>
      </c>
      <c r="K19" s="69">
        <f>'Water-Meter'!E20</f>
        <v>78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6651051.8404999999</v>
      </c>
      <c r="R19" s="76">
        <f t="shared" si="3"/>
        <v>1048.6754155724327</v>
      </c>
      <c r="S19" s="438" t="e">
        <f t="shared" si="4"/>
        <v>#DIV/0!</v>
      </c>
      <c r="T19" s="76">
        <f t="shared" si="5"/>
        <v>5.0227272727272725</v>
      </c>
      <c r="U19" s="122">
        <f t="shared" si="6"/>
        <v>123.45088888896507</v>
      </c>
      <c r="V19" s="17">
        <f t="shared" si="7"/>
        <v>6651180.3141161613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1.2999999999999999E-2</v>
      </c>
      <c r="D20" s="434">
        <f t="shared" si="2"/>
        <v>1.0009999999999999</v>
      </c>
      <c r="E20" s="74"/>
      <c r="F20" s="70">
        <f>Gen!U26</f>
        <v>0.42870766835344487</v>
      </c>
      <c r="G20" s="85">
        <f>Gen!T26</f>
        <v>2569</v>
      </c>
      <c r="H20" s="85">
        <f>[1]Gen!AJ29</f>
        <v>88.289999999999992</v>
      </c>
      <c r="I20" s="85">
        <f t="shared" si="0"/>
        <v>2657.29</v>
      </c>
      <c r="J20" s="85">
        <f>[1]Gen!AT26</f>
        <v>39497.370000000032</v>
      </c>
      <c r="K20" s="69">
        <f>'Water-Meter'!E21</f>
        <v>51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5872212.3064999999</v>
      </c>
      <c r="R20" s="76">
        <f t="shared" si="3"/>
        <v>3703.5012377143062</v>
      </c>
      <c r="S20" s="438" t="e">
        <f t="shared" si="4"/>
        <v>#DIV/0!</v>
      </c>
      <c r="T20" s="76">
        <f t="shared" si="5"/>
        <v>3.2840909090909092</v>
      </c>
      <c r="U20" s="122">
        <f t="shared" si="6"/>
        <v>0</v>
      </c>
      <c r="V20" s="17">
        <f t="shared" si="7"/>
        <v>5872215.5905909091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7.8E-2</v>
      </c>
      <c r="D21" s="434">
        <f t="shared" si="2"/>
        <v>6.0060000000000002</v>
      </c>
      <c r="E21" s="74"/>
      <c r="F21" s="70">
        <f>Gen!U27</f>
        <v>0.42336850037678969</v>
      </c>
      <c r="G21" s="85">
        <f>Gen!T27</f>
        <v>2654</v>
      </c>
      <c r="H21" s="85">
        <f>[1]Gen!AJ30</f>
        <v>783.92</v>
      </c>
      <c r="I21" s="85">
        <f t="shared" si="0"/>
        <v>3437.92</v>
      </c>
      <c r="J21" s="85">
        <f>[1]Gen!AT27</f>
        <v>36688.350000000035</v>
      </c>
      <c r="K21" s="69">
        <f>'Water-Meter'!E22</f>
        <v>59</v>
      </c>
      <c r="L21" s="447">
        <f>'Lpg (2)'!G26</f>
        <v>60.191999999969269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7597287.5120000001</v>
      </c>
      <c r="R21" s="76">
        <f t="shared" si="3"/>
        <v>798.57931546567909</v>
      </c>
      <c r="S21" s="438" t="e">
        <f t="shared" si="4"/>
        <v>#DIV/0!</v>
      </c>
      <c r="T21" s="76">
        <f t="shared" si="5"/>
        <v>3.7992424242424243</v>
      </c>
      <c r="U21" s="122">
        <f t="shared" si="6"/>
        <v>74.593999999961923</v>
      </c>
      <c r="V21" s="17">
        <f t="shared" si="7"/>
        <v>7597365.9052424235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9.0999999999999998E-2</v>
      </c>
      <c r="D22" s="434">
        <f t="shared" si="2"/>
        <v>7.0069999999999997</v>
      </c>
      <c r="E22" s="74"/>
      <c r="F22" s="70">
        <f>Gen!U28</f>
        <v>0.43370511841100079</v>
      </c>
      <c r="G22" s="85">
        <f>Gen!T28</f>
        <v>2618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60</v>
      </c>
      <c r="L22" s="447">
        <f>'Lpg (2)'!G27</f>
        <v>-228.8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3.8636363636363638</v>
      </c>
      <c r="U22" s="122">
        <f t="shared" si="6"/>
        <v>-283.54444444444448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0.13</v>
      </c>
      <c r="D23" s="434">
        <f t="shared" si="2"/>
        <v>10.01</v>
      </c>
      <c r="E23" s="74"/>
      <c r="F23" s="70">
        <f>Gen!U29</f>
        <v>0.43793204238217021</v>
      </c>
      <c r="G23" s="85">
        <f>Gen!T29</f>
        <v>2737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68</v>
      </c>
      <c r="L23" s="447">
        <f>'Lpg (2)'!G28</f>
        <v>521.26800000000515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4.3787878787878789</v>
      </c>
      <c r="U23" s="122">
        <f t="shared" si="6"/>
        <v>645.99058333333971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6.5000000000000002E-2</v>
      </c>
      <c r="D24" s="434">
        <f t="shared" si="2"/>
        <v>5.0049999999999999</v>
      </c>
      <c r="E24" s="74"/>
      <c r="F24" s="70">
        <f>Gen!U30</f>
        <v>0.42095513748191027</v>
      </c>
      <c r="G24" s="85">
        <f>Gen!T30</f>
        <v>2764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75</v>
      </c>
      <c r="L24" s="447">
        <f>'Lpg (2)'!G29</f>
        <v>74.579999999987194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4.8295454545454541</v>
      </c>
      <c r="U24" s="122">
        <f t="shared" si="6"/>
        <v>92.424583333317457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5.1999999999999998E-2</v>
      </c>
      <c r="D25" s="434">
        <f t="shared" si="2"/>
        <v>4.0039999999999996</v>
      </c>
      <c r="E25" s="74"/>
      <c r="F25" s="70">
        <f>Gen!U31</f>
        <v>0.40893916349809883</v>
      </c>
      <c r="G25" s="85">
        <f>Gen!T31</f>
        <v>2630</v>
      </c>
      <c r="H25" s="85">
        <f>[1]Gen!AJ31</f>
        <v>172.05</v>
      </c>
      <c r="I25" s="85">
        <f t="shared" si="0"/>
        <v>2802.05</v>
      </c>
      <c r="J25" s="85">
        <f>[1]Gen!AT31</f>
        <v>41422.370000000032</v>
      </c>
      <c r="K25" s="69">
        <f>'Water-Meter'!E26</f>
        <v>60</v>
      </c>
      <c r="L25" s="447">
        <f>'Lpg (2)'!G30</f>
        <v>88.088000000017942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6192110.1924999999</v>
      </c>
      <c r="R25" s="76">
        <f t="shared" si="3"/>
        <v>976.31380496082215</v>
      </c>
      <c r="S25" s="438" t="e">
        <f t="shared" si="4"/>
        <v>#DIV/0!</v>
      </c>
      <c r="T25" s="76">
        <f t="shared" si="5"/>
        <v>3.8636363636363638</v>
      </c>
      <c r="U25" s="122">
        <f t="shared" si="6"/>
        <v>109.16461111113335</v>
      </c>
      <c r="V25" s="17">
        <f t="shared" si="7"/>
        <v>6192223.2207474746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2.5999999999999999E-2</v>
      </c>
      <c r="D26" s="434">
        <f t="shared" si="2"/>
        <v>2.0019999999999998</v>
      </c>
      <c r="E26" s="74"/>
      <c r="F26" s="70">
        <f>Gen!U32</f>
        <v>0.4296860095389507</v>
      </c>
      <c r="G26" s="85">
        <f>Gen!T32</f>
        <v>2516</v>
      </c>
      <c r="H26" s="85">
        <f>[1]Gen!AJ32</f>
        <v>18.63</v>
      </c>
      <c r="I26" s="85">
        <f t="shared" si="0"/>
        <v>2534.63</v>
      </c>
      <c r="J26" s="85">
        <f>[1]Gen!AT32</f>
        <v>38988.160000000033</v>
      </c>
      <c r="K26" s="69">
        <f>'Water-Meter'!E27</f>
        <v>56</v>
      </c>
      <c r="L26" s="447">
        <f>'Lpg (2)'!G31</f>
        <v>89.143999999976955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5601152.1054999996</v>
      </c>
      <c r="R26" s="76">
        <f t="shared" si="3"/>
        <v>1766.2741631789929</v>
      </c>
      <c r="S26" s="438" t="e">
        <f t="shared" si="4"/>
        <v>#DIV/0!</v>
      </c>
      <c r="T26" s="76">
        <f t="shared" si="5"/>
        <v>3.606060606060606</v>
      </c>
      <c r="U26" s="122">
        <f t="shared" si="6"/>
        <v>110.47327777774922</v>
      </c>
      <c r="V26" s="17">
        <f t="shared" si="7"/>
        <v>5601266.1848383835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3.9E-2</v>
      </c>
      <c r="D27" s="434">
        <f t="shared" si="2"/>
        <v>3.0030000000000001</v>
      </c>
      <c r="E27" s="74"/>
      <c r="F27" s="70">
        <f>Gen!U33</f>
        <v>0.44390199637023597</v>
      </c>
      <c r="G27" s="85">
        <f>Gen!T33</f>
        <v>2755</v>
      </c>
      <c r="H27" s="85">
        <f>[1]Gen!AJ33</f>
        <v>311.34000000000003</v>
      </c>
      <c r="I27" s="85">
        <f t="shared" si="0"/>
        <v>3066.34</v>
      </c>
      <c r="J27" s="85">
        <f>[1]Gen!AT33</f>
        <v>36682.670000000035</v>
      </c>
      <c r="K27" s="69">
        <f>'Water-Meter'!E28</f>
        <v>59</v>
      </c>
      <c r="L27" s="447">
        <f>'Lpg (2)'!G32</f>
        <v>81.840000000025611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6776151.449</v>
      </c>
      <c r="R27" s="76">
        <f t="shared" si="3"/>
        <v>1424.5332632434906</v>
      </c>
      <c r="S27" s="438" t="e">
        <f t="shared" si="4"/>
        <v>#DIV/0!</v>
      </c>
      <c r="T27" s="76">
        <f t="shared" si="5"/>
        <v>3.7992424242424243</v>
      </c>
      <c r="U27" s="122">
        <f t="shared" si="6"/>
        <v>101.4216666666984</v>
      </c>
      <c r="V27" s="17">
        <f t="shared" si="7"/>
        <v>6776256.6699090907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0.11700000000000001</v>
      </c>
      <c r="D28" s="434">
        <f t="shared" si="2"/>
        <v>9.0090000000000003</v>
      </c>
      <c r="E28" s="74"/>
      <c r="F28" s="70">
        <f>Gen!U34</f>
        <v>0.43341834927382217</v>
      </c>
      <c r="G28" s="85">
        <f>Gen!T34</f>
        <v>2823</v>
      </c>
      <c r="H28" s="85">
        <f>[1]Gen!AJ34</f>
        <v>380.7</v>
      </c>
      <c r="I28" s="85">
        <f t="shared" si="0"/>
        <v>3203.7</v>
      </c>
      <c r="J28" s="85">
        <f>[1]Gen!AT34</f>
        <v>44223.030000000035</v>
      </c>
      <c r="K28" s="69">
        <f>'Water-Meter'!E29</f>
        <v>69</v>
      </c>
      <c r="L28" s="447">
        <f>'Lpg (2)'!G33</f>
        <v>79.111999999982075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7079696.4449999994</v>
      </c>
      <c r="R28" s="76">
        <f t="shared" si="3"/>
        <v>496.1155879053606</v>
      </c>
      <c r="S28" s="438" t="e">
        <f t="shared" si="4"/>
        <v>#DIV/0!</v>
      </c>
      <c r="T28" s="76">
        <f t="shared" si="5"/>
        <v>4.4431818181818183</v>
      </c>
      <c r="U28" s="122">
        <f t="shared" si="6"/>
        <v>98.040944444422237</v>
      </c>
      <c r="V28" s="17">
        <f t="shared" si="7"/>
        <v>7079798.9291262617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0.13</v>
      </c>
      <c r="D29" s="434">
        <f t="shared" si="2"/>
        <v>10.01</v>
      </c>
      <c r="E29" s="74"/>
      <c r="F29" s="70">
        <f>Gen!U35</f>
        <v>0.44308844507845935</v>
      </c>
      <c r="G29" s="85">
        <f>Gen!T35</f>
        <v>2804</v>
      </c>
      <c r="H29" s="85">
        <f>[1]Gen!AJ35</f>
        <v>273.37</v>
      </c>
      <c r="I29" s="85">
        <f t="shared" si="0"/>
        <v>3077.37</v>
      </c>
      <c r="J29" s="85">
        <f>[1]Gen!AT35</f>
        <v>41629.060000000034</v>
      </c>
      <c r="K29" s="69">
        <f>'Water-Meter'!E30</f>
        <v>61</v>
      </c>
      <c r="L29" s="447">
        <f>'Lpg (2)'!G34</f>
        <v>96.624000000028175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6800526.0944999997</v>
      </c>
      <c r="R29" s="76">
        <f t="shared" si="3"/>
        <v>428.89724508446096</v>
      </c>
      <c r="S29" s="438" t="e">
        <f t="shared" si="4"/>
        <v>#DIV/0!</v>
      </c>
      <c r="T29" s="76">
        <f t="shared" si="5"/>
        <v>3.9280303030303032</v>
      </c>
      <c r="U29" s="122">
        <f t="shared" si="6"/>
        <v>119.74300000003491</v>
      </c>
      <c r="V29" s="17">
        <f t="shared" si="7"/>
        <v>6800649.7655303022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0.20799999999999999</v>
      </c>
      <c r="D30" s="434">
        <f t="shared" si="2"/>
        <v>16.015999999999998</v>
      </c>
      <c r="E30" s="74"/>
      <c r="F30" s="70">
        <f>Gen!U36</f>
        <v>0.40698138747884943</v>
      </c>
      <c r="G30" s="85">
        <f>Gen!T36</f>
        <v>2955</v>
      </c>
      <c r="H30" s="85">
        <f>[1]Gen!AJ36</f>
        <v>396.56</v>
      </c>
      <c r="I30" s="85">
        <f t="shared" si="0"/>
        <v>3351.56</v>
      </c>
      <c r="J30" s="85">
        <f>[1]Gen!AT36</f>
        <v>39251.170000000035</v>
      </c>
      <c r="K30" s="69">
        <f>'Water-Meter'!E31</f>
        <v>74</v>
      </c>
      <c r="L30" s="447">
        <f>'Lpg (2)'!G35</f>
        <v>87.339999999961591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7406444.8659999995</v>
      </c>
      <c r="R30" s="76">
        <f t="shared" si="3"/>
        <v>291.94467409169113</v>
      </c>
      <c r="S30" s="438" t="e">
        <f t="shared" si="4"/>
        <v>#DIV/0!</v>
      </c>
      <c r="T30" s="76">
        <f t="shared" si="5"/>
        <v>4.7651515151515156</v>
      </c>
      <c r="U30" s="122">
        <f t="shared" si="6"/>
        <v>108.23763888884129</v>
      </c>
      <c r="V30" s="17">
        <f t="shared" si="7"/>
        <v>7406557.8687904039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7.8E-2</v>
      </c>
      <c r="D31" s="434">
        <f t="shared" si="2"/>
        <v>6.0060000000000002</v>
      </c>
      <c r="E31" s="74"/>
      <c r="F31" s="70">
        <f>Gen!U37</f>
        <v>0.42095846645367407</v>
      </c>
      <c r="G31" s="85">
        <f>Gen!T37</f>
        <v>2817</v>
      </c>
      <c r="H31" s="85">
        <f>[1]Gen!AJ37</f>
        <v>280.63</v>
      </c>
      <c r="I31" s="85">
        <f t="shared" si="0"/>
        <v>3097.63</v>
      </c>
      <c r="J31" s="85">
        <f>[1]Gen!AT37</f>
        <v>36384.370000000032</v>
      </c>
      <c r="K31" s="69">
        <f>'Water-Meter'!E32</f>
        <v>68</v>
      </c>
      <c r="L31" s="447">
        <f>'Lpg (2)'!G36</f>
        <v>89.495999999984647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6845297.6555000003</v>
      </c>
      <c r="R31" s="76">
        <f t="shared" si="3"/>
        <v>719.5348480959276</v>
      </c>
      <c r="S31" s="438" t="e">
        <f t="shared" si="4"/>
        <v>#DIV/0!</v>
      </c>
      <c r="T31" s="76">
        <f t="shared" si="5"/>
        <v>4.3787878787878789</v>
      </c>
      <c r="U31" s="122">
        <f t="shared" si="6"/>
        <v>110.90949999998098</v>
      </c>
      <c r="V31" s="17">
        <f t="shared" si="7"/>
        <v>6845412.9437878793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>
        <f>Gen!U38</f>
        <v>0.42743608473338202</v>
      </c>
      <c r="G32" s="85">
        <f>Gen!T38</f>
        <v>2738</v>
      </c>
      <c r="H32" s="85">
        <f>[1]Gen!AJ38</f>
        <v>0</v>
      </c>
      <c r="I32" s="85">
        <f t="shared" si="0"/>
        <v>2738</v>
      </c>
      <c r="J32" s="85">
        <f>[1]Gen!AT38</f>
        <v>33780.000000000029</v>
      </c>
      <c r="K32" s="69">
        <f>'Water-Meter'!E33</f>
        <v>55</v>
      </c>
      <c r="L32" s="447">
        <f>'Lpg (2)'!G37</f>
        <v>93.368000000005125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6050569.2999999998</v>
      </c>
      <c r="R32" s="76" t="e">
        <f t="shared" si="3"/>
        <v>#DIV/0!</v>
      </c>
      <c r="S32" s="438" t="e">
        <f t="shared" si="4"/>
        <v>#DIV/0!</v>
      </c>
      <c r="T32" s="76">
        <f t="shared" si="5"/>
        <v>3.5416666666666665</v>
      </c>
      <c r="U32" s="122">
        <f t="shared" si="6"/>
        <v>115.7079444444508</v>
      </c>
      <c r="V32" s="17">
        <f t="shared" si="7"/>
        <v>6050688.5496111112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>
        <f>Gen!U39</f>
        <v>0.4167245747376041</v>
      </c>
      <c r="G33" s="85">
        <f>Gen!T39</f>
        <v>2763</v>
      </c>
      <c r="H33" s="85">
        <f>[1]Gen!AJ39</f>
        <v>0</v>
      </c>
      <c r="I33" s="85">
        <f t="shared" si="0"/>
        <v>2763</v>
      </c>
      <c r="J33" s="85">
        <f>[1]Gen!AT39</f>
        <v>33780.000000000029</v>
      </c>
      <c r="K33" s="69">
        <f>'Water-Meter'!E34</f>
        <v>60</v>
      </c>
      <c r="L33" s="447">
        <f>'Lpg (2)'!G38</f>
        <v>88.660000000038423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6105815.5499999998</v>
      </c>
      <c r="R33" s="76" t="e">
        <f t="shared" si="3"/>
        <v>#DIV/0!</v>
      </c>
      <c r="S33" s="438" t="e">
        <f t="shared" si="4"/>
        <v>#DIV/0!</v>
      </c>
      <c r="T33" s="76">
        <f t="shared" si="5"/>
        <v>3.8636363636363638</v>
      </c>
      <c r="U33" s="122">
        <f t="shared" si="6"/>
        <v>109.87347222226984</v>
      </c>
      <c r="V33" s="17">
        <f t="shared" si="7"/>
        <v>6105929.2871085852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 t="str">
        <f>'Water-Meter'!E35</f>
        <v>0</v>
      </c>
      <c r="L34" s="447">
        <f>'Lpg (2)'!G39</f>
        <v>87.075999999971827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107.91047222218731</v>
      </c>
      <c r="V34" s="17">
        <f t="shared" si="7"/>
        <v>107.91047222218731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-328572.59600000002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-407189.39769444452</v>
      </c>
      <c r="V35" s="17">
        <f t="shared" si="7"/>
        <v>-407189.39769444452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2127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0" t="s">
        <v>180</v>
      </c>
      <c r="B1" s="941"/>
      <c r="C1" s="941"/>
      <c r="D1" s="941"/>
      <c r="E1" s="941"/>
      <c r="F1" s="941"/>
      <c r="G1" s="942"/>
    </row>
    <row r="2" spans="1:7" ht="13.5" thickBot="1">
      <c r="A2" s="300"/>
      <c r="B2" s="943" t="s">
        <v>175</v>
      </c>
      <c r="C2" s="944"/>
      <c r="D2" s="945"/>
      <c r="E2" s="943" t="s">
        <v>176</v>
      </c>
      <c r="F2" s="944"/>
      <c r="G2" s="945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0" t="s">
        <v>230</v>
      </c>
      <c r="B1" s="941"/>
      <c r="C1" s="941"/>
      <c r="D1" s="941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4">
        <v>8470098</v>
      </c>
      <c r="D36" s="392">
        <f t="shared" si="1"/>
        <v>15727</v>
      </c>
      <c r="E36" s="794">
        <v>15726.66</v>
      </c>
      <c r="F36" s="488">
        <f t="shared" si="2"/>
        <v>0.34000000000014552</v>
      </c>
      <c r="G36" s="489">
        <f t="shared" si="3"/>
        <v>270861</v>
      </c>
      <c r="H36" s="794">
        <v>271447</v>
      </c>
      <c r="I36" s="269">
        <f t="shared" si="4"/>
        <v>586</v>
      </c>
      <c r="J36" s="794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6"/>
      <c r="C76" s="947"/>
      <c r="D76" s="947"/>
      <c r="E76" s="948"/>
      <c r="H76" s="946"/>
      <c r="I76" s="947"/>
      <c r="J76" s="947"/>
      <c r="K76" s="947"/>
      <c r="L76" s="948"/>
    </row>
    <row r="77" spans="1:12">
      <c r="B77" s="949"/>
      <c r="C77" s="950"/>
      <c r="D77" s="950"/>
      <c r="E77" s="951"/>
      <c r="H77" s="949"/>
      <c r="I77" s="950"/>
      <c r="J77" s="950"/>
      <c r="K77" s="950"/>
      <c r="L77" s="951"/>
    </row>
    <row r="78" spans="1:12">
      <c r="B78" s="949"/>
      <c r="C78" s="950"/>
      <c r="D78" s="950"/>
      <c r="E78" s="951"/>
      <c r="H78" s="949"/>
      <c r="I78" s="950"/>
      <c r="J78" s="950"/>
      <c r="K78" s="950"/>
      <c r="L78" s="951"/>
    </row>
    <row r="79" spans="1:12">
      <c r="B79" s="949"/>
      <c r="C79" s="950"/>
      <c r="D79" s="950"/>
      <c r="E79" s="951"/>
      <c r="H79" s="949"/>
      <c r="I79" s="950"/>
      <c r="J79" s="950"/>
      <c r="K79" s="950"/>
      <c r="L79" s="951"/>
    </row>
    <row r="80" spans="1:12">
      <c r="B80" s="949"/>
      <c r="C80" s="950"/>
      <c r="D80" s="950"/>
      <c r="E80" s="951"/>
      <c r="H80" s="949"/>
      <c r="I80" s="950"/>
      <c r="J80" s="950"/>
      <c r="K80" s="950"/>
      <c r="L80" s="951"/>
    </row>
    <row r="81" spans="2:12">
      <c r="B81" s="949"/>
      <c r="C81" s="950"/>
      <c r="D81" s="950"/>
      <c r="E81" s="951"/>
      <c r="H81" s="949"/>
      <c r="I81" s="950"/>
      <c r="J81" s="950"/>
      <c r="K81" s="950"/>
      <c r="L81" s="951"/>
    </row>
    <row r="82" spans="2:12">
      <c r="B82" s="949"/>
      <c r="C82" s="950"/>
      <c r="D82" s="950"/>
      <c r="E82" s="951"/>
      <c r="H82" s="949"/>
      <c r="I82" s="950"/>
      <c r="J82" s="950"/>
      <c r="K82" s="950"/>
      <c r="L82" s="951"/>
    </row>
    <row r="83" spans="2:12">
      <c r="B83" s="949"/>
      <c r="C83" s="950"/>
      <c r="D83" s="950"/>
      <c r="E83" s="951"/>
      <c r="H83" s="949"/>
      <c r="I83" s="950"/>
      <c r="J83" s="950"/>
      <c r="K83" s="950"/>
      <c r="L83" s="951"/>
    </row>
    <row r="84" spans="2:12">
      <c r="B84" s="949"/>
      <c r="C84" s="950"/>
      <c r="D84" s="950"/>
      <c r="E84" s="951"/>
      <c r="H84" s="949"/>
      <c r="I84" s="950"/>
      <c r="J84" s="950"/>
      <c r="K84" s="950"/>
      <c r="L84" s="951"/>
    </row>
    <row r="85" spans="2:12">
      <c r="B85" s="949"/>
      <c r="C85" s="950"/>
      <c r="D85" s="950"/>
      <c r="E85" s="951"/>
      <c r="H85" s="949"/>
      <c r="I85" s="950"/>
      <c r="J85" s="950"/>
      <c r="K85" s="950"/>
      <c r="L85" s="951"/>
    </row>
    <row r="86" spans="2:12">
      <c r="B86" s="949"/>
      <c r="C86" s="950"/>
      <c r="D86" s="950"/>
      <c r="E86" s="951"/>
      <c r="H86" s="949"/>
      <c r="I86" s="950"/>
      <c r="J86" s="950"/>
      <c r="K86" s="950"/>
      <c r="L86" s="951"/>
    </row>
    <row r="87" spans="2:12">
      <c r="B87" s="949"/>
      <c r="C87" s="950"/>
      <c r="D87" s="950"/>
      <c r="E87" s="951"/>
      <c r="H87" s="949"/>
      <c r="I87" s="950"/>
      <c r="J87" s="950"/>
      <c r="K87" s="950"/>
      <c r="L87" s="951"/>
    </row>
    <row r="88" spans="2:12">
      <c r="B88" s="949"/>
      <c r="C88" s="950"/>
      <c r="D88" s="950"/>
      <c r="E88" s="951"/>
      <c r="H88" s="949"/>
      <c r="I88" s="950"/>
      <c r="J88" s="950"/>
      <c r="K88" s="950"/>
      <c r="L88" s="951"/>
    </row>
    <row r="89" spans="2:12">
      <c r="B89" s="949"/>
      <c r="C89" s="950"/>
      <c r="D89" s="950"/>
      <c r="E89" s="951"/>
      <c r="H89" s="949"/>
      <c r="I89" s="950"/>
      <c r="J89" s="950"/>
      <c r="K89" s="950"/>
      <c r="L89" s="951"/>
    </row>
    <row r="90" spans="2:12" ht="13.5" thickBot="1">
      <c r="B90" s="952"/>
      <c r="C90" s="953"/>
      <c r="D90" s="953"/>
      <c r="E90" s="954"/>
      <c r="H90" s="952"/>
      <c r="I90" s="953"/>
      <c r="J90" s="953"/>
      <c r="K90" s="953"/>
      <c r="L90" s="954"/>
    </row>
    <row r="91" spans="2:12">
      <c r="B91" s="955" t="s">
        <v>312</v>
      </c>
      <c r="C91" s="956"/>
      <c r="D91" s="956"/>
      <c r="E91" s="957"/>
      <c r="H91" s="955" t="s">
        <v>313</v>
      </c>
      <c r="I91" s="956"/>
      <c r="J91" s="956"/>
      <c r="K91" s="956"/>
      <c r="L91" s="957"/>
    </row>
    <row r="92" spans="2:12">
      <c r="B92" s="958"/>
      <c r="C92" s="959"/>
      <c r="D92" s="959"/>
      <c r="E92" s="960"/>
      <c r="H92" s="958"/>
      <c r="I92" s="959"/>
      <c r="J92" s="959"/>
      <c r="K92" s="959"/>
      <c r="L92" s="960"/>
    </row>
    <row r="93" spans="2:12" ht="13.5" thickBot="1">
      <c r="B93" s="961"/>
      <c r="C93" s="962"/>
      <c r="D93" s="962"/>
      <c r="E93" s="963"/>
      <c r="H93" s="961"/>
      <c r="I93" s="962"/>
      <c r="J93" s="962"/>
      <c r="K93" s="962"/>
      <c r="L93" s="96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L26" sqref="L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4" t="s">
        <v>254</v>
      </c>
      <c r="B1" s="964"/>
      <c r="C1" s="964"/>
      <c r="D1" s="964"/>
      <c r="E1" s="964"/>
      <c r="F1" s="964"/>
      <c r="G1" s="964"/>
      <c r="H1" s="964"/>
      <c r="I1" s="964"/>
      <c r="J1" s="964"/>
    </row>
    <row r="2" spans="1:10" ht="19.5" thickBot="1">
      <c r="A2" s="973">
        <f>A5</f>
        <v>44197</v>
      </c>
      <c r="B2" s="974"/>
      <c r="C2" s="974"/>
      <c r="D2" s="974"/>
      <c r="E2" s="974"/>
      <c r="F2" s="974"/>
      <c r="G2" s="974"/>
      <c r="H2" s="974"/>
      <c r="I2" s="974"/>
      <c r="J2" s="974"/>
    </row>
    <row r="3" spans="1:10" ht="15.75" thickBot="1">
      <c r="A3" s="965" t="s">
        <v>7</v>
      </c>
      <c r="B3" s="967" t="s">
        <v>255</v>
      </c>
      <c r="C3" s="440"/>
      <c r="D3" s="969" t="s">
        <v>256</v>
      </c>
      <c r="E3" s="970"/>
      <c r="F3" s="971" t="s">
        <v>257</v>
      </c>
      <c r="G3" s="972"/>
      <c r="H3" s="970"/>
      <c r="I3" s="971" t="s">
        <v>258</v>
      </c>
      <c r="J3" s="970"/>
    </row>
    <row r="4" spans="1:10" ht="30.75" thickBot="1">
      <c r="A4" s="966"/>
      <c r="B4" s="968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240</v>
      </c>
      <c r="J5" s="395">
        <f>'Kit report'!X4</f>
        <v>879.99999999992724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227.99999999995634</v>
      </c>
      <c r="J6" s="395">
        <f>'Kit report'!X5</f>
        <v>580.00000000010914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240</v>
      </c>
      <c r="J7" s="395">
        <f>'Kit report'!X6</f>
        <v>500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203.99999999986903</v>
      </c>
      <c r="J8" s="395">
        <f>'Kit report'!X7</f>
        <v>639.99999999996362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228.00000000017462</v>
      </c>
      <c r="J9" s="395">
        <f>'Kit report'!X8</f>
        <v>460.00000000003638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227.99999999995634</v>
      </c>
      <c r="J10" s="395">
        <f>'Kit report'!X9</f>
        <v>559.99999999985448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540.00000000014552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600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216.00000000013097</v>
      </c>
      <c r="J13" s="395">
        <f>'Kit report'!X12</f>
        <v>559.99999999985448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227.99999999995634</v>
      </c>
      <c r="J14" s="395">
        <f>'Kit report'!X13</f>
        <v>360.00000000003638</v>
      </c>
    </row>
    <row r="15" spans="1:10" ht="17.100000000000001" customHeight="1" thickBot="1">
      <c r="A15" s="217">
        <f>Gen!A21</f>
        <v>44207</v>
      </c>
      <c r="B15" s="399">
        <f>Gen!B21</f>
        <v>0.11700000000000001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240</v>
      </c>
      <c r="J15" s="395">
        <f>'Kit report'!X14</f>
        <v>0</v>
      </c>
    </row>
    <row r="16" spans="1:10" ht="17.100000000000001" customHeight="1" thickBot="1">
      <c r="A16" s="217">
        <f>Gen!A22</f>
        <v>44208</v>
      </c>
      <c r="B16" s="399">
        <f>Gen!B22</f>
        <v>0.16900000000000001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215.99999999991269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2.5999999999999999E-2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-215.99999999991269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3.9E-2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455.99999999991269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5.1999999999999998E-2</v>
      </c>
      <c r="C19" s="443">
        <f>Gen!AJ25</f>
        <v>219.1</v>
      </c>
      <c r="D19" s="444">
        <f>Gen!S25</f>
        <v>1166.6300000000001</v>
      </c>
      <c r="E19" s="395">
        <f>Gen!C25</f>
        <v>45664.450000000004</v>
      </c>
      <c r="F19" s="396">
        <f>'Water-Meter'!E20</f>
        <v>78</v>
      </c>
      <c r="G19" s="397">
        <f>'Water-Meter'!AN20</f>
        <v>43</v>
      </c>
      <c r="H19" s="395">
        <f>'Utility report '!AC20</f>
        <v>45</v>
      </c>
      <c r="I19" s="394">
        <f>'Kit report'!F18</f>
        <v>287.99999999995634</v>
      </c>
      <c r="J19" s="395">
        <f>'Kit report'!X18</f>
        <v>460.00000000003638</v>
      </c>
    </row>
    <row r="20" spans="1:10" ht="17.100000000000001" customHeight="1" thickBot="1">
      <c r="A20" s="217">
        <f>Gen!A26</f>
        <v>44212</v>
      </c>
      <c r="B20" s="399">
        <f>Gen!B26</f>
        <v>1.2999999999999999E-2</v>
      </c>
      <c r="C20" s="443">
        <f>Gen!AJ26</f>
        <v>103.14</v>
      </c>
      <c r="D20" s="444">
        <f>Gen!S26</f>
        <v>1101.3499999999999</v>
      </c>
      <c r="E20" s="395">
        <f>Gen!C26</f>
        <v>44278.720000000001</v>
      </c>
      <c r="F20" s="396">
        <f>'Water-Meter'!E21</f>
        <v>51</v>
      </c>
      <c r="G20" s="397">
        <f>'Water-Meter'!AN21</f>
        <v>44</v>
      </c>
      <c r="H20" s="395">
        <f>'Utility report '!AC21</f>
        <v>47</v>
      </c>
      <c r="I20" s="394">
        <f>'Kit report'!F19</f>
        <v>276.00000000013097</v>
      </c>
      <c r="J20" s="395">
        <f>'Kit report'!X19</f>
        <v>179.99999999992724</v>
      </c>
    </row>
    <row r="21" spans="1:10" ht="15.75" thickBot="1">
      <c r="A21" s="217">
        <f>Gen!A27</f>
        <v>44213</v>
      </c>
      <c r="B21" s="399">
        <f>Gen!B27</f>
        <v>7.8E-2</v>
      </c>
      <c r="C21" s="443">
        <f>Gen!AJ27</f>
        <v>0</v>
      </c>
      <c r="D21" s="444">
        <f>Gen!S27</f>
        <v>1123.6199999999999</v>
      </c>
      <c r="E21" s="395">
        <f>Gen!C27</f>
        <v>43074.23</v>
      </c>
      <c r="F21" s="396">
        <f>'Water-Meter'!E22</f>
        <v>59</v>
      </c>
      <c r="G21" s="397">
        <f>'Water-Meter'!AN22</f>
        <v>42</v>
      </c>
      <c r="H21" s="395">
        <f>'Utility report '!AC22</f>
        <v>33</v>
      </c>
      <c r="I21" s="394">
        <f>'Kit report'!F20</f>
        <v>227.99999999995634</v>
      </c>
      <c r="J21" s="395">
        <f>'Kit report'!X20</f>
        <v>380.00000000010914</v>
      </c>
    </row>
    <row r="22" spans="1:10" ht="15" customHeight="1" thickBot="1">
      <c r="A22" s="217">
        <f>Gen!A28</f>
        <v>44214</v>
      </c>
      <c r="B22" s="399">
        <f>Gen!B28</f>
        <v>9.0999999999999998E-2</v>
      </c>
      <c r="C22" s="443">
        <f>Gen!AJ28</f>
        <v>0</v>
      </c>
      <c r="D22" s="444">
        <f>Gen!S28</f>
        <v>1135.44</v>
      </c>
      <c r="E22" s="395">
        <f>Gen!C28</f>
        <v>41950.61</v>
      </c>
      <c r="F22" s="396">
        <f>'Water-Meter'!E23</f>
        <v>60</v>
      </c>
      <c r="G22" s="397">
        <f>'Water-Meter'!AN23</f>
        <v>43</v>
      </c>
      <c r="H22" s="395">
        <f>'Utility report '!AC23</f>
        <v>121</v>
      </c>
      <c r="I22" s="394">
        <f>'Kit report'!F21</f>
        <v>240</v>
      </c>
      <c r="J22" s="395">
        <f>'Kit report'!X21</f>
        <v>319.99999999989086</v>
      </c>
    </row>
    <row r="23" spans="1:10" ht="15" customHeight="1" thickBot="1">
      <c r="A23" s="217">
        <f>Gen!A29</f>
        <v>44215</v>
      </c>
      <c r="B23" s="399">
        <f>Gen!B29</f>
        <v>0.13</v>
      </c>
      <c r="C23" s="443">
        <f>Gen!AJ29</f>
        <v>92</v>
      </c>
      <c r="D23" s="444">
        <f>Gen!S29</f>
        <v>1198.6199999999999</v>
      </c>
      <c r="E23" s="395">
        <f>Gen!C29</f>
        <v>40815.17</v>
      </c>
      <c r="F23" s="396">
        <f>'Water-Meter'!E24</f>
        <v>68</v>
      </c>
      <c r="G23" s="397">
        <f>'Water-Meter'!AN24</f>
        <v>112</v>
      </c>
      <c r="H23" s="395">
        <f>'Utility report '!AC24</f>
        <v>54</v>
      </c>
      <c r="I23" s="394">
        <f>'Kit report'!F22</f>
        <v>240</v>
      </c>
      <c r="J23" s="395">
        <f>'Kit report'!X22</f>
        <v>380.00000000010914</v>
      </c>
    </row>
    <row r="24" spans="1:10" ht="15" customHeight="1" thickBot="1">
      <c r="A24" s="217">
        <f>Gen!A30</f>
        <v>44216</v>
      </c>
      <c r="B24" s="399">
        <f>Gen!B30</f>
        <v>6.5000000000000002E-2</v>
      </c>
      <c r="C24" s="443">
        <f>Gen!AJ30</f>
        <v>628.11</v>
      </c>
      <c r="D24" s="444">
        <f>Gen!S30</f>
        <v>1163.52</v>
      </c>
      <c r="E24" s="395">
        <f>Gen!C30</f>
        <v>39524.549999999996</v>
      </c>
      <c r="F24" s="396">
        <f>'Water-Meter'!E25</f>
        <v>75</v>
      </c>
      <c r="G24" s="397">
        <f>'Water-Meter'!AN25</f>
        <v>134</v>
      </c>
      <c r="H24" s="395">
        <f>'Utility report '!AC25</f>
        <v>79</v>
      </c>
      <c r="I24" s="394">
        <f>'Kit report'!F23</f>
        <v>240</v>
      </c>
      <c r="J24" s="395">
        <f>'Kit report'!X23</f>
        <v>259.99999999985448</v>
      </c>
    </row>
    <row r="25" spans="1:10" ht="15" customHeight="1" thickBot="1">
      <c r="A25" s="217">
        <f>Gen!A31</f>
        <v>44217</v>
      </c>
      <c r="B25" s="399">
        <f>Gen!B31</f>
        <v>5.1999999999999998E-2</v>
      </c>
      <c r="C25" s="443">
        <f>Gen!AJ31</f>
        <v>0</v>
      </c>
      <c r="D25" s="444">
        <f>Gen!S31</f>
        <v>1075.51</v>
      </c>
      <c r="E25" s="395">
        <f>Gen!C31</f>
        <v>37732.92</v>
      </c>
      <c r="F25" s="396">
        <f>'Water-Meter'!E26</f>
        <v>60</v>
      </c>
      <c r="G25" s="397">
        <f>'Water-Meter'!AN26</f>
        <v>125</v>
      </c>
      <c r="H25" s="395">
        <f>'Utility report '!AC26</f>
        <v>117</v>
      </c>
      <c r="I25" s="394">
        <f>'Kit report'!F24</f>
        <v>227.99999999995634</v>
      </c>
      <c r="J25" s="395">
        <f>'Kit report'!X24</f>
        <v>260.00000000003638</v>
      </c>
    </row>
    <row r="26" spans="1:10" ht="15" customHeight="1" thickBot="1">
      <c r="A26" s="217">
        <f>Gen!A32</f>
        <v>44218</v>
      </c>
      <c r="B26" s="399">
        <f>Gen!B32</f>
        <v>2.5999999999999999E-2</v>
      </c>
      <c r="C26" s="443">
        <f>Gen!AJ32</f>
        <v>234.67000000000002</v>
      </c>
      <c r="D26" s="444">
        <f>Gen!S32</f>
        <v>1081.0899999999999</v>
      </c>
      <c r="E26" s="395">
        <f>Gen!C32</f>
        <v>36657.409999999996</v>
      </c>
      <c r="F26" s="396">
        <f>'Water-Meter'!E27</f>
        <v>56</v>
      </c>
      <c r="G26" s="397">
        <f>'Water-Meter'!AN27</f>
        <v>117</v>
      </c>
      <c r="H26" s="395">
        <f>'Utility report '!AC27</f>
        <v>0</v>
      </c>
      <c r="I26" s="394">
        <f>'Kit report'!F25</f>
        <v>240</v>
      </c>
      <c r="J26" s="395">
        <f>'Kit report'!X25</f>
        <v>339.99999999996362</v>
      </c>
    </row>
    <row r="27" spans="1:10" ht="15" customHeight="1" thickBot="1">
      <c r="A27" s="217">
        <f>Gen!A33</f>
        <v>44219</v>
      </c>
      <c r="B27" s="399">
        <f>Gen!B33</f>
        <v>3.9E-2</v>
      </c>
      <c r="C27" s="443">
        <f>Gen!AJ33</f>
        <v>0</v>
      </c>
      <c r="D27" s="444">
        <f>Gen!S33</f>
        <v>1222.95</v>
      </c>
      <c r="E27" s="395">
        <f>Gen!C33</f>
        <v>35341.649999999994</v>
      </c>
      <c r="F27" s="396">
        <f>'Water-Meter'!E28</f>
        <v>59</v>
      </c>
      <c r="G27" s="397">
        <f>'Water-Meter'!AN28</f>
        <v>122</v>
      </c>
      <c r="H27" s="395">
        <f>'Utility report '!AC28</f>
        <v>160</v>
      </c>
      <c r="I27" s="394">
        <f>'Kit report'!F26</f>
        <v>240</v>
      </c>
      <c r="J27" s="395">
        <f>'Kit report'!X26</f>
        <v>240.00000000014552</v>
      </c>
    </row>
    <row r="28" spans="1:10" ht="15" customHeight="1" thickBot="1">
      <c r="A28" s="217">
        <f>Gen!A34</f>
        <v>44220</v>
      </c>
      <c r="B28" s="399">
        <f>Gen!B34</f>
        <v>0.11700000000000001</v>
      </c>
      <c r="C28" s="443">
        <f>Gen!AJ34</f>
        <v>37.9</v>
      </c>
      <c r="D28" s="444">
        <f>Gen!S34</f>
        <v>1223.54</v>
      </c>
      <c r="E28" s="395">
        <f>Gen!C34</f>
        <v>34118.699999999997</v>
      </c>
      <c r="F28" s="396">
        <f>'Water-Meter'!E29</f>
        <v>69</v>
      </c>
      <c r="G28" s="397">
        <f>'Water-Meter'!AN29</f>
        <v>124</v>
      </c>
      <c r="H28" s="395">
        <f>'Utility report '!AC29</f>
        <v>38</v>
      </c>
      <c r="I28" s="394">
        <f>'Kit report'!F27</f>
        <v>240</v>
      </c>
      <c r="J28" s="395">
        <f>'Kit report'!X27</f>
        <v>459.99999999985448</v>
      </c>
    </row>
    <row r="29" spans="1:10" ht="15" customHeight="1" thickBot="1">
      <c r="A29" s="217">
        <f>Gen!A35</f>
        <v>44221</v>
      </c>
      <c r="B29" s="399">
        <f>Gen!B35</f>
        <v>0.13</v>
      </c>
      <c r="C29" s="443">
        <f>Gen!AJ35</f>
        <v>125.51</v>
      </c>
      <c r="D29" s="444">
        <f>Gen!S35</f>
        <v>1242.42</v>
      </c>
      <c r="E29" s="395">
        <f>Gen!C35</f>
        <v>32857.259999999995</v>
      </c>
      <c r="F29" s="396">
        <f>'Water-Meter'!E30</f>
        <v>61</v>
      </c>
      <c r="G29" s="397">
        <f>'Water-Meter'!AN30</f>
        <v>122</v>
      </c>
      <c r="H29" s="395">
        <f>'Utility report '!AC30</f>
        <v>48</v>
      </c>
      <c r="I29" s="394">
        <f>'Kit report'!F28</f>
        <v>264.00000000008731</v>
      </c>
      <c r="J29" s="395">
        <f>'Kit report'!X28</f>
        <v>100</v>
      </c>
    </row>
    <row r="30" spans="1:10" ht="15" customHeight="1" thickBot="1">
      <c r="A30" s="217">
        <f>Gen!A36</f>
        <v>44222</v>
      </c>
      <c r="B30" s="399">
        <f>Gen!B36</f>
        <v>0.20799999999999999</v>
      </c>
      <c r="C30" s="443">
        <f>Gen!AJ36</f>
        <v>38.6</v>
      </c>
      <c r="D30" s="444">
        <f>Gen!S36</f>
        <v>1202.6300000000001</v>
      </c>
      <c r="E30" s="395">
        <f>Gen!C36</f>
        <v>31489.329999999994</v>
      </c>
      <c r="F30" s="396">
        <f>'Water-Meter'!E31</f>
        <v>74</v>
      </c>
      <c r="G30" s="397">
        <f>'Water-Meter'!AN31</f>
        <v>52</v>
      </c>
      <c r="H30" s="395">
        <f>'Utility report '!AC31</f>
        <v>50</v>
      </c>
      <c r="I30" s="394">
        <f>'Kit report'!F29</f>
        <v>240</v>
      </c>
      <c r="J30" s="395">
        <f>'Kit report'!X29</f>
        <v>340.00000000014552</v>
      </c>
    </row>
    <row r="31" spans="1:10" ht="15" customHeight="1" thickBot="1">
      <c r="A31" s="217">
        <f>Gen!A37</f>
        <v>44223</v>
      </c>
      <c r="B31" s="399">
        <f>Gen!B37</f>
        <v>7.8E-2</v>
      </c>
      <c r="C31" s="443">
        <f>Gen!AJ37</f>
        <v>142</v>
      </c>
      <c r="D31" s="444">
        <f>Gen!S37</f>
        <v>1185.8399999999999</v>
      </c>
      <c r="E31" s="395">
        <f>Gen!C37</f>
        <v>30248.099999999995</v>
      </c>
      <c r="F31" s="396">
        <f>'Water-Meter'!E32</f>
        <v>68</v>
      </c>
      <c r="G31" s="397">
        <f>'Water-Meter'!AN32</f>
        <v>42</v>
      </c>
      <c r="H31" s="395">
        <f>'Utility report '!AC32</f>
        <v>46</v>
      </c>
      <c r="I31" s="394">
        <f>'Kit report'!F30</f>
        <v>252.00000000004366</v>
      </c>
      <c r="J31" s="395">
        <f>'Kit report'!X30</f>
        <v>259.99999999985448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1170.32</v>
      </c>
      <c r="E32" s="395">
        <f>Gen!C38</f>
        <v>43920.259999999995</v>
      </c>
      <c r="F32" s="396">
        <f>'Water-Meter'!E33</f>
        <v>55</v>
      </c>
      <c r="G32" s="397">
        <f>'Water-Meter'!AN33</f>
        <v>43</v>
      </c>
      <c r="H32" s="395">
        <f>'Utility report '!AC33</f>
        <v>42</v>
      </c>
      <c r="I32" s="394">
        <f>'Kit report'!F31</f>
        <v>240</v>
      </c>
      <c r="J32" s="395">
        <f>'Kit report'!X31</f>
        <v>400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42.62</v>
      </c>
      <c r="D33" s="444">
        <f>Gen!S39</f>
        <v>1151.4100000000001</v>
      </c>
      <c r="E33" s="395">
        <f>Gen!C39</f>
        <v>42749.939999999995</v>
      </c>
      <c r="F33" s="396">
        <f>'Water-Meter'!E34</f>
        <v>60</v>
      </c>
      <c r="G33" s="397">
        <f>'Water-Meter'!AN34</f>
        <v>128</v>
      </c>
      <c r="H33" s="395">
        <f>'Utility report '!AC34</f>
        <v>157</v>
      </c>
      <c r="I33" s="394">
        <f>'Kit report'!F32</f>
        <v>240</v>
      </c>
      <c r="J33" s="395">
        <f>'Kit report'!X32</f>
        <v>300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41555.909999999996</v>
      </c>
      <c r="F34" s="396" t="str">
        <f>'Water-Meter'!E35</f>
        <v>0</v>
      </c>
      <c r="G34" s="397">
        <f>'Water-Meter'!AN35</f>
        <v>0</v>
      </c>
      <c r="H34" s="395">
        <f>'Utility report '!AC35</f>
        <v>-45672</v>
      </c>
      <c r="I34" s="394">
        <f>'Kit report'!F33</f>
        <v>-1088844</v>
      </c>
      <c r="J34" s="395">
        <f>'Kit report'!X33</f>
        <v>-1596980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41555.909999999996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41555.909999999996</v>
      </c>
      <c r="F36" s="396">
        <f>'Water-Meter'!E37</f>
        <v>0</v>
      </c>
      <c r="G36" s="397">
        <f>'Water-Meter'!AN37</f>
        <v>1151</v>
      </c>
      <c r="H36" s="395">
        <f>'Utility report '!AC37</f>
        <v>0</v>
      </c>
      <c r="I36" s="394">
        <f>'Kit report'!F35</f>
        <v>707.99999999995634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2021-01-30T05:33:12Z</dcterms:modified>
</cp:coreProperties>
</file>