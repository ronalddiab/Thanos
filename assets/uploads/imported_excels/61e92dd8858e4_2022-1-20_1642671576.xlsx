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8_{2202A8E8-812D-48E5-A5C5-54D0D8B0C1DF}" xr6:coauthVersionLast="47" xr6:coauthVersionMax="47" xr10:uidLastSave="{00000000-0000-0000-0000-000000000000}"/>
  <bookViews>
    <workbookView xWindow="-120" yWindow="-120" windowWidth="20730" windowHeight="11160" tabRatio="762" xr2:uid="{00000000-000D-0000-FFFF-FFFF00000000}"/>
  </bookViews>
  <sheets>
    <sheet name="TOTAL" sheetId="11" r:id="rId1"/>
    <sheet name="FS Jimbaran December 2021" sheetId="14" r:id="rId2"/>
    <sheet name="Sheet1" sheetId="16" r:id="rId3"/>
    <sheet name="RNs &amp; Covers December 2021" sheetId="10" r:id="rId4"/>
    <sheet name="Residence Electricity Dec 2021" sheetId="1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3" i="14" l="1"/>
  <c r="Q46" i="14"/>
  <c r="U35" i="16"/>
  <c r="U34" i="16"/>
  <c r="U33" i="16"/>
  <c r="U32" i="16"/>
  <c r="U31" i="16"/>
  <c r="U30" i="16"/>
  <c r="U29" i="16"/>
  <c r="U28" i="16"/>
  <c r="U27" i="16"/>
  <c r="U26" i="16"/>
  <c r="U25" i="16"/>
  <c r="U24" i="16"/>
  <c r="U23" i="16"/>
  <c r="U22" i="16"/>
  <c r="U21" i="16"/>
  <c r="U20" i="16"/>
  <c r="U19" i="16"/>
  <c r="U18" i="16"/>
  <c r="U17" i="16"/>
  <c r="U16" i="16"/>
  <c r="U15" i="16"/>
  <c r="U14" i="16"/>
  <c r="U13" i="16"/>
  <c r="U12" i="16"/>
  <c r="U11" i="16"/>
  <c r="U10" i="16"/>
  <c r="U9" i="16"/>
  <c r="U8" i="16"/>
  <c r="U7" i="16"/>
  <c r="U6" i="16"/>
  <c r="U5" i="16"/>
  <c r="S35" i="16"/>
  <c r="S34" i="16"/>
  <c r="S33" i="16"/>
  <c r="S32" i="16"/>
  <c r="S31" i="16"/>
  <c r="S30" i="16"/>
  <c r="S29" i="16"/>
  <c r="S28" i="16"/>
  <c r="S27" i="16"/>
  <c r="S26" i="16"/>
  <c r="S25" i="16"/>
  <c r="S24" i="16"/>
  <c r="S23" i="16"/>
  <c r="S22" i="16"/>
  <c r="S21" i="16"/>
  <c r="S20" i="16"/>
  <c r="S19" i="16"/>
  <c r="S18" i="16"/>
  <c r="S17" i="16"/>
  <c r="S16" i="16"/>
  <c r="S15" i="16"/>
  <c r="S14" i="16"/>
  <c r="S13" i="16"/>
  <c r="S12" i="16"/>
  <c r="S11" i="16"/>
  <c r="S10" i="16"/>
  <c r="S9" i="16"/>
  <c r="S8" i="16"/>
  <c r="S7" i="16"/>
  <c r="S6" i="16"/>
  <c r="S5" i="16"/>
  <c r="Q35" i="16"/>
  <c r="Q34" i="16"/>
  <c r="Q33" i="16"/>
  <c r="Q32" i="16"/>
  <c r="Q31" i="16"/>
  <c r="Q30" i="16"/>
  <c r="Q29" i="16"/>
  <c r="Q28" i="16"/>
  <c r="Q27" i="16"/>
  <c r="Q26" i="16"/>
  <c r="Q25" i="16"/>
  <c r="Q24" i="16"/>
  <c r="Q23" i="16"/>
  <c r="Q22" i="16"/>
  <c r="Q21" i="16"/>
  <c r="Q20" i="16"/>
  <c r="Q19" i="16"/>
  <c r="Q18" i="16"/>
  <c r="Q17" i="16"/>
  <c r="Q16" i="16"/>
  <c r="Q15" i="16"/>
  <c r="Q14" i="16"/>
  <c r="Q13" i="16"/>
  <c r="Q12" i="16"/>
  <c r="Q11" i="16"/>
  <c r="Q10" i="16"/>
  <c r="Q9" i="16"/>
  <c r="Q8" i="16"/>
  <c r="Q7" i="16"/>
  <c r="Q6" i="16"/>
  <c r="Q5" i="16"/>
  <c r="O35" i="16"/>
  <c r="O34" i="16"/>
  <c r="O33" i="16"/>
  <c r="O32" i="16"/>
  <c r="O31" i="16"/>
  <c r="O30" i="16"/>
  <c r="O29" i="16"/>
  <c r="O28" i="16"/>
  <c r="O27" i="16"/>
  <c r="O26" i="16"/>
  <c r="O25" i="16"/>
  <c r="O24" i="16"/>
  <c r="O23" i="16"/>
  <c r="O22" i="16"/>
  <c r="O21" i="16"/>
  <c r="O20" i="16"/>
  <c r="O19" i="16"/>
  <c r="O18" i="16"/>
  <c r="O17" i="16"/>
  <c r="O16" i="16"/>
  <c r="O15" i="16"/>
  <c r="O14" i="16"/>
  <c r="O13" i="16"/>
  <c r="O12" i="16"/>
  <c r="O11" i="16"/>
  <c r="O10" i="16"/>
  <c r="O9" i="16"/>
  <c r="O8" i="16"/>
  <c r="O7" i="16"/>
  <c r="O6" i="16"/>
  <c r="O5" i="16"/>
  <c r="M35" i="16"/>
  <c r="M34" i="16"/>
  <c r="M33" i="16"/>
  <c r="M32" i="16"/>
  <c r="M31" i="16"/>
  <c r="M30" i="16"/>
  <c r="M29" i="16"/>
  <c r="M28" i="16"/>
  <c r="M27" i="16"/>
  <c r="M26" i="16"/>
  <c r="M25" i="16"/>
  <c r="M24" i="16"/>
  <c r="M23" i="16"/>
  <c r="M22" i="16"/>
  <c r="M21" i="16"/>
  <c r="M20" i="16"/>
  <c r="M19" i="16"/>
  <c r="M18" i="16"/>
  <c r="M17" i="16"/>
  <c r="M16" i="16"/>
  <c r="M15" i="16"/>
  <c r="M14" i="16"/>
  <c r="M13" i="16"/>
  <c r="M12" i="16"/>
  <c r="M11" i="16"/>
  <c r="M10" i="16"/>
  <c r="M9" i="16"/>
  <c r="M8" i="16"/>
  <c r="M7" i="16"/>
  <c r="M6" i="16"/>
  <c r="M5" i="16"/>
  <c r="K35" i="16"/>
  <c r="K34" i="16"/>
  <c r="K33" i="16"/>
  <c r="K32" i="16"/>
  <c r="K31" i="16"/>
  <c r="K30" i="16"/>
  <c r="K29" i="16"/>
  <c r="K28" i="16"/>
  <c r="K27" i="16"/>
  <c r="K26" i="16"/>
  <c r="K25" i="16"/>
  <c r="K24" i="16"/>
  <c r="K23" i="16"/>
  <c r="K22" i="16"/>
  <c r="K21" i="16"/>
  <c r="K20" i="16"/>
  <c r="K19" i="16"/>
  <c r="K18" i="16"/>
  <c r="K17" i="16"/>
  <c r="K16" i="16"/>
  <c r="K15" i="16"/>
  <c r="K14" i="16"/>
  <c r="K13" i="16"/>
  <c r="K12" i="16"/>
  <c r="K11" i="16"/>
  <c r="K10" i="16"/>
  <c r="K9" i="16"/>
  <c r="K8" i="16"/>
  <c r="K7" i="16"/>
  <c r="K6" i="16"/>
  <c r="K5" i="16"/>
  <c r="I35" i="16"/>
  <c r="I34" i="16"/>
  <c r="I33" i="16"/>
  <c r="I32" i="16"/>
  <c r="I31" i="16"/>
  <c r="I30" i="16"/>
  <c r="I29" i="16"/>
  <c r="I28" i="16"/>
  <c r="I27" i="16"/>
  <c r="I26" i="16"/>
  <c r="I25" i="16"/>
  <c r="I24" i="16"/>
  <c r="I23" i="16"/>
  <c r="I22" i="16"/>
  <c r="I21" i="16"/>
  <c r="I20" i="16"/>
  <c r="I19" i="16"/>
  <c r="I18" i="16"/>
  <c r="I17" i="16"/>
  <c r="I16" i="16"/>
  <c r="I15" i="16"/>
  <c r="I14" i="16"/>
  <c r="I13" i="16"/>
  <c r="I12" i="16"/>
  <c r="I11" i="16"/>
  <c r="I10" i="16"/>
  <c r="I9" i="16"/>
  <c r="I8" i="16"/>
  <c r="I7" i="16"/>
  <c r="I6" i="16"/>
  <c r="I5" i="16"/>
  <c r="G35" i="16"/>
  <c r="G34" i="16"/>
  <c r="G33" i="16"/>
  <c r="G32" i="16"/>
  <c r="G31" i="16"/>
  <c r="G30" i="16"/>
  <c r="G29" i="16"/>
  <c r="G28" i="16"/>
  <c r="G27" i="16"/>
  <c r="G26" i="16"/>
  <c r="G25" i="16"/>
  <c r="G24" i="16"/>
  <c r="G23" i="16"/>
  <c r="G22" i="16"/>
  <c r="G21" i="16"/>
  <c r="G20" i="16"/>
  <c r="G19" i="16"/>
  <c r="G18" i="16"/>
  <c r="G17" i="16"/>
  <c r="G16" i="16"/>
  <c r="G15" i="16"/>
  <c r="G14" i="16"/>
  <c r="G13" i="16"/>
  <c r="G12" i="16"/>
  <c r="G11" i="16"/>
  <c r="G10" i="16"/>
  <c r="G9" i="16"/>
  <c r="G8" i="16"/>
  <c r="G7" i="16"/>
  <c r="G6" i="16"/>
  <c r="G5" i="16"/>
  <c r="E35" i="16"/>
  <c r="E34" i="16"/>
  <c r="E33" i="16"/>
  <c r="E32" i="16"/>
  <c r="E31" i="16"/>
  <c r="E30" i="16"/>
  <c r="E29" i="16"/>
  <c r="E28" i="16"/>
  <c r="E27" i="16"/>
  <c r="E26" i="16"/>
  <c r="E25" i="16"/>
  <c r="E24" i="16"/>
  <c r="E23" i="16"/>
  <c r="E22" i="16"/>
  <c r="E21" i="16"/>
  <c r="E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E6" i="16"/>
  <c r="E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5" i="16"/>
  <c r="V5" i="16" s="1"/>
  <c r="W5" i="16" s="1"/>
  <c r="V26" i="16" l="1"/>
  <c r="W26" i="16" s="1"/>
  <c r="V10" i="16"/>
  <c r="W10" i="16" s="1"/>
  <c r="V19" i="16"/>
  <c r="W19" i="16" s="1"/>
  <c r="V34" i="16"/>
  <c r="W34" i="16" s="1"/>
  <c r="V18" i="16"/>
  <c r="W18" i="16" s="1"/>
  <c r="V33" i="16"/>
  <c r="W33" i="16" s="1"/>
  <c r="V25" i="16"/>
  <c r="W25" i="16" s="1"/>
  <c r="V17" i="16"/>
  <c r="W17" i="16" s="1"/>
  <c r="V9" i="16"/>
  <c r="W9" i="16" s="1"/>
  <c r="V11" i="16"/>
  <c r="W11" i="16" s="1"/>
  <c r="V16" i="16"/>
  <c r="W16" i="16" s="1"/>
  <c r="V8" i="16"/>
  <c r="W8" i="16" s="1"/>
  <c r="V15" i="16"/>
  <c r="W15" i="16" s="1"/>
  <c r="V35" i="16"/>
  <c r="W35" i="16" s="1"/>
  <c r="V24" i="16"/>
  <c r="W24" i="16" s="1"/>
  <c r="V23" i="16"/>
  <c r="W23" i="16" s="1"/>
  <c r="V30" i="16"/>
  <c r="W30" i="16" s="1"/>
  <c r="V14" i="16"/>
  <c r="W14" i="16" s="1"/>
  <c r="V12" i="16"/>
  <c r="W12" i="16" s="1"/>
  <c r="V28" i="16"/>
  <c r="W28" i="16" s="1"/>
  <c r="U36" i="16"/>
  <c r="V27" i="16"/>
  <c r="W27" i="16" s="1"/>
  <c r="V32" i="16"/>
  <c r="W32" i="16" s="1"/>
  <c r="V31" i="16"/>
  <c r="W31" i="16" s="1"/>
  <c r="V7" i="16"/>
  <c r="W7" i="16" s="1"/>
  <c r="V22" i="16"/>
  <c r="W22" i="16" s="1"/>
  <c r="V6" i="16"/>
  <c r="W6" i="16" s="1"/>
  <c r="V20" i="16"/>
  <c r="W20" i="16" s="1"/>
  <c r="V29" i="16"/>
  <c r="W29" i="16" s="1"/>
  <c r="V21" i="16"/>
  <c r="W21" i="16" s="1"/>
  <c r="V13" i="16"/>
  <c r="W13" i="16" s="1"/>
  <c r="O36" i="16"/>
  <c r="G36" i="16"/>
  <c r="I36" i="16"/>
  <c r="Q36" i="16"/>
  <c r="E36" i="16"/>
  <c r="M36" i="16"/>
  <c r="S36" i="16"/>
  <c r="K36" i="16"/>
  <c r="C36" i="16"/>
  <c r="V36" i="16" l="1"/>
  <c r="AK46" i="14"/>
  <c r="AL46" i="14" s="1"/>
  <c r="AJ46" i="14"/>
  <c r="AI42" i="14"/>
  <c r="AH46" i="14"/>
  <c r="AI46" i="14" s="1"/>
  <c r="AF46" i="14"/>
  <c r="AE46" i="14"/>
  <c r="M46" i="14"/>
  <c r="L46" i="14"/>
  <c r="K46" i="14"/>
  <c r="J46" i="14"/>
  <c r="H46" i="14"/>
  <c r="G46" i="14"/>
  <c r="F46" i="14"/>
  <c r="E46" i="14"/>
  <c r="C46" i="14"/>
  <c r="D46" i="14"/>
  <c r="Z46" i="14"/>
  <c r="Y46" i="14"/>
  <c r="W46" i="14"/>
  <c r="E29" i="15" l="1"/>
  <c r="R46" i="14" s="1"/>
  <c r="E28" i="15"/>
  <c r="AL42" i="14"/>
  <c r="AG42" i="14"/>
  <c r="AA42" i="14"/>
  <c r="AB42" i="14" s="1"/>
  <c r="V42" i="14"/>
  <c r="P42" i="14"/>
  <c r="N42" i="14"/>
  <c r="I42" i="14"/>
  <c r="E32" i="11" l="1"/>
  <c r="S42" i="14"/>
  <c r="O42" i="14"/>
  <c r="T42" i="14" s="1"/>
  <c r="F32" i="11"/>
  <c r="G32" i="11"/>
  <c r="H32" i="11"/>
  <c r="I32" i="11"/>
  <c r="J32" i="11"/>
  <c r="K32" i="11"/>
  <c r="L32" i="11"/>
  <c r="M32" i="11"/>
  <c r="N32" i="11"/>
  <c r="C37" i="10" l="1"/>
  <c r="B37" i="10"/>
  <c r="AA12" i="14" l="1"/>
  <c r="AA13" i="14"/>
  <c r="AA14" i="14"/>
  <c r="AA15" i="14"/>
  <c r="AA16" i="14"/>
  <c r="AA17" i="14"/>
  <c r="AA18" i="14"/>
  <c r="AA19" i="14"/>
  <c r="AA20" i="14"/>
  <c r="AA21" i="14"/>
  <c r="AA22" i="14"/>
  <c r="AA23" i="14"/>
  <c r="AA24" i="14"/>
  <c r="AA25" i="14"/>
  <c r="AA26" i="14"/>
  <c r="AA27" i="14"/>
  <c r="AA28" i="14"/>
  <c r="AA29" i="14"/>
  <c r="AA30" i="14"/>
  <c r="AA31" i="14"/>
  <c r="AG12" i="14" l="1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2" i="11"/>
  <c r="AG41" i="14" l="1"/>
  <c r="AG32" i="14"/>
  <c r="AG33" i="14"/>
  <c r="AG34" i="14"/>
  <c r="AG35" i="14"/>
  <c r="AG36" i="14"/>
  <c r="AG37" i="14"/>
  <c r="AG38" i="14"/>
  <c r="AG39" i="14"/>
  <c r="AG40" i="14"/>
  <c r="AG46" i="14" l="1"/>
  <c r="N32" i="14"/>
  <c r="N33" i="14"/>
  <c r="N34" i="14"/>
  <c r="N35" i="14"/>
  <c r="N36" i="14"/>
  <c r="N37" i="14"/>
  <c r="N38" i="14"/>
  <c r="N39" i="14"/>
  <c r="N40" i="14"/>
  <c r="N41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12" i="14"/>
  <c r="N46" i="14" l="1"/>
  <c r="AI40" i="14"/>
  <c r="AL40" i="14"/>
  <c r="AL41" i="14"/>
  <c r="AI41" i="14"/>
  <c r="AA40" i="14"/>
  <c r="AB40" i="14" s="1"/>
  <c r="AA41" i="14"/>
  <c r="AB41" i="14" s="1"/>
  <c r="V40" i="14"/>
  <c r="V41" i="14"/>
  <c r="P40" i="14"/>
  <c r="P41" i="14"/>
  <c r="I40" i="14"/>
  <c r="I41" i="14"/>
  <c r="E31" i="11" l="1"/>
  <c r="S41" i="14"/>
  <c r="E30" i="11"/>
  <c r="S40" i="14"/>
  <c r="O41" i="14"/>
  <c r="O40" i="14"/>
  <c r="G30" i="11"/>
  <c r="H30" i="11"/>
  <c r="I30" i="11"/>
  <c r="J30" i="11"/>
  <c r="K30" i="11"/>
  <c r="L30" i="11"/>
  <c r="G31" i="11"/>
  <c r="H31" i="11"/>
  <c r="I31" i="11"/>
  <c r="J31" i="11"/>
  <c r="K31" i="11"/>
  <c r="L31" i="11"/>
  <c r="F31" i="11" l="1"/>
  <c r="T41" i="14"/>
  <c r="F30" i="11"/>
  <c r="T40" i="14"/>
  <c r="V33" i="14"/>
  <c r="V34" i="14"/>
  <c r="V35" i="14"/>
  <c r="V36" i="14"/>
  <c r="V37" i="14"/>
  <c r="V38" i="14"/>
  <c r="V39" i="14"/>
  <c r="V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 l="1"/>
  <c r="AL32" i="14"/>
  <c r="AL33" i="14"/>
  <c r="AL34" i="14"/>
  <c r="AL35" i="14"/>
  <c r="AL36" i="14"/>
  <c r="AL37" i="14"/>
  <c r="AL38" i="14"/>
  <c r="AL39" i="14"/>
  <c r="AI31" i="14"/>
  <c r="AI32" i="14"/>
  <c r="AI33" i="14"/>
  <c r="AI34" i="14"/>
  <c r="AI35" i="14"/>
  <c r="AI36" i="14"/>
  <c r="AI37" i="14"/>
  <c r="AI38" i="14"/>
  <c r="AI39" i="14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A32" i="14"/>
  <c r="AA33" i="14"/>
  <c r="AA34" i="14"/>
  <c r="AA35" i="14"/>
  <c r="AA36" i="14"/>
  <c r="AA37" i="14"/>
  <c r="AA38" i="14"/>
  <c r="AA39" i="14"/>
  <c r="V31" i="14"/>
  <c r="K21" i="11" s="1"/>
  <c r="V32" i="14"/>
  <c r="K22" i="11" s="1"/>
  <c r="K23" i="11"/>
  <c r="K24" i="11"/>
  <c r="K25" i="11"/>
  <c r="K26" i="11"/>
  <c r="K27" i="11"/>
  <c r="K28" i="11"/>
  <c r="K29" i="11"/>
  <c r="I39" i="14"/>
  <c r="I38" i="14"/>
  <c r="I37" i="14"/>
  <c r="O37" i="14" s="1"/>
  <c r="T37" i="14" s="1"/>
  <c r="I36" i="14"/>
  <c r="I35" i="14"/>
  <c r="O35" i="14" s="1"/>
  <c r="T35" i="14" s="1"/>
  <c r="I34" i="14"/>
  <c r="I33" i="14"/>
  <c r="I32" i="14"/>
  <c r="I31" i="14"/>
  <c r="AA46" i="14" l="1"/>
  <c r="O32" i="14"/>
  <c r="T32" i="14" s="1"/>
  <c r="O39" i="14"/>
  <c r="T39" i="14" s="1"/>
  <c r="O33" i="14"/>
  <c r="T33" i="14" s="1"/>
  <c r="O34" i="14"/>
  <c r="T34" i="14" s="1"/>
  <c r="O36" i="14"/>
  <c r="T36" i="14" s="1"/>
  <c r="O38" i="14"/>
  <c r="T38" i="14" s="1"/>
  <c r="O31" i="14"/>
  <c r="T31" i="14" s="1"/>
  <c r="L29" i="11"/>
  <c r="AB39" i="14"/>
  <c r="L27" i="11"/>
  <c r="AB37" i="14"/>
  <c r="L25" i="11"/>
  <c r="AB35" i="14"/>
  <c r="L23" i="11"/>
  <c r="AB33" i="14"/>
  <c r="L21" i="11"/>
  <c r="AB31" i="14"/>
  <c r="P31" i="14"/>
  <c r="P32" i="14"/>
  <c r="P33" i="14"/>
  <c r="P34" i="14"/>
  <c r="P35" i="14"/>
  <c r="P36" i="14"/>
  <c r="P37" i="14"/>
  <c r="P38" i="14"/>
  <c r="P39" i="14"/>
  <c r="L28" i="11"/>
  <c r="AB38" i="14"/>
  <c r="L26" i="11"/>
  <c r="AB36" i="14"/>
  <c r="L24" i="11"/>
  <c r="AB34" i="14"/>
  <c r="L22" i="11"/>
  <c r="AB32" i="14"/>
  <c r="E26" i="11" l="1"/>
  <c r="S36" i="14"/>
  <c r="E23" i="11"/>
  <c r="S33" i="14"/>
  <c r="E24" i="11"/>
  <c r="S34" i="14"/>
  <c r="E25" i="11"/>
  <c r="S35" i="14"/>
  <c r="E29" i="11"/>
  <c r="S39" i="14"/>
  <c r="E21" i="11"/>
  <c r="S31" i="14"/>
  <c r="E28" i="11"/>
  <c r="S38" i="14"/>
  <c r="E22" i="11"/>
  <c r="S32" i="14"/>
  <c r="E27" i="11"/>
  <c r="S37" i="14"/>
  <c r="F28" i="11"/>
  <c r="F26" i="11"/>
  <c r="F24" i="11"/>
  <c r="F22" i="11"/>
  <c r="F29" i="11"/>
  <c r="F27" i="11"/>
  <c r="F25" i="11"/>
  <c r="F23" i="11"/>
  <c r="F21" i="11"/>
  <c r="V30" i="14" l="1"/>
  <c r="V29" i="14"/>
  <c r="V28" i="14"/>
  <c r="V27" i="14"/>
  <c r="V26" i="14"/>
  <c r="V25" i="14"/>
  <c r="V23" i="14"/>
  <c r="V22" i="14"/>
  <c r="V21" i="14"/>
  <c r="V20" i="14"/>
  <c r="V19" i="14"/>
  <c r="V18" i="14"/>
  <c r="V17" i="14"/>
  <c r="V16" i="14"/>
  <c r="V15" i="14"/>
  <c r="V14" i="14"/>
  <c r="V13" i="14"/>
  <c r="V12" i="14"/>
  <c r="V46" i="14" l="1"/>
  <c r="K9" i="1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6" i="14"/>
  <c r="J20" i="11"/>
  <c r="I30" i="14"/>
  <c r="AL29" i="14"/>
  <c r="I29" i="14"/>
  <c r="AL28" i="14"/>
  <c r="I28" i="14"/>
  <c r="I27" i="14"/>
  <c r="AL26" i="14"/>
  <c r="AI26" i="14"/>
  <c r="I26" i="14"/>
  <c r="AL25" i="14"/>
  <c r="I15" i="11"/>
  <c r="P25" i="14"/>
  <c r="AL24" i="14"/>
  <c r="K14" i="11"/>
  <c r="I24" i="14"/>
  <c r="AL23" i="14"/>
  <c r="P23" i="14"/>
  <c r="I22" i="14"/>
  <c r="P21" i="14"/>
  <c r="AL20" i="14"/>
  <c r="AB20" i="14"/>
  <c r="I20" i="14"/>
  <c r="I9" i="11"/>
  <c r="AB19" i="14"/>
  <c r="AL18" i="14"/>
  <c r="P18" i="14"/>
  <c r="I18" i="14"/>
  <c r="AL17" i="14"/>
  <c r="I7" i="11"/>
  <c r="P17" i="14"/>
  <c r="AL16" i="14"/>
  <c r="K6" i="11"/>
  <c r="I16" i="14"/>
  <c r="AL15" i="14"/>
  <c r="P15" i="14"/>
  <c r="AL13" i="14"/>
  <c r="K2" i="11"/>
  <c r="I12" i="14"/>
  <c r="E15" i="11" l="1"/>
  <c r="S25" i="14"/>
  <c r="E7" i="11"/>
  <c r="S17" i="14"/>
  <c r="E5" i="11"/>
  <c r="S15" i="14"/>
  <c r="E13" i="11"/>
  <c r="S23" i="14"/>
  <c r="E11" i="11"/>
  <c r="S21" i="14"/>
  <c r="E8" i="11"/>
  <c r="S18" i="14"/>
  <c r="H11" i="11"/>
  <c r="H5" i="11"/>
  <c r="G2" i="11"/>
  <c r="H7" i="11"/>
  <c r="H13" i="11"/>
  <c r="H3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O29" i="14"/>
  <c r="T29" i="14" s="1"/>
  <c r="O27" i="14"/>
  <c r="T27" i="14" s="1"/>
  <c r="G20" i="11"/>
  <c r="O20" i="14"/>
  <c r="T20" i="14" s="1"/>
  <c r="O30" i="14"/>
  <c r="T30" i="14" s="1"/>
  <c r="G15" i="11"/>
  <c r="G14" i="11"/>
  <c r="O28" i="14"/>
  <c r="T28" i="14" s="1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O24" i="14"/>
  <c r="T24" i="14" s="1"/>
  <c r="P27" i="14"/>
  <c r="P29" i="14"/>
  <c r="P30" i="14"/>
  <c r="J16" i="11"/>
  <c r="J8" i="11"/>
  <c r="K3" i="11"/>
  <c r="G6" i="11"/>
  <c r="I12" i="11"/>
  <c r="I4" i="11"/>
  <c r="J15" i="11"/>
  <c r="I19" i="14"/>
  <c r="O19" i="14" s="1"/>
  <c r="T19" i="14" s="1"/>
  <c r="G12" i="11"/>
  <c r="G4" i="11"/>
  <c r="I18" i="11"/>
  <c r="K16" i="11"/>
  <c r="K8" i="11"/>
  <c r="P14" i="14"/>
  <c r="P20" i="14"/>
  <c r="P22" i="14"/>
  <c r="G19" i="11"/>
  <c r="I17" i="11"/>
  <c r="K15" i="11"/>
  <c r="K7" i="11"/>
  <c r="L10" i="11"/>
  <c r="P13" i="14"/>
  <c r="I10" i="11"/>
  <c r="P16" i="14"/>
  <c r="I17" i="14"/>
  <c r="O18" i="14"/>
  <c r="T18" i="14" s="1"/>
  <c r="I21" i="14"/>
  <c r="O21" i="14" s="1"/>
  <c r="T21" i="14" s="1"/>
  <c r="G18" i="11"/>
  <c r="G10" i="11"/>
  <c r="I16" i="11"/>
  <c r="I8" i="11"/>
  <c r="J19" i="11"/>
  <c r="J3" i="11"/>
  <c r="L9" i="11"/>
  <c r="O22" i="14"/>
  <c r="T22" i="14" s="1"/>
  <c r="P26" i="14"/>
  <c r="I13" i="14"/>
  <c r="O13" i="14" s="1"/>
  <c r="T13" i="14" s="1"/>
  <c r="I15" i="14"/>
  <c r="O15" i="14" s="1"/>
  <c r="T15" i="14" s="1"/>
  <c r="O16" i="14"/>
  <c r="T16" i="14" s="1"/>
  <c r="P19" i="14"/>
  <c r="I23" i="14"/>
  <c r="O23" i="14" s="1"/>
  <c r="T23" i="14" s="1"/>
  <c r="P28" i="14"/>
  <c r="G17" i="11"/>
  <c r="J18" i="11"/>
  <c r="J10" i="11"/>
  <c r="K13" i="11"/>
  <c r="K5" i="11"/>
  <c r="I14" i="14"/>
  <c r="O14" i="14" s="1"/>
  <c r="T14" i="14" s="1"/>
  <c r="P24" i="14"/>
  <c r="I25" i="14"/>
  <c r="O25" i="14" s="1"/>
  <c r="T25" i="14" s="1"/>
  <c r="O26" i="14"/>
  <c r="T26" i="14" s="1"/>
  <c r="I14" i="11"/>
  <c r="I6" i="11"/>
  <c r="K12" i="11"/>
  <c r="K4" i="11"/>
  <c r="L2" i="11"/>
  <c r="H2" i="11"/>
  <c r="P12" i="14"/>
  <c r="J2" i="11"/>
  <c r="AC46" i="14"/>
  <c r="E18" i="11" l="1"/>
  <c r="S28" i="14"/>
  <c r="E16" i="11"/>
  <c r="S26" i="14"/>
  <c r="E9" i="11"/>
  <c r="S19" i="14"/>
  <c r="E6" i="11"/>
  <c r="S16" i="14"/>
  <c r="E12" i="11"/>
  <c r="S22" i="14"/>
  <c r="E20" i="11"/>
  <c r="S30" i="14"/>
  <c r="E14" i="11"/>
  <c r="S24" i="14"/>
  <c r="E10" i="11"/>
  <c r="S20" i="14"/>
  <c r="E19" i="11"/>
  <c r="S29" i="14"/>
  <c r="E2" i="11"/>
  <c r="S12" i="14"/>
  <c r="P46" i="14"/>
  <c r="S46" i="14" s="1"/>
  <c r="E3" i="11"/>
  <c r="S13" i="14"/>
  <c r="E4" i="11"/>
  <c r="S14" i="14"/>
  <c r="E17" i="11"/>
  <c r="S27" i="14"/>
  <c r="I46" i="14"/>
  <c r="F5" i="11"/>
  <c r="F15" i="11"/>
  <c r="F11" i="11"/>
  <c r="F13" i="11"/>
  <c r="F12" i="11"/>
  <c r="F8" i="11"/>
  <c r="F6" i="11"/>
  <c r="F16" i="11"/>
  <c r="F4" i="11"/>
  <c r="F18" i="11"/>
  <c r="F9" i="11"/>
  <c r="F20" i="11"/>
  <c r="F10" i="11"/>
  <c r="F3" i="11"/>
  <c r="F14" i="11"/>
  <c r="F17" i="11"/>
  <c r="F19" i="11"/>
  <c r="AI18" i="14"/>
  <c r="AI19" i="14"/>
  <c r="AB24" i="14"/>
  <c r="L14" i="11"/>
  <c r="AB22" i="14"/>
  <c r="L12" i="11"/>
  <c r="AI13" i="14"/>
  <c r="AI15" i="14"/>
  <c r="O17" i="14"/>
  <c r="T17" i="14" s="1"/>
  <c r="AB28" i="14"/>
  <c r="L18" i="11"/>
  <c r="AB14" i="14"/>
  <c r="L4" i="11"/>
  <c r="AB30" i="14"/>
  <c r="L20" i="11"/>
  <c r="AB29" i="14"/>
  <c r="L19" i="11"/>
  <c r="X46" i="14"/>
  <c r="AB18" i="14"/>
  <c r="L8" i="11"/>
  <c r="AB25" i="14"/>
  <c r="L15" i="11"/>
  <c r="AB23" i="14"/>
  <c r="L13" i="11"/>
  <c r="AI21" i="14"/>
  <c r="AB26" i="14"/>
  <c r="L16" i="11"/>
  <c r="AB17" i="14"/>
  <c r="L7" i="11"/>
  <c r="AB27" i="14"/>
  <c r="L17" i="11"/>
  <c r="AB15" i="14"/>
  <c r="L5" i="11"/>
  <c r="AI23" i="14"/>
  <c r="AI17" i="14"/>
  <c r="AB21" i="14"/>
  <c r="L11" i="11"/>
  <c r="AL19" i="14"/>
  <c r="J9" i="11"/>
  <c r="AB13" i="14"/>
  <c r="L3" i="11"/>
  <c r="AL12" i="14"/>
  <c r="AB46" i="14"/>
  <c r="AI12" i="14"/>
  <c r="O12" i="14"/>
  <c r="AB12" i="14"/>
  <c r="E33" i="11" l="1"/>
  <c r="T12" i="14"/>
  <c r="T46" i="14" s="1"/>
  <c r="U46" i="14" s="1"/>
  <c r="U47" i="14" s="1"/>
  <c r="O46" i="14"/>
  <c r="F7" i="11"/>
  <c r="F2" i="11"/>
  <c r="AB16" i="14"/>
  <c r="L6" i="1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</calcChain>
</file>

<file path=xl/sharedStrings.xml><?xml version="1.0" encoding="utf-8"?>
<sst xmlns="http://schemas.openxmlformats.org/spreadsheetml/2006/main" count="165" uniqueCount="91">
  <si>
    <t>Municipal Water (m3)</t>
  </si>
  <si>
    <t>Date</t>
  </si>
  <si>
    <t>Room Nights</t>
  </si>
  <si>
    <t>Food Covers</t>
  </si>
  <si>
    <t>Water (m3)</t>
  </si>
  <si>
    <t>Electricity - Sundara</t>
  </si>
  <si>
    <t>Cost (IDR)</t>
  </si>
  <si>
    <t>LPG Bulk (m3)</t>
  </si>
  <si>
    <t>Water consumption (m3)</t>
  </si>
  <si>
    <t>12 Kg (tube)</t>
  </si>
  <si>
    <t>Deepwell Consumption (m3)</t>
  </si>
  <si>
    <t>Sundara 50 kg (tube)</t>
  </si>
  <si>
    <t>Sub Total (Resort &amp; Sundara) Cost  (IDR)</t>
  </si>
  <si>
    <t>TOTAL  Electricity consumption (KWh)</t>
  </si>
  <si>
    <t>Resort Cost  (IDR)</t>
  </si>
  <si>
    <t>Sundara Cost  (IDR)</t>
  </si>
  <si>
    <t>IDR</t>
  </si>
  <si>
    <t>USD</t>
  </si>
  <si>
    <t>TOTAL  Electricity cost</t>
  </si>
  <si>
    <t>WATER</t>
  </si>
  <si>
    <t>Diesel</t>
  </si>
  <si>
    <t>Residences- Electricity cost (IDR)</t>
  </si>
  <si>
    <t xml:space="preserve">LPG </t>
  </si>
  <si>
    <t>Used (liters)</t>
  </si>
  <si>
    <t>GAS</t>
  </si>
  <si>
    <t>Total kg</t>
  </si>
  <si>
    <t>Municipal Water cost (IDR)</t>
  </si>
  <si>
    <t xml:space="preserve">Total Water Cost </t>
  </si>
  <si>
    <t>Four Seasons Resort Bali at Jimbaran Bay</t>
  </si>
  <si>
    <t>kWh rate</t>
  </si>
  <si>
    <t>Deepwell water Cost (IDR)</t>
  </si>
  <si>
    <t>50 Kg (tube) IVD &amp; TW</t>
  </si>
  <si>
    <t>Sub Total (Resort &amp; Sundara), KWh</t>
  </si>
  <si>
    <t>Electricity Resort</t>
  </si>
  <si>
    <t>ELECTRICITY Resort, Sundara &amp; Residences</t>
  </si>
  <si>
    <t>BASED LOAD KWh (from 10 pm - 6 pm)</t>
  </si>
  <si>
    <t>PEAK LOAD KWh (from 6 pm - 10 pm)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</si>
  <si>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</si>
  <si>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</si>
  <si>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</si>
  <si>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</si>
  <si>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</si>
  <si>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</si>
  <si>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</si>
  <si>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</si>
  <si>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</si>
  <si>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</si>
  <si>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</si>
  <si>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</si>
  <si>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</si>
  <si>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>Fuel Oil  $/Liter</t>
  </si>
  <si>
    <t>Residences- Electricity KWh</t>
  </si>
  <si>
    <t>m3/RNs</t>
  </si>
  <si>
    <t xml:space="preserve">Total Fuel Oil  (Liter) </t>
  </si>
  <si>
    <t>.</t>
  </si>
  <si>
    <t>DECEMBER 2021</t>
  </si>
  <si>
    <t>Office &amp; Pantry</t>
  </si>
  <si>
    <t>Unit (KWh) - bill Estate Common</t>
  </si>
  <si>
    <t>Charge</t>
  </si>
  <si>
    <t>Residence 001</t>
  </si>
  <si>
    <t>Unit (KWh) - bill Estate 1</t>
  </si>
  <si>
    <t>Residence 002</t>
  </si>
  <si>
    <t>Unit (KWh) - bill Estate 2</t>
  </si>
  <si>
    <t>Residence 003</t>
  </si>
  <si>
    <t>Unit (KWh) - bill Estate 3</t>
  </si>
  <si>
    <t>Residence 005</t>
  </si>
  <si>
    <t xml:space="preserve">Unit (KWh) - bill Estate 4 </t>
  </si>
  <si>
    <t>Residence 006</t>
  </si>
  <si>
    <t>Unit (KWh)-bill Estate 5</t>
  </si>
  <si>
    <t>Residence 007</t>
  </si>
  <si>
    <t>Unit (KWh)-bill Estate 6</t>
  </si>
  <si>
    <t>Residence 008</t>
  </si>
  <si>
    <t>Unit (KWh)-bill Estate 7</t>
  </si>
  <si>
    <t>Residence 009</t>
  </si>
  <si>
    <t>Unit (KWh)-bill Estate 8</t>
  </si>
  <si>
    <t>Residence 010</t>
  </si>
  <si>
    <t>Unit (KWh)-billa Estate 9</t>
  </si>
  <si>
    <t>Total KWH</t>
  </si>
  <si>
    <t>Total Charge Residence</t>
  </si>
  <si>
    <t>Estate Common</t>
  </si>
  <si>
    <t>R001</t>
  </si>
  <si>
    <t>R002</t>
  </si>
  <si>
    <t>R003</t>
  </si>
  <si>
    <t>R005</t>
  </si>
  <si>
    <t>R006</t>
  </si>
  <si>
    <t>R007</t>
  </si>
  <si>
    <t>R008</t>
  </si>
  <si>
    <t>R009</t>
  </si>
  <si>
    <t>R010</t>
  </si>
  <si>
    <t>Reading</t>
  </si>
  <si>
    <t>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</si>
</sst>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&quot;$&quot;#,##0"/>
    <numFmt numFmtId="168" formatCode="_-* #,##0.0_-;\-* #,##0.0_-;_-* &quot;-&quot;??_-;_-@_-"/>
    <numFmt numFmtId="169" formatCode="0.0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1">
    <xf numFmtId="0" fontId="0" fillId="0" borderId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41" fontId="16" fillId="0" borderId="0" applyFont="0" applyFill="0" applyBorder="0" applyAlignment="0" applyProtection="0"/>
    <xf numFmtId="0" fontId="16" fillId="0" borderId="0"/>
    <xf numFmtId="43" fontId="2" fillId="0" borderId="0" applyFont="0" applyFill="0" applyBorder="0" applyAlignment="0" applyProtection="0"/>
  </cellStyleXfs>
  <cellXfs count="279">
    <xf numFmtId="0" fontId="0" fillId="0" borderId="0" xfId="0"/>
    <xf numFmtId="0" fontId="0" fillId="0" borderId="0" xfId="0" applyBorder="1"/>
    <xf numFmtId="0" fontId="0" fillId="0" borderId="8" xfId="0" applyBorder="1"/>
    <xf numFmtId="165" fontId="0" fillId="0" borderId="8" xfId="2" applyNumberFormat="1" applyFont="1" applyBorder="1"/>
    <xf numFmtId="165" fontId="0" fillId="0" borderId="0" xfId="2" applyNumberFormat="1" applyFont="1"/>
    <xf numFmtId="165" fontId="0" fillId="0" borderId="0" xfId="2" applyNumberFormat="1" applyFont="1" applyBorder="1"/>
    <xf numFmtId="165" fontId="1" fillId="0" borderId="0" xfId="2" applyNumberFormat="1" applyFont="1"/>
    <xf numFmtId="165" fontId="0" fillId="3" borderId="0" xfId="2" applyNumberFormat="1" applyFont="1" applyFill="1" applyBorder="1"/>
    <xf numFmtId="0" fontId="0" fillId="3" borderId="0" xfId="0" applyFill="1"/>
    <xf numFmtId="164" fontId="4" fillId="0" borderId="0" xfId="2" applyFont="1" applyBorder="1"/>
    <xf numFmtId="164" fontId="4" fillId="0" borderId="0" xfId="0" applyNumberFormat="1" applyFont="1" applyBorder="1"/>
    <xf numFmtId="165" fontId="0" fillId="0" borderId="0" xfId="0" applyNumberFormat="1" applyBorder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Border="1" applyAlignment="1">
      <alignment horizontal="right"/>
    </xf>
    <xf numFmtId="0" fontId="0" fillId="3" borderId="0" xfId="0" applyFill="1" applyBorder="1"/>
    <xf numFmtId="164" fontId="0" fillId="3" borderId="0" xfId="0" applyNumberFormat="1" applyFill="1" applyBorder="1"/>
    <xf numFmtId="165" fontId="4" fillId="0" borderId="0" xfId="2" applyNumberFormat="1" applyFont="1" applyBorder="1"/>
    <xf numFmtId="165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5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165" fontId="0" fillId="3" borderId="0" xfId="0" applyNumberFormat="1" applyFill="1" applyBorder="1"/>
    <xf numFmtId="0" fontId="6" fillId="3" borderId="0" xfId="0" applyFont="1" applyFill="1" applyBorder="1" applyAlignment="1"/>
    <xf numFmtId="0" fontId="1" fillId="3" borderId="0" xfId="0" applyFont="1" applyFill="1" applyBorder="1" applyAlignment="1"/>
    <xf numFmtId="0" fontId="0" fillId="3" borderId="0" xfId="0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/>
    <xf numFmtId="0" fontId="9" fillId="3" borderId="0" xfId="0" applyFont="1" applyFill="1" applyBorder="1" applyAlignment="1"/>
    <xf numFmtId="165" fontId="0" fillId="0" borderId="9" xfId="0" applyNumberFormat="1" applyBorder="1"/>
    <xf numFmtId="0" fontId="0" fillId="3" borderId="5" xfId="0" applyFill="1" applyBorder="1"/>
    <xf numFmtId="165" fontId="0" fillId="3" borderId="0" xfId="2" applyNumberFormat="1" applyFont="1" applyFill="1" applyBorder="1" applyAlignment="1">
      <alignment horizontal="right"/>
    </xf>
    <xf numFmtId="165" fontId="6" fillId="3" borderId="0" xfId="2" applyNumberFormat="1" applyFont="1" applyFill="1" applyBorder="1" applyAlignment="1"/>
    <xf numFmtId="166" fontId="0" fillId="0" borderId="8" xfId="2" applyNumberFormat="1" applyFont="1" applyBorder="1"/>
    <xf numFmtId="167" fontId="6" fillId="3" borderId="0" xfId="0" applyNumberFormat="1" applyFont="1" applyFill="1" applyBorder="1" applyAlignment="1"/>
    <xf numFmtId="167" fontId="0" fillId="0" borderId="21" xfId="2" applyNumberFormat="1" applyFont="1" applyBorder="1"/>
    <xf numFmtId="167" fontId="0" fillId="3" borderId="5" xfId="0" applyNumberFormat="1" applyFill="1" applyBorder="1"/>
    <xf numFmtId="167" fontId="0" fillId="0" borderId="0" xfId="0" applyNumberFormat="1"/>
    <xf numFmtId="0" fontId="0" fillId="0" borderId="13" xfId="0" applyBorder="1" applyAlignment="1">
      <alignment horizontal="center" vertical="center" wrapText="1"/>
    </xf>
    <xf numFmtId="167" fontId="0" fillId="0" borderId="9" xfId="2" applyNumberFormat="1" applyFont="1" applyBorder="1"/>
    <xf numFmtId="164" fontId="0" fillId="3" borderId="23" xfId="0" applyNumberFormat="1" applyFill="1" applyBorder="1"/>
    <xf numFmtId="165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65" fontId="0" fillId="0" borderId="42" xfId="2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7" fontId="0" fillId="0" borderId="26" xfId="0" applyNumberFormat="1" applyBorder="1" applyAlignment="1">
      <alignment horizontal="center" vertical="center" wrapText="1"/>
    </xf>
    <xf numFmtId="167" fontId="0" fillId="0" borderId="43" xfId="0" applyNumberFormat="1" applyBorder="1" applyAlignment="1">
      <alignment horizontal="center" vertical="center" wrapText="1"/>
    </xf>
    <xf numFmtId="165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11" fillId="11" borderId="44" xfId="0" applyFont="1" applyFill="1" applyBorder="1" applyAlignment="1">
      <alignment horizontal="center" vertical="center" shrinkToFit="1"/>
    </xf>
    <xf numFmtId="0" fontId="11" fillId="11" borderId="45" xfId="0" applyFont="1" applyFill="1" applyBorder="1" applyAlignment="1">
      <alignment horizontal="center" vertical="center" shrinkToFit="1"/>
    </xf>
    <xf numFmtId="164" fontId="9" fillId="3" borderId="0" xfId="2" applyFont="1" applyFill="1" applyBorder="1" applyAlignment="1"/>
    <xf numFmtId="164" fontId="8" fillId="0" borderId="16" xfId="2" applyFont="1" applyBorder="1" applyAlignment="1">
      <alignment horizontal="center" vertical="center" wrapText="1"/>
    </xf>
    <xf numFmtId="164" fontId="8" fillId="0" borderId="28" xfId="2" applyFont="1" applyBorder="1" applyAlignment="1">
      <alignment horizontal="center" vertical="center" wrapText="1"/>
    </xf>
    <xf numFmtId="164" fontId="8" fillId="3" borderId="0" xfId="2" applyFont="1" applyFill="1" applyBorder="1"/>
    <xf numFmtId="164" fontId="12" fillId="0" borderId="0" xfId="2" applyFont="1" applyBorder="1"/>
    <xf numFmtId="164" fontId="8" fillId="0" borderId="0" xfId="2" applyFont="1"/>
    <xf numFmtId="165" fontId="9" fillId="3" borderId="0" xfId="2" applyNumberFormat="1" applyFont="1" applyFill="1" applyBorder="1" applyAlignment="1"/>
    <xf numFmtId="165" fontId="8" fillId="3" borderId="0" xfId="2" applyNumberFormat="1" applyFont="1" applyFill="1" applyBorder="1"/>
    <xf numFmtId="165" fontId="12" fillId="0" borderId="0" xfId="2" applyNumberFormat="1" applyFont="1" applyBorder="1"/>
    <xf numFmtId="165" fontId="8" fillId="0" borderId="0" xfId="2" applyNumberFormat="1" applyFont="1"/>
    <xf numFmtId="165" fontId="0" fillId="3" borderId="39" xfId="0" applyNumberFormat="1" applyFill="1" applyBorder="1"/>
    <xf numFmtId="165" fontId="1" fillId="0" borderId="39" xfId="0" applyNumberFormat="1" applyFont="1" applyBorder="1"/>
    <xf numFmtId="0" fontId="0" fillId="3" borderId="47" xfId="0" applyFill="1" applyBorder="1"/>
    <xf numFmtId="165" fontId="0" fillId="3" borderId="47" xfId="2" applyNumberFormat="1" applyFont="1" applyFill="1" applyBorder="1"/>
    <xf numFmtId="164" fontId="8" fillId="3" borderId="47" xfId="2" applyFont="1" applyFill="1" applyBorder="1"/>
    <xf numFmtId="165" fontId="8" fillId="3" borderId="47" xfId="2" applyNumberFormat="1" applyFont="1" applyFill="1" applyBorder="1"/>
    <xf numFmtId="164" fontId="0" fillId="3" borderId="47" xfId="0" applyNumberFormat="1" applyFill="1" applyBorder="1"/>
    <xf numFmtId="0" fontId="0" fillId="3" borderId="49" xfId="0" applyFill="1" applyBorder="1"/>
    <xf numFmtId="43" fontId="0" fillId="3" borderId="47" xfId="0" applyNumberFormat="1" applyFill="1" applyBorder="1"/>
    <xf numFmtId="165" fontId="0" fillId="3" borderId="47" xfId="0" applyNumberFormat="1" applyFill="1" applyBorder="1"/>
    <xf numFmtId="165" fontId="0" fillId="0" borderId="47" xfId="2" applyNumberFormat="1" applyFont="1" applyBorder="1"/>
    <xf numFmtId="167" fontId="0" fillId="3" borderId="49" xfId="0" applyNumberFormat="1" applyFill="1" applyBorder="1"/>
    <xf numFmtId="165" fontId="0" fillId="0" borderId="0" xfId="2" applyNumberFormat="1" applyFont="1" applyBorder="1" applyAlignment="1">
      <alignment horizontal="right"/>
    </xf>
    <xf numFmtId="165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8" fontId="6" fillId="3" borderId="0" xfId="2" applyNumberFormat="1" applyFont="1" applyFill="1" applyBorder="1" applyAlignment="1"/>
    <xf numFmtId="168" fontId="0" fillId="3" borderId="0" xfId="2" applyNumberFormat="1" applyFont="1" applyFill="1" applyBorder="1"/>
    <xf numFmtId="168" fontId="0" fillId="3" borderId="47" xfId="2" applyNumberFormat="1" applyFont="1" applyFill="1" applyBorder="1"/>
    <xf numFmtId="168" fontId="0" fillId="0" borderId="0" xfId="2" applyNumberFormat="1" applyFont="1" applyBorder="1"/>
    <xf numFmtId="168" fontId="0" fillId="0" borderId="0" xfId="2" applyNumberFormat="1" applyFont="1"/>
    <xf numFmtId="165" fontId="0" fillId="0" borderId="19" xfId="2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5" fontId="9" fillId="0" borderId="53" xfId="2" applyNumberFormat="1" applyFont="1" applyBorder="1" applyAlignment="1">
      <alignment horizontal="center" vertical="center" wrapText="1"/>
    </xf>
    <xf numFmtId="165" fontId="8" fillId="0" borderId="54" xfId="2" applyNumberFormat="1" applyFont="1" applyBorder="1" applyAlignment="1">
      <alignment horizontal="center" vertical="center" wrapText="1"/>
    </xf>
    <xf numFmtId="165" fontId="8" fillId="0" borderId="21" xfId="2" applyNumberFormat="1" applyFont="1" applyBorder="1"/>
    <xf numFmtId="165" fontId="0" fillId="0" borderId="29" xfId="2" applyNumberFormat="1" applyFont="1" applyBorder="1"/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165" fontId="0" fillId="0" borderId="18" xfId="2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164" fontId="0" fillId="0" borderId="21" xfId="0" applyNumberFormat="1" applyBorder="1"/>
    <xf numFmtId="165" fontId="0" fillId="0" borderId="10" xfId="2" applyNumberFormat="1" applyFont="1" applyBorder="1"/>
    <xf numFmtId="164" fontId="0" fillId="0" borderId="45" xfId="2" applyFont="1" applyBorder="1"/>
    <xf numFmtId="165" fontId="8" fillId="0" borderId="44" xfId="2" applyNumberFormat="1" applyFont="1" applyBorder="1" applyAlignment="1">
      <alignment horizontal="center" vertical="center" wrapText="1"/>
    </xf>
    <xf numFmtId="168" fontId="0" fillId="0" borderId="35" xfId="2" applyNumberFormat="1" applyFont="1" applyBorder="1" applyAlignment="1">
      <alignment horizontal="center" vertical="center" wrapText="1"/>
    </xf>
    <xf numFmtId="168" fontId="4" fillId="0" borderId="0" xfId="2" applyNumberFormat="1" applyFont="1" applyBorder="1"/>
    <xf numFmtId="165" fontId="9" fillId="6" borderId="23" xfId="0" applyNumberFormat="1" applyFont="1" applyFill="1" applyBorder="1"/>
    <xf numFmtId="165" fontId="0" fillId="3" borderId="14" xfId="2" applyNumberFormat="1" applyFont="1" applyFill="1" applyBorder="1"/>
    <xf numFmtId="0" fontId="0" fillId="3" borderId="59" xfId="0" applyFill="1" applyBorder="1"/>
    <xf numFmtId="0" fontId="0" fillId="3" borderId="15" xfId="0" applyFill="1" applyBorder="1"/>
    <xf numFmtId="0" fontId="0" fillId="3" borderId="60" xfId="0" applyFill="1" applyBorder="1"/>
    <xf numFmtId="0" fontId="0" fillId="3" borderId="61" xfId="0" applyFill="1" applyBorder="1"/>
    <xf numFmtId="165" fontId="0" fillId="3" borderId="48" xfId="2" applyNumberFormat="1" applyFont="1" applyFill="1" applyBorder="1"/>
    <xf numFmtId="0" fontId="11" fillId="11" borderId="57" xfId="0" applyFont="1" applyFill="1" applyBorder="1" applyAlignment="1">
      <alignment horizontal="center" vertical="center" shrinkToFit="1"/>
    </xf>
    <xf numFmtId="165" fontId="1" fillId="0" borderId="23" xfId="2" applyNumberFormat="1" applyFont="1" applyBorder="1"/>
    <xf numFmtId="167" fontId="1" fillId="3" borderId="7" xfId="0" applyNumberFormat="1" applyFont="1" applyFill="1" applyBorder="1"/>
    <xf numFmtId="0" fontId="0" fillId="0" borderId="62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165" fontId="0" fillId="0" borderId="21" xfId="0" applyNumberFormat="1" applyBorder="1"/>
    <xf numFmtId="0" fontId="0" fillId="3" borderId="50" xfId="0" applyFill="1" applyBorder="1"/>
    <xf numFmtId="43" fontId="0" fillId="3" borderId="5" xfId="0" applyNumberFormat="1" applyFill="1" applyBorder="1"/>
    <xf numFmtId="0" fontId="0" fillId="3" borderId="63" xfId="0" applyFill="1" applyBorder="1"/>
    <xf numFmtId="165" fontId="1" fillId="0" borderId="12" xfId="2" applyNumberFormat="1" applyFont="1" applyBorder="1" applyAlignment="1">
      <alignment horizontal="center" vertical="center" wrapText="1"/>
    </xf>
    <xf numFmtId="165" fontId="14" fillId="3" borderId="8" xfId="2" applyNumberFormat="1" applyFont="1" applyFill="1" applyBorder="1" applyProtection="1">
      <protection locked="0"/>
    </xf>
    <xf numFmtId="165" fontId="1" fillId="12" borderId="6" xfId="0" applyNumberFormat="1" applyFont="1" applyFill="1" applyBorder="1"/>
    <xf numFmtId="44" fontId="9" fillId="12" borderId="7" xfId="1" applyFont="1" applyFill="1" applyBorder="1"/>
    <xf numFmtId="165" fontId="0" fillId="3" borderId="23" xfId="2" applyNumberFormat="1" applyFont="1" applyFill="1" applyBorder="1"/>
    <xf numFmtId="43" fontId="0" fillId="0" borderId="0" xfId="0" applyNumberFormat="1" applyBorder="1"/>
    <xf numFmtId="168" fontId="0" fillId="0" borderId="41" xfId="2" applyNumberFormat="1" applyFont="1" applyBorder="1" applyAlignment="1">
      <alignment horizontal="center" vertical="center" wrapText="1"/>
    </xf>
    <xf numFmtId="168" fontId="0" fillId="0" borderId="25" xfId="2" applyNumberFormat="1" applyFont="1" applyBorder="1" applyAlignment="1">
      <alignment horizontal="center" vertical="center" wrapText="1"/>
    </xf>
    <xf numFmtId="168" fontId="0" fillId="0" borderId="22" xfId="2" applyNumberFormat="1" applyFont="1" applyBorder="1"/>
    <xf numFmtId="168" fontId="0" fillId="0" borderId="47" xfId="2" applyNumberFormat="1" applyFont="1" applyBorder="1"/>
    <xf numFmtId="165" fontId="1" fillId="12" borderId="6" xfId="2" applyNumberFormat="1" applyFont="1" applyFill="1" applyBorder="1"/>
    <xf numFmtId="167" fontId="1" fillId="12" borderId="7" xfId="0" applyNumberFormat="1" applyFont="1" applyFill="1" applyBorder="1"/>
    <xf numFmtId="165" fontId="1" fillId="12" borderId="31" xfId="2" applyNumberFormat="1" applyFont="1" applyFill="1" applyBorder="1"/>
    <xf numFmtId="167" fontId="1" fillId="12" borderId="33" xfId="2" applyNumberFormat="1" applyFont="1" applyFill="1" applyBorder="1"/>
    <xf numFmtId="164" fontId="5" fillId="0" borderId="0" xfId="2" applyFont="1" applyBorder="1"/>
    <xf numFmtId="165" fontId="14" fillId="3" borderId="64" xfId="2" applyNumberFormat="1" applyFont="1" applyFill="1" applyBorder="1" applyProtection="1">
      <protection locked="0"/>
    </xf>
    <xf numFmtId="165" fontId="14" fillId="3" borderId="45" xfId="2" applyNumberFormat="1" applyFont="1" applyFill="1" applyBorder="1" applyProtection="1">
      <protection locked="0"/>
    </xf>
    <xf numFmtId="7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/>
    </xf>
    <xf numFmtId="9" fontId="8" fillId="0" borderId="0" xfId="5" applyFont="1"/>
    <xf numFmtId="9" fontId="0" fillId="0" borderId="0" xfId="0" applyNumberFormat="1"/>
    <xf numFmtId="165" fontId="1" fillId="5" borderId="6" xfId="0" applyNumberFormat="1" applyFont="1" applyFill="1" applyBorder="1"/>
    <xf numFmtId="0" fontId="1" fillId="0" borderId="11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5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5" fontId="2" fillId="0" borderId="8" xfId="2" applyNumberFormat="1" applyFont="1" applyBorder="1"/>
    <xf numFmtId="164" fontId="2" fillId="0" borderId="8" xfId="2" applyFont="1" applyBorder="1"/>
    <xf numFmtId="165" fontId="1" fillId="0" borderId="10" xfId="2" applyNumberFormat="1" applyFont="1" applyBorder="1"/>
    <xf numFmtId="164" fontId="0" fillId="3" borderId="49" xfId="0" applyNumberFormat="1" applyFill="1" applyBorder="1"/>
    <xf numFmtId="165" fontId="19" fillId="0" borderId="0" xfId="2" applyNumberFormat="1" applyFont="1" applyBorder="1"/>
    <xf numFmtId="0" fontId="17" fillId="3" borderId="0" xfId="0" applyFont="1" applyFill="1" applyBorder="1"/>
    <xf numFmtId="165" fontId="17" fillId="0" borderId="0" xfId="2" applyNumberFormat="1" applyFont="1"/>
    <xf numFmtId="0" fontId="17" fillId="0" borderId="0" xfId="0" applyFont="1"/>
    <xf numFmtId="164" fontId="18" fillId="0" borderId="0" xfId="2" applyFont="1"/>
    <xf numFmtId="165" fontId="18" fillId="0" borderId="0" xfId="2" applyNumberFormat="1" applyFont="1"/>
    <xf numFmtId="168" fontId="17" fillId="0" borderId="0" xfId="2" applyNumberFormat="1" applyFont="1"/>
    <xf numFmtId="167" fontId="17" fillId="0" borderId="0" xfId="0" applyNumberFormat="1" applyFont="1"/>
    <xf numFmtId="164" fontId="0" fillId="3" borderId="67" xfId="2" applyFont="1" applyFill="1" applyBorder="1"/>
    <xf numFmtId="164" fontId="0" fillId="3" borderId="46" xfId="2" applyFont="1" applyFill="1" applyBorder="1"/>
    <xf numFmtId="168" fontId="0" fillId="13" borderId="6" xfId="2" applyNumberFormat="1" applyFont="1" applyFill="1" applyBorder="1"/>
    <xf numFmtId="165" fontId="13" fillId="3" borderId="23" xfId="0" applyNumberFormat="1" applyFont="1" applyFill="1" applyBorder="1"/>
    <xf numFmtId="164" fontId="17" fillId="0" borderId="0" xfId="0" applyNumberFormat="1" applyFont="1"/>
    <xf numFmtId="164" fontId="0" fillId="0" borderId="0" xfId="0" applyNumberFormat="1" applyBorder="1"/>
    <xf numFmtId="164" fontId="0" fillId="0" borderId="0" xfId="2" applyNumberFormat="1" applyFont="1" applyBorder="1"/>
    <xf numFmtId="164" fontId="0" fillId="0" borderId="0" xfId="2" applyNumberFormat="1" applyFont="1" applyBorder="1" applyAlignment="1">
      <alignment horizontal="right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165" fontId="14" fillId="3" borderId="55" xfId="2" applyNumberFormat="1" applyFont="1" applyFill="1" applyBorder="1" applyProtection="1">
      <protection locked="0"/>
    </xf>
    <xf numFmtId="165" fontId="14" fillId="3" borderId="57" xfId="2" applyNumberFormat="1" applyFont="1" applyFill="1" applyBorder="1" applyProtection="1">
      <protection locked="0"/>
    </xf>
    <xf numFmtId="165" fontId="0" fillId="0" borderId="56" xfId="2" applyNumberFormat="1" applyFont="1" applyBorder="1"/>
    <xf numFmtId="166" fontId="0" fillId="0" borderId="29" xfId="2" applyNumberFormat="1" applyFont="1" applyBorder="1"/>
    <xf numFmtId="165" fontId="2" fillId="0" borderId="29" xfId="2" applyNumberFormat="1" applyFont="1" applyBorder="1"/>
    <xf numFmtId="164" fontId="2" fillId="0" borderId="29" xfId="2" applyFont="1" applyBorder="1"/>
    <xf numFmtId="165" fontId="0" fillId="0" borderId="30" xfId="0" applyNumberFormat="1" applyBorder="1"/>
    <xf numFmtId="168" fontId="0" fillId="0" borderId="68" xfId="2" applyNumberFormat="1" applyFont="1" applyBorder="1"/>
    <xf numFmtId="167" fontId="0" fillId="0" borderId="32" xfId="2" applyNumberFormat="1" applyFont="1" applyBorder="1"/>
    <xf numFmtId="9" fontId="17" fillId="0" borderId="0" xfId="5" applyFont="1"/>
    <xf numFmtId="164" fontId="0" fillId="3" borderId="0" xfId="2" applyNumberFormat="1" applyFont="1" applyFill="1" applyBorder="1"/>
    <xf numFmtId="165" fontId="1" fillId="0" borderId="68" xfId="2" applyNumberFormat="1" applyFont="1" applyBorder="1"/>
    <xf numFmtId="165" fontId="20" fillId="0" borderId="8" xfId="2" applyNumberFormat="1" applyFont="1" applyBorder="1"/>
    <xf numFmtId="165" fontId="1" fillId="0" borderId="8" xfId="2" applyNumberFormat="1" applyFont="1" applyBorder="1"/>
    <xf numFmtId="165" fontId="21" fillId="0" borderId="8" xfId="2" applyNumberFormat="1" applyFont="1" applyBorder="1"/>
    <xf numFmtId="165" fontId="0" fillId="0" borderId="29" xfId="0" applyNumberFormat="1" applyBorder="1"/>
    <xf numFmtId="165" fontId="0" fillId="0" borderId="32" xfId="0" applyNumberFormat="1" applyBorder="1"/>
    <xf numFmtId="165" fontId="8" fillId="0" borderId="32" xfId="2" applyNumberFormat="1" applyFont="1" applyBorder="1"/>
    <xf numFmtId="164" fontId="0" fillId="0" borderId="57" xfId="2" applyFont="1" applyBorder="1"/>
    <xf numFmtId="164" fontId="0" fillId="0" borderId="32" xfId="0" applyNumberFormat="1" applyBorder="1"/>
    <xf numFmtId="165" fontId="0" fillId="0" borderId="0" xfId="2" applyNumberFormat="1" applyFont="1" applyAlignment="1">
      <alignment horizontal="center"/>
    </xf>
    <xf numFmtId="165" fontId="8" fillId="0" borderId="64" xfId="2" applyNumberFormat="1" applyFont="1" applyBorder="1"/>
    <xf numFmtId="165" fontId="8" fillId="0" borderId="55" xfId="2" applyNumberFormat="1" applyFont="1" applyBorder="1"/>
    <xf numFmtId="0" fontId="0" fillId="0" borderId="0" xfId="0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69" xfId="0" applyBorder="1"/>
    <xf numFmtId="2" fontId="0" fillId="0" borderId="69" xfId="0" applyNumberFormat="1" applyBorder="1"/>
    <xf numFmtId="0" fontId="1" fillId="0" borderId="69" xfId="0" applyFont="1" applyBorder="1"/>
    <xf numFmtId="169" fontId="0" fillId="0" borderId="0" xfId="0" applyNumberFormat="1"/>
    <xf numFmtId="0" fontId="1" fillId="0" borderId="72" xfId="0" applyFont="1" applyFill="1" applyBorder="1"/>
    <xf numFmtId="164" fontId="8" fillId="0" borderId="8" xfId="2" applyNumberFormat="1" applyFont="1" applyBorder="1"/>
    <xf numFmtId="164" fontId="8" fillId="3" borderId="8" xfId="0" applyNumberFormat="1" applyFont="1" applyFill="1" applyBorder="1" applyAlignment="1">
      <alignment wrapText="1"/>
    </xf>
    <xf numFmtId="164" fontId="8" fillId="3" borderId="8" xfId="4" quotePrefix="1" applyNumberFormat="1" applyFont="1" applyFill="1" applyBorder="1" applyAlignment="1"/>
    <xf numFmtId="164" fontId="8" fillId="3" borderId="8" xfId="2" applyNumberFormat="1" applyFont="1" applyFill="1" applyBorder="1" applyAlignment="1">
      <alignment vertical="top" wrapText="1"/>
    </xf>
    <xf numFmtId="164" fontId="8" fillId="3" borderId="8" xfId="4" quotePrefix="1" applyNumberFormat="1" applyFont="1" applyFill="1" applyBorder="1" applyAlignment="1">
      <alignment vertical="top"/>
    </xf>
    <xf numFmtId="164" fontId="8" fillId="3" borderId="8" xfId="4" applyNumberFormat="1" applyFont="1" applyFill="1" applyBorder="1" applyAlignment="1">
      <alignment vertical="top" wrapText="1"/>
    </xf>
    <xf numFmtId="164" fontId="8" fillId="3" borderId="29" xfId="4" applyNumberFormat="1" applyFont="1" applyFill="1" applyBorder="1" applyAlignment="1">
      <alignment vertical="top" wrapText="1"/>
    </xf>
    <xf numFmtId="165" fontId="8" fillId="3" borderId="8" xfId="2" applyNumberFormat="1" applyFont="1" applyFill="1" applyBorder="1" applyAlignment="1">
      <alignment wrapText="1"/>
    </xf>
    <xf numFmtId="165" fontId="8" fillId="3" borderId="8" xfId="2" quotePrefix="1" applyNumberFormat="1" applyFont="1" applyFill="1" applyBorder="1" applyAlignment="1"/>
    <xf numFmtId="165" fontId="8" fillId="3" borderId="29" xfId="2" applyNumberFormat="1" applyFont="1" applyFill="1" applyBorder="1" applyAlignment="1">
      <alignment wrapText="1"/>
    </xf>
    <xf numFmtId="164" fontId="4" fillId="0" borderId="0" xfId="0" applyNumberFormat="1" applyFont="1" applyBorder="1" applyAlignment="1">
      <alignment horizontal="right"/>
    </xf>
    <xf numFmtId="168" fontId="1" fillId="0" borderId="35" xfId="2" applyNumberFormat="1" applyFont="1" applyBorder="1" applyAlignment="1">
      <alignment horizontal="center" vertical="center" wrapText="1"/>
    </xf>
    <xf numFmtId="168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0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8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164" fontId="0" fillId="0" borderId="27" xfId="2" applyFont="1" applyBorder="1" applyAlignment="1">
      <alignment horizontal="center" vertical="center" wrapText="1"/>
    </xf>
    <xf numFmtId="164" fontId="0" fillId="0" borderId="38" xfId="2" applyFont="1" applyBorder="1" applyAlignment="1">
      <alignment horizontal="center" vertical="center" wrapText="1"/>
    </xf>
    <xf numFmtId="164" fontId="0" fillId="0" borderId="39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5" fontId="9" fillId="0" borderId="27" xfId="2" applyNumberFormat="1" applyFont="1" applyBorder="1" applyAlignment="1">
      <alignment horizontal="center" vertical="center" wrapText="1"/>
    </xf>
    <xf numFmtId="165" fontId="9" fillId="0" borderId="39" xfId="2" applyNumberFormat="1" applyFont="1" applyBorder="1" applyAlignment="1">
      <alignment horizontal="center" vertical="center" wrapText="1"/>
    </xf>
    <xf numFmtId="0" fontId="1" fillId="0" borderId="66" xfId="0" applyFont="1" applyBorder="1" applyAlignment="1">
      <alignment horizontal="center" vertical="center" wrapText="1"/>
    </xf>
    <xf numFmtId="0" fontId="1" fillId="0" borderId="65" xfId="0" applyFont="1" applyBorder="1" applyAlignment="1">
      <alignment horizontal="center" vertical="center" wrapText="1"/>
    </xf>
    <xf numFmtId="168" fontId="1" fillId="4" borderId="1" xfId="2" applyNumberFormat="1" applyFont="1" applyFill="1" applyBorder="1" applyAlignment="1">
      <alignment horizontal="center" vertical="center"/>
    </xf>
    <xf numFmtId="168" fontId="1" fillId="4" borderId="40" xfId="2" applyNumberFormat="1" applyFont="1" applyFill="1" applyBorder="1" applyAlignment="1">
      <alignment horizontal="center" vertical="center"/>
    </xf>
    <xf numFmtId="168" fontId="1" fillId="4" borderId="2" xfId="2" applyNumberFormat="1" applyFont="1" applyFill="1" applyBorder="1" applyAlignment="1">
      <alignment horizontal="center" vertical="center"/>
    </xf>
    <xf numFmtId="0" fontId="1" fillId="0" borderId="69" xfId="0" applyFont="1" applyBorder="1" applyAlignment="1">
      <alignment horizontal="center"/>
    </xf>
    <xf numFmtId="0" fontId="1" fillId="0" borderId="70" xfId="0" applyFont="1" applyBorder="1" applyAlignment="1">
      <alignment horizontal="center"/>
    </xf>
    <xf numFmtId="0" fontId="1" fillId="0" borderId="71" xfId="0" applyFont="1" applyBorder="1" applyAlignment="1">
      <alignment horizontal="center"/>
    </xf>
    <xf numFmtId="0" fontId="1" fillId="0" borderId="69" xfId="0" applyFont="1" applyBorder="1" applyAlignment="1">
      <alignment horizontal="center" vertical="center"/>
    </xf>
    <xf numFmtId="17" fontId="6" fillId="3" borderId="58" xfId="0" applyNumberFormat="1" applyFont="1" applyFill="1" applyBorder="1" applyAlignment="1">
      <alignment horizontal="center"/>
    </xf>
    <xf numFmtId="0" fontId="6" fillId="3" borderId="58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right"/>
    </xf>
  </cellXfs>
  <cellStyles count="11">
    <cellStyle name="Comma" xfId="2" builtinId="3"/>
    <cellStyle name="Comma [0] 2" xfId="8" xr:uid="{00000000-0005-0000-0000-000001000000}"/>
    <cellStyle name="Comma 10" xfId="3" xr:uid="{00000000-0005-0000-0000-000002000000}"/>
    <cellStyle name="Comma 2" xfId="6" xr:uid="{00000000-0005-0000-0000-000003000000}"/>
    <cellStyle name="Comma 3" xfId="10" xr:uid="{00000000-0005-0000-0000-000004000000}"/>
    <cellStyle name="Currency" xfId="1" builtinId="4"/>
    <cellStyle name="Hyperlink" xfId="4" builtinId="8"/>
    <cellStyle name="Hyperlink 2" xfId="7" xr:uid="{00000000-0005-0000-0000-000007000000}"/>
    <cellStyle name="Normal" xfId="0" builtinId="0"/>
    <cellStyle name="Normal 2" xfId="9" xr:uid="{00000000-0005-0000-0000-000009000000}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Z33"/>
  <sheetViews>
    <sheetView tabSelected="1" workbookViewId="0">
      <selection activeCell="I1" sqref="I1"/>
    </sheetView>
  </sheetViews>
  <sheetFormatPr defaultColWidth="11.5703125" defaultRowHeight="15" x14ac:dyDescent="0.25"/>
  <cols>
    <col min="1" max="1" width="18.42578125" style="150" customWidth="1"/>
    <col min="2" max="2" width="11.5703125" style="151"/>
    <col min="3" max="3" width="11.5703125" style="152"/>
    <col min="4" max="4" width="13.42578125" style="151" customWidth="1"/>
    <col min="5" max="5" width="12.5703125" style="149" customWidth="1"/>
    <col min="6" max="6" width="12.5703125" style="153" customWidth="1"/>
    <col min="7" max="7" width="11.5703125" style="149"/>
    <col min="8" max="8" width="11.5703125" style="153"/>
    <col min="9" max="9" width="11.5703125" style="154"/>
    <col min="10" max="10" width="11.5703125" style="155"/>
    <col min="11" max="11" width="11.5703125" style="149"/>
    <col min="12" max="12" width="11.5703125" style="155"/>
    <col min="13" max="26" width="11.5703125" style="149"/>
  </cols>
  <sheetData>
    <row r="1" spans="1:15" s="143" customFormat="1" ht="60" x14ac:dyDescent="0.25">
      <c r="A1" s="139" t="s">
        <v>37</v>
      </c>
      <c r="B1" s="139" t="s">
        <v>38</v>
      </c>
      <c r="C1" s="140" t="s">
        <v>39</v>
      </c>
      <c r="D1" s="139" t="s">
        <v>40</v>
      </c>
      <c r="E1" s="138" t="s">
        <v>41</v>
      </c>
      <c r="F1" s="141" t="s">
        <v>42</v>
      </c>
      <c r="G1" s="138" t="s">
        <v>47</v>
      </c>
      <c r="H1" s="141" t="s">
        <v>48</v>
      </c>
      <c r="I1" s="157" t="s">
        <v>53</v>
      </c>
      <c r="J1" s="141" t="s">
        <v>50</v>
      </c>
      <c r="K1" s="138" t="s">
        <v>43</v>
      </c>
      <c r="L1" s="142" t="s">
        <v>44</v>
      </c>
      <c r="M1" s="138" t="s">
        <v>45</v>
      </c>
      <c r="N1" s="138" t="s">
        <v>3</v>
      </c>
    </row>
    <row r="2" spans="1:15" ht="14.45" x14ac:dyDescent="0.3">
      <c r="A2" s="144" t="s">
        <v>49</v>
      </c>
      <c r="B2" s="145">
        <v>1</v>
      </c>
      <c r="C2" s="146">
        <v>12</v>
      </c>
      <c r="D2" s="145">
        <v>2021</v>
      </c>
      <c r="E2" s="158">
        <f>'FS Jimbaran December 2021'!P12+'FS Jimbaran December 2021'!Q12</f>
        <v>16189.000000000147</v>
      </c>
      <c r="F2" s="156">
        <f>'FS Jimbaran December 2021'!O12/'FS Jimbaran December 2021'!P12</f>
        <v>1181.9508224299072</v>
      </c>
      <c r="G2" s="147">
        <f>'FS Jimbaran December 2021'!AG12</f>
        <v>50</v>
      </c>
      <c r="H2" s="156">
        <f>'FS Jimbaran December 2021'!AH12/'FS Jimbaran December 2021'!AG12</f>
        <v>16420</v>
      </c>
      <c r="I2" s="147">
        <f>'FS Jimbaran December 2021'!AJ12</f>
        <v>296.45999999999185</v>
      </c>
      <c r="J2" s="148">
        <f>'FS Jimbaran December 2021'!AK12/'FS Jimbaran December 2021'!AJ12</f>
        <v>12000</v>
      </c>
      <c r="K2" s="147">
        <f>'FS Jimbaran December 2021'!V12</f>
        <v>719.96979071883527</v>
      </c>
      <c r="L2" s="156">
        <f>'FS Jimbaran December 2021'!AA12/'FS Jimbaran December 2021'!V12</f>
        <v>6088.8374215246222</v>
      </c>
      <c r="M2" s="147">
        <f>+'RNs &amp; Covers December 2021'!B6</f>
        <v>15</v>
      </c>
      <c r="N2" s="158">
        <f>+'RNs &amp; Covers December 2021'!C6</f>
        <v>97</v>
      </c>
    </row>
    <row r="3" spans="1:15" ht="14.45" x14ac:dyDescent="0.3">
      <c r="A3" s="144" t="s">
        <v>49</v>
      </c>
      <c r="B3" s="145">
        <f>B2+1</f>
        <v>2</v>
      </c>
      <c r="C3" s="146">
        <v>12</v>
      </c>
      <c r="D3" s="145">
        <v>2021</v>
      </c>
      <c r="E3" s="158">
        <f>'FS Jimbaran December 2021'!P13+'FS Jimbaran December 2021'!Q13</f>
        <v>17440.999999999487</v>
      </c>
      <c r="F3" s="156">
        <f>'FS Jimbaran December 2021'!O13/'FS Jimbaran December 2021'!P13</f>
        <v>1188.117832075475</v>
      </c>
      <c r="G3" s="158">
        <f>'FS Jimbaran December 2021'!AG13</f>
        <v>62</v>
      </c>
      <c r="H3" s="156">
        <f>'FS Jimbaran December 2021'!AH13/'FS Jimbaran December 2021'!AG13</f>
        <v>15459.677419354839</v>
      </c>
      <c r="I3" s="158">
        <f>'FS Jimbaran December 2021'!AJ13</f>
        <v>173.95000000001164</v>
      </c>
      <c r="J3" s="148">
        <f>'FS Jimbaran December 2021'!AK13/'FS Jimbaran December 2021'!AJ13</f>
        <v>12000</v>
      </c>
      <c r="K3" s="158">
        <f>'FS Jimbaran December 2021'!V13</f>
        <v>758.33939945404916</v>
      </c>
      <c r="L3" s="156">
        <f>'FS Jimbaran December 2021'!AA13/'FS Jimbaran December 2021'!V13</f>
        <v>6532.7686614748591</v>
      </c>
      <c r="M3" s="158">
        <f>+'RNs &amp; Covers December 2021'!B7</f>
        <v>18</v>
      </c>
      <c r="N3" s="158">
        <f>+'RNs &amp; Covers December 2021'!C7</f>
        <v>135</v>
      </c>
    </row>
    <row r="4" spans="1:15" ht="14.45" x14ac:dyDescent="0.3">
      <c r="A4" s="144" t="s">
        <v>49</v>
      </c>
      <c r="B4" s="145">
        <f t="shared" ref="B4:B32" si="0">B3+1</f>
        <v>3</v>
      </c>
      <c r="C4" s="146">
        <v>12</v>
      </c>
      <c r="D4" s="145">
        <v>2021</v>
      </c>
      <c r="E4" s="158">
        <f>'FS Jimbaran December 2021'!P14+'FS Jimbaran December 2021'!Q14</f>
        <v>17593.800000000429</v>
      </c>
      <c r="F4" s="156">
        <f>'FS Jimbaran December 2021'!O14/'FS Jimbaran December 2021'!P14</f>
        <v>1178.6598045685241</v>
      </c>
      <c r="G4" s="158">
        <f>'FS Jimbaran December 2021'!AG14</f>
        <v>112</v>
      </c>
      <c r="H4" s="156">
        <f>'FS Jimbaran December 2021'!AH14/'FS Jimbaran December 2021'!AG14</f>
        <v>15888.392857142857</v>
      </c>
      <c r="I4" s="158">
        <f>'FS Jimbaran December 2021'!AJ14</f>
        <v>330.91999999999825</v>
      </c>
      <c r="J4" s="148">
        <f>'FS Jimbaran December 2021'!AK14/'FS Jimbaran December 2021'!AJ14</f>
        <v>12000</v>
      </c>
      <c r="K4" s="158">
        <f>'FS Jimbaran December 2021'!V14</f>
        <v>770.20727934485899</v>
      </c>
      <c r="L4" s="156">
        <f>'FS Jimbaran December 2021'!AA14/'FS Jimbaran December 2021'!V14</f>
        <v>6864.1064337163443</v>
      </c>
      <c r="M4" s="158">
        <f>+'RNs &amp; Covers December 2021'!B8</f>
        <v>14</v>
      </c>
      <c r="N4" s="158">
        <f>+'RNs &amp; Covers December 2021'!C8</f>
        <v>162</v>
      </c>
    </row>
    <row r="5" spans="1:15" ht="14.45" x14ac:dyDescent="0.3">
      <c r="A5" s="144" t="s">
        <v>49</v>
      </c>
      <c r="B5" s="145">
        <f t="shared" si="0"/>
        <v>4</v>
      </c>
      <c r="C5" s="146">
        <v>12</v>
      </c>
      <c r="D5" s="145">
        <v>2021</v>
      </c>
      <c r="E5" s="158">
        <f>'FS Jimbaran December 2021'!P15+'FS Jimbaran December 2021'!Q15</f>
        <v>16761.600000000133</v>
      </c>
      <c r="F5" s="156">
        <f>'FS Jimbaran December 2021'!O15/'FS Jimbaran December 2021'!P15</f>
        <v>1176.2454481132086</v>
      </c>
      <c r="G5" s="158">
        <f>'FS Jimbaran December 2021'!AG15</f>
        <v>62</v>
      </c>
      <c r="H5" s="156">
        <f>'FS Jimbaran December 2021'!AH15/'FS Jimbaran December 2021'!AG15</f>
        <v>15459.677419354839</v>
      </c>
      <c r="I5" s="158">
        <f>'FS Jimbaran December 2021'!AJ15</f>
        <v>123.36000000001513</v>
      </c>
      <c r="J5" s="148">
        <f>'FS Jimbaran December 2021'!AK15/'FS Jimbaran December 2021'!AJ15</f>
        <v>12000</v>
      </c>
      <c r="K5" s="158">
        <f>'FS Jimbaran December 2021'!V15</f>
        <v>580.97324840764327</v>
      </c>
      <c r="L5" s="156">
        <f>'FS Jimbaran December 2021'!AA15/'FS Jimbaran December 2021'!V15</f>
        <v>6807.664497332521</v>
      </c>
      <c r="M5" s="158">
        <f>+'RNs &amp; Covers December 2021'!B9</f>
        <v>9</v>
      </c>
      <c r="N5" s="158">
        <f>+'RNs &amp; Covers December 2021'!C9</f>
        <v>119</v>
      </c>
    </row>
    <row r="6" spans="1:15" ht="14.45" x14ac:dyDescent="0.3">
      <c r="A6" s="144" t="s">
        <v>49</v>
      </c>
      <c r="B6" s="145">
        <f t="shared" si="0"/>
        <v>5</v>
      </c>
      <c r="C6" s="146">
        <v>12</v>
      </c>
      <c r="D6" s="145">
        <v>2021</v>
      </c>
      <c r="E6" s="158">
        <f>'FS Jimbaran December 2021'!P16+'FS Jimbaran December 2021'!Q16</f>
        <v>16154.199999999701</v>
      </c>
      <c r="F6" s="156">
        <f>'FS Jimbaran December 2021'!O16/'FS Jimbaran December 2021'!P16</f>
        <v>1182.7693676470585</v>
      </c>
      <c r="G6" s="158">
        <f>'FS Jimbaran December 2021'!AG16</f>
        <v>112</v>
      </c>
      <c r="H6" s="156">
        <f>'FS Jimbaran December 2021'!AH16/'FS Jimbaran December 2021'!AG16</f>
        <v>15888.392857142857</v>
      </c>
      <c r="I6" s="158">
        <f>'FS Jimbaran December 2021'!AJ16</f>
        <v>102.13999999999942</v>
      </c>
      <c r="J6" s="148">
        <f>'FS Jimbaran December 2021'!AK16/'FS Jimbaran December 2021'!AJ16</f>
        <v>12000</v>
      </c>
      <c r="K6" s="158">
        <f>'FS Jimbaran December 2021'!V16</f>
        <v>710.11228389444955</v>
      </c>
      <c r="L6" s="156">
        <f>'FS Jimbaran December 2021'!AA16/'FS Jimbaran December 2021'!V16</f>
        <v>6671.1843350250447</v>
      </c>
      <c r="M6" s="158">
        <f>+'RNs &amp; Covers December 2021'!B10</f>
        <v>4</v>
      </c>
      <c r="N6" s="158">
        <f>+'RNs &amp; Covers December 2021'!C10</f>
        <v>136</v>
      </c>
    </row>
    <row r="7" spans="1:15" ht="14.45" x14ac:dyDescent="0.3">
      <c r="A7" s="144" t="s">
        <v>49</v>
      </c>
      <c r="B7" s="145">
        <f t="shared" si="0"/>
        <v>6</v>
      </c>
      <c r="C7" s="146">
        <v>12</v>
      </c>
      <c r="D7" s="145">
        <v>2021</v>
      </c>
      <c r="E7" s="158">
        <f>'FS Jimbaran December 2021'!P17+'FS Jimbaran December 2021'!Q17</f>
        <v>15442.000000000151</v>
      </c>
      <c r="F7" s="156">
        <f>'FS Jimbaran December 2021'!O17/'FS Jimbaran December 2021'!P17</f>
        <v>1185.2925913043475</v>
      </c>
      <c r="G7" s="158">
        <f>'FS Jimbaran December 2021'!AG17</f>
        <v>50</v>
      </c>
      <c r="H7" s="156">
        <f>'FS Jimbaran December 2021'!AH17/'FS Jimbaran December 2021'!AG17</f>
        <v>16420</v>
      </c>
      <c r="I7" s="158">
        <f>'FS Jimbaran December 2021'!AJ17</f>
        <v>309.22000000000116</v>
      </c>
      <c r="J7" s="148">
        <f>'FS Jimbaran December 2021'!AK17/'FS Jimbaran December 2021'!AJ17</f>
        <v>12000</v>
      </c>
      <c r="K7" s="158">
        <f>'FS Jimbaran December 2021'!V17</f>
        <v>582.96287534121927</v>
      </c>
      <c r="L7" s="156">
        <f>'FS Jimbaran December 2021'!AA17/'FS Jimbaran December 2021'!V17</f>
        <v>5639.5707653044801</v>
      </c>
      <c r="M7" s="158">
        <f>+'RNs &amp; Covers December 2021'!B11</f>
        <v>12</v>
      </c>
      <c r="N7" s="158">
        <f>+'RNs &amp; Covers December 2021'!C11</f>
        <v>53</v>
      </c>
    </row>
    <row r="8" spans="1:15" ht="14.45" x14ac:dyDescent="0.3">
      <c r="A8" s="144" t="s">
        <v>49</v>
      </c>
      <c r="B8" s="145">
        <f t="shared" si="0"/>
        <v>7</v>
      </c>
      <c r="C8" s="146">
        <v>12</v>
      </c>
      <c r="D8" s="145">
        <v>2021</v>
      </c>
      <c r="E8" s="158">
        <f>'FS Jimbaran December 2021'!P18+'FS Jimbaran December 2021'!Q18</f>
        <v>15879.600000000071</v>
      </c>
      <c r="F8" s="156">
        <f>'FS Jimbaran December 2021'!O18/'FS Jimbaran December 2021'!P18</f>
        <v>1184.0848636363646</v>
      </c>
      <c r="G8" s="158">
        <f>'FS Jimbaran December 2021'!AG18</f>
        <v>50</v>
      </c>
      <c r="H8" s="156">
        <f>'FS Jimbaran December 2021'!AH18/'FS Jimbaran December 2021'!AG18</f>
        <v>16420</v>
      </c>
      <c r="I8" s="158">
        <f>'FS Jimbaran December 2021'!AJ18</f>
        <v>311.72999999999593</v>
      </c>
      <c r="J8" s="148">
        <f>'FS Jimbaran December 2021'!AK18/'FS Jimbaran December 2021'!AJ18</f>
        <v>12000</v>
      </c>
      <c r="K8" s="158">
        <f>'FS Jimbaran December 2021'!V18</f>
        <v>677.05787079162872</v>
      </c>
      <c r="L8" s="156">
        <f>'FS Jimbaran December 2021'!AA18/'FS Jimbaran December 2021'!V18</f>
        <v>5903.7845733154691</v>
      </c>
      <c r="M8" s="158">
        <f>+'RNs &amp; Covers December 2021'!B12</f>
        <v>10</v>
      </c>
      <c r="N8" s="158">
        <f>+'RNs &amp; Covers December 2021'!C12</f>
        <v>79</v>
      </c>
    </row>
    <row r="9" spans="1:15" ht="14.45" x14ac:dyDescent="0.3">
      <c r="A9" s="144" t="s">
        <v>49</v>
      </c>
      <c r="B9" s="145">
        <f t="shared" si="0"/>
        <v>8</v>
      </c>
      <c r="C9" s="146">
        <v>12</v>
      </c>
      <c r="D9" s="145">
        <v>2021</v>
      </c>
      <c r="E9" s="158">
        <f>'FS Jimbaran December 2021'!P19+'FS Jimbaran December 2021'!Q19</f>
        <v>17446.599999999944</v>
      </c>
      <c r="F9" s="156">
        <f>'FS Jimbaran December 2021'!O19/'FS Jimbaran December 2021'!P19</f>
        <v>1185.1898876329785</v>
      </c>
      <c r="G9" s="158">
        <f>'FS Jimbaran December 2021'!AG19</f>
        <v>50</v>
      </c>
      <c r="H9" s="156">
        <f>'FS Jimbaran December 2021'!AH19/'FS Jimbaran December 2021'!AG19</f>
        <v>16420</v>
      </c>
      <c r="I9" s="158">
        <f>'FS Jimbaran December 2021'!AJ19</f>
        <v>403.55000000000291</v>
      </c>
      <c r="J9" s="148">
        <f>'FS Jimbaran December 2021'!AK19/'FS Jimbaran December 2021'!AJ19</f>
        <v>12000.000000000002</v>
      </c>
      <c r="K9" s="158">
        <f>'FS Jimbaran December 2021'!V19</f>
        <v>682.51210191082805</v>
      </c>
      <c r="L9" s="156">
        <f>'FS Jimbaran December 2021'!AA19/'FS Jimbaran December 2021'!V19</f>
        <v>5864.1747121577109</v>
      </c>
      <c r="M9" s="158">
        <f>+'RNs &amp; Covers December 2021'!B13</f>
        <v>12</v>
      </c>
      <c r="N9" s="158">
        <f>+'RNs &amp; Covers December 2021'!C13</f>
        <v>77</v>
      </c>
      <c r="O9" s="149" t="s">
        <v>46</v>
      </c>
    </row>
    <row r="10" spans="1:15" ht="14.45" x14ac:dyDescent="0.3">
      <c r="A10" s="144" t="s">
        <v>49</v>
      </c>
      <c r="B10" s="145">
        <f t="shared" si="0"/>
        <v>9</v>
      </c>
      <c r="C10" s="146">
        <v>12</v>
      </c>
      <c r="D10" s="145">
        <v>2021</v>
      </c>
      <c r="E10" s="158">
        <f>'FS Jimbaran December 2021'!P20+'FS Jimbaran December 2021'!Q20</f>
        <v>17028.99999999944</v>
      </c>
      <c r="F10" s="156">
        <f>'FS Jimbaran December 2021'!O20/'FS Jimbaran December 2021'!P20</f>
        <v>1184.770479375002</v>
      </c>
      <c r="G10" s="158">
        <f>'FS Jimbaran December 2021'!AG20</f>
        <v>50</v>
      </c>
      <c r="H10" s="156">
        <f>'FS Jimbaran December 2021'!AH20/'FS Jimbaran December 2021'!AG20</f>
        <v>16420</v>
      </c>
      <c r="I10" s="158">
        <f>'FS Jimbaran December 2021'!AJ20</f>
        <v>76.119999999995343</v>
      </c>
      <c r="J10" s="148">
        <f>'FS Jimbaran December 2021'!AK20/'FS Jimbaran December 2021'!AJ20</f>
        <v>12000</v>
      </c>
      <c r="K10" s="158">
        <f>'FS Jimbaran December 2021'!V20</f>
        <v>759.06132848043671</v>
      </c>
      <c r="L10" s="156">
        <f>'FS Jimbaran December 2021'!AA20/'FS Jimbaran December 2021'!V20</f>
        <v>6071.7252570776909</v>
      </c>
      <c r="M10" s="158">
        <f>+'RNs &amp; Covers December 2021'!B14</f>
        <v>13</v>
      </c>
      <c r="N10" s="158">
        <f>+'RNs &amp; Covers December 2021'!C14</f>
        <v>101</v>
      </c>
    </row>
    <row r="11" spans="1:15" ht="14.45" x14ac:dyDescent="0.3">
      <c r="A11" s="144" t="s">
        <v>49</v>
      </c>
      <c r="B11" s="145">
        <f t="shared" si="0"/>
        <v>10</v>
      </c>
      <c r="C11" s="146">
        <v>12</v>
      </c>
      <c r="D11" s="145">
        <v>2021</v>
      </c>
      <c r="E11" s="158">
        <f>'FS Jimbaran December 2021'!P21+'FS Jimbaran December 2021'!Q21</f>
        <v>18107.00000000028</v>
      </c>
      <c r="F11" s="156">
        <f>'FS Jimbaran December 2021'!O21/'FS Jimbaran December 2021'!P21</f>
        <v>1185.5844777777786</v>
      </c>
      <c r="G11" s="158">
        <f>'FS Jimbaran December 2021'!AG21</f>
        <v>112</v>
      </c>
      <c r="H11" s="156">
        <f>'FS Jimbaran December 2021'!AH21/'FS Jimbaran December 2021'!AG21</f>
        <v>15888.392857142857</v>
      </c>
      <c r="I11" s="158">
        <f>'FS Jimbaran December 2021'!AJ21</f>
        <v>419.97000000000116</v>
      </c>
      <c r="J11" s="148">
        <f>'FS Jimbaran December 2021'!AK21/'FS Jimbaran December 2021'!AJ21</f>
        <v>12000</v>
      </c>
      <c r="K11" s="158">
        <f>'FS Jimbaran December 2021'!V21</f>
        <v>772.06824385805282</v>
      </c>
      <c r="L11" s="156">
        <f>'FS Jimbaran December 2021'!AA21/'FS Jimbaran December 2021'!V21</f>
        <v>6633.1230939230982</v>
      </c>
      <c r="M11" s="158">
        <f>+'RNs &amp; Covers December 2021'!B15</f>
        <v>17</v>
      </c>
      <c r="N11" s="158">
        <f>+'RNs &amp; Covers December 2021'!C15</f>
        <v>145</v>
      </c>
    </row>
    <row r="12" spans="1:15" ht="14.45" x14ac:dyDescent="0.3">
      <c r="A12" s="144" t="s">
        <v>49</v>
      </c>
      <c r="B12" s="145">
        <f t="shared" si="0"/>
        <v>11</v>
      </c>
      <c r="C12" s="146">
        <v>12</v>
      </c>
      <c r="D12" s="145">
        <v>2021</v>
      </c>
      <c r="E12" s="158">
        <f>'FS Jimbaran December 2021'!P22+'FS Jimbaran December 2021'!Q22</f>
        <v>19778.200000000463</v>
      </c>
      <c r="F12" s="156">
        <f>'FS Jimbaran December 2021'!O22/'FS Jimbaran December 2021'!P22</f>
        <v>1197.6419900990056</v>
      </c>
      <c r="G12" s="158">
        <f>'FS Jimbaran December 2021'!AG22</f>
        <v>162</v>
      </c>
      <c r="H12" s="156">
        <f>'FS Jimbaran December 2021'!AH22/'FS Jimbaran December 2021'!AG22</f>
        <v>16052.469135802468</v>
      </c>
      <c r="I12" s="158">
        <f>'FS Jimbaran December 2021'!AJ22</f>
        <v>349.71999999998661</v>
      </c>
      <c r="J12" s="148">
        <f>'FS Jimbaran December 2021'!AK22/'FS Jimbaran December 2021'!AJ22</f>
        <v>12000.000000000002</v>
      </c>
      <c r="K12" s="158">
        <f>'FS Jimbaran December 2021'!V22</f>
        <v>927.10282074613292</v>
      </c>
      <c r="L12" s="156">
        <f>'FS Jimbaran December 2021'!AA22/'FS Jimbaran December 2021'!V22</f>
        <v>8744.3818956843807</v>
      </c>
      <c r="M12" s="158">
        <f>+'RNs &amp; Covers December 2021'!B16</f>
        <v>22</v>
      </c>
      <c r="N12" s="158">
        <f>+'RNs &amp; Covers December 2021'!C16</f>
        <v>365</v>
      </c>
    </row>
    <row r="13" spans="1:15" ht="14.45" x14ac:dyDescent="0.3">
      <c r="A13" s="144" t="s">
        <v>49</v>
      </c>
      <c r="B13" s="145">
        <f t="shared" si="0"/>
        <v>12</v>
      </c>
      <c r="C13" s="146">
        <v>12</v>
      </c>
      <c r="D13" s="145">
        <v>2021</v>
      </c>
      <c r="E13" s="158">
        <f>'FS Jimbaran December 2021'!P23+'FS Jimbaran December 2021'!Q23</f>
        <v>18212.999999999789</v>
      </c>
      <c r="F13" s="156">
        <f>'FS Jimbaran December 2021'!O23/'FS Jimbaran December 2021'!P23</f>
        <v>1184.3278078291828</v>
      </c>
      <c r="G13" s="158">
        <f>'FS Jimbaran December 2021'!AG23</f>
        <v>162</v>
      </c>
      <c r="H13" s="156">
        <f>'FS Jimbaran December 2021'!AH23/'FS Jimbaran December 2021'!AG23</f>
        <v>16052.469135802468</v>
      </c>
      <c r="I13" s="158">
        <f>'FS Jimbaran December 2021'!AJ23</f>
        <v>297.61999999999534</v>
      </c>
      <c r="J13" s="148">
        <f>'FS Jimbaran December 2021'!AK23/'FS Jimbaran December 2021'!AJ23</f>
        <v>12000</v>
      </c>
      <c r="K13" s="158">
        <f>'FS Jimbaran December 2021'!V23</f>
        <v>775.93958143767054</v>
      </c>
      <c r="L13" s="156">
        <f>'FS Jimbaran December 2021'!AA23/'FS Jimbaran December 2021'!V23</f>
        <v>7271.0589955985361</v>
      </c>
      <c r="M13" s="158">
        <f>+'RNs &amp; Covers December 2021'!B17</f>
        <v>26</v>
      </c>
      <c r="N13" s="158">
        <f>+'RNs &amp; Covers December 2021'!C17</f>
        <v>194</v>
      </c>
    </row>
    <row r="14" spans="1:15" ht="14.45" x14ac:dyDescent="0.3">
      <c r="A14" s="144" t="s">
        <v>49</v>
      </c>
      <c r="B14" s="145">
        <f t="shared" si="0"/>
        <v>13</v>
      </c>
      <c r="C14" s="146">
        <v>12</v>
      </c>
      <c r="D14" s="145">
        <v>2021</v>
      </c>
      <c r="E14" s="158">
        <f>'FS Jimbaran December 2021'!P24+'FS Jimbaran December 2021'!Q24</f>
        <v>19160.999999999964</v>
      </c>
      <c r="F14" s="156">
        <f>'FS Jimbaran December 2021'!O24/'FS Jimbaran December 2021'!P24</f>
        <v>1185.9618528347387</v>
      </c>
      <c r="G14" s="158">
        <f>'FS Jimbaran December 2021'!AG24</f>
        <v>162</v>
      </c>
      <c r="H14" s="156">
        <f>'FS Jimbaran December 2021'!AH24/'FS Jimbaran December 2021'!AG24</f>
        <v>16052.469135802468</v>
      </c>
      <c r="I14" s="158">
        <f>'FS Jimbaran December 2021'!AJ24</f>
        <v>325.97000000000116</v>
      </c>
      <c r="J14" s="148">
        <f>'FS Jimbaran December 2021'!AK24/'FS Jimbaran December 2021'!AJ24</f>
        <v>12000</v>
      </c>
      <c r="K14" s="158">
        <f>'FS Jimbaran December 2021'!V24</f>
        <v>823.07515923566882</v>
      </c>
      <c r="L14" s="156">
        <f>'FS Jimbaran December 2021'!AA24/'FS Jimbaran December 2021'!V24</f>
        <v>7061.9473431899887</v>
      </c>
      <c r="M14" s="158">
        <f>+'RNs &amp; Covers December 2021'!B18</f>
        <v>30</v>
      </c>
      <c r="N14" s="158">
        <f>+'RNs &amp; Covers December 2021'!C18</f>
        <v>189</v>
      </c>
    </row>
    <row r="15" spans="1:15" ht="14.45" x14ac:dyDescent="0.3">
      <c r="A15" s="144" t="s">
        <v>49</v>
      </c>
      <c r="B15" s="145">
        <f t="shared" si="0"/>
        <v>14</v>
      </c>
      <c r="C15" s="146">
        <v>12</v>
      </c>
      <c r="D15" s="145">
        <v>2021</v>
      </c>
      <c r="E15" s="158">
        <f>'FS Jimbaran December 2021'!P25+'FS Jimbaran December 2021'!Q25</f>
        <v>17732.19999999975</v>
      </c>
      <c r="F15" s="156">
        <f>'FS Jimbaran December 2021'!O25/'FS Jimbaran December 2021'!P25</f>
        <v>1191.3558266129085</v>
      </c>
      <c r="G15" s="158">
        <f>'FS Jimbaran December 2021'!AG25</f>
        <v>162</v>
      </c>
      <c r="H15" s="156">
        <f>'FS Jimbaran December 2021'!AH25/'FS Jimbaran December 2021'!AG25</f>
        <v>16052.469135802468</v>
      </c>
      <c r="I15" s="158">
        <f>'FS Jimbaran December 2021'!AJ25</f>
        <v>269.52999999999884</v>
      </c>
      <c r="J15" s="148">
        <f>'FS Jimbaran December 2021'!AK25/'FS Jimbaran December 2021'!AJ25</f>
        <v>12000</v>
      </c>
      <c r="K15" s="158">
        <f>'FS Jimbaran December 2021'!V25</f>
        <v>785.93958143767054</v>
      </c>
      <c r="L15" s="156">
        <f>'FS Jimbaran December 2021'!AA25/'FS Jimbaran December 2021'!V25</f>
        <v>7238.4388489087305</v>
      </c>
      <c r="M15" s="158">
        <f>+'RNs &amp; Covers December 2021'!B19</f>
        <v>21</v>
      </c>
      <c r="N15" s="158">
        <f>+'RNs &amp; Covers December 2021'!C19</f>
        <v>194</v>
      </c>
    </row>
    <row r="16" spans="1:15" ht="14.45" x14ac:dyDescent="0.3">
      <c r="A16" s="144" t="s">
        <v>49</v>
      </c>
      <c r="B16" s="145">
        <f t="shared" si="0"/>
        <v>15</v>
      </c>
      <c r="C16" s="146">
        <v>12</v>
      </c>
      <c r="D16" s="145">
        <v>2021</v>
      </c>
      <c r="E16" s="158">
        <f>'FS Jimbaran December 2021'!P26+'FS Jimbaran December 2021'!Q26</f>
        <v>19947.399999999863</v>
      </c>
      <c r="F16" s="156">
        <f>'FS Jimbaran December 2021'!O26/'FS Jimbaran December 2021'!P26</f>
        <v>1171.5682317073156</v>
      </c>
      <c r="G16" s="158">
        <f>'FS Jimbaran December 2021'!AG26</f>
        <v>162</v>
      </c>
      <c r="H16" s="156">
        <f>'FS Jimbaran December 2021'!AH26/'FS Jimbaran December 2021'!AG26</f>
        <v>16052.469135802468</v>
      </c>
      <c r="I16" s="158">
        <f>'FS Jimbaran December 2021'!AJ26</f>
        <v>1534.9000000000233</v>
      </c>
      <c r="J16" s="148">
        <f>'FS Jimbaran December 2021'!AK26/'FS Jimbaran December 2021'!AJ26</f>
        <v>12000</v>
      </c>
      <c r="K16" s="158">
        <f>'FS Jimbaran December 2021'!V26</f>
        <v>662.80054595086449</v>
      </c>
      <c r="L16" s="156">
        <f>'FS Jimbaran December 2021'!AA26/'FS Jimbaran December 2021'!V26</f>
        <v>7445.679574788096</v>
      </c>
      <c r="M16" s="158">
        <f>+'RNs &amp; Covers December 2021'!B20</f>
        <v>21</v>
      </c>
      <c r="N16" s="158">
        <f>+'RNs &amp; Covers December 2021'!C20</f>
        <v>177</v>
      </c>
    </row>
    <row r="17" spans="1:14" ht="14.45" x14ac:dyDescent="0.3">
      <c r="A17" s="144" t="s">
        <v>49</v>
      </c>
      <c r="B17" s="145">
        <f t="shared" si="0"/>
        <v>16</v>
      </c>
      <c r="C17" s="146">
        <v>12</v>
      </c>
      <c r="D17" s="145">
        <v>2021</v>
      </c>
      <c r="E17" s="158">
        <f>'FS Jimbaran December 2021'!P27+'FS Jimbaran December 2021'!Q27</f>
        <v>18689.400000000212</v>
      </c>
      <c r="F17" s="156">
        <f>'FS Jimbaran December 2021'!O27/'FS Jimbaran December 2021'!P27</f>
        <v>1186.2558166666647</v>
      </c>
      <c r="G17" s="158">
        <f>'FS Jimbaran December 2021'!AG27</f>
        <v>112</v>
      </c>
      <c r="H17" s="156">
        <f>'FS Jimbaran December 2021'!AH27/'FS Jimbaran December 2021'!AG27</f>
        <v>15888.392857142857</v>
      </c>
      <c r="I17" s="158">
        <f>'FS Jimbaran December 2021'!AJ27</f>
        <v>334.32000000002154</v>
      </c>
      <c r="J17" s="148">
        <f>'FS Jimbaran December 2021'!AK27/'FS Jimbaran December 2021'!AJ27</f>
        <v>12000</v>
      </c>
      <c r="K17" s="158">
        <f>'FS Jimbaran December 2021'!V27</f>
        <v>778.38689717925388</v>
      </c>
      <c r="L17" s="156">
        <f>'FS Jimbaran December 2021'!AA27/'FS Jimbaran December 2021'!V27</f>
        <v>6657.0109996494039</v>
      </c>
      <c r="M17" s="158">
        <f>+'RNs &amp; Covers December 2021'!B21</f>
        <v>23</v>
      </c>
      <c r="N17" s="158">
        <f>+'RNs &amp; Covers December 2021'!C21</f>
        <v>148</v>
      </c>
    </row>
    <row r="18" spans="1:14" ht="14.45" x14ac:dyDescent="0.3">
      <c r="A18" s="144" t="s">
        <v>49</v>
      </c>
      <c r="B18" s="145">
        <f t="shared" si="0"/>
        <v>17</v>
      </c>
      <c r="C18" s="146">
        <v>12</v>
      </c>
      <c r="D18" s="145">
        <v>2021</v>
      </c>
      <c r="E18" s="158">
        <f>'FS Jimbaran December 2021'!P28+'FS Jimbaran December 2021'!Q28</f>
        <v>20159.400000000336</v>
      </c>
      <c r="F18" s="156">
        <f>'FS Jimbaran December 2021'!O28/'FS Jimbaran December 2021'!P28</f>
        <v>1186.8847711386684</v>
      </c>
      <c r="G18" s="158">
        <f>'FS Jimbaran December 2021'!AG28</f>
        <v>162</v>
      </c>
      <c r="H18" s="156">
        <f>'FS Jimbaran December 2021'!AH28/'FS Jimbaran December 2021'!AG28</f>
        <v>16052.469135802468</v>
      </c>
      <c r="I18" s="158">
        <f>'FS Jimbaran December 2021'!AJ28</f>
        <v>346</v>
      </c>
      <c r="J18" s="148">
        <f>'FS Jimbaran December 2021'!AK28/'FS Jimbaran December 2021'!AJ28</f>
        <v>12000</v>
      </c>
      <c r="K18" s="158">
        <f>'FS Jimbaran December 2021'!V28</f>
        <v>820.39727024567787</v>
      </c>
      <c r="L18" s="156">
        <f>'FS Jimbaran December 2021'!AA28/'FS Jimbaran December 2021'!V28</f>
        <v>7382.1094687855821</v>
      </c>
      <c r="M18" s="158">
        <f>+'RNs &amp; Covers December 2021'!B22</f>
        <v>44</v>
      </c>
      <c r="N18" s="158">
        <f>+'RNs &amp; Covers December 2021'!C22</f>
        <v>214</v>
      </c>
    </row>
    <row r="19" spans="1:14" ht="14.45" x14ac:dyDescent="0.3">
      <c r="A19" s="144" t="s">
        <v>49</v>
      </c>
      <c r="B19" s="145">
        <f t="shared" si="0"/>
        <v>18</v>
      </c>
      <c r="C19" s="146">
        <v>12</v>
      </c>
      <c r="D19" s="145">
        <v>2021</v>
      </c>
      <c r="E19" s="158">
        <f>'FS Jimbaran December 2021'!P29+'FS Jimbaran December 2021'!Q29</f>
        <v>21915.999999999476</v>
      </c>
      <c r="F19" s="156">
        <f>'FS Jimbaran December 2021'!O29/'FS Jimbaran December 2021'!P29</f>
        <v>1184.5094857594966</v>
      </c>
      <c r="G19" s="158">
        <f>'FS Jimbaran December 2021'!AG29</f>
        <v>162</v>
      </c>
      <c r="H19" s="156">
        <f>'FS Jimbaran December 2021'!AH29/'FS Jimbaran December 2021'!AG29</f>
        <v>16209.876543209877</v>
      </c>
      <c r="I19" s="158">
        <f>'FS Jimbaran December 2021'!AJ29</f>
        <v>281.75</v>
      </c>
      <c r="J19" s="148">
        <f>'FS Jimbaran December 2021'!AK29/'FS Jimbaran December 2021'!AJ29</f>
        <v>12000</v>
      </c>
      <c r="K19" s="158">
        <f>'FS Jimbaran December 2021'!V29</f>
        <v>844.35668789808915</v>
      </c>
      <c r="L19" s="156">
        <f>'FS Jimbaran December 2021'!AA29/'FS Jimbaran December 2021'!V29</f>
        <v>7682.6853207392587</v>
      </c>
      <c r="M19" s="158">
        <f>+'RNs &amp; Covers December 2021'!B23</f>
        <v>53</v>
      </c>
      <c r="N19" s="158">
        <f>+'RNs &amp; Covers December 2021'!C23</f>
        <v>245</v>
      </c>
    </row>
    <row r="20" spans="1:14" x14ac:dyDescent="0.25">
      <c r="A20" s="144" t="s">
        <v>49</v>
      </c>
      <c r="B20" s="145">
        <f t="shared" si="0"/>
        <v>19</v>
      </c>
      <c r="C20" s="146">
        <v>12</v>
      </c>
      <c r="D20" s="145">
        <v>2021</v>
      </c>
      <c r="E20" s="158">
        <f>'FS Jimbaran December 2021'!P30+'FS Jimbaran December 2021'!Q30</f>
        <v>19863.399999999878</v>
      </c>
      <c r="F20" s="156">
        <f>'FS Jimbaran December 2021'!O30/'FS Jimbaran December 2021'!P30</f>
        <v>1186.7297029411773</v>
      </c>
      <c r="G20" s="158">
        <f>'FS Jimbaran December 2021'!AG30</f>
        <v>212</v>
      </c>
      <c r="H20" s="156">
        <f>'FS Jimbaran December 2021'!AH30/'FS Jimbaran December 2021'!AG30</f>
        <v>16259.433962264151</v>
      </c>
      <c r="I20" s="158">
        <f>'FS Jimbaran December 2021'!AJ30</f>
        <v>326.89999999999418</v>
      </c>
      <c r="J20" s="148">
        <f>'FS Jimbaran December 2021'!AK30/'FS Jimbaran December 2021'!AJ30</f>
        <v>12000</v>
      </c>
      <c r="K20" s="158">
        <f>'FS Jimbaran December 2021'!V30</f>
        <v>875.04494995450409</v>
      </c>
      <c r="L20" s="156">
        <f>'FS Jimbaran December 2021'!AA30/'FS Jimbaran December 2021'!V30</f>
        <v>8058.7947553160875</v>
      </c>
      <c r="M20" s="158">
        <f>+'RNs &amp; Covers December 2021'!B24</f>
        <v>31</v>
      </c>
      <c r="N20" s="158">
        <f>+'RNs &amp; Covers December 2021'!C24</f>
        <v>286</v>
      </c>
    </row>
    <row r="21" spans="1:14" x14ac:dyDescent="0.25">
      <c r="A21" s="144" t="s">
        <v>49</v>
      </c>
      <c r="B21" s="145">
        <f t="shared" si="0"/>
        <v>20</v>
      </c>
      <c r="C21" s="146">
        <v>12</v>
      </c>
      <c r="D21" s="145">
        <v>2021</v>
      </c>
      <c r="E21" s="158">
        <f>'FS Jimbaran December 2021'!P31+'FS Jimbaran December 2021'!Q31</f>
        <v>18806.600000000275</v>
      </c>
      <c r="F21" s="156">
        <f>'FS Jimbaran December 2021'!O31/'FS Jimbaran December 2021'!P31</f>
        <v>1184.0468951612863</v>
      </c>
      <c r="G21" s="158">
        <f>'FS Jimbaran December 2021'!AG31</f>
        <v>162</v>
      </c>
      <c r="H21" s="156">
        <f>'FS Jimbaran December 2021'!AH31/'FS Jimbaran December 2021'!AG31</f>
        <v>16654.320987654322</v>
      </c>
      <c r="I21" s="158">
        <f>'FS Jimbaran December 2021'!AJ31</f>
        <v>427.58000000000175</v>
      </c>
      <c r="J21" s="148">
        <f>'FS Jimbaran December 2021'!AK31/'FS Jimbaran December 2021'!AJ31</f>
        <v>11999.999999999998</v>
      </c>
      <c r="K21" s="158">
        <f>'FS Jimbaran December 2021'!V31</f>
        <v>680.93612374886266</v>
      </c>
      <c r="L21" s="156">
        <f>'FS Jimbaran December 2021'!AA31/'FS Jimbaran December 2021'!V31</f>
        <v>7297.4530358821303</v>
      </c>
      <c r="M21" s="158">
        <f>+'RNs &amp; Covers December 2021'!B25</f>
        <v>26</v>
      </c>
      <c r="N21" s="158">
        <f>+'RNs &amp; Covers December 2021'!C25</f>
        <v>172</v>
      </c>
    </row>
    <row r="22" spans="1:14" x14ac:dyDescent="0.25">
      <c r="A22" s="144" t="s">
        <v>49</v>
      </c>
      <c r="B22" s="145">
        <f t="shared" si="0"/>
        <v>21</v>
      </c>
      <c r="C22" s="146">
        <v>12</v>
      </c>
      <c r="D22" s="145">
        <v>2021</v>
      </c>
      <c r="E22" s="158">
        <f>'FS Jimbaran December 2021'!P32+'FS Jimbaran December 2021'!Q32</f>
        <v>17373.799999999748</v>
      </c>
      <c r="F22" s="156">
        <f>'FS Jimbaran December 2021'!O32/'FS Jimbaran December 2021'!P32</f>
        <v>1182.1698078848601</v>
      </c>
      <c r="G22" s="158">
        <f>'FS Jimbaran December 2021'!AG32</f>
        <v>162</v>
      </c>
      <c r="H22" s="156">
        <f>'FS Jimbaran December 2021'!AH32/'FS Jimbaran December 2021'!AG32</f>
        <v>16654.320987654322</v>
      </c>
      <c r="I22" s="158">
        <f>'FS Jimbaran December 2021'!AJ32</f>
        <v>276.30000000000291</v>
      </c>
      <c r="J22" s="148">
        <f>'FS Jimbaran December 2021'!AK32/'FS Jimbaran December 2021'!AJ32</f>
        <v>12000</v>
      </c>
      <c r="K22" s="158">
        <f>'FS Jimbaran December 2021'!V32</f>
        <v>772.11574158325755</v>
      </c>
      <c r="L22" s="156">
        <f>'FS Jimbaran December 2021'!AA32/'FS Jimbaran December 2021'!V32</f>
        <v>6805.6528799610514</v>
      </c>
      <c r="M22" s="158">
        <f>+'RNs &amp; Covers December 2021'!B26</f>
        <v>21</v>
      </c>
      <c r="N22" s="158">
        <f>+'RNs &amp; Covers December 2021'!C26</f>
        <v>158</v>
      </c>
    </row>
    <row r="23" spans="1:14" x14ac:dyDescent="0.25">
      <c r="A23" s="144" t="s">
        <v>49</v>
      </c>
      <c r="B23" s="145">
        <f t="shared" si="0"/>
        <v>22</v>
      </c>
      <c r="C23" s="146">
        <v>12</v>
      </c>
      <c r="D23" s="145">
        <v>2021</v>
      </c>
      <c r="E23" s="158">
        <f>'FS Jimbaran December 2021'!P33+'FS Jimbaran December 2021'!Q33</f>
        <v>18152.800000000345</v>
      </c>
      <c r="F23" s="156">
        <f>'FS Jimbaran December 2021'!O33/'FS Jimbaran December 2021'!P33</f>
        <v>1189.0312298780448</v>
      </c>
      <c r="G23" s="158">
        <f>'FS Jimbaran December 2021'!AG33</f>
        <v>212</v>
      </c>
      <c r="H23" s="156">
        <f>'FS Jimbaran December 2021'!AH33/'FS Jimbaran December 2021'!AG33</f>
        <v>16712.264150943396</v>
      </c>
      <c r="I23" s="158">
        <f>'FS Jimbaran December 2021'!AJ33</f>
        <v>315.79999999998836</v>
      </c>
      <c r="J23" s="148">
        <f>'FS Jimbaran December 2021'!AK33/'FS Jimbaran December 2021'!AJ33</f>
        <v>12000</v>
      </c>
      <c r="K23" s="158">
        <f>'FS Jimbaran December 2021'!V33</f>
        <v>889.40764331210198</v>
      </c>
      <c r="L23" s="156">
        <f>'FS Jimbaran December 2021'!AA33/'FS Jimbaran December 2021'!V33</f>
        <v>7935.4975968150275</v>
      </c>
      <c r="M23" s="158">
        <f>+'RNs &amp; Covers December 2021'!B27</f>
        <v>23</v>
      </c>
      <c r="N23" s="158">
        <f>+'RNs &amp; Covers December 2021'!C27</f>
        <v>280</v>
      </c>
    </row>
    <row r="24" spans="1:14" x14ac:dyDescent="0.25">
      <c r="A24" s="144" t="s">
        <v>49</v>
      </c>
      <c r="B24" s="145">
        <f t="shared" si="0"/>
        <v>23</v>
      </c>
      <c r="C24" s="146">
        <v>12</v>
      </c>
      <c r="D24" s="145">
        <v>2021</v>
      </c>
      <c r="E24" s="158">
        <f>'FS Jimbaran December 2021'!P34+'FS Jimbaran December 2021'!Q34</f>
        <v>18463.200000000157</v>
      </c>
      <c r="F24" s="156">
        <f>'FS Jimbaran December 2021'!O34/'FS Jimbaran December 2021'!P34</f>
        <v>1180.9254868421053</v>
      </c>
      <c r="G24" s="158">
        <f>'FS Jimbaran December 2021'!AG34</f>
        <v>162</v>
      </c>
      <c r="H24" s="156">
        <f>'FS Jimbaran December 2021'!AH34/'FS Jimbaran December 2021'!AG34</f>
        <v>16654.320987654322</v>
      </c>
      <c r="I24" s="158">
        <f>'FS Jimbaran December 2021'!AJ34</f>
        <v>339.71999999998661</v>
      </c>
      <c r="J24" s="148">
        <f>'FS Jimbaran December 2021'!AK34/'FS Jimbaran December 2021'!AJ34</f>
        <v>12000</v>
      </c>
      <c r="K24" s="158">
        <f>'FS Jimbaran December 2021'!V34</f>
        <v>670.8445859872611</v>
      </c>
      <c r="L24" s="156">
        <f>'FS Jimbaran December 2021'!AA34/'FS Jimbaran December 2021'!V34</f>
        <v>7275.2746518917011</v>
      </c>
      <c r="M24" s="158">
        <f>+'RNs &amp; Covers December 2021'!B28</f>
        <v>18</v>
      </c>
      <c r="N24" s="158">
        <f>+'RNs &amp; Covers December 2021'!C28</f>
        <v>168</v>
      </c>
    </row>
    <row r="25" spans="1:14" x14ac:dyDescent="0.25">
      <c r="A25" s="144" t="s">
        <v>49</v>
      </c>
      <c r="B25" s="145">
        <f t="shared" si="0"/>
        <v>24</v>
      </c>
      <c r="C25" s="146">
        <v>12</v>
      </c>
      <c r="D25" s="145">
        <v>2021</v>
      </c>
      <c r="E25" s="158">
        <f>'FS Jimbaran December 2021'!P35+'FS Jimbaran December 2021'!Q35</f>
        <v>19087.599999999995</v>
      </c>
      <c r="F25" s="156">
        <f>'FS Jimbaran December 2021'!O35/'FS Jimbaran December 2021'!P35</f>
        <v>1185.8916586715868</v>
      </c>
      <c r="G25" s="158">
        <f>'FS Jimbaran December 2021'!AG35</f>
        <v>212</v>
      </c>
      <c r="H25" s="156">
        <f>'FS Jimbaran December 2021'!AH35/'FS Jimbaran December 2021'!AG35</f>
        <v>16712.264150943396</v>
      </c>
      <c r="I25" s="158">
        <f>'FS Jimbaran December 2021'!AJ35</f>
        <v>414.97999999999593</v>
      </c>
      <c r="J25" s="148">
        <f>'FS Jimbaran December 2021'!AK35/'FS Jimbaran December 2021'!AJ35</f>
        <v>12000.000000000002</v>
      </c>
      <c r="K25" s="158">
        <f>'FS Jimbaran December 2021'!V35</f>
        <v>593.34977252047315</v>
      </c>
      <c r="L25" s="156">
        <f>'FS Jimbaran December 2021'!AA35/'FS Jimbaran December 2021'!V35</f>
        <v>8180.9662873367042</v>
      </c>
      <c r="M25" s="158">
        <f>+'RNs &amp; Covers December 2021'!B29</f>
        <v>14</v>
      </c>
      <c r="N25" s="158">
        <f>+'RNs &amp; Covers December 2021'!C29</f>
        <v>201</v>
      </c>
    </row>
    <row r="26" spans="1:14" x14ac:dyDescent="0.25">
      <c r="A26" s="144" t="s">
        <v>49</v>
      </c>
      <c r="B26" s="145">
        <f>B25+1</f>
        <v>25</v>
      </c>
      <c r="C26" s="146">
        <v>12</v>
      </c>
      <c r="D26" s="145">
        <v>2021</v>
      </c>
      <c r="E26" s="158">
        <f>'FS Jimbaran December 2021'!P36+'FS Jimbaran December 2021'!Q36</f>
        <v>19726.199999999269</v>
      </c>
      <c r="F26" s="156">
        <f>'FS Jimbaran December 2021'!O36/'FS Jimbaran December 2021'!P36</f>
        <v>1184.4427232779142</v>
      </c>
      <c r="G26" s="158">
        <f>'FS Jimbaran December 2021'!AG36</f>
        <v>212</v>
      </c>
      <c r="H26" s="156">
        <f>'FS Jimbaran December 2021'!AH36/'FS Jimbaran December 2021'!AG36</f>
        <v>16712.264150943396</v>
      </c>
      <c r="I26" s="158">
        <f>'FS Jimbaran December 2021'!AJ36</f>
        <v>335.77000000000407</v>
      </c>
      <c r="J26" s="148">
        <f>'FS Jimbaran December 2021'!AK36/'FS Jimbaran December 2021'!AJ36</f>
        <v>12000</v>
      </c>
      <c r="K26" s="158">
        <f>'FS Jimbaran December 2021'!V36</f>
        <v>622.12611464968154</v>
      </c>
      <c r="L26" s="156">
        <f>'FS Jimbaran December 2021'!AA36/'FS Jimbaran December 2021'!V36</f>
        <v>8399.3902645702019</v>
      </c>
      <c r="M26" s="158">
        <f>+'RNs &amp; Covers December 2021'!B30</f>
        <v>17</v>
      </c>
      <c r="N26" s="158">
        <f>+'RNs &amp; Covers December 2021'!C30</f>
        <v>224</v>
      </c>
    </row>
    <row r="27" spans="1:14" x14ac:dyDescent="0.25">
      <c r="A27" s="144" t="s">
        <v>49</v>
      </c>
      <c r="B27" s="145">
        <f t="shared" si="0"/>
        <v>26</v>
      </c>
      <c r="C27" s="146">
        <v>12</v>
      </c>
      <c r="D27" s="145">
        <v>2021</v>
      </c>
      <c r="E27" s="158">
        <f>'FS Jimbaran December 2021'!P37+'FS Jimbaran December 2021'!Q37</f>
        <v>20092.399999999969</v>
      </c>
      <c r="F27" s="156">
        <f>'FS Jimbaran December 2021'!O37/'FS Jimbaran December 2021'!P37</f>
        <v>1184.0987928994089</v>
      </c>
      <c r="G27" s="158">
        <f>'FS Jimbaran December 2021'!AG37</f>
        <v>212</v>
      </c>
      <c r="H27" s="156">
        <f>'FS Jimbaran December 2021'!AH37/'FS Jimbaran December 2021'!AG37</f>
        <v>16712.264150943396</v>
      </c>
      <c r="I27" s="158">
        <f>'FS Jimbaran December 2021'!AJ37</f>
        <v>200.65000000000873</v>
      </c>
      <c r="J27" s="148">
        <f>'FS Jimbaran December 2021'!AK37/'FS Jimbaran December 2021'!AJ37</f>
        <v>12000</v>
      </c>
      <c r="K27" s="158">
        <f>'FS Jimbaran December 2021'!V37</f>
        <v>665.67879890809832</v>
      </c>
      <c r="L27" s="156">
        <f>'FS Jimbaran December 2021'!AA37/'FS Jimbaran December 2021'!V37</f>
        <v>8866.4213956423228</v>
      </c>
      <c r="M27" s="158">
        <f>+'RNs &amp; Covers December 2021'!B31</f>
        <v>18</v>
      </c>
      <c r="N27" s="158">
        <f>+'RNs &amp; Covers December 2021'!C31</f>
        <v>270</v>
      </c>
    </row>
    <row r="28" spans="1:14" x14ac:dyDescent="0.25">
      <c r="A28" s="144" t="s">
        <v>49</v>
      </c>
      <c r="B28" s="145">
        <f t="shared" si="0"/>
        <v>27</v>
      </c>
      <c r="C28" s="146">
        <v>12</v>
      </c>
      <c r="D28" s="145">
        <v>2021</v>
      </c>
      <c r="E28" s="158">
        <f>'FS Jimbaran December 2021'!P38+'FS Jimbaran December 2021'!Q38</f>
        <v>19385.200000000768</v>
      </c>
      <c r="F28" s="156">
        <f>'FS Jimbaran December 2021'!O38/'FS Jimbaran December 2021'!P38</f>
        <v>1182.5361495215236</v>
      </c>
      <c r="G28" s="158">
        <f>'FS Jimbaran December 2021'!AG38</f>
        <v>162</v>
      </c>
      <c r="H28" s="156">
        <f>'FS Jimbaran December 2021'!AH38/'FS Jimbaran December 2021'!AG38</f>
        <v>16654.320987654322</v>
      </c>
      <c r="I28" s="158">
        <f>'FS Jimbaran December 2021'!AJ38</f>
        <v>344.51999999998952</v>
      </c>
      <c r="J28" s="148">
        <f>'FS Jimbaran December 2021'!AK38/'FS Jimbaran December 2021'!AJ38</f>
        <v>12000</v>
      </c>
      <c r="K28" s="158">
        <f>'FS Jimbaran December 2021'!V38</f>
        <v>539.93266606005454</v>
      </c>
      <c r="L28" s="156">
        <f>'FS Jimbaran December 2021'!AA38/'FS Jimbaran December 2021'!V38</f>
        <v>7556.0531384593623</v>
      </c>
      <c r="M28" s="158">
        <f>+'RNs &amp; Covers December 2021'!B32</f>
        <v>22</v>
      </c>
      <c r="N28" s="158">
        <f>+'RNs &amp; Covers December 2021'!C32</f>
        <v>150</v>
      </c>
    </row>
    <row r="29" spans="1:14" x14ac:dyDescent="0.25">
      <c r="A29" s="144" t="s">
        <v>49</v>
      </c>
      <c r="B29" s="145">
        <f t="shared" si="0"/>
        <v>28</v>
      </c>
      <c r="C29" s="146">
        <v>12</v>
      </c>
      <c r="D29" s="145">
        <v>2021</v>
      </c>
      <c r="E29" s="158">
        <f>'FS Jimbaran December 2021'!P39+'FS Jimbaran December 2021'!Q39</f>
        <v>18535.199999999728</v>
      </c>
      <c r="F29" s="156">
        <f>'FS Jimbaran December 2021'!O39/'FS Jimbaran December 2021'!P39</f>
        <v>1181.6589389313019</v>
      </c>
      <c r="G29" s="158">
        <f>'FS Jimbaran December 2021'!AG39</f>
        <v>162</v>
      </c>
      <c r="H29" s="156">
        <f>'FS Jimbaran December 2021'!AH39/'FS Jimbaran December 2021'!AG39</f>
        <v>16654.320987654322</v>
      </c>
      <c r="I29" s="158">
        <f>'FS Jimbaran December 2021'!AJ39</f>
        <v>287.68000000000757</v>
      </c>
      <c r="J29" s="148">
        <f>'FS Jimbaran December 2021'!AK39/'FS Jimbaran December 2021'!AJ39</f>
        <v>12000</v>
      </c>
      <c r="K29" s="158">
        <f>'FS Jimbaran December 2021'!V39</f>
        <v>754.93958143767054</v>
      </c>
      <c r="L29" s="156">
        <f>'FS Jimbaran December 2021'!AA39/'FS Jimbaran December 2021'!V39</f>
        <v>7342.3742062975152</v>
      </c>
      <c r="M29" s="158">
        <f>+'RNs &amp; Covers December 2021'!B33</f>
        <v>22</v>
      </c>
      <c r="N29" s="158">
        <f>+'RNs &amp; Covers December 2021'!C33</f>
        <v>194</v>
      </c>
    </row>
    <row r="30" spans="1:14" x14ac:dyDescent="0.25">
      <c r="A30" s="144" t="s">
        <v>49</v>
      </c>
      <c r="B30" s="145">
        <f t="shared" si="0"/>
        <v>29</v>
      </c>
      <c r="C30" s="146">
        <v>12</v>
      </c>
      <c r="D30" s="145">
        <v>2021</v>
      </c>
      <c r="E30" s="158">
        <f>'FS Jimbaran December 2021'!P40+'FS Jimbaran December 2021'!Q40</f>
        <v>17912.599999999416</v>
      </c>
      <c r="F30" s="156">
        <f>'FS Jimbaran December 2021'!O40/'FS Jimbaran December 2021'!P40</f>
        <v>1187.6686343283611</v>
      </c>
      <c r="G30" s="158">
        <f>'FS Jimbaran December 2021'!AG40</f>
        <v>162</v>
      </c>
      <c r="H30" s="156">
        <f>'FS Jimbaran December 2021'!AH40/'FS Jimbaran December 2021'!AG40</f>
        <v>16654.320987654322</v>
      </c>
      <c r="I30" s="158">
        <f>'FS Jimbaran December 2021'!AJ40</f>
        <v>379.91999999999825</v>
      </c>
      <c r="J30" s="148">
        <f>'FS Jimbaran December 2021'!AK40/'FS Jimbaran December 2021'!AJ40</f>
        <v>12000.000000000002</v>
      </c>
      <c r="K30" s="158">
        <f>'FS Jimbaran December 2021'!V40</f>
        <v>688.84804367606921</v>
      </c>
      <c r="L30" s="156">
        <f>'FS Jimbaran December 2021'!AA40/'FS Jimbaran December 2021'!V40</f>
        <v>7535.6512704100296</v>
      </c>
      <c r="M30" s="158">
        <f>+'RNs &amp; Covers December 2021'!B34</f>
        <v>24</v>
      </c>
      <c r="N30" s="158">
        <f>+'RNs &amp; Covers December 2021'!C34</f>
        <v>190</v>
      </c>
    </row>
    <row r="31" spans="1:14" x14ac:dyDescent="0.25">
      <c r="A31" s="144" t="s">
        <v>49</v>
      </c>
      <c r="B31" s="145">
        <f t="shared" si="0"/>
        <v>30</v>
      </c>
      <c r="C31" s="146">
        <v>12</v>
      </c>
      <c r="D31" s="145">
        <v>2021</v>
      </c>
      <c r="E31" s="158">
        <f>'FS Jimbaran December 2021'!P41+'FS Jimbaran December 2021'!Q41</f>
        <v>16174.200000000019</v>
      </c>
      <c r="F31" s="156">
        <f>'FS Jimbaran December 2021'!O41/'FS Jimbaran December 2021'!P41</f>
        <v>1189.2895886075928</v>
      </c>
      <c r="G31" s="158">
        <f>'FS Jimbaran December 2021'!AG41</f>
        <v>162</v>
      </c>
      <c r="H31" s="156">
        <f>'FS Jimbaran December 2021'!AH41/'FS Jimbaran December 2021'!AG41</f>
        <v>16654.320987654322</v>
      </c>
      <c r="I31" s="158">
        <f>'FS Jimbaran December 2021'!AJ41</f>
        <v>556.12999999997555</v>
      </c>
      <c r="J31" s="148">
        <f>'FS Jimbaran December 2021'!AK41/'FS Jimbaran December 2021'!AJ41</f>
        <v>12000</v>
      </c>
      <c r="K31" s="158">
        <f>'FS Jimbaran December 2021'!V41</f>
        <v>739.25477707006371</v>
      </c>
      <c r="L31" s="156">
        <f>'FS Jimbaran December 2021'!AA41/'FS Jimbaran December 2021'!V41</f>
        <v>7134.7338399190012</v>
      </c>
      <c r="M31" s="158">
        <f>+'RNs &amp; Covers December 2021'!B35</f>
        <v>25</v>
      </c>
      <c r="N31" s="158">
        <f>+'RNs &amp; Covers December 2021'!C35</f>
        <v>175</v>
      </c>
    </row>
    <row r="32" spans="1:14" x14ac:dyDescent="0.25">
      <c r="A32" s="144" t="s">
        <v>49</v>
      </c>
      <c r="B32" s="145">
        <f t="shared" si="0"/>
        <v>31</v>
      </c>
      <c r="C32" s="146">
        <v>12</v>
      </c>
      <c r="D32" s="145">
        <v>2021</v>
      </c>
      <c r="E32" s="158">
        <f>'FS Jimbaran December 2021'!P42+'FS Jimbaran December 2021'!Q42</f>
        <v>18271.800000000127</v>
      </c>
      <c r="F32" s="156">
        <f>'FS Jimbaran December 2021'!O42/'FS Jimbaran December 2021'!P42</f>
        <v>1189.3093258064544</v>
      </c>
      <c r="G32" s="158">
        <f>'FS Jimbaran December 2021'!AG42</f>
        <v>162</v>
      </c>
      <c r="H32" s="156">
        <f>'FS Jimbaran December 2021'!AH42/'FS Jimbaran December 2021'!AG42</f>
        <v>16654.320987654322</v>
      </c>
      <c r="I32" s="158">
        <f>'FS Jimbaran December 2021'!AJ42</f>
        <v>352.60000000000582</v>
      </c>
      <c r="J32" s="148">
        <f>'FS Jimbaran December 2021'!AK42/'FS Jimbaran December 2021'!AJ42</f>
        <v>12000</v>
      </c>
      <c r="K32" s="158">
        <f>'FS Jimbaran December 2021'!V42</f>
        <v>783.25823475887171</v>
      </c>
      <c r="L32" s="156">
        <f>'FS Jimbaran December 2021'!AA42/'FS Jimbaran December 2021'!V42</f>
        <v>7286.3788352612328</v>
      </c>
      <c r="M32" s="158">
        <f>+'RNs &amp; Covers December 2021'!B36</f>
        <v>38</v>
      </c>
      <c r="N32" s="158">
        <f>+'RNs &amp; Covers December 2021'!C36</f>
        <v>197</v>
      </c>
    </row>
    <row r="33" spans="5:5" x14ac:dyDescent="0.25">
      <c r="E33" s="210">
        <f>SUM(E2:E32)</f>
        <v>565485.39999999944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M69"/>
  <sheetViews>
    <sheetView zoomScale="62" zoomScaleNormal="62" workbookViewId="0">
      <pane xSplit="4" ySplit="10" topLeftCell="L11" activePane="bottomRight" state="frozen"/>
      <selection pane="topRight" activeCell="E1" sqref="E1"/>
      <selection pane="bottomLeft" activeCell="A11" sqref="A11"/>
      <selection pane="bottomRight" activeCell="S46" sqref="S46"/>
    </sheetView>
  </sheetViews>
  <sheetFormatPr defaultRowHeight="15.75" x14ac:dyDescent="0.25"/>
  <cols>
    <col min="1" max="1" width="3.7109375" style="15" customWidth="1"/>
    <col min="2" max="2" width="8.7109375" style="15" customWidth="1"/>
    <col min="3" max="3" width="8.7109375" style="4" customWidth="1"/>
    <col min="4" max="4" width="14.42578125" bestFit="1" customWidth="1"/>
    <col min="5" max="5" width="14.7109375" style="4" customWidth="1"/>
    <col min="6" max="6" width="17.7109375" style="4" customWidth="1"/>
    <col min="7" max="7" width="14.85546875" customWidth="1"/>
    <col min="8" max="8" width="17.140625" style="4" customWidth="1"/>
    <col min="9" max="9" width="17" customWidth="1"/>
    <col min="10" max="10" width="14" customWidth="1"/>
    <col min="11" max="11" width="17.42578125" customWidth="1"/>
    <col min="12" max="12" width="14.140625" style="4" customWidth="1"/>
    <col min="13" max="13" width="18.28515625" style="62" bestFit="1" customWidth="1"/>
    <col min="14" max="14" width="20.42578125" style="66" customWidth="1"/>
    <col min="15" max="15" width="18.85546875" customWidth="1"/>
    <col min="16" max="16" width="15.140625" style="66" customWidth="1"/>
    <col min="17" max="17" width="19.7109375" customWidth="1"/>
    <col min="18" max="18" width="18.140625" style="87" customWidth="1"/>
    <col min="19" max="19" width="24.28515625" customWidth="1"/>
    <col min="20" max="20" width="21.140625" bestFit="1" customWidth="1"/>
    <col min="21" max="21" width="18.85546875" customWidth="1"/>
    <col min="22" max="22" width="19.7109375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7.85546875" bestFit="1" customWidth="1"/>
    <col min="28" max="28" width="9.85546875" customWidth="1"/>
    <col min="29" max="29" width="15.85546875" bestFit="1" customWidth="1"/>
    <col min="30" max="30" width="12.85546875" style="4" bestFit="1" customWidth="1"/>
    <col min="31" max="31" width="14.85546875" customWidth="1"/>
    <col min="32" max="32" width="12.28515625" bestFit="1" customWidth="1"/>
    <col min="33" max="33" width="11.42578125" bestFit="1" customWidth="1"/>
    <col min="34" max="34" width="19" style="4" customWidth="1"/>
    <col min="35" max="35" width="10.5703125" customWidth="1"/>
    <col min="36" max="36" width="13.28515625" style="87" bestFit="1" customWidth="1"/>
    <col min="37" max="37" width="20.7109375" bestFit="1" customWidth="1"/>
    <col min="38" max="38" width="12.140625" style="39" customWidth="1"/>
    <col min="39" max="39" width="2.28515625" style="15" customWidth="1"/>
  </cols>
  <sheetData>
    <row r="5" spans="1:39" x14ac:dyDescent="0.25">
      <c r="N5" s="159"/>
      <c r="X5" s="160"/>
    </row>
    <row r="6" spans="1:39" s="25" customFormat="1" ht="19.5" thickBot="1" x14ac:dyDescent="0.35">
      <c r="B6" s="25" t="s">
        <v>28</v>
      </c>
      <c r="C6" s="34"/>
      <c r="E6" s="34"/>
      <c r="F6" s="34"/>
      <c r="H6" s="34"/>
      <c r="L6" s="34"/>
      <c r="M6" s="57"/>
      <c r="N6" s="63"/>
      <c r="P6" s="63"/>
      <c r="R6" s="83"/>
      <c r="AD6" s="34"/>
      <c r="AH6" s="34"/>
      <c r="AJ6" s="83"/>
      <c r="AL6" s="36"/>
    </row>
    <row r="7" spans="1:39" s="12" customFormat="1" ht="16.5" thickBot="1" x14ac:dyDescent="0.3">
      <c r="A7" s="30"/>
      <c r="B7" s="239" t="s">
        <v>55</v>
      </c>
      <c r="C7" s="240"/>
      <c r="D7" s="240"/>
      <c r="E7" s="240"/>
      <c r="F7" s="240"/>
      <c r="G7" s="240"/>
      <c r="H7" s="240"/>
      <c r="I7" s="240"/>
      <c r="J7" s="240"/>
      <c r="K7" s="240"/>
      <c r="L7" s="240"/>
      <c r="M7" s="240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  <c r="AB7" s="240"/>
      <c r="AC7" s="240"/>
      <c r="AD7" s="240"/>
      <c r="AE7" s="240"/>
      <c r="AF7" s="240"/>
      <c r="AG7" s="240"/>
      <c r="AH7" s="240"/>
      <c r="AI7" s="240"/>
      <c r="AJ7" s="240"/>
      <c r="AK7" s="240"/>
      <c r="AL7" s="241"/>
      <c r="AM7" s="30"/>
    </row>
    <row r="8" spans="1:39" s="8" customFormat="1" ht="15.75" customHeight="1" thickBot="1" x14ac:dyDescent="0.3">
      <c r="A8" s="26"/>
      <c r="B8" s="242" t="s">
        <v>1</v>
      </c>
      <c r="C8" s="245" t="s">
        <v>2</v>
      </c>
      <c r="D8" s="248" t="s">
        <v>3</v>
      </c>
      <c r="E8" s="251" t="s">
        <v>34</v>
      </c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  <c r="Q8" s="251"/>
      <c r="R8" s="251"/>
      <c r="S8" s="251"/>
      <c r="T8" s="251"/>
      <c r="U8" s="252"/>
      <c r="V8" s="253" t="s">
        <v>19</v>
      </c>
      <c r="W8" s="254"/>
      <c r="X8" s="254"/>
      <c r="Y8" s="254"/>
      <c r="Z8" s="254"/>
      <c r="AA8" s="254"/>
      <c r="AB8" s="255"/>
      <c r="AC8" s="256" t="s">
        <v>24</v>
      </c>
      <c r="AD8" s="256"/>
      <c r="AE8" s="256"/>
      <c r="AF8" s="256"/>
      <c r="AG8" s="256"/>
      <c r="AH8" s="256"/>
      <c r="AI8" s="256"/>
      <c r="AJ8" s="256"/>
      <c r="AK8" s="256"/>
      <c r="AL8" s="257"/>
      <c r="AM8" s="28"/>
    </row>
    <row r="9" spans="1:39" ht="15" customHeight="1" thickBot="1" x14ac:dyDescent="0.3">
      <c r="A9" s="29"/>
      <c r="B9" s="243"/>
      <c r="C9" s="246"/>
      <c r="D9" s="249"/>
      <c r="E9" s="258" t="s">
        <v>33</v>
      </c>
      <c r="F9" s="259"/>
      <c r="G9" s="259"/>
      <c r="H9" s="259"/>
      <c r="I9" s="260"/>
      <c r="J9" s="261" t="s">
        <v>5</v>
      </c>
      <c r="K9" s="261"/>
      <c r="L9" s="261"/>
      <c r="M9" s="261"/>
      <c r="N9" s="262"/>
      <c r="O9" s="248" t="s">
        <v>12</v>
      </c>
      <c r="P9" s="263" t="s">
        <v>32</v>
      </c>
      <c r="Q9" s="265" t="s">
        <v>51</v>
      </c>
      <c r="R9" s="231" t="s">
        <v>21</v>
      </c>
      <c r="S9" s="233" t="s">
        <v>13</v>
      </c>
      <c r="T9" s="235" t="s">
        <v>18</v>
      </c>
      <c r="U9" s="236"/>
      <c r="V9" s="51"/>
      <c r="W9" s="51" t="s">
        <v>4</v>
      </c>
      <c r="X9" s="51"/>
      <c r="Y9" s="52"/>
      <c r="Z9" s="189"/>
      <c r="AA9" s="237" t="s">
        <v>27</v>
      </c>
      <c r="AB9" s="238"/>
      <c r="AC9" s="256" t="s">
        <v>22</v>
      </c>
      <c r="AD9" s="256"/>
      <c r="AE9" s="256"/>
      <c r="AF9" s="256"/>
      <c r="AG9" s="256"/>
      <c r="AH9" s="256"/>
      <c r="AI9" s="257"/>
      <c r="AJ9" s="267" t="s">
        <v>20</v>
      </c>
      <c r="AK9" s="268"/>
      <c r="AL9" s="269"/>
      <c r="AM9" s="29"/>
    </row>
    <row r="10" spans="1:39" ht="61.5" customHeight="1" thickBot="1" x14ac:dyDescent="0.3">
      <c r="A10" s="27"/>
      <c r="B10" s="244"/>
      <c r="C10" s="247"/>
      <c r="D10" s="250"/>
      <c r="E10" s="94" t="s">
        <v>35</v>
      </c>
      <c r="F10" s="81" t="s">
        <v>6</v>
      </c>
      <c r="G10" s="120" t="s">
        <v>36</v>
      </c>
      <c r="H10" s="18" t="s">
        <v>6</v>
      </c>
      <c r="I10" s="95" t="s">
        <v>14</v>
      </c>
      <c r="J10" s="94" t="s">
        <v>35</v>
      </c>
      <c r="K10" s="82" t="s">
        <v>6</v>
      </c>
      <c r="L10" s="120" t="s">
        <v>36</v>
      </c>
      <c r="M10" s="58" t="s">
        <v>6</v>
      </c>
      <c r="N10" s="90" t="s">
        <v>15</v>
      </c>
      <c r="O10" s="250"/>
      <c r="P10" s="264"/>
      <c r="Q10" s="266"/>
      <c r="R10" s="232"/>
      <c r="S10" s="234"/>
      <c r="T10" s="162" t="s">
        <v>16</v>
      </c>
      <c r="U10" s="23" t="s">
        <v>17</v>
      </c>
      <c r="V10" s="163" t="s">
        <v>8</v>
      </c>
      <c r="W10" s="53" t="s">
        <v>0</v>
      </c>
      <c r="X10" s="53" t="s">
        <v>26</v>
      </c>
      <c r="Y10" s="22" t="s">
        <v>10</v>
      </c>
      <c r="Z10" s="22" t="s">
        <v>30</v>
      </c>
      <c r="AA10" s="22" t="s">
        <v>16</v>
      </c>
      <c r="AB10" s="13" t="s">
        <v>17</v>
      </c>
      <c r="AC10" s="114" t="s">
        <v>7</v>
      </c>
      <c r="AD10" s="46" t="s">
        <v>31</v>
      </c>
      <c r="AE10" s="45" t="s">
        <v>11</v>
      </c>
      <c r="AF10" s="45" t="s">
        <v>9</v>
      </c>
      <c r="AG10" s="45" t="s">
        <v>25</v>
      </c>
      <c r="AH10" s="46" t="s">
        <v>16</v>
      </c>
      <c r="AI10" s="47" t="s">
        <v>17</v>
      </c>
      <c r="AJ10" s="126" t="s">
        <v>23</v>
      </c>
      <c r="AK10" s="45" t="s">
        <v>16</v>
      </c>
      <c r="AL10" s="49" t="s">
        <v>17</v>
      </c>
      <c r="AM10" s="27"/>
    </row>
    <row r="11" spans="1:39" x14ac:dyDescent="0.25">
      <c r="A11" s="27"/>
      <c r="B11" s="55"/>
      <c r="C11" s="96"/>
      <c r="D11" s="164"/>
      <c r="E11" s="165"/>
      <c r="F11" s="88"/>
      <c r="G11" s="19"/>
      <c r="H11" s="20"/>
      <c r="I11" s="97"/>
      <c r="J11" s="89"/>
      <c r="K11" s="19"/>
      <c r="L11" s="20"/>
      <c r="M11" s="59"/>
      <c r="N11" s="91"/>
      <c r="O11" s="54"/>
      <c r="P11" s="101"/>
      <c r="Q11" s="166"/>
      <c r="R11" s="102"/>
      <c r="S11" s="167"/>
      <c r="T11" s="167"/>
      <c r="U11" s="188"/>
      <c r="V11" s="89"/>
      <c r="W11" s="19"/>
      <c r="X11" s="19"/>
      <c r="Y11" s="21"/>
      <c r="Z11" s="21"/>
      <c r="AA11" s="21"/>
      <c r="AB11" s="97"/>
      <c r="AC11" s="115"/>
      <c r="AD11" s="43"/>
      <c r="AE11" s="40"/>
      <c r="AF11" s="40"/>
      <c r="AG11" s="40"/>
      <c r="AH11" s="43"/>
      <c r="AI11" s="44"/>
      <c r="AJ11" s="127"/>
      <c r="AK11" s="40"/>
      <c r="AL11" s="48"/>
      <c r="AM11" s="27"/>
    </row>
    <row r="12" spans="1:39" x14ac:dyDescent="0.25">
      <c r="A12" s="33"/>
      <c r="B12" s="56">
        <v>1</v>
      </c>
      <c r="C12" s="135">
        <v>15</v>
      </c>
      <c r="D12" s="136">
        <v>97</v>
      </c>
      <c r="E12" s="99">
        <v>10880.000000000109</v>
      </c>
      <c r="F12" s="3">
        <v>11832750.720000118</v>
      </c>
      <c r="G12" s="35">
        <v>2200.0000000000455</v>
      </c>
      <c r="H12" s="3">
        <v>3588977.7000000747</v>
      </c>
      <c r="I12" s="98">
        <f>F12+H12</f>
        <v>15421728.420000192</v>
      </c>
      <c r="J12" s="99">
        <v>1500</v>
      </c>
      <c r="K12" s="3">
        <v>1631353.5</v>
      </c>
      <c r="L12" s="168">
        <v>400.00000000000568</v>
      </c>
      <c r="M12" s="169">
        <v>652541.40000000934</v>
      </c>
      <c r="N12" s="92">
        <f>+K12+M12</f>
        <v>2283894.9000000092</v>
      </c>
      <c r="O12" s="100">
        <f>N12+I12</f>
        <v>17705623.320000201</v>
      </c>
      <c r="P12" s="211">
        <f>L12+J12+G12+E12</f>
        <v>14980.00000000016</v>
      </c>
      <c r="Q12" s="227">
        <v>1208.9999999999873</v>
      </c>
      <c r="R12" s="220">
        <v>1746642.2999999817</v>
      </c>
      <c r="S12" s="180">
        <f>P12+Q12</f>
        <v>16189.000000000147</v>
      </c>
      <c r="T12" s="181">
        <f>O12+R12</f>
        <v>19452265.620000184</v>
      </c>
      <c r="U12" s="180"/>
      <c r="V12" s="170">
        <f>Y12+W12</f>
        <v>719.96979071883527</v>
      </c>
      <c r="W12" s="3">
        <v>74.969790718835299</v>
      </c>
      <c r="X12" s="3">
        <v>1347562.4080455534</v>
      </c>
      <c r="Y12" s="31">
        <v>645</v>
      </c>
      <c r="Z12" s="31">
        <v>3036216.5960505414</v>
      </c>
      <c r="AA12" s="31">
        <f t="shared" ref="AA12:AA39" si="0">Z12+X12</f>
        <v>4383779.0040960945</v>
      </c>
      <c r="AB12" s="116">
        <f t="shared" ref="AB12:AB41" si="1">AA12/$AL$47</f>
        <v>337.83512630508068</v>
      </c>
      <c r="AC12" s="121">
        <v>0</v>
      </c>
      <c r="AD12" s="3">
        <v>0</v>
      </c>
      <c r="AE12" s="3">
        <v>50</v>
      </c>
      <c r="AF12" s="3">
        <v>0</v>
      </c>
      <c r="AG12" s="3">
        <f t="shared" ref="AG12:AG31" si="2">+AE12+AF12</f>
        <v>50</v>
      </c>
      <c r="AH12" s="3">
        <v>821000</v>
      </c>
      <c r="AI12" s="41">
        <f t="shared" ref="AI12:AI42" si="3">AH12/$AL$47</f>
        <v>63.270214679460452</v>
      </c>
      <c r="AJ12" s="128">
        <v>296.45999999999185</v>
      </c>
      <c r="AK12" s="3">
        <v>3557519.9999999022</v>
      </c>
      <c r="AL12" s="37">
        <f t="shared" ref="AL12:AL42" si="4">AK12/$AL$47</f>
        <v>274.15962743784161</v>
      </c>
      <c r="AM12" s="7"/>
    </row>
    <row r="13" spans="1:39" x14ac:dyDescent="0.25">
      <c r="A13" s="33"/>
      <c r="B13" s="56">
        <v>2</v>
      </c>
      <c r="C13" s="135">
        <v>18</v>
      </c>
      <c r="D13" s="136">
        <v>135</v>
      </c>
      <c r="E13" s="99">
        <v>11559.999999999491</v>
      </c>
      <c r="F13" s="3">
        <v>12572297.639999446</v>
      </c>
      <c r="G13" s="35">
        <v>2519.9999999999818</v>
      </c>
      <c r="H13" s="3">
        <v>4111010.819999971</v>
      </c>
      <c r="I13" s="98">
        <f t="shared" ref="I13:I42" si="5">F13+H13</f>
        <v>16683308.459999416</v>
      </c>
      <c r="J13" s="99">
        <v>1399.9999999999773</v>
      </c>
      <c r="K13" s="3">
        <v>1522596.5999999754</v>
      </c>
      <c r="L13" s="168">
        <v>420.00000000001592</v>
      </c>
      <c r="M13" s="169">
        <v>685168.47000002593</v>
      </c>
      <c r="N13" s="92">
        <f t="shared" ref="N13:N41" si="6">+K13+M13</f>
        <v>2207765.0700000012</v>
      </c>
      <c r="O13" s="100">
        <f t="shared" ref="O13:O39" si="7">N13+I13</f>
        <v>18891073.529999416</v>
      </c>
      <c r="P13" s="211">
        <f t="shared" ref="P13:P39" si="8">L13+J13+G13+E13</f>
        <v>15899.999999999465</v>
      </c>
      <c r="Q13" s="227">
        <v>1541.0000000000218</v>
      </c>
      <c r="R13" s="220">
        <v>2226282.7000000314</v>
      </c>
      <c r="S13" s="180">
        <f t="shared" ref="S13:S41" si="9">P13+Q13</f>
        <v>17440.999999999487</v>
      </c>
      <c r="T13" s="181">
        <f t="shared" ref="T13:T42" si="10">O13+R13</f>
        <v>21117356.229999449</v>
      </c>
      <c r="U13" s="180"/>
      <c r="V13" s="170">
        <f t="shared" ref="V13:V42" si="11">Y13+W13</f>
        <v>758.33939945404916</v>
      </c>
      <c r="W13" s="3">
        <v>104.33939945404913</v>
      </c>
      <c r="X13" s="3">
        <v>1875473.4544963888</v>
      </c>
      <c r="Y13" s="31">
        <v>654</v>
      </c>
      <c r="Z13" s="31">
        <v>3078582.4090186884</v>
      </c>
      <c r="AA13" s="31">
        <f t="shared" si="0"/>
        <v>4954055.8635150772</v>
      </c>
      <c r="AB13" s="116">
        <f t="shared" si="1"/>
        <v>381.78340806167938</v>
      </c>
      <c r="AC13" s="121">
        <v>0</v>
      </c>
      <c r="AD13" s="3">
        <v>0</v>
      </c>
      <c r="AE13" s="3">
        <v>50</v>
      </c>
      <c r="AF13" s="3">
        <v>12</v>
      </c>
      <c r="AG13" s="3">
        <f t="shared" si="2"/>
        <v>62</v>
      </c>
      <c r="AH13" s="3">
        <v>958500</v>
      </c>
      <c r="AI13" s="41">
        <f t="shared" si="3"/>
        <v>73.86662700397423</v>
      </c>
      <c r="AJ13" s="128">
        <v>173.95000000001164</v>
      </c>
      <c r="AK13" s="3">
        <v>2087400.0000001397</v>
      </c>
      <c r="AL13" s="37">
        <f t="shared" si="4"/>
        <v>160.86509880866575</v>
      </c>
      <c r="AM13" s="7"/>
    </row>
    <row r="14" spans="1:39" x14ac:dyDescent="0.25">
      <c r="A14" s="33"/>
      <c r="B14" s="56">
        <v>3</v>
      </c>
      <c r="C14" s="135">
        <v>14</v>
      </c>
      <c r="D14" s="136">
        <v>162</v>
      </c>
      <c r="E14" s="99">
        <v>11520.000000000437</v>
      </c>
      <c r="F14" s="3">
        <v>12528794.880000476</v>
      </c>
      <c r="G14" s="35">
        <v>2159.9999999999682</v>
      </c>
      <c r="H14" s="3">
        <v>3523723.5599999484</v>
      </c>
      <c r="I14" s="98">
        <f t="shared" si="5"/>
        <v>16052518.440000424</v>
      </c>
      <c r="J14" s="99">
        <v>1600.0000000000227</v>
      </c>
      <c r="K14" s="3">
        <v>1740110.4000000248</v>
      </c>
      <c r="L14" s="168">
        <v>479.99999999998977</v>
      </c>
      <c r="M14" s="169">
        <v>783049.6799999834</v>
      </c>
      <c r="N14" s="92">
        <f t="shared" si="6"/>
        <v>2523160.0800000085</v>
      </c>
      <c r="O14" s="100">
        <f t="shared" si="7"/>
        <v>18575678.520000432</v>
      </c>
      <c r="P14" s="211">
        <f t="shared" si="8"/>
        <v>15760.000000000418</v>
      </c>
      <c r="Q14" s="227">
        <v>1833.8000000000102</v>
      </c>
      <c r="R14" s="220">
        <v>2649290.8600000148</v>
      </c>
      <c r="S14" s="180">
        <f t="shared" si="9"/>
        <v>17593.800000000429</v>
      </c>
      <c r="T14" s="181">
        <f t="shared" si="10"/>
        <v>21224969.380000446</v>
      </c>
      <c r="U14" s="180"/>
      <c r="V14" s="170">
        <f t="shared" si="11"/>
        <v>770.20727934485899</v>
      </c>
      <c r="W14" s="3">
        <v>125.20727934485896</v>
      </c>
      <c r="X14" s="3">
        <v>2250568.1453956664</v>
      </c>
      <c r="Y14" s="31">
        <v>645</v>
      </c>
      <c r="Z14" s="31">
        <v>3036216.5960505414</v>
      </c>
      <c r="AA14" s="31">
        <f t="shared" si="0"/>
        <v>5286784.7414462082</v>
      </c>
      <c r="AB14" s="116">
        <f t="shared" si="1"/>
        <v>407.42509811863266</v>
      </c>
      <c r="AC14" s="121">
        <v>0</v>
      </c>
      <c r="AD14" s="3">
        <v>0</v>
      </c>
      <c r="AE14" s="3">
        <v>100</v>
      </c>
      <c r="AF14" s="3">
        <v>12</v>
      </c>
      <c r="AG14" s="3">
        <f t="shared" si="2"/>
        <v>112</v>
      </c>
      <c r="AH14" s="3">
        <v>1779500</v>
      </c>
      <c r="AI14" s="41">
        <f t="shared" si="3"/>
        <v>137.13684168343468</v>
      </c>
      <c r="AJ14" s="128">
        <v>330.91999999999825</v>
      </c>
      <c r="AK14" s="3">
        <v>3971039.999999979</v>
      </c>
      <c r="AL14" s="37">
        <f t="shared" si="4"/>
        <v>306.02747052463252</v>
      </c>
      <c r="AM14" s="7"/>
    </row>
    <row r="15" spans="1:39" x14ac:dyDescent="0.25">
      <c r="A15" s="33"/>
      <c r="B15" s="56">
        <v>4</v>
      </c>
      <c r="C15" s="135">
        <v>9</v>
      </c>
      <c r="D15" s="136">
        <v>119</v>
      </c>
      <c r="E15" s="99">
        <v>10920.000000000073</v>
      </c>
      <c r="F15" s="3">
        <v>11876253.480000081</v>
      </c>
      <c r="G15" s="35">
        <v>2080.0000000000409</v>
      </c>
      <c r="H15" s="3">
        <v>3393215.2800000673</v>
      </c>
      <c r="I15" s="98">
        <f t="shared" si="5"/>
        <v>15269468.760000147</v>
      </c>
      <c r="J15" s="99">
        <v>1500</v>
      </c>
      <c r="K15" s="3">
        <v>1631353.5</v>
      </c>
      <c r="L15" s="168">
        <v>340.00000000000341</v>
      </c>
      <c r="M15" s="169">
        <v>554660.19000000553</v>
      </c>
      <c r="N15" s="92">
        <f t="shared" si="6"/>
        <v>2186013.6900000055</v>
      </c>
      <c r="O15" s="100">
        <f t="shared" si="7"/>
        <v>17455482.450000152</v>
      </c>
      <c r="P15" s="211">
        <f t="shared" si="8"/>
        <v>14840.000000000116</v>
      </c>
      <c r="Q15" s="227">
        <v>1921.6000000000167</v>
      </c>
      <c r="R15" s="220">
        <v>2776135.5200000242</v>
      </c>
      <c r="S15" s="180">
        <f t="shared" si="9"/>
        <v>16761.600000000133</v>
      </c>
      <c r="T15" s="181">
        <f t="shared" si="10"/>
        <v>20231617.970000178</v>
      </c>
      <c r="U15" s="180"/>
      <c r="V15" s="170">
        <f t="shared" si="11"/>
        <v>580.97324840764327</v>
      </c>
      <c r="W15" s="3">
        <v>91.973248407643311</v>
      </c>
      <c r="X15" s="3">
        <v>1653195.1191486686</v>
      </c>
      <c r="Y15" s="31">
        <v>489</v>
      </c>
      <c r="Z15" s="31">
        <v>2301875.8379359916</v>
      </c>
      <c r="AA15" s="31">
        <f t="shared" si="0"/>
        <v>3955070.9570846604</v>
      </c>
      <c r="AB15" s="116">
        <f t="shared" si="1"/>
        <v>304.79681915620654</v>
      </c>
      <c r="AC15" s="121">
        <v>0</v>
      </c>
      <c r="AD15" s="3">
        <v>0</v>
      </c>
      <c r="AE15" s="3">
        <v>50</v>
      </c>
      <c r="AF15" s="3">
        <v>12</v>
      </c>
      <c r="AG15" s="3">
        <f t="shared" si="2"/>
        <v>62</v>
      </c>
      <c r="AH15" s="3">
        <v>958500</v>
      </c>
      <c r="AI15" s="41">
        <f t="shared" si="3"/>
        <v>73.86662700397423</v>
      </c>
      <c r="AJ15" s="128">
        <v>123.36000000001513</v>
      </c>
      <c r="AK15" s="3">
        <v>1480320.0000001816</v>
      </c>
      <c r="AL15" s="37">
        <f t="shared" si="4"/>
        <v>114.0805897616448</v>
      </c>
      <c r="AM15" s="7"/>
    </row>
    <row r="16" spans="1:39" x14ac:dyDescent="0.25">
      <c r="A16" s="33"/>
      <c r="B16" s="56">
        <v>5</v>
      </c>
      <c r="C16" s="135">
        <v>4</v>
      </c>
      <c r="D16" s="136">
        <v>136</v>
      </c>
      <c r="E16" s="99">
        <v>10239.999999999782</v>
      </c>
      <c r="F16" s="3">
        <v>11136706.559999764</v>
      </c>
      <c r="G16" s="35">
        <v>2039.9999999999636</v>
      </c>
      <c r="H16" s="3">
        <v>3327961.139999941</v>
      </c>
      <c r="I16" s="98">
        <f t="shared" si="5"/>
        <v>14464667.699999705</v>
      </c>
      <c r="J16" s="99">
        <v>1540.0000000000205</v>
      </c>
      <c r="K16" s="3">
        <v>1674856.2600000224</v>
      </c>
      <c r="L16" s="168">
        <v>459.99999999997954</v>
      </c>
      <c r="M16" s="169">
        <v>750422.60999996669</v>
      </c>
      <c r="N16" s="92">
        <f t="shared" si="6"/>
        <v>2425278.8699999889</v>
      </c>
      <c r="O16" s="100">
        <f t="shared" si="7"/>
        <v>16889946.569999695</v>
      </c>
      <c r="P16" s="211">
        <f t="shared" si="8"/>
        <v>14279.999999999745</v>
      </c>
      <c r="Q16" s="227">
        <v>1874.1999999999553</v>
      </c>
      <c r="R16" s="220">
        <v>2707656.7399999355</v>
      </c>
      <c r="S16" s="180">
        <f t="shared" si="9"/>
        <v>16154.199999999701</v>
      </c>
      <c r="T16" s="181">
        <f t="shared" si="10"/>
        <v>19597603.30999963</v>
      </c>
      <c r="U16" s="180"/>
      <c r="V16" s="170">
        <f t="shared" si="11"/>
        <v>710.11228389444955</v>
      </c>
      <c r="W16" s="3">
        <v>105.1122838944495</v>
      </c>
      <c r="X16" s="3">
        <v>1889365.8504556215</v>
      </c>
      <c r="Y16" s="31">
        <v>605</v>
      </c>
      <c r="Z16" s="31">
        <v>2847924.0939698876</v>
      </c>
      <c r="AA16" s="31">
        <f t="shared" si="0"/>
        <v>4737289.9444255093</v>
      </c>
      <c r="AB16" s="116">
        <f t="shared" si="1"/>
        <v>365.07838219567753</v>
      </c>
      <c r="AC16" s="121">
        <v>0</v>
      </c>
      <c r="AD16" s="3">
        <v>0</v>
      </c>
      <c r="AE16" s="3">
        <v>100</v>
      </c>
      <c r="AF16" s="3">
        <v>12</v>
      </c>
      <c r="AG16" s="3">
        <f t="shared" si="2"/>
        <v>112</v>
      </c>
      <c r="AH16" s="3">
        <v>1779500</v>
      </c>
      <c r="AI16" s="41">
        <f t="shared" si="3"/>
        <v>137.13684168343468</v>
      </c>
      <c r="AJ16" s="128">
        <v>102.13999999999942</v>
      </c>
      <c r="AK16" s="3">
        <v>1225679.999999993</v>
      </c>
      <c r="AL16" s="37">
        <f t="shared" si="4"/>
        <v>94.456804784799814</v>
      </c>
      <c r="AM16" s="7"/>
    </row>
    <row r="17" spans="1:39" x14ac:dyDescent="0.25">
      <c r="A17" s="33"/>
      <c r="B17" s="56">
        <v>6</v>
      </c>
      <c r="C17" s="135">
        <v>12</v>
      </c>
      <c r="D17" s="136">
        <v>53</v>
      </c>
      <c r="E17" s="99">
        <v>9880.0000000001091</v>
      </c>
      <c r="F17" s="3">
        <v>10745181.720000118</v>
      </c>
      <c r="G17" s="35">
        <v>2120.0000000000045</v>
      </c>
      <c r="H17" s="3">
        <v>3458469.4200000078</v>
      </c>
      <c r="I17" s="98">
        <f t="shared" si="5"/>
        <v>14203651.140000125</v>
      </c>
      <c r="J17" s="99">
        <v>1439.9999999999977</v>
      </c>
      <c r="K17" s="3">
        <v>1566099.3599999975</v>
      </c>
      <c r="L17" s="168">
        <v>360.00000000001364</v>
      </c>
      <c r="M17" s="169">
        <v>587287.26000002236</v>
      </c>
      <c r="N17" s="92">
        <f t="shared" si="6"/>
        <v>2153386.6200000197</v>
      </c>
      <c r="O17" s="100">
        <f t="shared" si="7"/>
        <v>16357037.760000145</v>
      </c>
      <c r="P17" s="211">
        <f t="shared" si="8"/>
        <v>13800.000000000126</v>
      </c>
      <c r="Q17" s="227">
        <v>1642.0000000000255</v>
      </c>
      <c r="R17" s="220">
        <v>2372197.4000000367</v>
      </c>
      <c r="S17" s="180">
        <f t="shared" si="9"/>
        <v>15442.000000000151</v>
      </c>
      <c r="T17" s="181">
        <f t="shared" si="10"/>
        <v>18729235.160000183</v>
      </c>
      <c r="U17" s="180"/>
      <c r="V17" s="170">
        <f t="shared" si="11"/>
        <v>582.96287534121927</v>
      </c>
      <c r="W17" s="3">
        <v>40.962875341219288</v>
      </c>
      <c r="X17" s="3">
        <v>736296.98583932291</v>
      </c>
      <c r="Y17" s="31">
        <v>542</v>
      </c>
      <c r="Z17" s="31">
        <v>2551363.4031928577</v>
      </c>
      <c r="AA17" s="31">
        <f t="shared" si="0"/>
        <v>3287660.3890321804</v>
      </c>
      <c r="AB17" s="116">
        <f t="shared" si="1"/>
        <v>253.36294592840989</v>
      </c>
      <c r="AC17" s="121">
        <v>0</v>
      </c>
      <c r="AD17" s="3">
        <v>0</v>
      </c>
      <c r="AE17" s="3">
        <v>50</v>
      </c>
      <c r="AF17" s="3">
        <v>0</v>
      </c>
      <c r="AG17" s="3">
        <f t="shared" si="2"/>
        <v>50</v>
      </c>
      <c r="AH17" s="3">
        <v>821000</v>
      </c>
      <c r="AI17" s="41">
        <f t="shared" si="3"/>
        <v>63.270214679460452</v>
      </c>
      <c r="AJ17" s="128">
        <v>309.22000000000116</v>
      </c>
      <c r="AK17" s="3">
        <v>3710640.000000014</v>
      </c>
      <c r="AL17" s="37">
        <f t="shared" si="4"/>
        <v>285.95979220242879</v>
      </c>
      <c r="AM17" s="7"/>
    </row>
    <row r="18" spans="1:39" x14ac:dyDescent="0.25">
      <c r="A18" s="33"/>
      <c r="B18" s="56">
        <v>7</v>
      </c>
      <c r="C18" s="135">
        <v>10</v>
      </c>
      <c r="D18" s="136">
        <v>79</v>
      </c>
      <c r="E18" s="99">
        <v>9920.0000000000728</v>
      </c>
      <c r="F18" s="3">
        <v>10788684.480000081</v>
      </c>
      <c r="G18" s="35">
        <v>2080.0000000000409</v>
      </c>
      <c r="H18" s="3">
        <v>3393215.2800000673</v>
      </c>
      <c r="I18" s="98">
        <f t="shared" si="5"/>
        <v>14181899.760000147</v>
      </c>
      <c r="J18" s="99">
        <v>1479.9999999999613</v>
      </c>
      <c r="K18" s="3">
        <v>1609602.119999958</v>
      </c>
      <c r="L18" s="168">
        <v>379.99999999999545</v>
      </c>
      <c r="M18" s="169">
        <v>619914.32999999262</v>
      </c>
      <c r="N18" s="92">
        <f t="shared" si="6"/>
        <v>2229516.4499999508</v>
      </c>
      <c r="O18" s="100">
        <f t="shared" si="7"/>
        <v>16411416.210000098</v>
      </c>
      <c r="P18" s="211">
        <f t="shared" si="8"/>
        <v>13860.000000000071</v>
      </c>
      <c r="Q18" s="227">
        <v>2019.6000000000004</v>
      </c>
      <c r="R18" s="220">
        <v>2917716.1200000006</v>
      </c>
      <c r="S18" s="180">
        <f t="shared" si="9"/>
        <v>15879.600000000071</v>
      </c>
      <c r="T18" s="181">
        <f t="shared" si="10"/>
        <v>19329132.330000099</v>
      </c>
      <c r="U18" s="180"/>
      <c r="V18" s="170">
        <f t="shared" si="11"/>
        <v>677.05787079162872</v>
      </c>
      <c r="W18" s="3">
        <v>61.057870791628751</v>
      </c>
      <c r="X18" s="3">
        <v>1097499.2807793682</v>
      </c>
      <c r="Y18" s="31">
        <v>616</v>
      </c>
      <c r="Z18" s="31">
        <v>2899704.5320420675</v>
      </c>
      <c r="AA18" s="31">
        <f t="shared" si="0"/>
        <v>3997203.8128214357</v>
      </c>
      <c r="AB18" s="116">
        <f t="shared" si="1"/>
        <v>308.04377996926928</v>
      </c>
      <c r="AC18" s="121">
        <v>0</v>
      </c>
      <c r="AD18" s="3">
        <v>0</v>
      </c>
      <c r="AE18" s="3">
        <v>50</v>
      </c>
      <c r="AF18" s="3">
        <v>0</v>
      </c>
      <c r="AG18" s="3">
        <f t="shared" si="2"/>
        <v>50</v>
      </c>
      <c r="AH18" s="3">
        <v>821000</v>
      </c>
      <c r="AI18" s="41">
        <f t="shared" si="3"/>
        <v>63.270214679460452</v>
      </c>
      <c r="AJ18" s="128">
        <v>311.72999999999593</v>
      </c>
      <c r="AK18" s="3">
        <v>3740759.9999999511</v>
      </c>
      <c r="AL18" s="37">
        <f t="shared" si="4"/>
        <v>288.28098448761921</v>
      </c>
      <c r="AM18" s="7"/>
    </row>
    <row r="19" spans="1:39" x14ac:dyDescent="0.25">
      <c r="A19" s="33"/>
      <c r="B19" s="56">
        <v>8</v>
      </c>
      <c r="C19" s="135">
        <v>12</v>
      </c>
      <c r="D19" s="136">
        <v>77</v>
      </c>
      <c r="E19" s="99">
        <v>11039.999999999964</v>
      </c>
      <c r="F19" s="3">
        <v>12006761.759999961</v>
      </c>
      <c r="G19" s="35">
        <v>2279.9999999999727</v>
      </c>
      <c r="H19" s="3">
        <v>3719485.9799999557</v>
      </c>
      <c r="I19" s="98">
        <f t="shared" si="5"/>
        <v>15726247.739999916</v>
      </c>
      <c r="J19" s="99">
        <v>1300.0000000000114</v>
      </c>
      <c r="K19" s="3">
        <v>1413839.7000000123</v>
      </c>
      <c r="L19" s="168">
        <v>420.00000000001592</v>
      </c>
      <c r="M19" s="169">
        <v>685168.47000002593</v>
      </c>
      <c r="N19" s="92">
        <f t="shared" si="6"/>
        <v>2099008.1700000381</v>
      </c>
      <c r="O19" s="100">
        <f t="shared" si="7"/>
        <v>17825255.909999955</v>
      </c>
      <c r="P19" s="211">
        <f t="shared" si="8"/>
        <v>15039.999999999964</v>
      </c>
      <c r="Q19" s="227">
        <v>2406.5999999999804</v>
      </c>
      <c r="R19" s="220">
        <v>3476815.0199999716</v>
      </c>
      <c r="S19" s="180">
        <f t="shared" si="9"/>
        <v>17446.599999999944</v>
      </c>
      <c r="T19" s="181">
        <f t="shared" si="10"/>
        <v>21302070.929999925</v>
      </c>
      <c r="U19" s="180"/>
      <c r="V19" s="170">
        <f t="shared" si="11"/>
        <v>682.51210191082805</v>
      </c>
      <c r="W19" s="3">
        <v>59.512101910828022</v>
      </c>
      <c r="X19" s="3">
        <v>1069714.4888609031</v>
      </c>
      <c r="Y19" s="31">
        <v>623</v>
      </c>
      <c r="Z19" s="31">
        <v>2932655.7199061816</v>
      </c>
      <c r="AA19" s="31">
        <f t="shared" si="0"/>
        <v>4002370.2087670844</v>
      </c>
      <c r="AB19" s="116">
        <f t="shared" si="1"/>
        <v>308.44192732688231</v>
      </c>
      <c r="AC19" s="121">
        <v>0</v>
      </c>
      <c r="AD19" s="3">
        <v>0</v>
      </c>
      <c r="AE19" s="3">
        <v>50</v>
      </c>
      <c r="AF19" s="3">
        <v>0</v>
      </c>
      <c r="AG19" s="3">
        <f t="shared" si="2"/>
        <v>50</v>
      </c>
      <c r="AH19" s="3">
        <v>821000</v>
      </c>
      <c r="AI19" s="41">
        <f t="shared" si="3"/>
        <v>63.270214679460452</v>
      </c>
      <c r="AJ19" s="128">
        <v>403.55000000000291</v>
      </c>
      <c r="AK19" s="3">
        <v>4842600.0000000354</v>
      </c>
      <c r="AL19" s="37">
        <f t="shared" si="4"/>
        <v>373.19408234684215</v>
      </c>
      <c r="AM19" s="7"/>
    </row>
    <row r="20" spans="1:39" x14ac:dyDescent="0.25">
      <c r="A20" s="33"/>
      <c r="B20" s="56">
        <v>9</v>
      </c>
      <c r="C20" s="135">
        <v>13</v>
      </c>
      <c r="D20" s="136">
        <v>101</v>
      </c>
      <c r="E20" s="99">
        <v>11599.999999999454</v>
      </c>
      <c r="F20" s="3">
        <v>12615800.399999406</v>
      </c>
      <c r="G20" s="35">
        <v>2399.9999999999773</v>
      </c>
      <c r="H20" s="3">
        <v>3915248.3999999636</v>
      </c>
      <c r="I20" s="98">
        <f t="shared" si="5"/>
        <v>16531048.799999369</v>
      </c>
      <c r="J20" s="99">
        <v>1540.0000000000205</v>
      </c>
      <c r="K20" s="3">
        <v>1674856.2600000224</v>
      </c>
      <c r="L20" s="168">
        <v>459.99999999997954</v>
      </c>
      <c r="M20" s="169">
        <v>750422.60999996669</v>
      </c>
      <c r="N20" s="92">
        <f t="shared" si="6"/>
        <v>2425278.8699999889</v>
      </c>
      <c r="O20" s="100">
        <f t="shared" si="7"/>
        <v>18956327.669999357</v>
      </c>
      <c r="P20" s="211">
        <f t="shared" si="8"/>
        <v>15999.999999999432</v>
      </c>
      <c r="Q20" s="227">
        <v>1029.0000000000055</v>
      </c>
      <c r="R20" s="220">
        <v>1486596.300000008</v>
      </c>
      <c r="S20" s="180">
        <f t="shared" si="9"/>
        <v>17028.99999999944</v>
      </c>
      <c r="T20" s="181">
        <f t="shared" si="10"/>
        <v>20442923.969999366</v>
      </c>
      <c r="U20" s="180"/>
      <c r="V20" s="170">
        <f t="shared" si="11"/>
        <v>759.06132848043671</v>
      </c>
      <c r="W20" s="3">
        <v>78.061328480436757</v>
      </c>
      <c r="X20" s="3">
        <v>1403131.9918824835</v>
      </c>
      <c r="Y20" s="31">
        <v>681</v>
      </c>
      <c r="Z20" s="31">
        <v>3205679.8479231298</v>
      </c>
      <c r="AA20" s="31">
        <f t="shared" si="0"/>
        <v>4608811.8398056133</v>
      </c>
      <c r="AB20" s="116">
        <f t="shared" si="1"/>
        <v>355.17724058677254</v>
      </c>
      <c r="AC20" s="121">
        <v>0</v>
      </c>
      <c r="AD20" s="3">
        <v>0</v>
      </c>
      <c r="AE20" s="3">
        <v>50</v>
      </c>
      <c r="AF20" s="3">
        <v>0</v>
      </c>
      <c r="AG20" s="3">
        <f t="shared" si="2"/>
        <v>50</v>
      </c>
      <c r="AH20" s="3">
        <v>821000</v>
      </c>
      <c r="AI20" s="41">
        <f t="shared" si="3"/>
        <v>63.270214679460452</v>
      </c>
      <c r="AJ20" s="128">
        <v>76.119999999995343</v>
      </c>
      <c r="AK20" s="3">
        <v>913439.99999994412</v>
      </c>
      <c r="AL20" s="37">
        <f t="shared" si="4"/>
        <v>70.394086354205626</v>
      </c>
      <c r="AM20" s="7"/>
    </row>
    <row r="21" spans="1:39" x14ac:dyDescent="0.25">
      <c r="A21" s="33"/>
      <c r="B21" s="56">
        <v>10</v>
      </c>
      <c r="C21" s="135">
        <v>17</v>
      </c>
      <c r="D21" s="136">
        <v>145</v>
      </c>
      <c r="E21" s="99">
        <v>11760.000000000218</v>
      </c>
      <c r="F21" s="3">
        <v>12789811.440000238</v>
      </c>
      <c r="G21" s="35">
        <v>2440.0000000000546</v>
      </c>
      <c r="H21" s="3">
        <v>3980502.5400000894</v>
      </c>
      <c r="I21" s="98">
        <f t="shared" si="5"/>
        <v>16770313.980000328</v>
      </c>
      <c r="J21" s="99">
        <v>1519.9999999999818</v>
      </c>
      <c r="K21" s="3">
        <v>1653104.8799999803</v>
      </c>
      <c r="L21" s="168">
        <v>480.00000000001819</v>
      </c>
      <c r="M21" s="169">
        <v>783049.68000002974</v>
      </c>
      <c r="N21" s="92">
        <f t="shared" si="6"/>
        <v>2436154.5600000098</v>
      </c>
      <c r="O21" s="100">
        <f t="shared" si="7"/>
        <v>19206468.540000338</v>
      </c>
      <c r="P21" s="211">
        <f t="shared" si="8"/>
        <v>16200.000000000273</v>
      </c>
      <c r="Q21" s="227">
        <v>1907.0000000000073</v>
      </c>
      <c r="R21" s="220">
        <v>2755042.9000000106</v>
      </c>
      <c r="S21" s="180">
        <f t="shared" si="9"/>
        <v>18107.00000000028</v>
      </c>
      <c r="T21" s="181">
        <f t="shared" si="10"/>
        <v>21961511.440000348</v>
      </c>
      <c r="U21" s="180"/>
      <c r="V21" s="170">
        <f t="shared" si="11"/>
        <v>772.06824385805282</v>
      </c>
      <c r="W21" s="3">
        <v>112.06824385805278</v>
      </c>
      <c r="X21" s="3">
        <v>2014397.4140887139</v>
      </c>
      <c r="Y21" s="31">
        <v>660</v>
      </c>
      <c r="Z21" s="31">
        <v>3106826.2843307862</v>
      </c>
      <c r="AA21" s="31">
        <f t="shared" si="0"/>
        <v>5121223.6984195001</v>
      </c>
      <c r="AB21" s="116">
        <f t="shared" si="1"/>
        <v>394.66616665108671</v>
      </c>
      <c r="AC21" s="121">
        <v>0</v>
      </c>
      <c r="AD21" s="3">
        <v>0</v>
      </c>
      <c r="AE21" s="3">
        <v>100</v>
      </c>
      <c r="AF21" s="3">
        <v>12</v>
      </c>
      <c r="AG21" s="3">
        <f t="shared" si="2"/>
        <v>112</v>
      </c>
      <c r="AH21" s="3">
        <v>1779500</v>
      </c>
      <c r="AI21" s="41">
        <f t="shared" si="3"/>
        <v>137.13684168343468</v>
      </c>
      <c r="AJ21" s="128">
        <v>419.97000000000116</v>
      </c>
      <c r="AK21" s="3">
        <v>5039640.000000014</v>
      </c>
      <c r="AL21" s="37">
        <f t="shared" si="4"/>
        <v>388.37893386991107</v>
      </c>
      <c r="AM21" s="7"/>
    </row>
    <row r="22" spans="1:39" x14ac:dyDescent="0.25">
      <c r="A22" s="33"/>
      <c r="B22" s="56">
        <v>11</v>
      </c>
      <c r="C22" s="135">
        <v>22</v>
      </c>
      <c r="D22" s="136">
        <v>365</v>
      </c>
      <c r="E22" s="99">
        <v>12440.000000000509</v>
      </c>
      <c r="F22" s="3">
        <v>13529358.360000553</v>
      </c>
      <c r="G22" s="35">
        <v>3159.9999999999682</v>
      </c>
      <c r="H22" s="3">
        <v>5155077.0599999484</v>
      </c>
      <c r="I22" s="98">
        <f t="shared" si="5"/>
        <v>18684435.420000501</v>
      </c>
      <c r="J22" s="99">
        <v>2060</v>
      </c>
      <c r="K22" s="3">
        <v>2240392.14</v>
      </c>
      <c r="L22" s="168">
        <v>519.99999999998181</v>
      </c>
      <c r="M22" s="169">
        <v>848303.81999997038</v>
      </c>
      <c r="N22" s="92">
        <f t="shared" si="6"/>
        <v>3088695.9599999706</v>
      </c>
      <c r="O22" s="100">
        <f t="shared" si="7"/>
        <v>21773131.380000472</v>
      </c>
      <c r="P22" s="211">
        <f t="shared" si="8"/>
        <v>18180.000000000458</v>
      </c>
      <c r="Q22" s="227">
        <v>1598.2000000000062</v>
      </c>
      <c r="R22" s="220">
        <v>2308919.5400000089</v>
      </c>
      <c r="S22" s="180">
        <f t="shared" si="9"/>
        <v>19778.200000000463</v>
      </c>
      <c r="T22" s="181">
        <f t="shared" si="10"/>
        <v>24082050.920000482</v>
      </c>
      <c r="U22" s="180"/>
      <c r="V22" s="170">
        <f t="shared" si="11"/>
        <v>927.10282074613292</v>
      </c>
      <c r="W22" s="3">
        <v>282.10282074613286</v>
      </c>
      <c r="X22" s="3">
        <v>5070724.5251198662</v>
      </c>
      <c r="Y22" s="31">
        <v>645</v>
      </c>
      <c r="Z22" s="31">
        <v>3036216.5960505414</v>
      </c>
      <c r="AA22" s="31">
        <f t="shared" si="0"/>
        <v>8106941.1211704072</v>
      </c>
      <c r="AB22" s="116">
        <f t="shared" si="1"/>
        <v>624.75993316711026</v>
      </c>
      <c r="AC22" s="121">
        <v>0</v>
      </c>
      <c r="AD22" s="3">
        <v>0</v>
      </c>
      <c r="AE22" s="3">
        <v>150</v>
      </c>
      <c r="AF22" s="3">
        <v>12</v>
      </c>
      <c r="AG22" s="3">
        <f t="shared" si="2"/>
        <v>162</v>
      </c>
      <c r="AH22" s="3">
        <v>2600500</v>
      </c>
      <c r="AI22" s="41">
        <f t="shared" si="3"/>
        <v>200.40705636289513</v>
      </c>
      <c r="AJ22" s="128">
        <v>349.71999999998661</v>
      </c>
      <c r="AK22" s="3">
        <v>4196639.9999998398</v>
      </c>
      <c r="AL22" s="37">
        <f t="shared" si="4"/>
        <v>323.41329321851498</v>
      </c>
      <c r="AM22" s="7"/>
    </row>
    <row r="23" spans="1:39" x14ac:dyDescent="0.25">
      <c r="A23" s="33"/>
      <c r="B23" s="56">
        <v>12</v>
      </c>
      <c r="C23" s="135">
        <v>26</v>
      </c>
      <c r="D23" s="136">
        <v>194</v>
      </c>
      <c r="E23" s="99">
        <v>12159.999999999854</v>
      </c>
      <c r="F23" s="3">
        <v>13224839.039999843</v>
      </c>
      <c r="G23" s="35">
        <v>2519.9999999999818</v>
      </c>
      <c r="H23" s="3">
        <v>4111010.819999971</v>
      </c>
      <c r="I23" s="98">
        <f t="shared" si="5"/>
        <v>17335849.859999813</v>
      </c>
      <c r="J23" s="99">
        <v>1699.9999999999318</v>
      </c>
      <c r="K23" s="3">
        <v>1848867.2999999258</v>
      </c>
      <c r="L23" s="168">
        <v>480.00000000001819</v>
      </c>
      <c r="M23" s="169">
        <v>783049.68000002974</v>
      </c>
      <c r="N23" s="92">
        <f t="shared" si="6"/>
        <v>2631916.9799999557</v>
      </c>
      <c r="O23" s="100">
        <f t="shared" si="7"/>
        <v>19967766.839999769</v>
      </c>
      <c r="P23" s="211">
        <f t="shared" si="8"/>
        <v>16859.999999999785</v>
      </c>
      <c r="Q23" s="227">
        <v>1353.0000000000018</v>
      </c>
      <c r="R23" s="220">
        <v>1954679.1000000027</v>
      </c>
      <c r="S23" s="180">
        <f t="shared" si="9"/>
        <v>18212.999999999789</v>
      </c>
      <c r="T23" s="181">
        <f t="shared" si="10"/>
        <v>21922445.93999977</v>
      </c>
      <c r="U23" s="180"/>
      <c r="V23" s="170">
        <f t="shared" si="11"/>
        <v>775.93958143767054</v>
      </c>
      <c r="W23" s="3">
        <v>149.9395814376706</v>
      </c>
      <c r="X23" s="3">
        <v>2695124.8160911067</v>
      </c>
      <c r="Y23" s="31">
        <v>626</v>
      </c>
      <c r="Z23" s="31">
        <v>2946777.6575622307</v>
      </c>
      <c r="AA23" s="31">
        <f t="shared" si="0"/>
        <v>5641902.473653337</v>
      </c>
      <c r="AB23" s="116">
        <f t="shared" si="1"/>
        <v>434.79218113109084</v>
      </c>
      <c r="AC23" s="121">
        <v>0</v>
      </c>
      <c r="AD23" s="3">
        <v>0</v>
      </c>
      <c r="AE23" s="3">
        <v>150</v>
      </c>
      <c r="AF23" s="3">
        <v>12</v>
      </c>
      <c r="AG23" s="3">
        <f t="shared" si="2"/>
        <v>162</v>
      </c>
      <c r="AH23" s="3">
        <v>2600500</v>
      </c>
      <c r="AI23" s="41">
        <f t="shared" si="3"/>
        <v>200.40705636289513</v>
      </c>
      <c r="AJ23" s="128">
        <v>297.61999999999534</v>
      </c>
      <c r="AK23" s="3">
        <v>3571439.9999999441</v>
      </c>
      <c r="AL23" s="37">
        <f t="shared" si="4"/>
        <v>275.23236968917018</v>
      </c>
      <c r="AM23" s="7"/>
    </row>
    <row r="24" spans="1:39" x14ac:dyDescent="0.25">
      <c r="A24" s="33"/>
      <c r="B24" s="56">
        <v>13</v>
      </c>
      <c r="C24" s="135">
        <v>30</v>
      </c>
      <c r="D24" s="136">
        <v>189</v>
      </c>
      <c r="E24" s="99">
        <v>11960.000000000036</v>
      </c>
      <c r="F24" s="3">
        <v>13007325.240000041</v>
      </c>
      <c r="G24" s="35">
        <v>2559.9999999999454</v>
      </c>
      <c r="H24" s="3">
        <v>4176264.9599999115</v>
      </c>
      <c r="I24" s="98">
        <f t="shared" si="5"/>
        <v>17183590.199999951</v>
      </c>
      <c r="J24" s="99">
        <v>1620.0000000000045</v>
      </c>
      <c r="K24" s="3">
        <v>1761861.7800000052</v>
      </c>
      <c r="L24" s="168">
        <v>439.99999999999773</v>
      </c>
      <c r="M24" s="169">
        <v>717795.53999999643</v>
      </c>
      <c r="N24" s="92">
        <f t="shared" si="6"/>
        <v>2479657.3200000017</v>
      </c>
      <c r="O24" s="100">
        <f t="shared" si="7"/>
        <v>19663247.519999951</v>
      </c>
      <c r="P24" s="211">
        <f t="shared" si="8"/>
        <v>16579.999999999985</v>
      </c>
      <c r="Q24" s="227">
        <v>2580.9999999999764</v>
      </c>
      <c r="R24" s="221">
        <v>3728770.6999999657</v>
      </c>
      <c r="S24" s="180">
        <f t="shared" si="9"/>
        <v>19160.999999999964</v>
      </c>
      <c r="T24" s="181">
        <f t="shared" si="10"/>
        <v>23392018.219999917</v>
      </c>
      <c r="U24" s="180"/>
      <c r="V24" s="170">
        <f>Y24+W24</f>
        <v>823.07515923566882</v>
      </c>
      <c r="W24" s="3">
        <v>146.07515923566879</v>
      </c>
      <c r="X24" s="3">
        <v>2625662.8362949444</v>
      </c>
      <c r="Y24" s="31">
        <v>677</v>
      </c>
      <c r="Z24" s="31">
        <v>3186850.5977150644</v>
      </c>
      <c r="AA24" s="31">
        <f t="shared" si="0"/>
        <v>5812513.4340100084</v>
      </c>
      <c r="AB24" s="116">
        <f t="shared" si="1"/>
        <v>447.94028355305863</v>
      </c>
      <c r="AC24" s="121">
        <v>0</v>
      </c>
      <c r="AD24" s="3">
        <v>0</v>
      </c>
      <c r="AE24" s="3">
        <v>150</v>
      </c>
      <c r="AF24" s="3">
        <v>12</v>
      </c>
      <c r="AG24" s="3">
        <f t="shared" si="2"/>
        <v>162</v>
      </c>
      <c r="AH24" s="3">
        <v>2600500</v>
      </c>
      <c r="AI24" s="41">
        <f t="shared" si="3"/>
        <v>200.40705636289513</v>
      </c>
      <c r="AJ24" s="128">
        <v>325.97000000000116</v>
      </c>
      <c r="AK24" s="3">
        <v>3911640.000000014</v>
      </c>
      <c r="AL24" s="37">
        <f t="shared" si="4"/>
        <v>301.44982040044528</v>
      </c>
      <c r="AM24" s="7"/>
    </row>
    <row r="25" spans="1:39" x14ac:dyDescent="0.25">
      <c r="A25" s="33"/>
      <c r="B25" s="56">
        <v>14</v>
      </c>
      <c r="C25" s="135">
        <v>21</v>
      </c>
      <c r="D25" s="136">
        <v>194</v>
      </c>
      <c r="E25" s="99">
        <v>10399.999999999636</v>
      </c>
      <c r="F25" s="3">
        <v>11310717.599999605</v>
      </c>
      <c r="G25" s="35">
        <v>2400.0000000000909</v>
      </c>
      <c r="H25" s="3">
        <v>3915248.4000001489</v>
      </c>
      <c r="I25" s="98">
        <f t="shared" si="5"/>
        <v>15225965.999999754</v>
      </c>
      <c r="J25" s="99">
        <v>1639.9999999999864</v>
      </c>
      <c r="K25" s="3">
        <v>1783613.159999985</v>
      </c>
      <c r="L25" s="168">
        <v>439.99999999999773</v>
      </c>
      <c r="M25" s="169">
        <v>717795.53999999643</v>
      </c>
      <c r="N25" s="92">
        <f t="shared" si="6"/>
        <v>2501408.6999999816</v>
      </c>
      <c r="O25" s="100">
        <f t="shared" si="7"/>
        <v>17727374.699999735</v>
      </c>
      <c r="P25" s="211">
        <f t="shared" si="8"/>
        <v>14879.999999999711</v>
      </c>
      <c r="Q25" s="228">
        <v>2852.2000000000389</v>
      </c>
      <c r="R25" s="222">
        <v>4120573.3400000562</v>
      </c>
      <c r="S25" s="180">
        <f t="shared" si="9"/>
        <v>17732.19999999975</v>
      </c>
      <c r="T25" s="181">
        <f t="shared" si="10"/>
        <v>21847948.03999979</v>
      </c>
      <c r="U25" s="180"/>
      <c r="V25" s="170">
        <f t="shared" si="11"/>
        <v>785.93958143767054</v>
      </c>
      <c r="W25" s="3">
        <v>149.9395814376706</v>
      </c>
      <c r="X25" s="3">
        <v>2695124.8160911067</v>
      </c>
      <c r="Y25" s="31">
        <v>636</v>
      </c>
      <c r="Z25" s="31">
        <v>2993850.7830823944</v>
      </c>
      <c r="AA25" s="31">
        <f t="shared" si="0"/>
        <v>5688975.5991735011</v>
      </c>
      <c r="AB25" s="116">
        <f t="shared" si="1"/>
        <v>438.41986293047449</v>
      </c>
      <c r="AC25" s="121">
        <v>0</v>
      </c>
      <c r="AD25" s="3">
        <v>0</v>
      </c>
      <c r="AE25" s="3">
        <v>150</v>
      </c>
      <c r="AF25" s="3">
        <v>12</v>
      </c>
      <c r="AG25" s="3">
        <f t="shared" si="2"/>
        <v>162</v>
      </c>
      <c r="AH25" s="3">
        <v>2600500</v>
      </c>
      <c r="AI25" s="41">
        <f t="shared" si="3"/>
        <v>200.40705636289513</v>
      </c>
      <c r="AJ25" s="128">
        <v>269.52999999999884</v>
      </c>
      <c r="AK25" s="3">
        <v>3234359.999999986</v>
      </c>
      <c r="AL25" s="37">
        <f t="shared" si="4"/>
        <v>249.25536120664898</v>
      </c>
      <c r="AM25" s="7"/>
    </row>
    <row r="26" spans="1:39" x14ac:dyDescent="0.25">
      <c r="A26" s="33"/>
      <c r="B26" s="56">
        <v>15</v>
      </c>
      <c r="C26" s="135">
        <v>21</v>
      </c>
      <c r="D26" s="136">
        <v>177</v>
      </c>
      <c r="E26" s="99">
        <v>13159.999999999854</v>
      </c>
      <c r="F26" s="3">
        <v>14312408.039999841</v>
      </c>
      <c r="G26" s="35">
        <v>2319.9999999999363</v>
      </c>
      <c r="H26" s="3">
        <v>3784740.1199998963</v>
      </c>
      <c r="I26" s="98">
        <f t="shared" si="5"/>
        <v>18097148.159999736</v>
      </c>
      <c r="J26" s="99">
        <v>1400.0000000000909</v>
      </c>
      <c r="K26" s="3">
        <v>1522596.6000000988</v>
      </c>
      <c r="L26" s="168">
        <v>340.00000000000341</v>
      </c>
      <c r="M26" s="169">
        <v>554660.19000000553</v>
      </c>
      <c r="N26" s="92">
        <f t="shared" si="6"/>
        <v>2077256.7900001043</v>
      </c>
      <c r="O26" s="100">
        <f t="shared" si="7"/>
        <v>20174404.949999839</v>
      </c>
      <c r="P26" s="211">
        <f t="shared" si="8"/>
        <v>17219.999999999884</v>
      </c>
      <c r="Q26" s="227">
        <v>2727.3999999999796</v>
      </c>
      <c r="R26" s="220">
        <v>3940274.7799999709</v>
      </c>
      <c r="S26" s="180">
        <f t="shared" si="9"/>
        <v>19947.399999999863</v>
      </c>
      <c r="T26" s="181">
        <f t="shared" si="10"/>
        <v>24114679.72999981</v>
      </c>
      <c r="U26" s="180"/>
      <c r="V26" s="170">
        <f t="shared" si="11"/>
        <v>662.80054595086449</v>
      </c>
      <c r="W26" s="3">
        <v>136.80054595086443</v>
      </c>
      <c r="X26" s="3">
        <v>2458954.0847841543</v>
      </c>
      <c r="Y26" s="31">
        <v>526</v>
      </c>
      <c r="Z26" s="31">
        <v>2476046.4023605962</v>
      </c>
      <c r="AA26" s="31">
        <f t="shared" si="0"/>
        <v>4935000.4871447505</v>
      </c>
      <c r="AB26" s="116">
        <f t="shared" si="1"/>
        <v>380.31490897063372</v>
      </c>
      <c r="AC26" s="121">
        <v>0</v>
      </c>
      <c r="AD26" s="3">
        <v>0</v>
      </c>
      <c r="AE26" s="3">
        <v>150</v>
      </c>
      <c r="AF26" s="3">
        <v>12</v>
      </c>
      <c r="AG26" s="3">
        <f t="shared" si="2"/>
        <v>162</v>
      </c>
      <c r="AH26" s="3">
        <v>2600500</v>
      </c>
      <c r="AI26" s="41">
        <f t="shared" si="3"/>
        <v>200.40705636289513</v>
      </c>
      <c r="AJ26" s="128">
        <v>1534.9000000000233</v>
      </c>
      <c r="AK26" s="3">
        <v>18418800.000000279</v>
      </c>
      <c r="AL26" s="37">
        <f t="shared" si="4"/>
        <v>1419.4414496200534</v>
      </c>
      <c r="AM26" s="7"/>
    </row>
    <row r="27" spans="1:39" x14ac:dyDescent="0.25">
      <c r="A27" s="33"/>
      <c r="B27" s="56">
        <v>16</v>
      </c>
      <c r="C27" s="135">
        <v>23</v>
      </c>
      <c r="D27" s="136">
        <v>148</v>
      </c>
      <c r="E27" s="99">
        <v>11760.000000000218</v>
      </c>
      <c r="F27" s="3">
        <v>12789811.440000238</v>
      </c>
      <c r="G27" s="35">
        <v>2519.9999999999818</v>
      </c>
      <c r="H27" s="3">
        <v>4111010.819999971</v>
      </c>
      <c r="I27" s="98">
        <f t="shared" si="5"/>
        <v>16900822.26000021</v>
      </c>
      <c r="J27" s="99">
        <v>1500</v>
      </c>
      <c r="K27" s="3">
        <v>1631353.5</v>
      </c>
      <c r="L27" s="168">
        <v>419.99999999998749</v>
      </c>
      <c r="M27" s="169">
        <v>685168.4699999796</v>
      </c>
      <c r="N27" s="92">
        <f t="shared" si="6"/>
        <v>2316521.9699999797</v>
      </c>
      <c r="O27" s="100">
        <f t="shared" si="7"/>
        <v>19217344.23000019</v>
      </c>
      <c r="P27" s="211">
        <f t="shared" si="8"/>
        <v>16200.000000000187</v>
      </c>
      <c r="Q27" s="227">
        <v>2489.4000000000233</v>
      </c>
      <c r="R27" s="221">
        <v>3596436.1800000337</v>
      </c>
      <c r="S27" s="180">
        <f t="shared" si="9"/>
        <v>18689.400000000212</v>
      </c>
      <c r="T27" s="181">
        <f t="shared" si="10"/>
        <v>22813780.410000224</v>
      </c>
      <c r="U27" s="180"/>
      <c r="V27" s="170">
        <f t="shared" si="11"/>
        <v>778.38689717925388</v>
      </c>
      <c r="W27" s="3">
        <v>114.38689717925386</v>
      </c>
      <c r="X27" s="3">
        <v>2056074.6019664113</v>
      </c>
      <c r="Y27" s="31">
        <v>664</v>
      </c>
      <c r="Z27" s="31">
        <v>3125655.5345388516</v>
      </c>
      <c r="AA27" s="31">
        <f t="shared" si="0"/>
        <v>5181730.1365052629</v>
      </c>
      <c r="AB27" s="116">
        <f t="shared" si="1"/>
        <v>399.32908422377335</v>
      </c>
      <c r="AC27" s="121">
        <v>0</v>
      </c>
      <c r="AD27" s="3">
        <v>0</v>
      </c>
      <c r="AE27" s="3">
        <v>100</v>
      </c>
      <c r="AF27" s="3">
        <v>12</v>
      </c>
      <c r="AG27" s="3">
        <f t="shared" si="2"/>
        <v>112</v>
      </c>
      <c r="AH27" s="3">
        <v>1779500</v>
      </c>
      <c r="AI27" s="41">
        <f t="shared" si="3"/>
        <v>137.13684168343468</v>
      </c>
      <c r="AJ27" s="128">
        <v>334.32000000002154</v>
      </c>
      <c r="AK27" s="3">
        <v>4011840.0000002584</v>
      </c>
      <c r="AL27" s="37">
        <f t="shared" si="4"/>
        <v>309.17171505440069</v>
      </c>
      <c r="AM27" s="7"/>
    </row>
    <row r="28" spans="1:39" x14ac:dyDescent="0.25">
      <c r="A28" s="33"/>
      <c r="B28" s="56">
        <v>17</v>
      </c>
      <c r="C28" s="135">
        <v>44</v>
      </c>
      <c r="D28" s="136">
        <v>214</v>
      </c>
      <c r="E28" s="99">
        <v>12600.000000000364</v>
      </c>
      <c r="F28" s="3">
        <v>13703369.400000395</v>
      </c>
      <c r="G28" s="35">
        <v>2720</v>
      </c>
      <c r="H28" s="3">
        <v>4437281.5200000005</v>
      </c>
      <c r="I28" s="98">
        <f t="shared" si="5"/>
        <v>18140650.920000397</v>
      </c>
      <c r="J28" s="99">
        <v>1899.9999999999773</v>
      </c>
      <c r="K28" s="3">
        <v>2066381.0999999754</v>
      </c>
      <c r="L28" s="168">
        <v>520.00000000001023</v>
      </c>
      <c r="M28" s="169">
        <v>848303.82000001683</v>
      </c>
      <c r="N28" s="92">
        <f t="shared" si="6"/>
        <v>2914684.9199999925</v>
      </c>
      <c r="O28" s="100">
        <f t="shared" si="7"/>
        <v>21055335.840000391</v>
      </c>
      <c r="P28" s="211">
        <f t="shared" si="8"/>
        <v>17740.000000000349</v>
      </c>
      <c r="Q28" s="228">
        <v>2419.3999999999869</v>
      </c>
      <c r="R28" s="222">
        <v>3495307.1799999811</v>
      </c>
      <c r="S28" s="180">
        <f t="shared" si="9"/>
        <v>20159.400000000336</v>
      </c>
      <c r="T28" s="181">
        <f t="shared" si="10"/>
        <v>24550643.020000372</v>
      </c>
      <c r="U28" s="180"/>
      <c r="V28" s="170">
        <f t="shared" si="11"/>
        <v>820.39727024567787</v>
      </c>
      <c r="W28" s="3">
        <v>165.3972702456779</v>
      </c>
      <c r="X28" s="3">
        <v>2972972.7352757575</v>
      </c>
      <c r="Y28" s="31">
        <v>655</v>
      </c>
      <c r="Z28" s="31">
        <v>3083289.7215707046</v>
      </c>
      <c r="AA28" s="31">
        <f t="shared" si="0"/>
        <v>6056262.4568464626</v>
      </c>
      <c r="AB28" s="116">
        <f t="shared" si="1"/>
        <v>466.72475736885787</v>
      </c>
      <c r="AC28" s="121">
        <v>0</v>
      </c>
      <c r="AD28" s="3">
        <v>0</v>
      </c>
      <c r="AE28" s="3">
        <v>150</v>
      </c>
      <c r="AF28" s="3">
        <v>12</v>
      </c>
      <c r="AG28" s="3">
        <f t="shared" si="2"/>
        <v>162</v>
      </c>
      <c r="AH28" s="3">
        <v>2600500</v>
      </c>
      <c r="AI28" s="41">
        <f t="shared" si="3"/>
        <v>200.40705636289513</v>
      </c>
      <c r="AJ28" s="128">
        <v>346</v>
      </c>
      <c r="AK28" s="3">
        <v>4152000</v>
      </c>
      <c r="AL28" s="37">
        <f t="shared" si="4"/>
        <v>319.97311979186333</v>
      </c>
      <c r="AM28" s="7"/>
    </row>
    <row r="29" spans="1:39" x14ac:dyDescent="0.25">
      <c r="A29" s="33"/>
      <c r="B29" s="56">
        <v>18</v>
      </c>
      <c r="C29" s="135">
        <v>53</v>
      </c>
      <c r="D29" s="136">
        <v>245</v>
      </c>
      <c r="E29" s="99">
        <v>13599.999999999454</v>
      </c>
      <c r="F29" s="3">
        <v>14790938.399999406</v>
      </c>
      <c r="G29" s="35">
        <v>2880</v>
      </c>
      <c r="H29" s="3">
        <v>4698298.080000001</v>
      </c>
      <c r="I29" s="98">
        <f t="shared" si="5"/>
        <v>19489236.479999408</v>
      </c>
      <c r="J29" s="99">
        <v>1980.0000000000182</v>
      </c>
      <c r="K29" s="3">
        <v>2153386.6200000197</v>
      </c>
      <c r="L29" s="168">
        <v>500</v>
      </c>
      <c r="M29" s="169">
        <v>815676.75</v>
      </c>
      <c r="N29" s="92">
        <f t="shared" si="6"/>
        <v>2969063.3700000197</v>
      </c>
      <c r="O29" s="100">
        <f t="shared" si="7"/>
        <v>22458299.849999428</v>
      </c>
      <c r="P29" s="211">
        <f t="shared" si="8"/>
        <v>18959.999999999472</v>
      </c>
      <c r="Q29" s="228">
        <v>2956.0000000000036</v>
      </c>
      <c r="R29" s="222">
        <v>4270533.2000000058</v>
      </c>
      <c r="S29" s="180">
        <f t="shared" si="9"/>
        <v>21915.999999999476</v>
      </c>
      <c r="T29" s="181">
        <f t="shared" si="10"/>
        <v>26728833.049999435</v>
      </c>
      <c r="U29" s="180"/>
      <c r="V29" s="170">
        <f t="shared" si="11"/>
        <v>844.35668789808915</v>
      </c>
      <c r="W29" s="3">
        <v>189.35668789808918</v>
      </c>
      <c r="X29" s="3">
        <v>3403637.0100119649</v>
      </c>
      <c r="Y29" s="31">
        <v>655</v>
      </c>
      <c r="Z29" s="31">
        <v>3083289.7215707046</v>
      </c>
      <c r="AA29" s="31">
        <f t="shared" si="0"/>
        <v>6486926.7315826695</v>
      </c>
      <c r="AB29" s="116">
        <f t="shared" si="1"/>
        <v>499.91382084916717</v>
      </c>
      <c r="AC29" s="121">
        <v>0</v>
      </c>
      <c r="AD29" s="3">
        <v>0</v>
      </c>
      <c r="AE29" s="3">
        <v>150</v>
      </c>
      <c r="AF29" s="3">
        <v>12</v>
      </c>
      <c r="AG29" s="3">
        <f t="shared" si="2"/>
        <v>162</v>
      </c>
      <c r="AH29" s="3">
        <v>2626000</v>
      </c>
      <c r="AI29" s="41">
        <f t="shared" si="3"/>
        <v>202.37220919398678</v>
      </c>
      <c r="AJ29" s="128">
        <v>281.75</v>
      </c>
      <c r="AK29" s="3">
        <v>3381000</v>
      </c>
      <c r="AL29" s="37">
        <f t="shared" si="4"/>
        <v>260.5561459576806</v>
      </c>
      <c r="AM29" s="7"/>
    </row>
    <row r="30" spans="1:39" x14ac:dyDescent="0.25">
      <c r="A30" s="33"/>
      <c r="B30" s="56">
        <v>19</v>
      </c>
      <c r="C30" s="135">
        <v>31</v>
      </c>
      <c r="D30" s="136">
        <v>286</v>
      </c>
      <c r="E30" s="99">
        <v>12159.999999999854</v>
      </c>
      <c r="F30" s="3">
        <v>13224839.039999843</v>
      </c>
      <c r="G30" s="35">
        <v>2639.9999999999864</v>
      </c>
      <c r="H30" s="3">
        <v>4306773.2399999779</v>
      </c>
      <c r="I30" s="98">
        <f t="shared" si="5"/>
        <v>17531612.279999822</v>
      </c>
      <c r="J30" s="99">
        <v>1740.0000000000091</v>
      </c>
      <c r="K30" s="3">
        <v>1892370.0600000098</v>
      </c>
      <c r="L30" s="168">
        <v>460.00000000000796</v>
      </c>
      <c r="M30" s="169">
        <v>750422.61000001302</v>
      </c>
      <c r="N30" s="92">
        <f t="shared" si="6"/>
        <v>2642792.6700000227</v>
      </c>
      <c r="O30" s="100">
        <f t="shared" si="7"/>
        <v>20174404.949999847</v>
      </c>
      <c r="P30" s="211">
        <f t="shared" si="8"/>
        <v>16999.999999999858</v>
      </c>
      <c r="Q30" s="227">
        <v>2863.4000000000196</v>
      </c>
      <c r="R30" s="221">
        <v>4136753.9800000284</v>
      </c>
      <c r="S30" s="180">
        <f t="shared" si="9"/>
        <v>19863.399999999878</v>
      </c>
      <c r="T30" s="181">
        <f t="shared" si="10"/>
        <v>24311158.929999873</v>
      </c>
      <c r="U30" s="180"/>
      <c r="V30" s="170">
        <f t="shared" si="11"/>
        <v>875.04494995450409</v>
      </c>
      <c r="W30" s="3">
        <v>221.04494995450409</v>
      </c>
      <c r="X30" s="3">
        <v>3973225.2443404975</v>
      </c>
      <c r="Y30" s="31">
        <v>654</v>
      </c>
      <c r="Z30" s="31">
        <v>3078582.4090186884</v>
      </c>
      <c r="AA30" s="31">
        <f t="shared" si="0"/>
        <v>7051807.6533591859</v>
      </c>
      <c r="AB30" s="116">
        <f t="shared" si="1"/>
        <v>543.44626565931537</v>
      </c>
      <c r="AC30" s="121">
        <v>0</v>
      </c>
      <c r="AD30" s="3">
        <v>0</v>
      </c>
      <c r="AE30" s="3">
        <v>200</v>
      </c>
      <c r="AF30" s="3">
        <v>12</v>
      </c>
      <c r="AG30" s="3">
        <f t="shared" si="2"/>
        <v>212</v>
      </c>
      <c r="AH30" s="3">
        <v>3447000</v>
      </c>
      <c r="AI30" s="41">
        <f t="shared" si="3"/>
        <v>265.64242387344723</v>
      </c>
      <c r="AJ30" s="128">
        <v>326.89999999999418</v>
      </c>
      <c r="AK30" s="3">
        <v>3922799.9999999302</v>
      </c>
      <c r="AL30" s="37">
        <f t="shared" si="4"/>
        <v>302.30986375710478</v>
      </c>
      <c r="AM30" s="7"/>
    </row>
    <row r="31" spans="1:39" x14ac:dyDescent="0.25">
      <c r="A31" s="33"/>
      <c r="B31" s="56">
        <v>20</v>
      </c>
      <c r="C31" s="135">
        <v>26</v>
      </c>
      <c r="D31" s="136">
        <v>172</v>
      </c>
      <c r="E31" s="99">
        <v>11560.0000000004</v>
      </c>
      <c r="F31" s="3">
        <v>12572297.640000435</v>
      </c>
      <c r="G31" s="35">
        <v>2439.9999999999409</v>
      </c>
      <c r="H31" s="3">
        <v>3980502.5399999041</v>
      </c>
      <c r="I31" s="98">
        <f t="shared" si="5"/>
        <v>16552800.180000339</v>
      </c>
      <c r="J31" s="99">
        <v>1699.9999999999318</v>
      </c>
      <c r="K31" s="3">
        <v>1848867.2999999258</v>
      </c>
      <c r="L31" s="168">
        <v>419.99999999998749</v>
      </c>
      <c r="M31" s="169">
        <v>685168.4699999796</v>
      </c>
      <c r="N31" s="92">
        <f t="shared" si="6"/>
        <v>2534035.7699999055</v>
      </c>
      <c r="O31" s="100">
        <f t="shared" si="7"/>
        <v>19086835.950000245</v>
      </c>
      <c r="P31" s="211">
        <f t="shared" si="8"/>
        <v>16120.00000000026</v>
      </c>
      <c r="Q31" s="228">
        <v>2686.6000000000167</v>
      </c>
      <c r="R31" s="222">
        <v>3881331.0200000242</v>
      </c>
      <c r="S31" s="180">
        <f t="shared" si="9"/>
        <v>18806.600000000275</v>
      </c>
      <c r="T31" s="181">
        <f t="shared" si="10"/>
        <v>22968166.970000271</v>
      </c>
      <c r="U31" s="180"/>
      <c r="V31" s="170">
        <f t="shared" si="11"/>
        <v>680.93612374886266</v>
      </c>
      <c r="W31" s="3">
        <v>132.9361237488626</v>
      </c>
      <c r="X31" s="3">
        <v>2389492.1049879915</v>
      </c>
      <c r="Y31" s="31">
        <v>548</v>
      </c>
      <c r="Z31" s="31">
        <v>2579607.278504956</v>
      </c>
      <c r="AA31" s="31">
        <f t="shared" si="0"/>
        <v>4969099.3834929476</v>
      </c>
      <c r="AB31" s="116">
        <f t="shared" si="1"/>
        <v>382.94273417438899</v>
      </c>
      <c r="AC31" s="121">
        <v>0</v>
      </c>
      <c r="AD31" s="3">
        <v>0</v>
      </c>
      <c r="AE31" s="3">
        <v>150</v>
      </c>
      <c r="AF31" s="3">
        <v>12</v>
      </c>
      <c r="AG31" s="3">
        <f t="shared" si="2"/>
        <v>162</v>
      </c>
      <c r="AH31" s="3">
        <v>2698000</v>
      </c>
      <c r="AI31" s="41">
        <f t="shared" si="3"/>
        <v>207.92087601118672</v>
      </c>
      <c r="AJ31" s="128">
        <v>427.58000000000175</v>
      </c>
      <c r="AK31" s="3">
        <v>5130960.0000000205</v>
      </c>
      <c r="AL31" s="37">
        <f t="shared" si="4"/>
        <v>395.41649294972677</v>
      </c>
      <c r="AM31" s="7"/>
    </row>
    <row r="32" spans="1:39" x14ac:dyDescent="0.25">
      <c r="A32" s="33"/>
      <c r="B32" s="56">
        <v>21</v>
      </c>
      <c r="C32" s="135">
        <v>21</v>
      </c>
      <c r="D32" s="136">
        <v>158</v>
      </c>
      <c r="E32" s="99">
        <v>11399.999999999636</v>
      </c>
      <c r="F32" s="3">
        <v>12398286.599999605</v>
      </c>
      <c r="G32" s="35">
        <v>2280.0000000000864</v>
      </c>
      <c r="H32" s="3">
        <v>3719485.9800001411</v>
      </c>
      <c r="I32" s="98">
        <f t="shared" si="5"/>
        <v>16117772.579999745</v>
      </c>
      <c r="J32" s="99">
        <v>1800.0000000000682</v>
      </c>
      <c r="K32" s="3">
        <v>1957624.2000000742</v>
      </c>
      <c r="L32" s="168">
        <v>500</v>
      </c>
      <c r="M32" s="169">
        <v>815676.75</v>
      </c>
      <c r="N32" s="92">
        <f>+K32+M32</f>
        <v>2773300.9500000742</v>
      </c>
      <c r="O32" s="100">
        <f t="shared" si="7"/>
        <v>18891073.529999819</v>
      </c>
      <c r="P32" s="211">
        <f t="shared" si="8"/>
        <v>15979.999999999791</v>
      </c>
      <c r="Q32" s="227">
        <v>1393.7999999999556</v>
      </c>
      <c r="R32" s="223">
        <v>2013622.8599999358</v>
      </c>
      <c r="S32" s="180">
        <f t="shared" si="9"/>
        <v>17373.799999999748</v>
      </c>
      <c r="T32" s="181">
        <f t="shared" si="10"/>
        <v>20904696.389999755</v>
      </c>
      <c r="U32" s="180"/>
      <c r="V32" s="170">
        <f t="shared" si="11"/>
        <v>772.11574158325755</v>
      </c>
      <c r="W32" s="3">
        <v>122.1157415832575</v>
      </c>
      <c r="X32" s="3">
        <v>2194998.5615587365</v>
      </c>
      <c r="Y32" s="31">
        <v>650</v>
      </c>
      <c r="Z32" s="31">
        <v>3059753.158810623</v>
      </c>
      <c r="AA32" s="31">
        <f t="shared" si="0"/>
        <v>5254751.7203693595</v>
      </c>
      <c r="AB32" s="116">
        <f t="shared" si="1"/>
        <v>404.95647921441355</v>
      </c>
      <c r="AC32" s="121">
        <v>0</v>
      </c>
      <c r="AD32" s="3">
        <v>0</v>
      </c>
      <c r="AE32" s="3">
        <v>150</v>
      </c>
      <c r="AF32" s="3">
        <v>12</v>
      </c>
      <c r="AG32" s="3">
        <f t="shared" ref="AG32:AG40" si="12">+AE32+AF32</f>
        <v>162</v>
      </c>
      <c r="AH32" s="3">
        <v>2698000</v>
      </c>
      <c r="AI32" s="41">
        <f t="shared" si="3"/>
        <v>207.92087601118672</v>
      </c>
      <c r="AJ32" s="128">
        <v>276.30000000000291</v>
      </c>
      <c r="AK32" s="3">
        <v>3315600.0000000349</v>
      </c>
      <c r="AL32" s="37">
        <f t="shared" si="4"/>
        <v>255.51610693206004</v>
      </c>
      <c r="AM32" s="7"/>
    </row>
    <row r="33" spans="1:39" x14ac:dyDescent="0.25">
      <c r="A33" s="33"/>
      <c r="B33" s="56">
        <v>22</v>
      </c>
      <c r="C33" s="135">
        <v>23</v>
      </c>
      <c r="D33" s="136">
        <v>280</v>
      </c>
      <c r="E33" s="99">
        <v>11560.0000000004</v>
      </c>
      <c r="F33" s="3">
        <v>12572297.640000435</v>
      </c>
      <c r="G33" s="35">
        <v>2559.9999999999454</v>
      </c>
      <c r="H33" s="3">
        <v>4176264.9599999115</v>
      </c>
      <c r="I33" s="98">
        <f t="shared" si="5"/>
        <v>16748562.600000346</v>
      </c>
      <c r="J33" s="99">
        <v>1780</v>
      </c>
      <c r="K33" s="3">
        <v>1935872.82</v>
      </c>
      <c r="L33" s="168">
        <v>500</v>
      </c>
      <c r="M33" s="169">
        <v>815676.75</v>
      </c>
      <c r="N33" s="92">
        <f t="shared" si="6"/>
        <v>2751549.5700000003</v>
      </c>
      <c r="O33" s="100">
        <f t="shared" si="7"/>
        <v>19500112.170000345</v>
      </c>
      <c r="P33" s="211">
        <f t="shared" si="8"/>
        <v>16400.000000000346</v>
      </c>
      <c r="Q33" s="227">
        <v>1752.7999999999975</v>
      </c>
      <c r="R33" s="221">
        <v>2532270.1599999964</v>
      </c>
      <c r="S33" s="180">
        <f t="shared" si="9"/>
        <v>18152.800000000345</v>
      </c>
      <c r="T33" s="181">
        <f t="shared" si="10"/>
        <v>22032382.330000341</v>
      </c>
      <c r="U33" s="180"/>
      <c r="V33" s="170">
        <f t="shared" si="11"/>
        <v>889.40764331210198</v>
      </c>
      <c r="W33" s="3">
        <v>216.40764331210192</v>
      </c>
      <c r="X33" s="3">
        <v>3889870.8685851027</v>
      </c>
      <c r="Y33" s="31">
        <v>673</v>
      </c>
      <c r="Z33" s="31">
        <v>3168021.347506999</v>
      </c>
      <c r="AA33" s="31">
        <f t="shared" si="0"/>
        <v>7057892.2160921022</v>
      </c>
      <c r="AB33" s="116">
        <f t="shared" si="1"/>
        <v>543.915171372278</v>
      </c>
      <c r="AC33" s="121">
        <v>0</v>
      </c>
      <c r="AD33" s="3">
        <v>0</v>
      </c>
      <c r="AE33" s="3">
        <v>200</v>
      </c>
      <c r="AF33" s="3">
        <v>12</v>
      </c>
      <c r="AG33" s="3">
        <f t="shared" si="12"/>
        <v>212</v>
      </c>
      <c r="AH33" s="3">
        <v>3543000</v>
      </c>
      <c r="AI33" s="41">
        <f t="shared" si="3"/>
        <v>273.04064629638049</v>
      </c>
      <c r="AJ33" s="128">
        <v>315.79999999998836</v>
      </c>
      <c r="AK33" s="3">
        <v>3789599.9999998603</v>
      </c>
      <c r="AL33" s="37">
        <f t="shared" si="4"/>
        <v>292.04483014527955</v>
      </c>
      <c r="AM33" s="7"/>
    </row>
    <row r="34" spans="1:39" x14ac:dyDescent="0.25">
      <c r="A34" s="33"/>
      <c r="B34" s="56">
        <v>23</v>
      </c>
      <c r="C34" s="135">
        <v>18</v>
      </c>
      <c r="D34" s="136">
        <v>168</v>
      </c>
      <c r="E34" s="99">
        <v>11840.000000000146</v>
      </c>
      <c r="F34" s="3">
        <v>12876816.960000157</v>
      </c>
      <c r="G34" s="35">
        <v>2320.00000000005</v>
      </c>
      <c r="H34" s="3">
        <v>3784740.1200000816</v>
      </c>
      <c r="I34" s="98">
        <f t="shared" si="5"/>
        <v>16661557.080000238</v>
      </c>
      <c r="J34" s="99">
        <v>1379.9999999999955</v>
      </c>
      <c r="K34" s="3">
        <v>1500845.2199999951</v>
      </c>
      <c r="L34" s="168">
        <v>419.99999999998749</v>
      </c>
      <c r="M34" s="169">
        <v>685168.4699999796</v>
      </c>
      <c r="N34" s="92">
        <f t="shared" si="6"/>
        <v>2186013.6899999748</v>
      </c>
      <c r="O34" s="100">
        <f t="shared" si="7"/>
        <v>18847570.770000212</v>
      </c>
      <c r="P34" s="211">
        <f t="shared" si="8"/>
        <v>15960.000000000178</v>
      </c>
      <c r="Q34" s="228">
        <v>2503.1999999999789</v>
      </c>
      <c r="R34" s="222">
        <v>3616373.0399999698</v>
      </c>
      <c r="S34" s="180">
        <f t="shared" si="9"/>
        <v>18463.200000000157</v>
      </c>
      <c r="T34" s="181">
        <f t="shared" si="10"/>
        <v>22463943.810000181</v>
      </c>
      <c r="U34" s="180"/>
      <c r="V34" s="170">
        <f t="shared" si="11"/>
        <v>670.8445859872611</v>
      </c>
      <c r="W34" s="3">
        <v>129.84458598726115</v>
      </c>
      <c r="X34" s="3">
        <v>2333922.5211510616</v>
      </c>
      <c r="Y34" s="31">
        <v>541</v>
      </c>
      <c r="Z34" s="31">
        <v>2546656.0906408415</v>
      </c>
      <c r="AA34" s="31">
        <f t="shared" si="0"/>
        <v>4880578.6117919032</v>
      </c>
      <c r="AB34" s="116">
        <f t="shared" si="1"/>
        <v>376.1208971109096</v>
      </c>
      <c r="AC34" s="121">
        <v>0</v>
      </c>
      <c r="AD34" s="3">
        <v>0</v>
      </c>
      <c r="AE34" s="3">
        <v>150</v>
      </c>
      <c r="AF34" s="3">
        <v>12</v>
      </c>
      <c r="AG34" s="3">
        <f t="shared" si="12"/>
        <v>162</v>
      </c>
      <c r="AH34" s="3">
        <v>2698000</v>
      </c>
      <c r="AI34" s="41">
        <f t="shared" si="3"/>
        <v>207.92087601118672</v>
      </c>
      <c r="AJ34" s="128">
        <v>339.71999999998661</v>
      </c>
      <c r="AK34" s="3">
        <v>4076639.9999998393</v>
      </c>
      <c r="AL34" s="37">
        <f t="shared" si="4"/>
        <v>314.16551518984835</v>
      </c>
      <c r="AM34" s="7"/>
    </row>
    <row r="35" spans="1:39" x14ac:dyDescent="0.25">
      <c r="A35" s="33"/>
      <c r="B35" s="56">
        <v>24</v>
      </c>
      <c r="C35" s="135">
        <v>14</v>
      </c>
      <c r="D35" s="136">
        <v>201</v>
      </c>
      <c r="E35" s="99">
        <v>11680</v>
      </c>
      <c r="F35" s="3">
        <v>12702805.920000002</v>
      </c>
      <c r="G35" s="35">
        <v>2399.9999999999773</v>
      </c>
      <c r="H35" s="3">
        <v>3915248.3999999636</v>
      </c>
      <c r="I35" s="98">
        <f t="shared" si="5"/>
        <v>16618054.319999965</v>
      </c>
      <c r="J35" s="99">
        <v>1639.9999999999864</v>
      </c>
      <c r="K35" s="3">
        <v>1783613.159999985</v>
      </c>
      <c r="L35" s="168">
        <v>540.00000000002046</v>
      </c>
      <c r="M35" s="169">
        <v>880930.89000003343</v>
      </c>
      <c r="N35" s="92">
        <f t="shared" si="6"/>
        <v>2664544.0500000184</v>
      </c>
      <c r="O35" s="100">
        <f t="shared" si="7"/>
        <v>19282598.369999982</v>
      </c>
      <c r="P35" s="211">
        <f t="shared" si="8"/>
        <v>16259.999999999984</v>
      </c>
      <c r="Q35" s="227">
        <v>2827.6000000000113</v>
      </c>
      <c r="R35" s="223">
        <v>4085033.7200000165</v>
      </c>
      <c r="S35" s="180">
        <f t="shared" si="9"/>
        <v>19087.599999999995</v>
      </c>
      <c r="T35" s="181">
        <f t="shared" si="10"/>
        <v>23367632.09</v>
      </c>
      <c r="U35" s="180"/>
      <c r="V35" s="170">
        <f t="shared" si="11"/>
        <v>593.34977252047315</v>
      </c>
      <c r="W35" s="3">
        <v>155.34977252047315</v>
      </c>
      <c r="X35" s="3">
        <v>2792371.5878057345</v>
      </c>
      <c r="Y35" s="31">
        <v>438</v>
      </c>
      <c r="Z35" s="31">
        <v>2061802.8977831583</v>
      </c>
      <c r="AA35" s="31">
        <f t="shared" si="0"/>
        <v>4854174.4855888933</v>
      </c>
      <c r="AB35" s="116">
        <f t="shared" si="1"/>
        <v>374.08606795952352</v>
      </c>
      <c r="AC35" s="121">
        <v>0</v>
      </c>
      <c r="AD35" s="3">
        <v>0</v>
      </c>
      <c r="AE35" s="3">
        <v>200</v>
      </c>
      <c r="AF35" s="3">
        <v>12</v>
      </c>
      <c r="AG35" s="3">
        <f t="shared" si="12"/>
        <v>212</v>
      </c>
      <c r="AH35" s="3">
        <v>3543000</v>
      </c>
      <c r="AI35" s="41">
        <f t="shared" si="3"/>
        <v>273.04064629638049</v>
      </c>
      <c r="AJ35" s="128">
        <v>414.97999999999593</v>
      </c>
      <c r="AK35" s="3">
        <v>4979759.9999999516</v>
      </c>
      <c r="AL35" s="37">
        <f t="shared" si="4"/>
        <v>383.7642926336016</v>
      </c>
      <c r="AM35" s="7"/>
    </row>
    <row r="36" spans="1:39" x14ac:dyDescent="0.25">
      <c r="A36" s="33"/>
      <c r="B36" s="56">
        <v>25</v>
      </c>
      <c r="C36" s="135">
        <v>17</v>
      </c>
      <c r="D36" s="136">
        <v>224</v>
      </c>
      <c r="E36" s="99">
        <v>11919.999999999163</v>
      </c>
      <c r="F36" s="3">
        <v>12963822.479999091</v>
      </c>
      <c r="G36" s="35">
        <v>2480.0000000000182</v>
      </c>
      <c r="H36" s="3">
        <v>4045756.68000003</v>
      </c>
      <c r="I36" s="98">
        <f t="shared" si="5"/>
        <v>17009579.159999121</v>
      </c>
      <c r="J36" s="99">
        <v>1920.0000000000728</v>
      </c>
      <c r="K36" s="3">
        <v>2088132.4800000791</v>
      </c>
      <c r="L36" s="168">
        <v>519.99999999998181</v>
      </c>
      <c r="M36" s="169">
        <v>848303.81999997038</v>
      </c>
      <c r="N36" s="92">
        <f t="shared" si="6"/>
        <v>2936436.3000000496</v>
      </c>
      <c r="O36" s="100">
        <f t="shared" si="7"/>
        <v>19946015.45999917</v>
      </c>
      <c r="P36" s="211">
        <f t="shared" si="8"/>
        <v>16839.999999999236</v>
      </c>
      <c r="Q36" s="227">
        <v>2886.2000000000353</v>
      </c>
      <c r="R36" s="223">
        <v>4169693.1400000509</v>
      </c>
      <c r="S36" s="180">
        <f t="shared" si="9"/>
        <v>19726.199999999269</v>
      </c>
      <c r="T36" s="181">
        <f t="shared" si="10"/>
        <v>24115708.599999219</v>
      </c>
      <c r="U36" s="180"/>
      <c r="V36" s="170">
        <f t="shared" si="11"/>
        <v>622.12611464968154</v>
      </c>
      <c r="W36" s="3">
        <v>173.12611464968154</v>
      </c>
      <c r="X36" s="3">
        <v>3111896.6948680822</v>
      </c>
      <c r="Y36" s="31">
        <v>449</v>
      </c>
      <c r="Z36" s="31">
        <v>2113583.3358553378</v>
      </c>
      <c r="AA36" s="31">
        <f t="shared" si="0"/>
        <v>5225480.03072342</v>
      </c>
      <c r="AB36" s="116">
        <f t="shared" si="1"/>
        <v>402.70066181133296</v>
      </c>
      <c r="AC36" s="121">
        <v>0</v>
      </c>
      <c r="AD36" s="3">
        <v>0</v>
      </c>
      <c r="AE36" s="3">
        <v>200</v>
      </c>
      <c r="AF36" s="3">
        <v>12</v>
      </c>
      <c r="AG36" s="3">
        <f t="shared" si="12"/>
        <v>212</v>
      </c>
      <c r="AH36" s="3">
        <v>3543000</v>
      </c>
      <c r="AI36" s="41">
        <f t="shared" si="3"/>
        <v>273.04064629638049</v>
      </c>
      <c r="AJ36" s="128">
        <v>335.77000000000407</v>
      </c>
      <c r="AK36" s="3">
        <v>4029240.0000000489</v>
      </c>
      <c r="AL36" s="37">
        <f t="shared" si="4"/>
        <v>310.51264286854121</v>
      </c>
      <c r="AM36" s="7"/>
    </row>
    <row r="37" spans="1:39" x14ac:dyDescent="0.25">
      <c r="A37" s="33"/>
      <c r="B37" s="56">
        <v>26</v>
      </c>
      <c r="C37" s="135">
        <v>18</v>
      </c>
      <c r="D37" s="136">
        <v>270</v>
      </c>
      <c r="E37" s="99">
        <v>11920.000000000073</v>
      </c>
      <c r="F37" s="3">
        <v>12963822.480000079</v>
      </c>
      <c r="G37" s="35">
        <v>2480.0000000000182</v>
      </c>
      <c r="H37" s="3">
        <v>4045756.68000003</v>
      </c>
      <c r="I37" s="98">
        <f t="shared" si="5"/>
        <v>17009579.160000108</v>
      </c>
      <c r="J37" s="99">
        <v>1979.9999999999045</v>
      </c>
      <c r="K37" s="3">
        <v>2153386.6199998963</v>
      </c>
      <c r="L37" s="168">
        <v>520.00000000001023</v>
      </c>
      <c r="M37" s="169">
        <v>848303.82000001683</v>
      </c>
      <c r="N37" s="92">
        <f t="shared" si="6"/>
        <v>3001690.4399999129</v>
      </c>
      <c r="O37" s="100">
        <f t="shared" si="7"/>
        <v>20011269.60000002</v>
      </c>
      <c r="P37" s="211">
        <f t="shared" si="8"/>
        <v>16900.000000000007</v>
      </c>
      <c r="Q37" s="227">
        <v>3192.3999999999614</v>
      </c>
      <c r="R37" s="223">
        <v>4612060.2799999444</v>
      </c>
      <c r="S37" s="180">
        <f t="shared" si="9"/>
        <v>20092.399999999969</v>
      </c>
      <c r="T37" s="181">
        <f t="shared" si="10"/>
        <v>24623329.879999965</v>
      </c>
      <c r="U37" s="180"/>
      <c r="V37" s="170">
        <f t="shared" si="11"/>
        <v>665.67879890809832</v>
      </c>
      <c r="W37" s="3">
        <v>208.67879890809826</v>
      </c>
      <c r="X37" s="3">
        <v>3750946.9089927776</v>
      </c>
      <c r="Y37" s="31">
        <v>457</v>
      </c>
      <c r="Z37" s="31">
        <v>2151241.8362714685</v>
      </c>
      <c r="AA37" s="31">
        <f t="shared" si="0"/>
        <v>5902188.7452642461</v>
      </c>
      <c r="AB37" s="116">
        <f t="shared" si="1"/>
        <v>454.85109499581506</v>
      </c>
      <c r="AC37" s="121">
        <v>0</v>
      </c>
      <c r="AD37" s="3">
        <v>0</v>
      </c>
      <c r="AE37" s="3">
        <v>200</v>
      </c>
      <c r="AF37" s="3">
        <v>12</v>
      </c>
      <c r="AG37" s="3">
        <f t="shared" si="12"/>
        <v>212</v>
      </c>
      <c r="AH37" s="3">
        <v>3543000</v>
      </c>
      <c r="AI37" s="41">
        <f t="shared" si="3"/>
        <v>273.04064629638049</v>
      </c>
      <c r="AJ37" s="128">
        <v>200.65000000000873</v>
      </c>
      <c r="AK37" s="3">
        <v>2407800.0000001048</v>
      </c>
      <c r="AL37" s="37">
        <f t="shared" si="4"/>
        <v>185.5566661452028</v>
      </c>
      <c r="AM37" s="7"/>
    </row>
    <row r="38" spans="1:39" x14ac:dyDescent="0.25">
      <c r="A38" s="33"/>
      <c r="B38" s="56">
        <v>27</v>
      </c>
      <c r="C38" s="135">
        <v>22</v>
      </c>
      <c r="D38" s="136">
        <v>150</v>
      </c>
      <c r="E38" s="99">
        <v>12160.000000000764</v>
      </c>
      <c r="F38" s="3">
        <v>13224839.04000083</v>
      </c>
      <c r="G38" s="35">
        <v>2479.9999999999045</v>
      </c>
      <c r="H38" s="3">
        <v>4045756.6799998446</v>
      </c>
      <c r="I38" s="98">
        <f t="shared" si="5"/>
        <v>17270595.720000673</v>
      </c>
      <c r="J38" s="99">
        <v>1640.0000000001</v>
      </c>
      <c r="K38" s="3">
        <v>1783613.1600001089</v>
      </c>
      <c r="L38" s="168">
        <v>439.99999999999773</v>
      </c>
      <c r="M38" s="169">
        <v>717795.53999999643</v>
      </c>
      <c r="N38" s="92">
        <f t="shared" si="6"/>
        <v>2501408.7000001054</v>
      </c>
      <c r="O38" s="100">
        <f t="shared" si="7"/>
        <v>19772004.420000777</v>
      </c>
      <c r="P38" s="211">
        <f t="shared" si="8"/>
        <v>16720.000000000764</v>
      </c>
      <c r="Q38" s="227">
        <v>2665.2000000000044</v>
      </c>
      <c r="R38" s="223">
        <v>3850414.4400000065</v>
      </c>
      <c r="S38" s="180">
        <f t="shared" si="9"/>
        <v>19385.200000000768</v>
      </c>
      <c r="T38" s="181">
        <f t="shared" si="10"/>
        <v>23622418.860000782</v>
      </c>
      <c r="U38" s="180"/>
      <c r="V38" s="170">
        <f t="shared" si="11"/>
        <v>539.93266606005454</v>
      </c>
      <c r="W38" s="3">
        <v>115.9326660600546</v>
      </c>
      <c r="X38" s="3">
        <v>2083859.3938848765</v>
      </c>
      <c r="Y38" s="31">
        <v>424</v>
      </c>
      <c r="Z38" s="31">
        <v>1995900.5220549295</v>
      </c>
      <c r="AA38" s="31">
        <f t="shared" si="0"/>
        <v>4079759.915939806</v>
      </c>
      <c r="AB38" s="116">
        <f t="shared" si="1"/>
        <v>314.40595094052259</v>
      </c>
      <c r="AC38" s="121">
        <v>0</v>
      </c>
      <c r="AD38" s="3">
        <v>0</v>
      </c>
      <c r="AE38" s="3">
        <v>150</v>
      </c>
      <c r="AF38" s="3">
        <v>12</v>
      </c>
      <c r="AG38" s="3">
        <f t="shared" si="12"/>
        <v>162</v>
      </c>
      <c r="AH38" s="3">
        <v>2698000</v>
      </c>
      <c r="AI38" s="41">
        <f t="shared" si="3"/>
        <v>207.92087601118672</v>
      </c>
      <c r="AJ38" s="128">
        <v>344.51999999998952</v>
      </c>
      <c r="AK38" s="3">
        <v>4134239.9999998743</v>
      </c>
      <c r="AL38" s="37">
        <f t="shared" si="4"/>
        <v>318.60444864361102</v>
      </c>
      <c r="AM38" s="7"/>
    </row>
    <row r="39" spans="1:39" x14ac:dyDescent="0.25">
      <c r="A39" s="33"/>
      <c r="B39" s="56">
        <v>28</v>
      </c>
      <c r="C39" s="135">
        <v>22</v>
      </c>
      <c r="D39" s="136">
        <v>194</v>
      </c>
      <c r="E39" s="99">
        <v>11279.999999999745</v>
      </c>
      <c r="F39" s="3">
        <v>12267778.319999723</v>
      </c>
      <c r="G39" s="35">
        <v>2280.0000000000864</v>
      </c>
      <c r="H39" s="3">
        <v>3719485.9800001411</v>
      </c>
      <c r="I39" s="98">
        <f t="shared" si="5"/>
        <v>15987264.299999863</v>
      </c>
      <c r="J39" s="99">
        <v>1719.9999999999136</v>
      </c>
      <c r="K39" s="3">
        <v>1870618.6799999061</v>
      </c>
      <c r="L39" s="168">
        <v>439.99999999999773</v>
      </c>
      <c r="M39" s="169">
        <v>717795.53999999643</v>
      </c>
      <c r="N39" s="92">
        <f t="shared" si="6"/>
        <v>2588414.2199999024</v>
      </c>
      <c r="O39" s="100">
        <f t="shared" si="7"/>
        <v>18575678.519999765</v>
      </c>
      <c r="P39" s="211">
        <f t="shared" si="8"/>
        <v>15719.999999999744</v>
      </c>
      <c r="Q39" s="227">
        <v>2815.1999999999862</v>
      </c>
      <c r="R39" s="223">
        <v>4067119.4399999804</v>
      </c>
      <c r="S39" s="180">
        <f t="shared" si="9"/>
        <v>18535.199999999728</v>
      </c>
      <c r="T39" s="181">
        <f t="shared" si="10"/>
        <v>22642797.959999744</v>
      </c>
      <c r="U39" s="180"/>
      <c r="V39" s="170">
        <f t="shared" si="11"/>
        <v>754.93958143767054</v>
      </c>
      <c r="W39" s="3">
        <v>149.9395814376706</v>
      </c>
      <c r="X39" s="3">
        <v>2695124.8160911067</v>
      </c>
      <c r="Y39" s="31">
        <v>605</v>
      </c>
      <c r="Z39" s="31">
        <v>2847924.0939698876</v>
      </c>
      <c r="AA39" s="31">
        <f t="shared" si="0"/>
        <v>5543048.9100609943</v>
      </c>
      <c r="AB39" s="116">
        <f t="shared" si="1"/>
        <v>427.1740493523854</v>
      </c>
      <c r="AC39" s="121">
        <v>0</v>
      </c>
      <c r="AD39" s="3">
        <v>0</v>
      </c>
      <c r="AE39" s="3">
        <v>150</v>
      </c>
      <c r="AF39" s="3">
        <v>12</v>
      </c>
      <c r="AG39" s="3">
        <f t="shared" si="12"/>
        <v>162</v>
      </c>
      <c r="AH39" s="3">
        <v>2698000</v>
      </c>
      <c r="AI39" s="41">
        <f t="shared" si="3"/>
        <v>207.92087601118672</v>
      </c>
      <c r="AJ39" s="128">
        <v>287.68000000000757</v>
      </c>
      <c r="AK39" s="3">
        <v>3452160.0000000908</v>
      </c>
      <c r="AL39" s="37">
        <f t="shared" si="4"/>
        <v>266.04007832868689</v>
      </c>
      <c r="AM39" s="7"/>
    </row>
    <row r="40" spans="1:39" x14ac:dyDescent="0.25">
      <c r="A40" s="33"/>
      <c r="B40" s="56">
        <v>29</v>
      </c>
      <c r="C40" s="135">
        <v>24</v>
      </c>
      <c r="D40" s="136">
        <v>190</v>
      </c>
      <c r="E40" s="99">
        <v>11599.999999999454</v>
      </c>
      <c r="F40" s="3">
        <v>12615800.399999406</v>
      </c>
      <c r="G40" s="35">
        <v>2519.9999999999818</v>
      </c>
      <c r="H40" s="3">
        <v>4111010.819999971</v>
      </c>
      <c r="I40" s="98">
        <f t="shared" si="5"/>
        <v>16726811.219999377</v>
      </c>
      <c r="J40" s="99">
        <v>1519.9999999999818</v>
      </c>
      <c r="K40" s="3">
        <v>1653104.8799999803</v>
      </c>
      <c r="L40" s="168">
        <v>439.99999999999773</v>
      </c>
      <c r="M40" s="169">
        <v>717795.53999999643</v>
      </c>
      <c r="N40" s="92">
        <f t="shared" si="6"/>
        <v>2370900.4199999766</v>
      </c>
      <c r="O40" s="100">
        <f t="shared" ref="O40:O41" si="13">N40+I40</f>
        <v>19097711.639999352</v>
      </c>
      <c r="P40" s="211">
        <f t="shared" ref="P40:P42" si="14">L40+J40+G40+E40</f>
        <v>16079.999999999416</v>
      </c>
      <c r="Q40" s="228">
        <v>1832.6000000000022</v>
      </c>
      <c r="R40" s="224">
        <v>2647557.2200000035</v>
      </c>
      <c r="S40" s="180">
        <f t="shared" si="9"/>
        <v>17912.599999999416</v>
      </c>
      <c r="T40" s="181">
        <f t="shared" si="10"/>
        <v>21745268.859999355</v>
      </c>
      <c r="U40" s="180"/>
      <c r="V40" s="170">
        <f t="shared" si="11"/>
        <v>688.84804367606921</v>
      </c>
      <c r="W40" s="3">
        <v>146.84804367606915</v>
      </c>
      <c r="X40" s="3">
        <v>2639555.2322541769</v>
      </c>
      <c r="Y40" s="31">
        <v>542</v>
      </c>
      <c r="Z40" s="31">
        <v>2551363.4031928577</v>
      </c>
      <c r="AA40" s="31">
        <f t="shared" ref="AA40:AA41" si="15">Z40+X40</f>
        <v>5190918.6354470346</v>
      </c>
      <c r="AB40" s="116">
        <f t="shared" si="1"/>
        <v>400.03719421235786</v>
      </c>
      <c r="AC40" s="121">
        <v>0</v>
      </c>
      <c r="AD40" s="3">
        <v>0</v>
      </c>
      <c r="AE40" s="3">
        <v>150</v>
      </c>
      <c r="AF40" s="3">
        <v>12</v>
      </c>
      <c r="AG40" s="3">
        <f t="shared" si="12"/>
        <v>162</v>
      </c>
      <c r="AH40" s="3">
        <v>2698000</v>
      </c>
      <c r="AI40" s="41">
        <f t="shared" si="3"/>
        <v>207.92087601118672</v>
      </c>
      <c r="AJ40" s="128">
        <v>379.91999999999825</v>
      </c>
      <c r="AK40" s="3">
        <v>4559039.9999999795</v>
      </c>
      <c r="AL40" s="37">
        <f t="shared" si="4"/>
        <v>351.34158286509876</v>
      </c>
      <c r="AM40" s="7"/>
    </row>
    <row r="41" spans="1:39" ht="17.25" customHeight="1" x14ac:dyDescent="0.25">
      <c r="A41" s="33"/>
      <c r="B41" s="56">
        <v>30</v>
      </c>
      <c r="C41" s="135">
        <v>25</v>
      </c>
      <c r="D41" s="136">
        <v>175</v>
      </c>
      <c r="E41" s="99">
        <v>9960.0000000000364</v>
      </c>
      <c r="F41" s="3">
        <v>10832187.240000041</v>
      </c>
      <c r="G41" s="35">
        <v>2199.9999999999318</v>
      </c>
      <c r="H41" s="3">
        <v>3588977.6999998894</v>
      </c>
      <c r="I41" s="98">
        <f t="shared" si="5"/>
        <v>14421164.939999931</v>
      </c>
      <c r="J41" s="99">
        <v>1600.0000000000227</v>
      </c>
      <c r="K41" s="3">
        <v>1740110.4000000248</v>
      </c>
      <c r="L41" s="168">
        <v>460.00000000000796</v>
      </c>
      <c r="M41" s="169">
        <v>750422.61000001302</v>
      </c>
      <c r="N41" s="92">
        <f t="shared" si="6"/>
        <v>2490533.010000038</v>
      </c>
      <c r="O41" s="100">
        <f t="shared" si="13"/>
        <v>16911697.949999969</v>
      </c>
      <c r="P41" s="211">
        <f t="shared" si="14"/>
        <v>14220</v>
      </c>
      <c r="Q41" s="227">
        <v>1954.2000000000189</v>
      </c>
      <c r="R41" s="225">
        <v>2823232.7400000272</v>
      </c>
      <c r="S41" s="180">
        <f t="shared" si="9"/>
        <v>16174.200000000019</v>
      </c>
      <c r="T41" s="181">
        <f t="shared" si="10"/>
        <v>19734930.689999998</v>
      </c>
      <c r="U41" s="180"/>
      <c r="V41" s="170">
        <f t="shared" si="11"/>
        <v>739.25477707006371</v>
      </c>
      <c r="W41" s="3">
        <v>135.25477707006368</v>
      </c>
      <c r="X41" s="3">
        <v>2431169.2928656889</v>
      </c>
      <c r="Y41" s="31">
        <v>604</v>
      </c>
      <c r="Z41" s="31">
        <v>2843216.7814178714</v>
      </c>
      <c r="AA41" s="31">
        <f t="shared" si="15"/>
        <v>5274386.0742835607</v>
      </c>
      <c r="AB41" s="116">
        <f t="shared" si="1"/>
        <v>406.46959710387034</v>
      </c>
      <c r="AC41" s="121">
        <v>0</v>
      </c>
      <c r="AD41" s="3">
        <v>0</v>
      </c>
      <c r="AE41" s="3">
        <v>150</v>
      </c>
      <c r="AF41" s="3">
        <v>12</v>
      </c>
      <c r="AG41" s="3">
        <f>+AE41+AF41</f>
        <v>162</v>
      </c>
      <c r="AH41" s="3">
        <v>2698000</v>
      </c>
      <c r="AI41" s="41">
        <f t="shared" si="3"/>
        <v>207.92087601118672</v>
      </c>
      <c r="AJ41" s="128">
        <v>556.12999999997555</v>
      </c>
      <c r="AK41" s="3">
        <v>6673559.9999997066</v>
      </c>
      <c r="AL41" s="37">
        <f t="shared" si="4"/>
        <v>514.29667950821135</v>
      </c>
      <c r="AM41" s="7"/>
    </row>
    <row r="42" spans="1:39" ht="16.5" thickBot="1" x14ac:dyDescent="0.3">
      <c r="A42" s="33"/>
      <c r="B42" s="111">
        <v>31</v>
      </c>
      <c r="C42" s="190">
        <v>38</v>
      </c>
      <c r="D42" s="191">
        <v>197</v>
      </c>
      <c r="E42" s="192">
        <v>11039.999999999964</v>
      </c>
      <c r="F42" s="93">
        <v>12006761.759999961</v>
      </c>
      <c r="G42" s="193">
        <v>2400.0000000000909</v>
      </c>
      <c r="H42" s="93">
        <v>3915248.4000001489</v>
      </c>
      <c r="I42" s="209">
        <f t="shared" si="5"/>
        <v>15922010.16000011</v>
      </c>
      <c r="J42" s="192">
        <v>1560.0000000000591</v>
      </c>
      <c r="K42" s="93">
        <v>1696607.6400000644</v>
      </c>
      <c r="L42" s="194">
        <v>500</v>
      </c>
      <c r="M42" s="195">
        <v>815676.75</v>
      </c>
      <c r="N42" s="207">
        <f t="shared" ref="N42" si="16">+K42+M42</f>
        <v>2512284.3900000644</v>
      </c>
      <c r="O42" s="208">
        <f t="shared" ref="O42" si="17">N42+I42</f>
        <v>18434294.550000176</v>
      </c>
      <c r="P42" s="212">
        <f t="shared" si="14"/>
        <v>15500.000000000113</v>
      </c>
      <c r="Q42" s="229">
        <v>2771.800000000012</v>
      </c>
      <c r="R42" s="226">
        <v>4004419.4600000177</v>
      </c>
      <c r="S42" s="180">
        <f>P42+Q42</f>
        <v>18271.800000000127</v>
      </c>
      <c r="T42" s="181">
        <f t="shared" si="10"/>
        <v>22438714.010000192</v>
      </c>
      <c r="U42" s="180"/>
      <c r="V42" s="201">
        <f t="shared" si="11"/>
        <v>783.25823475887171</v>
      </c>
      <c r="W42" s="93">
        <v>152.25823475887171</v>
      </c>
      <c r="X42" s="93">
        <v>2736802.0039688046</v>
      </c>
      <c r="Y42" s="196">
        <v>631</v>
      </c>
      <c r="Z42" s="196">
        <v>2970314.2203223123</v>
      </c>
      <c r="AA42" s="205">
        <f t="shared" ref="AA42" si="18">Z42+X42</f>
        <v>5707116.2242911169</v>
      </c>
      <c r="AB42" s="206">
        <f t="shared" ref="AB42" si="19">AA42/$AL$47</f>
        <v>439.81786688371591</v>
      </c>
      <c r="AC42" s="93"/>
      <c r="AD42" s="93"/>
      <c r="AE42" s="93">
        <v>150</v>
      </c>
      <c r="AF42" s="93">
        <v>12</v>
      </c>
      <c r="AG42" s="93">
        <f>+AE42+AF42</f>
        <v>162</v>
      </c>
      <c r="AH42" s="93">
        <v>2698000</v>
      </c>
      <c r="AI42" s="198">
        <f t="shared" si="3"/>
        <v>207.92087601118672</v>
      </c>
      <c r="AJ42" s="197">
        <v>352.60000000000582</v>
      </c>
      <c r="AK42" s="93">
        <v>4231200.0000000698</v>
      </c>
      <c r="AL42" s="198">
        <f t="shared" si="4"/>
        <v>326.07665329078867</v>
      </c>
      <c r="AM42" s="7"/>
    </row>
    <row r="43" spans="1:39" s="8" customFormat="1" ht="4.5" customHeight="1" x14ac:dyDescent="0.25">
      <c r="A43" s="15"/>
      <c r="B43" s="106"/>
      <c r="C43" s="107"/>
      <c r="D43" s="107"/>
      <c r="E43" s="105"/>
      <c r="F43" s="7"/>
      <c r="G43" s="15"/>
      <c r="H43" s="7"/>
      <c r="I43" s="15"/>
      <c r="J43" s="15"/>
      <c r="K43" s="15"/>
      <c r="L43" s="7"/>
      <c r="M43" s="60"/>
      <c r="N43" s="64"/>
      <c r="O43" s="15"/>
      <c r="P43" s="64"/>
      <c r="Q43" s="15"/>
      <c r="R43" s="84"/>
      <c r="S43" s="7"/>
      <c r="T43" s="15"/>
      <c r="U43" s="180">
        <f t="shared" ref="U43" si="20">T43*0.09</f>
        <v>0</v>
      </c>
      <c r="V43" s="117"/>
      <c r="W43" s="15"/>
      <c r="X43" s="15"/>
      <c r="Y43" s="15"/>
      <c r="Z43" s="15"/>
      <c r="AA43" s="15"/>
      <c r="AB43" s="32"/>
      <c r="AC43" s="15"/>
      <c r="AD43" s="7"/>
      <c r="AE43" s="15"/>
      <c r="AF43" s="15"/>
      <c r="AG43" s="15"/>
      <c r="AH43" s="15"/>
      <c r="AI43" s="15"/>
      <c r="AJ43" s="84"/>
      <c r="AK43" s="15"/>
      <c r="AL43" s="32"/>
      <c r="AM43" s="15"/>
    </row>
    <row r="44" spans="1:39" s="8" customFormat="1" ht="6" customHeight="1" x14ac:dyDescent="0.25">
      <c r="A44" s="15"/>
      <c r="B44" s="106"/>
      <c r="C44" s="107"/>
      <c r="D44" s="107"/>
      <c r="E44" s="105"/>
      <c r="F44" s="7"/>
      <c r="G44" s="15"/>
      <c r="H44" s="7"/>
      <c r="I44" s="15"/>
      <c r="J44" s="15"/>
      <c r="K44" s="15"/>
      <c r="L44" s="7"/>
      <c r="M44" s="60"/>
      <c r="N44" s="64"/>
      <c r="O44" s="15"/>
      <c r="P44" s="64"/>
      <c r="Q44" s="15"/>
      <c r="R44" s="84"/>
      <c r="S44" s="16"/>
      <c r="T44" s="16"/>
      <c r="U44" s="32"/>
      <c r="V44" s="117"/>
      <c r="W44" s="15"/>
      <c r="X44" s="15"/>
      <c r="Y44" s="15"/>
      <c r="Z44" s="15"/>
      <c r="AA44" s="15"/>
      <c r="AB44" s="118"/>
      <c r="AC44" s="15"/>
      <c r="AD44" s="7"/>
      <c r="AE44" s="15"/>
      <c r="AF44" s="15"/>
      <c r="AG44" s="15"/>
      <c r="AH44" s="7"/>
      <c r="AI44" s="15"/>
      <c r="AJ44" s="86"/>
      <c r="AK44" s="5"/>
      <c r="AL44" s="38"/>
      <c r="AM44" s="15"/>
    </row>
    <row r="45" spans="1:39" s="8" customFormat="1" ht="16.5" thickBot="1" x14ac:dyDescent="0.3">
      <c r="A45" s="15"/>
      <c r="B45" s="108"/>
      <c r="C45" s="109"/>
      <c r="D45" s="109"/>
      <c r="E45" s="110"/>
      <c r="F45" s="70"/>
      <c r="G45" s="69"/>
      <c r="H45" s="70"/>
      <c r="I45" s="69"/>
      <c r="J45" s="69"/>
      <c r="K45" s="69"/>
      <c r="L45" s="70"/>
      <c r="M45" s="71"/>
      <c r="N45" s="72"/>
      <c r="O45" s="69"/>
      <c r="P45" s="72"/>
      <c r="Q45" s="69"/>
      <c r="R45" s="85"/>
      <c r="S45" s="73"/>
      <c r="T45" s="69"/>
      <c r="U45" s="171"/>
      <c r="V45" s="119"/>
      <c r="W45" s="75"/>
      <c r="X45" s="69"/>
      <c r="Y45" s="69"/>
      <c r="Z45" s="69"/>
      <c r="AA45" s="69"/>
      <c r="AB45" s="74"/>
      <c r="AC45" s="76"/>
      <c r="AD45" s="70"/>
      <c r="AE45" s="76"/>
      <c r="AF45" s="76"/>
      <c r="AG45" s="76"/>
      <c r="AH45" s="70"/>
      <c r="AI45" s="69"/>
      <c r="AJ45" s="129"/>
      <c r="AK45" s="77"/>
      <c r="AL45" s="78"/>
      <c r="AM45" s="15"/>
    </row>
    <row r="46" spans="1:39" ht="17.25" thickTop="1" thickBot="1" x14ac:dyDescent="0.3">
      <c r="A46" s="24"/>
      <c r="B46" s="67"/>
      <c r="C46" s="68">
        <f t="shared" ref="C46:Q46" si="21">SUM(C12:C42)</f>
        <v>663</v>
      </c>
      <c r="D46" s="68">
        <f t="shared" si="21"/>
        <v>5495</v>
      </c>
      <c r="E46" s="68">
        <f t="shared" si="21"/>
        <v>357479.99999999924</v>
      </c>
      <c r="F46" s="68">
        <f t="shared" si="21"/>
        <v>388784166.11999917</v>
      </c>
      <c r="G46" s="68">
        <f t="shared" si="21"/>
        <v>74879.999999999942</v>
      </c>
      <c r="H46" s="68">
        <f t="shared" si="21"/>
        <v>122155750.08</v>
      </c>
      <c r="I46" s="68">
        <f t="shared" si="21"/>
        <v>510939916.19999915</v>
      </c>
      <c r="J46" s="68">
        <f t="shared" si="21"/>
        <v>50600.000000000036</v>
      </c>
      <c r="K46" s="68">
        <f t="shared" si="21"/>
        <v>55030991.400000051</v>
      </c>
      <c r="L46" s="68">
        <f t="shared" si="21"/>
        <v>14020.000000000011</v>
      </c>
      <c r="M46" s="68">
        <f t="shared" si="21"/>
        <v>22871576.070000019</v>
      </c>
      <c r="N46" s="68">
        <f t="shared" si="21"/>
        <v>77902567.470000073</v>
      </c>
      <c r="O46" s="68">
        <f t="shared" si="21"/>
        <v>588842483.66999912</v>
      </c>
      <c r="P46" s="80">
        <f t="shared" si="21"/>
        <v>496979.99999999936</v>
      </c>
      <c r="Q46" s="80">
        <f t="shared" si="21"/>
        <v>68505.400000000052</v>
      </c>
      <c r="R46" s="112">
        <f>+'Residence Electricity Dec 2021'!E29</f>
        <v>116531237</v>
      </c>
      <c r="S46" s="104">
        <f>Q46+P46</f>
        <v>565485.39999999944</v>
      </c>
      <c r="T46" s="80">
        <f t="shared" ref="T46" si="22">SUM(T12:T42)</f>
        <v>687812235.04999924</v>
      </c>
      <c r="U46" s="123">
        <f>T46/AL47</f>
        <v>53006.123959528581</v>
      </c>
      <c r="V46" s="161">
        <f>SUM(V12:V42)</f>
        <v>22707</v>
      </c>
      <c r="W46" s="50">
        <f>SUM(W12:W42)</f>
        <v>4247</v>
      </c>
      <c r="X46" s="50">
        <f t="shared" ref="X46" si="23">SUM(X12:X41)</f>
        <v>73601913.792013824</v>
      </c>
      <c r="Y46" s="50">
        <f>SUM(Y12:Y42)</f>
        <v>18460</v>
      </c>
      <c r="Z46" s="50">
        <f>SUM(Z12:Z42)</f>
        <v>86896989.710221693</v>
      </c>
      <c r="AA46" s="122">
        <f>SUM(AA12:AA42)</f>
        <v>163235705.50620434</v>
      </c>
      <c r="AB46" s="113">
        <f>AA46/$AL$47</f>
        <v>12579.729757284693</v>
      </c>
      <c r="AC46" s="42">
        <f>SUM(AC12:AC41)</f>
        <v>0</v>
      </c>
      <c r="AD46" s="124">
        <f>SUM(AD12:AD41)</f>
        <v>0</v>
      </c>
      <c r="AE46" s="42">
        <f>SUM(AE12:AE42)</f>
        <v>4000</v>
      </c>
      <c r="AF46" s="42">
        <f>SUM(AF12:AF42)</f>
        <v>312</v>
      </c>
      <c r="AG46" s="183">
        <f>SUM(AG12:AG42)</f>
        <v>4312</v>
      </c>
      <c r="AH46" s="132">
        <f>SUM(AH12:AH42)</f>
        <v>70572000</v>
      </c>
      <c r="AI46" s="133">
        <f>AH46/$AL$47</f>
        <v>5438.6182586588102</v>
      </c>
      <c r="AJ46" s="182">
        <f>SUM(AJ12:AJ42)</f>
        <v>10845.779999999999</v>
      </c>
      <c r="AK46" s="130">
        <f>SUM(AK12:AK42)</f>
        <v>130149359.99999999</v>
      </c>
      <c r="AL46" s="131">
        <f>AK46/AL47</f>
        <v>10029.93659877513</v>
      </c>
      <c r="AM46" s="24"/>
    </row>
    <row r="47" spans="1:39" s="1" customFormat="1" x14ac:dyDescent="0.25">
      <c r="A47" s="24"/>
      <c r="B47" s="24"/>
      <c r="C47" s="5"/>
      <c r="D47" s="11"/>
      <c r="E47" s="5"/>
      <c r="F47" s="5"/>
      <c r="G47" s="11"/>
      <c r="H47" s="5"/>
      <c r="I47" s="9"/>
      <c r="J47" s="9"/>
      <c r="K47" s="9"/>
      <c r="L47" s="17"/>
      <c r="M47" s="61"/>
      <c r="N47" s="65"/>
      <c r="O47" s="10"/>
      <c r="P47" s="65"/>
      <c r="Q47" s="10"/>
      <c r="R47" s="103"/>
      <c r="S47" s="14"/>
      <c r="T47" s="79" t="s">
        <v>29</v>
      </c>
      <c r="U47" s="137">
        <f>U46/S46</f>
        <v>9.3735618920539124E-2</v>
      </c>
      <c r="V47" s="172" t="s">
        <v>52</v>
      </c>
      <c r="W47" s="11"/>
      <c r="X47" s="11"/>
      <c r="Y47" s="125"/>
      <c r="Z47" s="11"/>
      <c r="AA47" s="11"/>
      <c r="AB47" s="11"/>
      <c r="AC47" s="16"/>
      <c r="AD47" s="7"/>
      <c r="AE47" s="16"/>
      <c r="AF47" s="16"/>
      <c r="AG47" s="7"/>
      <c r="AH47" s="186"/>
      <c r="AI47" s="11"/>
      <c r="AJ47" s="86"/>
      <c r="AK47" s="11" t="s">
        <v>54</v>
      </c>
      <c r="AL47" s="134">
        <v>12976.09</v>
      </c>
      <c r="AM47" s="24"/>
    </row>
    <row r="48" spans="1:39" s="1" customFormat="1" x14ac:dyDescent="0.25">
      <c r="A48" s="24"/>
      <c r="B48" s="24"/>
      <c r="C48" s="5"/>
      <c r="D48" s="11"/>
      <c r="E48" s="5"/>
      <c r="F48" s="5"/>
      <c r="G48" s="11"/>
      <c r="H48" s="5"/>
      <c r="I48" s="9"/>
      <c r="J48" s="9"/>
      <c r="K48" s="9"/>
      <c r="L48" s="17"/>
      <c r="M48" s="61"/>
      <c r="N48" s="65"/>
      <c r="O48" s="10"/>
      <c r="P48" s="65"/>
      <c r="Q48" s="10"/>
      <c r="R48" s="103"/>
      <c r="S48" s="230"/>
      <c r="T48" s="187"/>
      <c r="U48" s="137"/>
      <c r="V48" s="172"/>
      <c r="W48" s="185"/>
      <c r="X48" s="185"/>
      <c r="Y48" s="125"/>
      <c r="Z48" s="185"/>
      <c r="AA48" s="11"/>
      <c r="AB48" s="11"/>
      <c r="AC48" s="16"/>
      <c r="AD48" s="7"/>
      <c r="AE48" s="16"/>
      <c r="AF48" s="16"/>
      <c r="AG48" s="7"/>
      <c r="AH48" s="186"/>
      <c r="AI48" s="11"/>
      <c r="AJ48" s="86"/>
      <c r="AK48" s="11"/>
      <c r="AL48" s="134"/>
      <c r="AM48" s="24"/>
    </row>
    <row r="49" spans="1:39" s="1" customFormat="1" x14ac:dyDescent="0.25">
      <c r="A49" s="24"/>
      <c r="B49" s="24"/>
      <c r="C49" s="5"/>
      <c r="D49" s="11"/>
      <c r="E49" s="5"/>
      <c r="F49" s="5"/>
      <c r="G49" s="11"/>
      <c r="H49" s="5"/>
      <c r="I49" s="9"/>
      <c r="J49" s="9"/>
      <c r="K49" s="9"/>
      <c r="L49" s="17"/>
      <c r="M49" s="61"/>
      <c r="N49" s="65"/>
      <c r="O49" s="10"/>
      <c r="P49" s="65"/>
      <c r="Q49" s="10"/>
      <c r="R49" s="103"/>
      <c r="S49" s="14"/>
      <c r="T49" s="79"/>
      <c r="U49" s="137"/>
      <c r="V49" s="172"/>
      <c r="W49" s="11"/>
      <c r="X49" s="11"/>
      <c r="Y49" s="125"/>
      <c r="Z49" s="185"/>
      <c r="AA49" s="11"/>
      <c r="AB49" s="11"/>
      <c r="AC49" s="16"/>
      <c r="AD49" s="7"/>
      <c r="AE49" s="16"/>
      <c r="AF49" s="16"/>
      <c r="AG49" s="200"/>
      <c r="AH49" s="186"/>
      <c r="AI49" s="11"/>
      <c r="AJ49" s="86"/>
      <c r="AK49" s="11"/>
      <c r="AL49" s="134"/>
      <c r="AM49" s="24"/>
    </row>
    <row r="50" spans="1:39" s="175" customFormat="1" x14ac:dyDescent="0.25">
      <c r="A50" s="173"/>
      <c r="B50" s="173"/>
      <c r="C50" s="174"/>
      <c r="E50" s="174"/>
      <c r="F50" s="174"/>
      <c r="H50" s="174"/>
      <c r="L50" s="174"/>
      <c r="M50" s="176"/>
      <c r="N50" s="177"/>
      <c r="P50" s="177"/>
      <c r="R50" s="178"/>
      <c r="T50" s="184"/>
      <c r="Y50" s="199"/>
      <c r="AD50" s="174"/>
      <c r="AG50" s="184"/>
      <c r="AH50" s="174"/>
      <c r="AJ50" s="178"/>
      <c r="AL50" s="179"/>
      <c r="AM50" s="173"/>
    </row>
    <row r="51" spans="1:39" s="175" customFormat="1" x14ac:dyDescent="0.25">
      <c r="A51" s="173"/>
      <c r="B51" s="173"/>
      <c r="C51" s="174"/>
      <c r="E51" s="174"/>
      <c r="F51" s="174"/>
      <c r="H51" s="174"/>
      <c r="L51" s="174"/>
      <c r="M51" s="176"/>
      <c r="N51" s="177"/>
      <c r="P51" s="177"/>
      <c r="R51" s="178"/>
      <c r="S51" s="184"/>
      <c r="T51" s="184"/>
      <c r="AD51" s="174"/>
      <c r="AH51" s="174"/>
      <c r="AJ51" s="178"/>
      <c r="AL51" s="179"/>
      <c r="AM51" s="173"/>
    </row>
    <row r="52" spans="1:39" s="175" customFormat="1" x14ac:dyDescent="0.25">
      <c r="A52" s="173"/>
      <c r="B52" s="173"/>
      <c r="C52" s="174"/>
      <c r="E52" s="174"/>
      <c r="F52" s="174"/>
      <c r="H52" s="174"/>
      <c r="L52" s="174"/>
      <c r="M52" s="176"/>
      <c r="N52" s="177"/>
      <c r="P52" s="177"/>
      <c r="R52" s="178"/>
      <c r="X52" s="184"/>
      <c r="AD52" s="174"/>
      <c r="AH52" s="174"/>
      <c r="AJ52" s="178"/>
      <c r="AL52" s="179"/>
      <c r="AM52" s="173"/>
    </row>
    <row r="53" spans="1:39" s="175" customFormat="1" x14ac:dyDescent="0.25">
      <c r="A53" s="173"/>
      <c r="B53" s="173"/>
      <c r="C53" s="174"/>
      <c r="E53" s="174"/>
      <c r="F53" s="174"/>
      <c r="H53" s="174"/>
      <c r="L53" s="174"/>
      <c r="M53" s="176"/>
      <c r="N53" s="177"/>
      <c r="P53" s="177"/>
      <c r="R53" s="178"/>
      <c r="S53" s="184"/>
      <c r="AD53" s="174"/>
      <c r="AH53" s="174"/>
      <c r="AJ53" s="178"/>
      <c r="AL53" s="179"/>
      <c r="AM53" s="173"/>
    </row>
    <row r="54" spans="1:39" s="175" customFormat="1" x14ac:dyDescent="0.25">
      <c r="A54" s="173"/>
      <c r="B54" s="173"/>
      <c r="C54" s="174"/>
      <c r="E54" s="174"/>
      <c r="F54" s="174"/>
      <c r="H54" s="174"/>
      <c r="L54" s="174"/>
      <c r="M54" s="176"/>
      <c r="N54" s="177"/>
      <c r="P54" s="177"/>
      <c r="R54" s="178"/>
      <c r="T54" s="184"/>
      <c r="AD54" s="174"/>
      <c r="AH54" s="174"/>
      <c r="AJ54" s="178"/>
      <c r="AL54" s="179"/>
      <c r="AM54" s="173"/>
    </row>
    <row r="55" spans="1:39" s="175" customFormat="1" x14ac:dyDescent="0.25">
      <c r="A55" s="173"/>
      <c r="B55" s="173"/>
      <c r="C55" s="174"/>
      <c r="E55" s="174"/>
      <c r="F55" s="174"/>
      <c r="H55" s="174"/>
      <c r="L55" s="174"/>
      <c r="M55" s="176"/>
      <c r="N55" s="177"/>
      <c r="P55" s="177"/>
      <c r="R55" s="178"/>
      <c r="AD55" s="174"/>
      <c r="AH55" s="174"/>
      <c r="AJ55" s="178"/>
      <c r="AL55" s="179"/>
      <c r="AM55" s="173"/>
    </row>
    <row r="56" spans="1:39" s="175" customFormat="1" x14ac:dyDescent="0.25">
      <c r="A56" s="173"/>
      <c r="B56" s="173"/>
      <c r="C56" s="174"/>
      <c r="E56" s="174"/>
      <c r="F56" s="174"/>
      <c r="H56" s="174"/>
      <c r="L56" s="174"/>
      <c r="M56" s="176"/>
      <c r="N56" s="177"/>
      <c r="P56" s="177"/>
      <c r="R56" s="178"/>
      <c r="AD56" s="174"/>
      <c r="AH56" s="174"/>
      <c r="AJ56" s="178"/>
      <c r="AL56" s="179"/>
      <c r="AM56" s="173"/>
    </row>
    <row r="57" spans="1:39" s="175" customFormat="1" x14ac:dyDescent="0.25">
      <c r="A57" s="173"/>
      <c r="B57" s="173"/>
      <c r="C57" s="174"/>
      <c r="E57" s="174"/>
      <c r="F57" s="174"/>
      <c r="H57" s="174"/>
      <c r="L57" s="174"/>
      <c r="M57" s="176"/>
      <c r="N57" s="177"/>
      <c r="P57" s="177"/>
      <c r="R57" s="178"/>
      <c r="AD57" s="174"/>
      <c r="AH57" s="174"/>
      <c r="AJ57" s="178"/>
      <c r="AL57" s="179"/>
      <c r="AM57" s="173"/>
    </row>
    <row r="58" spans="1:39" s="175" customFormat="1" x14ac:dyDescent="0.25">
      <c r="A58" s="173"/>
      <c r="B58" s="173"/>
      <c r="C58" s="174"/>
      <c r="E58" s="174"/>
      <c r="F58" s="174"/>
      <c r="H58" s="174"/>
      <c r="L58" s="174"/>
      <c r="M58" s="176"/>
      <c r="N58" s="177"/>
      <c r="P58" s="177"/>
      <c r="R58" s="178"/>
      <c r="AD58" s="174"/>
      <c r="AH58" s="174"/>
      <c r="AJ58" s="178"/>
      <c r="AL58" s="179"/>
      <c r="AM58" s="173"/>
    </row>
    <row r="59" spans="1:39" s="175" customFormat="1" x14ac:dyDescent="0.25">
      <c r="A59" s="173"/>
      <c r="B59" s="173"/>
      <c r="C59" s="174"/>
      <c r="E59" s="174"/>
      <c r="F59" s="174"/>
      <c r="H59" s="174"/>
      <c r="L59" s="174"/>
      <c r="M59" s="176"/>
      <c r="N59" s="177"/>
      <c r="P59" s="177"/>
      <c r="R59" s="178"/>
      <c r="AD59" s="174"/>
      <c r="AH59" s="174"/>
      <c r="AJ59" s="178"/>
      <c r="AL59" s="179"/>
      <c r="AM59" s="173"/>
    </row>
    <row r="60" spans="1:39" s="175" customFormat="1" x14ac:dyDescent="0.25">
      <c r="A60" s="173"/>
      <c r="B60" s="173"/>
      <c r="C60" s="174"/>
      <c r="E60" s="174"/>
      <c r="F60" s="174"/>
      <c r="H60" s="174"/>
      <c r="L60" s="174"/>
      <c r="M60" s="176"/>
      <c r="N60" s="177"/>
      <c r="P60" s="177"/>
      <c r="R60" s="178"/>
      <c r="AD60" s="174"/>
      <c r="AH60" s="174"/>
      <c r="AJ60" s="178"/>
      <c r="AL60" s="179"/>
      <c r="AM60" s="173"/>
    </row>
    <row r="61" spans="1:39" s="175" customFormat="1" x14ac:dyDescent="0.25">
      <c r="A61" s="173"/>
      <c r="B61" s="173"/>
      <c r="C61" s="174"/>
      <c r="E61" s="174"/>
      <c r="F61" s="174"/>
      <c r="H61" s="174"/>
      <c r="L61" s="174"/>
      <c r="M61" s="176"/>
      <c r="N61" s="177"/>
      <c r="P61" s="177"/>
      <c r="R61" s="178"/>
      <c r="AD61" s="174"/>
      <c r="AH61" s="174"/>
      <c r="AJ61" s="178"/>
      <c r="AL61" s="179"/>
      <c r="AM61" s="173"/>
    </row>
    <row r="62" spans="1:39" s="175" customFormat="1" x14ac:dyDescent="0.25">
      <c r="A62" s="173"/>
      <c r="B62" s="173"/>
      <c r="C62" s="174"/>
      <c r="E62" s="174"/>
      <c r="F62" s="174"/>
      <c r="H62" s="174"/>
      <c r="I62" s="174"/>
      <c r="J62" s="174"/>
      <c r="L62" s="174"/>
      <c r="M62" s="176"/>
      <c r="N62" s="177"/>
      <c r="P62" s="177"/>
      <c r="R62" s="178"/>
      <c r="AD62" s="174"/>
      <c r="AH62" s="174"/>
      <c r="AJ62" s="178"/>
      <c r="AL62" s="179"/>
      <c r="AM62" s="173"/>
    </row>
    <row r="63" spans="1:39" s="175" customFormat="1" x14ac:dyDescent="0.25">
      <c r="A63" s="173"/>
      <c r="B63" s="173"/>
      <c r="C63" s="174"/>
      <c r="E63" s="174"/>
      <c r="F63" s="174"/>
      <c r="H63" s="174"/>
      <c r="L63" s="174"/>
      <c r="M63" s="176"/>
      <c r="N63" s="177"/>
      <c r="P63" s="177"/>
      <c r="R63" s="178"/>
      <c r="AD63" s="174"/>
      <c r="AH63" s="174"/>
      <c r="AJ63" s="178"/>
      <c r="AL63" s="179"/>
      <c r="AM63" s="173"/>
    </row>
    <row r="64" spans="1:39" s="175" customFormat="1" x14ac:dyDescent="0.25">
      <c r="A64" s="173"/>
      <c r="B64" s="173"/>
      <c r="C64" s="174"/>
      <c r="E64" s="174"/>
      <c r="F64" s="174"/>
      <c r="H64" s="174"/>
      <c r="L64" s="174"/>
      <c r="M64" s="176"/>
      <c r="N64" s="177"/>
      <c r="P64" s="177"/>
      <c r="R64" s="178"/>
      <c r="AD64" s="174"/>
      <c r="AH64" s="174"/>
      <c r="AJ64" s="178"/>
      <c r="AL64" s="179"/>
      <c r="AM64" s="173"/>
    </row>
    <row r="65" spans="1:39" s="175" customFormat="1" x14ac:dyDescent="0.25">
      <c r="A65" s="173"/>
      <c r="B65" s="173"/>
      <c r="C65" s="174"/>
      <c r="E65" s="174"/>
      <c r="F65" s="174"/>
      <c r="H65" s="174"/>
      <c r="L65" s="174"/>
      <c r="M65" s="176"/>
      <c r="N65" s="177"/>
      <c r="P65" s="177"/>
      <c r="R65" s="178"/>
      <c r="AD65" s="174"/>
      <c r="AH65" s="174"/>
      <c r="AJ65" s="178"/>
      <c r="AL65" s="179"/>
      <c r="AM65" s="173"/>
    </row>
    <row r="66" spans="1:39" s="175" customFormat="1" x14ac:dyDescent="0.25">
      <c r="A66" s="173"/>
      <c r="B66" s="173"/>
      <c r="C66" s="174"/>
      <c r="E66" s="174"/>
      <c r="F66" s="174"/>
      <c r="H66" s="174"/>
      <c r="L66" s="174"/>
      <c r="M66" s="176"/>
      <c r="N66" s="177"/>
      <c r="P66" s="177"/>
      <c r="R66" s="178"/>
      <c r="AD66" s="174"/>
      <c r="AH66" s="174"/>
      <c r="AJ66" s="178"/>
      <c r="AL66" s="179"/>
      <c r="AM66" s="173"/>
    </row>
    <row r="67" spans="1:39" s="175" customFormat="1" x14ac:dyDescent="0.25">
      <c r="A67" s="173"/>
      <c r="B67" s="173"/>
      <c r="C67" s="174"/>
      <c r="E67" s="174"/>
      <c r="F67" s="174"/>
      <c r="H67" s="174"/>
      <c r="L67" s="174"/>
      <c r="M67" s="176"/>
      <c r="N67" s="177"/>
      <c r="P67" s="177"/>
      <c r="R67" s="178"/>
      <c r="AD67" s="174"/>
      <c r="AH67" s="174"/>
      <c r="AJ67" s="178"/>
      <c r="AL67" s="179"/>
      <c r="AM67" s="173"/>
    </row>
    <row r="68" spans="1:39" s="175" customFormat="1" x14ac:dyDescent="0.25">
      <c r="A68" s="173"/>
      <c r="B68" s="173"/>
      <c r="C68" s="174"/>
      <c r="E68" s="174"/>
      <c r="F68" s="174"/>
      <c r="H68" s="174"/>
      <c r="L68" s="174"/>
      <c r="M68" s="176"/>
      <c r="N68" s="177"/>
      <c r="P68" s="177"/>
      <c r="R68" s="178"/>
      <c r="AD68" s="174"/>
      <c r="AH68" s="174"/>
      <c r="AJ68" s="178"/>
      <c r="AL68" s="179"/>
      <c r="AM68" s="173"/>
    </row>
    <row r="69" spans="1:39" s="175" customFormat="1" x14ac:dyDescent="0.25">
      <c r="A69" s="173"/>
      <c r="B69" s="173"/>
      <c r="C69" s="174"/>
      <c r="E69" s="174"/>
      <c r="F69" s="174"/>
      <c r="H69" s="174"/>
      <c r="L69" s="174"/>
      <c r="M69" s="176"/>
      <c r="N69" s="177"/>
      <c r="P69" s="177"/>
      <c r="R69" s="178"/>
      <c r="AD69" s="174"/>
      <c r="AH69" s="174"/>
      <c r="AJ69" s="178"/>
      <c r="AL69" s="179"/>
      <c r="AM69" s="173"/>
    </row>
  </sheetData>
  <mergeCells count="18">
    <mergeCell ref="Q9:Q10"/>
    <mergeCell ref="AJ9:AL9"/>
    <mergeCell ref="R9:R10"/>
    <mergeCell ref="S9:S10"/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W37"/>
  <sheetViews>
    <sheetView workbookViewId="0">
      <selection activeCell="W5" sqref="W5:W35"/>
    </sheetView>
  </sheetViews>
  <sheetFormatPr defaultRowHeight="15" x14ac:dyDescent="0.25"/>
  <cols>
    <col min="1" max="1" width="5.5703125" style="213" customWidth="1"/>
    <col min="2" max="2" width="10" customWidth="1"/>
    <col min="3" max="3" width="6.42578125" customWidth="1"/>
    <col min="4" max="4" width="10.140625" customWidth="1"/>
    <col min="5" max="5" width="6.5703125" customWidth="1"/>
    <col min="6" max="6" width="10.7109375" customWidth="1"/>
    <col min="7" max="7" width="6.85546875" customWidth="1"/>
    <col min="8" max="8" width="11.140625" customWidth="1"/>
    <col min="9" max="9" width="6.85546875" customWidth="1"/>
    <col min="10" max="10" width="11.7109375" customWidth="1"/>
    <col min="11" max="11" width="7" customWidth="1"/>
    <col min="12" max="12" width="11" customWidth="1"/>
    <col min="13" max="13" width="7.28515625" customWidth="1"/>
    <col min="14" max="14" width="11.7109375" customWidth="1"/>
    <col min="15" max="15" width="6.42578125" customWidth="1"/>
    <col min="16" max="16" width="10.85546875" customWidth="1"/>
    <col min="17" max="17" width="7.42578125" customWidth="1"/>
    <col min="18" max="18" width="11.5703125" customWidth="1"/>
    <col min="19" max="19" width="7.140625" customWidth="1"/>
    <col min="20" max="20" width="11.140625" customWidth="1"/>
    <col min="21" max="21" width="7" customWidth="1"/>
    <col min="22" max="22" width="17.5703125" customWidth="1"/>
    <col min="23" max="23" width="11.28515625" customWidth="1"/>
  </cols>
  <sheetData>
    <row r="2" spans="1:23" x14ac:dyDescent="0.25">
      <c r="A2" s="273" t="s">
        <v>1</v>
      </c>
      <c r="B2" s="270" t="s">
        <v>79</v>
      </c>
      <c r="C2" s="270"/>
      <c r="D2" s="270" t="s">
        <v>80</v>
      </c>
      <c r="E2" s="270"/>
      <c r="F2" s="270" t="s">
        <v>81</v>
      </c>
      <c r="G2" s="270"/>
      <c r="H2" s="270" t="s">
        <v>82</v>
      </c>
      <c r="I2" s="270"/>
      <c r="J2" s="270" t="s">
        <v>83</v>
      </c>
      <c r="K2" s="270"/>
      <c r="L2" s="270" t="s">
        <v>84</v>
      </c>
      <c r="M2" s="270"/>
      <c r="N2" s="270" t="s">
        <v>85</v>
      </c>
      <c r="O2" s="270"/>
      <c r="P2" s="270" t="s">
        <v>86</v>
      </c>
      <c r="Q2" s="270"/>
      <c r="R2" s="270" t="s">
        <v>87</v>
      </c>
      <c r="S2" s="270"/>
      <c r="T2" s="271" t="s">
        <v>88</v>
      </c>
      <c r="U2" s="272"/>
    </row>
    <row r="3" spans="1:23" x14ac:dyDescent="0.25">
      <c r="A3" s="273"/>
      <c r="B3" s="214" t="s">
        <v>89</v>
      </c>
      <c r="C3" s="214" t="s">
        <v>90</v>
      </c>
      <c r="D3" s="214" t="s">
        <v>89</v>
      </c>
      <c r="E3" s="214" t="s">
        <v>90</v>
      </c>
      <c r="F3" s="214" t="s">
        <v>89</v>
      </c>
      <c r="G3" s="214" t="s">
        <v>90</v>
      </c>
      <c r="H3" s="214" t="s">
        <v>89</v>
      </c>
      <c r="I3" s="214" t="s">
        <v>90</v>
      </c>
      <c r="J3" s="214" t="s">
        <v>89</v>
      </c>
      <c r="K3" s="214" t="s">
        <v>90</v>
      </c>
      <c r="L3" s="214" t="s">
        <v>89</v>
      </c>
      <c r="M3" s="214" t="s">
        <v>90</v>
      </c>
      <c r="N3" s="214" t="s">
        <v>89</v>
      </c>
      <c r="O3" s="214" t="s">
        <v>90</v>
      </c>
      <c r="P3" s="214" t="s">
        <v>89</v>
      </c>
      <c r="Q3" s="214" t="s">
        <v>90</v>
      </c>
      <c r="R3" s="214" t="s">
        <v>89</v>
      </c>
      <c r="S3" s="214" t="s">
        <v>90</v>
      </c>
      <c r="T3" s="214" t="s">
        <v>89</v>
      </c>
      <c r="U3" s="214" t="s">
        <v>90</v>
      </c>
    </row>
    <row r="4" spans="1:23" x14ac:dyDescent="0.25">
      <c r="A4" s="214"/>
      <c r="B4" s="215">
        <v>2455.9699999999998</v>
      </c>
      <c r="C4" s="215"/>
      <c r="D4" s="215">
        <v>7684.32</v>
      </c>
      <c r="E4" s="215"/>
      <c r="F4" s="215">
        <v>4600.6000000000004</v>
      </c>
      <c r="G4" s="215"/>
      <c r="H4" s="215">
        <v>8647.25</v>
      </c>
      <c r="I4" s="215"/>
      <c r="J4" s="215">
        <v>7519.58</v>
      </c>
      <c r="K4" s="215"/>
      <c r="L4" s="215">
        <v>5926.73</v>
      </c>
      <c r="M4" s="215"/>
      <c r="N4" s="215">
        <v>4822.66</v>
      </c>
      <c r="O4" s="215"/>
      <c r="P4" s="216">
        <v>4524.6000000000004</v>
      </c>
      <c r="Q4" s="215"/>
      <c r="R4" s="216">
        <v>5984.78</v>
      </c>
      <c r="S4" s="215"/>
      <c r="T4" s="215">
        <v>3524.19</v>
      </c>
      <c r="U4" s="215"/>
    </row>
    <row r="5" spans="1:23" x14ac:dyDescent="0.25">
      <c r="A5" s="214">
        <v>1</v>
      </c>
      <c r="B5" s="215">
        <v>2461.63</v>
      </c>
      <c r="C5" s="217">
        <f>(B5-B4)*20</f>
        <v>113.20000000000618</v>
      </c>
      <c r="D5" s="215">
        <v>7688.94</v>
      </c>
      <c r="E5" s="217">
        <f>(D5-D4)*20</f>
        <v>92.399999999997817</v>
      </c>
      <c r="F5" s="215">
        <v>4602.43</v>
      </c>
      <c r="G5" s="217">
        <f>(F5-F4)*20</f>
        <v>36.599999999998545</v>
      </c>
      <c r="H5" s="215">
        <v>8653.15</v>
      </c>
      <c r="I5" s="217">
        <f>(H5-H4)*20</f>
        <v>117.99999999999272</v>
      </c>
      <c r="J5" s="215">
        <v>7524.79</v>
      </c>
      <c r="K5" s="217">
        <f>(J5-J4)*20</f>
        <v>104.20000000000073</v>
      </c>
      <c r="L5" s="215">
        <v>5932.19</v>
      </c>
      <c r="M5" s="217">
        <f>(L5-L4)*20</f>
        <v>109.20000000000073</v>
      </c>
      <c r="N5" s="215">
        <v>4828.8599999999997</v>
      </c>
      <c r="O5" s="217">
        <f>(N5-N4)*20</f>
        <v>123.99999999999636</v>
      </c>
      <c r="P5" s="216">
        <v>4538.59</v>
      </c>
      <c r="Q5" s="217">
        <f>(P5-P4)*20</f>
        <v>279.79999999999563</v>
      </c>
      <c r="R5" s="216">
        <v>5992.87</v>
      </c>
      <c r="S5" s="217">
        <f>(R5-R4)*20</f>
        <v>161.80000000000291</v>
      </c>
      <c r="T5" s="215">
        <v>3527.68</v>
      </c>
      <c r="U5" s="217">
        <f>(T5-T4)*20</f>
        <v>69.799999999995634</v>
      </c>
      <c r="V5" s="218">
        <f>C5+E5+G5+I5+K5+M5+O5+Q5+S5+U5</f>
        <v>1208.9999999999873</v>
      </c>
      <c r="W5" s="4">
        <f>V5*1444.7</f>
        <v>1746642.2999999817</v>
      </c>
    </row>
    <row r="6" spans="1:23" x14ac:dyDescent="0.25">
      <c r="A6" s="214">
        <v>2</v>
      </c>
      <c r="B6" s="215">
        <v>2466.66</v>
      </c>
      <c r="C6" s="217">
        <f t="shared" ref="C6:E35" si="0">(B6-B5)*20</f>
        <v>100.59999999999491</v>
      </c>
      <c r="D6" s="215">
        <v>7692.51</v>
      </c>
      <c r="E6" s="217">
        <f t="shared" si="0"/>
        <v>71.400000000012369</v>
      </c>
      <c r="F6" s="215">
        <v>4603.4799999999996</v>
      </c>
      <c r="G6" s="217">
        <f t="shared" ref="G6" si="1">(F6-F5)*20</f>
        <v>20.999999999985448</v>
      </c>
      <c r="H6" s="215">
        <v>8656.77</v>
      </c>
      <c r="I6" s="217">
        <f t="shared" ref="I6" si="2">(H6-H5)*20</f>
        <v>72.400000000016007</v>
      </c>
      <c r="J6" s="215">
        <v>7530.84</v>
      </c>
      <c r="K6" s="217">
        <f t="shared" ref="K6" si="3">(J6-J5)*20</f>
        <v>121.00000000000364</v>
      </c>
      <c r="L6" s="215">
        <v>5938.34</v>
      </c>
      <c r="M6" s="217">
        <f t="shared" ref="M6" si="4">(L6-L5)*20</f>
        <v>123.00000000001091</v>
      </c>
      <c r="N6" s="215">
        <v>4850.41</v>
      </c>
      <c r="O6" s="217">
        <f t="shared" ref="O6" si="5">(N6-N5)*20</f>
        <v>431.00000000000364</v>
      </c>
      <c r="P6" s="216">
        <v>4553.99</v>
      </c>
      <c r="Q6" s="217">
        <f t="shared" ref="Q6" si="6">(P6-P5)*20</f>
        <v>307.99999999999272</v>
      </c>
      <c r="R6" s="216">
        <v>6002.91</v>
      </c>
      <c r="S6" s="217">
        <f t="shared" ref="S6" si="7">(R6-R5)*20</f>
        <v>200.79999999999927</v>
      </c>
      <c r="T6" s="215">
        <v>3532.27</v>
      </c>
      <c r="U6" s="217">
        <f t="shared" ref="U6" si="8">(T6-T5)*20</f>
        <v>91.80000000000291</v>
      </c>
      <c r="V6" s="218">
        <f t="shared" ref="V6:V35" si="9">C6+E6+G6+I6+K6+M6+O6+Q6+S6+U6</f>
        <v>1541.0000000000218</v>
      </c>
      <c r="W6" s="4">
        <f t="shared" ref="W6:W35" si="10">V6*1444.7</f>
        <v>2226282.7000000314</v>
      </c>
    </row>
    <row r="7" spans="1:23" x14ac:dyDescent="0.25">
      <c r="A7" s="214">
        <v>3</v>
      </c>
      <c r="B7" s="215">
        <v>2471.77</v>
      </c>
      <c r="C7" s="217">
        <f t="shared" si="0"/>
        <v>102.20000000000255</v>
      </c>
      <c r="D7" s="215">
        <v>7698.04</v>
      </c>
      <c r="E7" s="217">
        <f t="shared" si="0"/>
        <v>110.59999999999491</v>
      </c>
      <c r="F7" s="215">
        <v>4604.3</v>
      </c>
      <c r="G7" s="217">
        <f t="shared" ref="G7" si="11">(F7-F6)*20</f>
        <v>16.400000000012369</v>
      </c>
      <c r="H7" s="215">
        <v>8659.85</v>
      </c>
      <c r="I7" s="217">
        <f t="shared" ref="I7" si="12">(H7-H6)*20</f>
        <v>61.599999999998545</v>
      </c>
      <c r="J7" s="215">
        <v>7554.37</v>
      </c>
      <c r="K7" s="217">
        <f t="shared" ref="K7" si="13">(J7-J6)*20</f>
        <v>470.59999999999491</v>
      </c>
      <c r="L7" s="215">
        <v>5944.17</v>
      </c>
      <c r="M7" s="217">
        <f t="shared" ref="M7" si="14">(L7-L6)*20</f>
        <v>116.59999999999854</v>
      </c>
      <c r="N7" s="215">
        <v>4869.96</v>
      </c>
      <c r="O7" s="217">
        <f t="shared" ref="O7" si="15">(N7-N6)*20</f>
        <v>391.00000000000364</v>
      </c>
      <c r="P7" s="216">
        <v>4568.8</v>
      </c>
      <c r="Q7" s="217">
        <f t="shared" ref="Q7" si="16">(P7-P6)*20</f>
        <v>296.200000000008</v>
      </c>
      <c r="R7" s="216">
        <v>6013.4</v>
      </c>
      <c r="S7" s="217">
        <f t="shared" ref="S7" si="17">(R7-R6)*20</f>
        <v>209.79999999999563</v>
      </c>
      <c r="T7" s="215">
        <v>3535.21</v>
      </c>
      <c r="U7" s="217">
        <f t="shared" ref="U7" si="18">(T7-T6)*20</f>
        <v>58.800000000001091</v>
      </c>
      <c r="V7" s="218">
        <f t="shared" si="9"/>
        <v>1833.8000000000102</v>
      </c>
      <c r="W7" s="4">
        <f t="shared" si="10"/>
        <v>2649290.8600000148</v>
      </c>
    </row>
    <row r="8" spans="1:23" x14ac:dyDescent="0.25">
      <c r="A8" s="214">
        <v>4</v>
      </c>
      <c r="B8" s="215">
        <v>2477.6799999999998</v>
      </c>
      <c r="C8" s="217">
        <f t="shared" si="0"/>
        <v>118.19999999999709</v>
      </c>
      <c r="D8" s="215">
        <v>7701.52</v>
      </c>
      <c r="E8" s="217">
        <f t="shared" si="0"/>
        <v>69.600000000009459</v>
      </c>
      <c r="F8" s="215">
        <v>4605.13</v>
      </c>
      <c r="G8" s="217">
        <f t="shared" ref="G8" si="19">(F8-F7)*20</f>
        <v>16.599999999998545</v>
      </c>
      <c r="H8" s="215">
        <v>8667.19</v>
      </c>
      <c r="I8" s="217">
        <f t="shared" ref="I8" si="20">(H8-H7)*20</f>
        <v>146.80000000000291</v>
      </c>
      <c r="J8" s="215">
        <v>7574.76</v>
      </c>
      <c r="K8" s="217">
        <f t="shared" ref="K8" si="21">(J8-J7)*20</f>
        <v>407.80000000000655</v>
      </c>
      <c r="L8" s="215">
        <v>5951.73</v>
      </c>
      <c r="M8" s="217">
        <f t="shared" ref="M8" si="22">(L8-L7)*20</f>
        <v>151.19999999998981</v>
      </c>
      <c r="N8" s="215">
        <v>4890.43</v>
      </c>
      <c r="O8" s="217">
        <f t="shared" ref="O8" si="23">(N8-N7)*20</f>
        <v>409.40000000000509</v>
      </c>
      <c r="P8" s="216">
        <v>4584.75</v>
      </c>
      <c r="Q8" s="217">
        <f t="shared" ref="Q8" si="24">(P8-P7)*20</f>
        <v>318.99999999999636</v>
      </c>
      <c r="R8" s="216">
        <v>6023.67</v>
      </c>
      <c r="S8" s="217">
        <f t="shared" ref="S8" si="25">(R8-R7)*20</f>
        <v>205.40000000000873</v>
      </c>
      <c r="T8" s="215">
        <v>3539.09</v>
      </c>
      <c r="U8" s="217">
        <f t="shared" ref="U8" si="26">(T8-T7)*20</f>
        <v>77.600000000002183</v>
      </c>
      <c r="V8" s="218">
        <f t="shared" si="9"/>
        <v>1921.6000000000167</v>
      </c>
      <c r="W8" s="4">
        <f t="shared" si="10"/>
        <v>2776135.5200000242</v>
      </c>
    </row>
    <row r="9" spans="1:23" x14ac:dyDescent="0.25">
      <c r="A9" s="214">
        <v>5</v>
      </c>
      <c r="B9" s="215">
        <v>2483.75</v>
      </c>
      <c r="C9" s="217">
        <f t="shared" si="0"/>
        <v>121.40000000000327</v>
      </c>
      <c r="D9" s="215">
        <v>7705.11</v>
      </c>
      <c r="E9" s="217">
        <f t="shared" si="0"/>
        <v>71.79999999998472</v>
      </c>
      <c r="F9" s="215">
        <v>4605.9399999999996</v>
      </c>
      <c r="G9" s="217">
        <f t="shared" ref="G9" si="27">(F9-F8)*20</f>
        <v>16.199999999989814</v>
      </c>
      <c r="H9" s="215">
        <v>8674.67</v>
      </c>
      <c r="I9" s="217">
        <f t="shared" ref="I9" si="28">(H9-H8)*20</f>
        <v>149.59999999999127</v>
      </c>
      <c r="J9" s="215">
        <v>7595.54</v>
      </c>
      <c r="K9" s="217">
        <f t="shared" ref="K9" si="29">(J9-J8)*20</f>
        <v>415.59999999999491</v>
      </c>
      <c r="L9" s="215">
        <v>5960.46</v>
      </c>
      <c r="M9" s="217">
        <f t="shared" ref="M9" si="30">(L9-L8)*20</f>
        <v>174.60000000000946</v>
      </c>
      <c r="N9" s="215">
        <v>4910.16</v>
      </c>
      <c r="O9" s="217">
        <f t="shared" ref="O9" si="31">(N9-N8)*20</f>
        <v>394.59999999999127</v>
      </c>
      <c r="P9" s="216">
        <v>4595.9399999999996</v>
      </c>
      <c r="Q9" s="217">
        <f t="shared" ref="Q9" si="32">(P9-P8)*20</f>
        <v>223.799999999992</v>
      </c>
      <c r="R9" s="216">
        <v>6034.43</v>
      </c>
      <c r="S9" s="217">
        <f t="shared" ref="S9" si="33">(R9-R8)*20</f>
        <v>215.20000000000437</v>
      </c>
      <c r="T9" s="215">
        <v>3543.66</v>
      </c>
      <c r="U9" s="217">
        <f t="shared" ref="U9" si="34">(T9-T8)*20</f>
        <v>91.399999999994179</v>
      </c>
      <c r="V9" s="218">
        <f t="shared" si="9"/>
        <v>1874.1999999999553</v>
      </c>
      <c r="W9" s="4">
        <f t="shared" si="10"/>
        <v>2707656.7399999355</v>
      </c>
    </row>
    <row r="10" spans="1:23" x14ac:dyDescent="0.25">
      <c r="A10" s="214">
        <v>6</v>
      </c>
      <c r="B10" s="215">
        <v>2490.02</v>
      </c>
      <c r="C10" s="217">
        <f t="shared" si="0"/>
        <v>125.39999999999964</v>
      </c>
      <c r="D10" s="215">
        <v>7708.59</v>
      </c>
      <c r="E10" s="217">
        <f t="shared" si="0"/>
        <v>69.600000000009459</v>
      </c>
      <c r="F10" s="215">
        <v>4606.76</v>
      </c>
      <c r="G10" s="217">
        <f t="shared" ref="G10" si="35">(F10-F9)*20</f>
        <v>16.400000000012369</v>
      </c>
      <c r="H10" s="215">
        <v>8679.17</v>
      </c>
      <c r="I10" s="217">
        <f t="shared" ref="I10" si="36">(H10-H9)*20</f>
        <v>90</v>
      </c>
      <c r="J10" s="215">
        <v>7605.31</v>
      </c>
      <c r="K10" s="217">
        <f t="shared" ref="K10" si="37">(J10-J9)*20</f>
        <v>195.40000000000873</v>
      </c>
      <c r="L10" s="215">
        <v>5980.78</v>
      </c>
      <c r="M10" s="217">
        <f t="shared" ref="M10" si="38">(L10-L9)*20</f>
        <v>406.39999999999418</v>
      </c>
      <c r="N10" s="215">
        <v>4927.3999999999996</v>
      </c>
      <c r="O10" s="217">
        <f t="shared" ref="O10" si="39">(N10-N9)*20</f>
        <v>344.79999999999563</v>
      </c>
      <c r="P10" s="216">
        <v>4602.05</v>
      </c>
      <c r="Q10" s="217">
        <f t="shared" ref="Q10" si="40">(P10-P9)*20</f>
        <v>122.20000000001164</v>
      </c>
      <c r="R10" s="216">
        <v>6044.25</v>
      </c>
      <c r="S10" s="217">
        <f t="shared" ref="S10" si="41">(R10-R9)*20</f>
        <v>196.39999999999418</v>
      </c>
      <c r="T10" s="215">
        <v>3547.43</v>
      </c>
      <c r="U10" s="217">
        <f t="shared" ref="U10" si="42">(T10-T9)*20</f>
        <v>75.399999999999636</v>
      </c>
      <c r="V10" s="218">
        <f t="shared" si="9"/>
        <v>1642.0000000000255</v>
      </c>
      <c r="W10" s="4">
        <f t="shared" si="10"/>
        <v>2372197.4000000367</v>
      </c>
    </row>
    <row r="11" spans="1:23" x14ac:dyDescent="0.25">
      <c r="A11" s="214">
        <v>7</v>
      </c>
      <c r="B11" s="215">
        <v>2495.5700000000002</v>
      </c>
      <c r="C11" s="217">
        <f t="shared" si="0"/>
        <v>111.00000000000364</v>
      </c>
      <c r="D11" s="215">
        <v>7711.99</v>
      </c>
      <c r="E11" s="217">
        <f t="shared" si="0"/>
        <v>67.999999999992724</v>
      </c>
      <c r="F11" s="215">
        <v>4607.58</v>
      </c>
      <c r="G11" s="217">
        <f t="shared" ref="G11" si="43">(F11-F10)*20</f>
        <v>16.399999999994179</v>
      </c>
      <c r="H11" s="215">
        <v>8704.6</v>
      </c>
      <c r="I11" s="217">
        <f t="shared" ref="I11" si="44">(H11-H10)*20</f>
        <v>508.60000000000582</v>
      </c>
      <c r="J11" s="215">
        <v>7624.25</v>
      </c>
      <c r="K11" s="217">
        <f t="shared" ref="K11" si="45">(J11-J10)*20</f>
        <v>378.799999999992</v>
      </c>
      <c r="L11" s="215">
        <v>6000.58</v>
      </c>
      <c r="M11" s="217">
        <f t="shared" ref="M11" si="46">(L11-L10)*20</f>
        <v>396.00000000000364</v>
      </c>
      <c r="N11" s="215">
        <v>4934.7</v>
      </c>
      <c r="O11" s="217">
        <f t="shared" ref="O11" si="47">(N11-N10)*20</f>
        <v>146.00000000000364</v>
      </c>
      <c r="P11" s="216">
        <v>4608.67</v>
      </c>
      <c r="Q11" s="217">
        <f t="shared" ref="Q11" si="48">(P11-P10)*20</f>
        <v>132.39999999999782</v>
      </c>
      <c r="R11" s="216">
        <v>6053.72</v>
      </c>
      <c r="S11" s="217">
        <f t="shared" ref="S11" si="49">(R11-R10)*20</f>
        <v>189.40000000000509</v>
      </c>
      <c r="T11" s="215">
        <v>3551.08</v>
      </c>
      <c r="U11" s="217">
        <f t="shared" ref="U11" si="50">(T11-T10)*20</f>
        <v>73.000000000001819</v>
      </c>
      <c r="V11" s="218">
        <f t="shared" si="9"/>
        <v>2019.6000000000004</v>
      </c>
      <c r="W11" s="4">
        <f t="shared" si="10"/>
        <v>2917716.1200000006</v>
      </c>
    </row>
    <row r="12" spans="1:23" x14ac:dyDescent="0.25">
      <c r="A12" s="214">
        <v>8</v>
      </c>
      <c r="B12" s="215">
        <v>2501.65</v>
      </c>
      <c r="C12" s="217">
        <f t="shared" si="0"/>
        <v>121.59999999999854</v>
      </c>
      <c r="D12" s="215">
        <v>7717.08</v>
      </c>
      <c r="E12" s="217">
        <f t="shared" si="0"/>
        <v>101.80000000000291</v>
      </c>
      <c r="F12" s="215">
        <v>4608.37</v>
      </c>
      <c r="G12" s="217">
        <f t="shared" ref="G12" si="51">(F12-F11)*20</f>
        <v>15.799999999999272</v>
      </c>
      <c r="H12" s="215">
        <v>8726.06</v>
      </c>
      <c r="I12" s="217">
        <f t="shared" ref="I12" si="52">(H12-H11)*20</f>
        <v>429.19999999998254</v>
      </c>
      <c r="J12" s="215">
        <v>7628.9</v>
      </c>
      <c r="K12" s="217">
        <f t="shared" ref="K12" si="53">(J12-J11)*20</f>
        <v>92.999999999992724</v>
      </c>
      <c r="L12" s="215">
        <v>6022.02</v>
      </c>
      <c r="M12" s="217">
        <f t="shared" ref="M12" si="54">(L12-L11)*20</f>
        <v>428.80000000001019</v>
      </c>
      <c r="N12" s="215">
        <v>4938.7299999999996</v>
      </c>
      <c r="O12" s="217">
        <f t="shared" ref="O12" si="55">(N12-N11)*20</f>
        <v>80.599999999994907</v>
      </c>
      <c r="P12" s="216">
        <v>4619.67</v>
      </c>
      <c r="Q12" s="217">
        <f t="shared" ref="Q12" si="56">(P12-P11)*20</f>
        <v>220</v>
      </c>
      <c r="R12" s="216">
        <v>6063.76</v>
      </c>
      <c r="S12" s="217">
        <f t="shared" ref="S12" si="57">(R12-R11)*20</f>
        <v>200.79999999999927</v>
      </c>
      <c r="T12" s="215">
        <v>3586.83</v>
      </c>
      <c r="U12" s="217">
        <f t="shared" ref="U12" si="58">(T12-T11)*20</f>
        <v>715</v>
      </c>
      <c r="V12" s="218">
        <f t="shared" si="9"/>
        <v>2406.5999999999804</v>
      </c>
      <c r="W12" s="4">
        <f t="shared" si="10"/>
        <v>3476815.0199999716</v>
      </c>
    </row>
    <row r="13" spans="1:23" x14ac:dyDescent="0.25">
      <c r="A13" s="214">
        <v>9</v>
      </c>
      <c r="B13" s="215">
        <v>2507.73</v>
      </c>
      <c r="C13" s="217">
        <f t="shared" si="0"/>
        <v>121.59999999999854</v>
      </c>
      <c r="D13" s="215">
        <v>7724.2</v>
      </c>
      <c r="E13" s="217">
        <f t="shared" si="0"/>
        <v>142.39999999999782</v>
      </c>
      <c r="F13" s="215">
        <v>4609.22</v>
      </c>
      <c r="G13" s="217">
        <f t="shared" ref="G13" si="59">(F13-F12)*20</f>
        <v>17.000000000007276</v>
      </c>
      <c r="H13" s="215">
        <v>8748.7999999999993</v>
      </c>
      <c r="I13" s="217">
        <f t="shared" ref="I13" si="60">(H13-H12)*20</f>
        <v>454.79999999999563</v>
      </c>
      <c r="J13" s="215">
        <v>7632.58</v>
      </c>
      <c r="K13" s="217">
        <f t="shared" ref="K13" si="61">(J13-J12)*20</f>
        <v>73.600000000005821</v>
      </c>
      <c r="L13" s="215">
        <v>6036.2</v>
      </c>
      <c r="M13" s="217">
        <f t="shared" ref="M13" si="62">(L13-L12)*20</f>
        <v>283.59999999998763</v>
      </c>
      <c r="N13" s="215">
        <v>4942.84</v>
      </c>
      <c r="O13" s="217">
        <f t="shared" ref="O13" si="63">(N13-N12)*20</f>
        <v>82.200000000011642</v>
      </c>
      <c r="P13" s="216">
        <v>4625.22</v>
      </c>
      <c r="Q13" s="217">
        <f t="shared" ref="Q13" si="64">(P13-P12)*20</f>
        <v>111.00000000000364</v>
      </c>
      <c r="R13" s="216">
        <v>6074.95</v>
      </c>
      <c r="S13" s="217">
        <f t="shared" ref="S13" si="65">(R13-R12)*20</f>
        <v>223.799999999992</v>
      </c>
      <c r="T13" s="215">
        <v>3562.78</v>
      </c>
      <c r="U13" s="217">
        <f t="shared" ref="U13" si="66">(T13-T12)*20</f>
        <v>-480.99999999999454</v>
      </c>
      <c r="V13" s="218">
        <f t="shared" si="9"/>
        <v>1029.0000000000055</v>
      </c>
      <c r="W13" s="4">
        <f t="shared" si="10"/>
        <v>1486596.300000008</v>
      </c>
    </row>
    <row r="14" spans="1:23" x14ac:dyDescent="0.25">
      <c r="A14" s="214">
        <v>10</v>
      </c>
      <c r="B14" s="215">
        <v>2513.94</v>
      </c>
      <c r="C14" s="217">
        <f t="shared" si="0"/>
        <v>124.20000000000073</v>
      </c>
      <c r="D14" s="215">
        <v>7745.03</v>
      </c>
      <c r="E14" s="217">
        <f t="shared" si="0"/>
        <v>416.59999999999854</v>
      </c>
      <c r="F14" s="215">
        <v>4610</v>
      </c>
      <c r="G14" s="217">
        <f t="shared" ref="G14" si="67">(F14-F13)*20</f>
        <v>15.599999999994907</v>
      </c>
      <c r="H14" s="215">
        <v>8771.58</v>
      </c>
      <c r="I14" s="217">
        <f t="shared" ref="I14" si="68">(H14-H13)*20</f>
        <v>455.6000000000131</v>
      </c>
      <c r="J14" s="215">
        <v>7635.99</v>
      </c>
      <c r="K14" s="217">
        <f t="shared" ref="K14" si="69">(J14-J13)*20</f>
        <v>68.19999999999709</v>
      </c>
      <c r="L14" s="215">
        <v>6042.45</v>
      </c>
      <c r="M14" s="217">
        <f t="shared" ref="M14" si="70">(L14-L13)*20</f>
        <v>125</v>
      </c>
      <c r="N14" s="215">
        <v>4949.8</v>
      </c>
      <c r="O14" s="217">
        <f t="shared" ref="O14" si="71">(N14-N13)*20</f>
        <v>139.20000000000073</v>
      </c>
      <c r="P14" s="216">
        <v>4635.75</v>
      </c>
      <c r="Q14" s="217">
        <f t="shared" ref="Q14" si="72">(P14-P13)*20</f>
        <v>210.59999999999491</v>
      </c>
      <c r="R14" s="216">
        <v>6086.97</v>
      </c>
      <c r="S14" s="217">
        <f t="shared" ref="S14" si="73">(R14-R13)*20</f>
        <v>240.40000000000873</v>
      </c>
      <c r="T14" s="215">
        <v>3568.36</v>
      </c>
      <c r="U14" s="217">
        <f t="shared" ref="U14" si="74">(T14-T13)*20</f>
        <v>111.59999999999854</v>
      </c>
      <c r="V14" s="218">
        <f t="shared" si="9"/>
        <v>1907.0000000000073</v>
      </c>
      <c r="W14" s="4">
        <f t="shared" si="10"/>
        <v>2755042.9000000106</v>
      </c>
    </row>
    <row r="15" spans="1:23" x14ac:dyDescent="0.25">
      <c r="A15" s="214">
        <v>11</v>
      </c>
      <c r="B15" s="215">
        <v>2519.7800000000002</v>
      </c>
      <c r="C15" s="217">
        <f t="shared" si="0"/>
        <v>116.80000000000291</v>
      </c>
      <c r="D15" s="215">
        <v>7761.79</v>
      </c>
      <c r="E15" s="217">
        <f t="shared" si="0"/>
        <v>335.20000000000437</v>
      </c>
      <c r="F15" s="215">
        <v>4610.79</v>
      </c>
      <c r="G15" s="217">
        <f t="shared" ref="G15" si="75">(F15-F14)*20</f>
        <v>15.799999999999272</v>
      </c>
      <c r="H15" s="215">
        <v>8780.08</v>
      </c>
      <c r="I15" s="217">
        <f t="shared" ref="I15" si="76">(H15-H14)*20</f>
        <v>170</v>
      </c>
      <c r="J15" s="215">
        <v>7643.73</v>
      </c>
      <c r="K15" s="217">
        <f t="shared" ref="K15" si="77">(J15-J14)*20</f>
        <v>154.79999999999563</v>
      </c>
      <c r="L15" s="215">
        <v>6053.33</v>
      </c>
      <c r="M15" s="217">
        <f t="shared" ref="M15" si="78">(L15-L14)*20</f>
        <v>217.60000000000218</v>
      </c>
      <c r="N15" s="215">
        <v>4955.67</v>
      </c>
      <c r="O15" s="217">
        <f t="shared" ref="O15" si="79">(N15-N14)*20</f>
        <v>117.39999999999782</v>
      </c>
      <c r="P15" s="216">
        <v>4644.21</v>
      </c>
      <c r="Q15" s="217">
        <f t="shared" ref="Q15" si="80">(P15-P14)*20</f>
        <v>169.20000000000073</v>
      </c>
      <c r="R15" s="216">
        <v>6097.31</v>
      </c>
      <c r="S15" s="217">
        <f t="shared" ref="S15" si="81">(R15-R14)*20</f>
        <v>206.80000000000291</v>
      </c>
      <c r="T15" s="215">
        <v>3573.09</v>
      </c>
      <c r="U15" s="217">
        <f t="shared" ref="U15" si="82">(T15-T14)*20</f>
        <v>94.600000000000364</v>
      </c>
      <c r="V15" s="218">
        <f t="shared" si="9"/>
        <v>1598.2000000000062</v>
      </c>
      <c r="W15" s="4">
        <f t="shared" si="10"/>
        <v>2308919.5400000089</v>
      </c>
    </row>
    <row r="16" spans="1:23" x14ac:dyDescent="0.25">
      <c r="A16" s="214">
        <v>12</v>
      </c>
      <c r="B16" s="215">
        <v>2524.83</v>
      </c>
      <c r="C16" s="217">
        <f t="shared" si="0"/>
        <v>100.99999999999454</v>
      </c>
      <c r="D16" s="215">
        <v>7778.77</v>
      </c>
      <c r="E16" s="217">
        <f t="shared" si="0"/>
        <v>339.60000000000946</v>
      </c>
      <c r="F16" s="215">
        <v>4611.55</v>
      </c>
      <c r="G16" s="217">
        <f t="shared" ref="G16" si="83">(F16-F15)*20</f>
        <v>15.200000000004366</v>
      </c>
      <c r="H16" s="215">
        <v>8786.76</v>
      </c>
      <c r="I16" s="217">
        <f t="shared" ref="I16" si="84">(H16-H15)*20</f>
        <v>133.60000000000582</v>
      </c>
      <c r="J16" s="215">
        <v>7647.84</v>
      </c>
      <c r="K16" s="217">
        <f t="shared" ref="K16" si="85">(J16-J15)*20</f>
        <v>82.200000000011642</v>
      </c>
      <c r="L16" s="215">
        <v>6059.94</v>
      </c>
      <c r="M16" s="217">
        <f t="shared" ref="M16" si="86">(L16-L15)*20</f>
        <v>132.19999999999345</v>
      </c>
      <c r="N16" s="215">
        <v>4961.3599999999997</v>
      </c>
      <c r="O16" s="217">
        <f t="shared" ref="O16" si="87">(N16-N15)*20</f>
        <v>113.799999999992</v>
      </c>
      <c r="P16" s="216">
        <v>4651.1000000000004</v>
      </c>
      <c r="Q16" s="217">
        <f t="shared" ref="Q16" si="88">(P16-P15)*20</f>
        <v>137.80000000000655</v>
      </c>
      <c r="R16" s="216">
        <v>6107.73</v>
      </c>
      <c r="S16" s="217">
        <f t="shared" ref="S16" si="89">(R16-R15)*20</f>
        <v>208.39999999998327</v>
      </c>
      <c r="T16" s="215">
        <v>3577.55</v>
      </c>
      <c r="U16" s="217">
        <f t="shared" ref="U16" si="90">(T16-T15)*20</f>
        <v>89.200000000000728</v>
      </c>
      <c r="V16" s="218">
        <f t="shared" si="9"/>
        <v>1353.0000000000018</v>
      </c>
      <c r="W16" s="4">
        <f t="shared" si="10"/>
        <v>1954679.1000000027</v>
      </c>
    </row>
    <row r="17" spans="1:23" x14ac:dyDescent="0.25">
      <c r="A17" s="214">
        <v>13</v>
      </c>
      <c r="B17" s="216">
        <v>2530.5</v>
      </c>
      <c r="C17" s="217">
        <f t="shared" si="0"/>
        <v>113.40000000000146</v>
      </c>
      <c r="D17" s="216">
        <v>7790</v>
      </c>
      <c r="E17" s="217">
        <f t="shared" si="0"/>
        <v>224.59999999999127</v>
      </c>
      <c r="F17" s="215">
        <v>4612.37</v>
      </c>
      <c r="G17" s="217">
        <f t="shared" ref="G17" si="91">(F17-F16)*20</f>
        <v>16.399999999994179</v>
      </c>
      <c r="H17" s="215">
        <v>8814.98</v>
      </c>
      <c r="I17" s="217">
        <f t="shared" ref="I17" si="92">(H17-H16)*20</f>
        <v>564.3999999999869</v>
      </c>
      <c r="J17" s="215">
        <v>7672.16</v>
      </c>
      <c r="K17" s="217">
        <f t="shared" ref="K17" si="93">(J17-J16)*20</f>
        <v>486.39999999999418</v>
      </c>
      <c r="L17" s="215">
        <v>6084.62</v>
      </c>
      <c r="M17" s="217">
        <f t="shared" ref="M17" si="94">(L17-L16)*20</f>
        <v>493.60000000000582</v>
      </c>
      <c r="N17" s="215">
        <v>4967.7299999999996</v>
      </c>
      <c r="O17" s="217">
        <f t="shared" ref="O17" si="95">(N17-N16)*20</f>
        <v>127.39999999999782</v>
      </c>
      <c r="P17" s="216">
        <v>4661.46</v>
      </c>
      <c r="Q17" s="217">
        <f t="shared" ref="Q17" si="96">(P17-P16)*20</f>
        <v>207.19999999999345</v>
      </c>
      <c r="R17" s="216">
        <v>6119.84</v>
      </c>
      <c r="S17" s="217">
        <f t="shared" ref="S17" si="97">(R17-R16)*20</f>
        <v>242.20000000001164</v>
      </c>
      <c r="T17" s="215">
        <v>3582.82</v>
      </c>
      <c r="U17" s="217">
        <f t="shared" ref="U17" si="98">(T17-T16)*20</f>
        <v>105.39999999999964</v>
      </c>
      <c r="V17" s="218">
        <f t="shared" si="9"/>
        <v>2580.9999999999764</v>
      </c>
      <c r="W17" s="4">
        <f t="shared" si="10"/>
        <v>3728770.6999999657</v>
      </c>
    </row>
    <row r="18" spans="1:23" x14ac:dyDescent="0.25">
      <c r="A18" s="214">
        <v>14</v>
      </c>
      <c r="B18" s="215">
        <v>2535.23</v>
      </c>
      <c r="C18" s="217">
        <f t="shared" si="0"/>
        <v>94.600000000000364</v>
      </c>
      <c r="D18" s="215">
        <v>7815.37</v>
      </c>
      <c r="E18" s="217">
        <f t="shared" si="0"/>
        <v>507.39999999999782</v>
      </c>
      <c r="F18" s="215">
        <v>4613.16</v>
      </c>
      <c r="G18" s="217">
        <f t="shared" ref="G18" si="99">(F18-F17)*20</f>
        <v>15.799999999999272</v>
      </c>
      <c r="H18" s="215">
        <v>8841.2900000000009</v>
      </c>
      <c r="I18" s="217">
        <f t="shared" ref="I18" si="100">(H18-H17)*20</f>
        <v>526.20000000002619</v>
      </c>
      <c r="J18" s="215">
        <v>7696.37</v>
      </c>
      <c r="K18" s="217">
        <f t="shared" ref="K18" si="101">(J18-J17)*20</f>
        <v>484.20000000000073</v>
      </c>
      <c r="L18" s="215">
        <v>6106.8</v>
      </c>
      <c r="M18" s="217">
        <f t="shared" ref="M18" si="102">(L18-L17)*20</f>
        <v>443.60000000000582</v>
      </c>
      <c r="N18" s="215">
        <v>4975.26</v>
      </c>
      <c r="O18" s="217">
        <f t="shared" ref="O18" si="103">(N18-N17)*20</f>
        <v>150.6000000000131</v>
      </c>
      <c r="P18" s="216">
        <v>4678.7</v>
      </c>
      <c r="Q18" s="217">
        <f t="shared" ref="Q18" si="104">(P18-P17)*20</f>
        <v>344.79999999999563</v>
      </c>
      <c r="R18" s="216">
        <v>6130.3</v>
      </c>
      <c r="S18" s="217">
        <f t="shared" ref="S18" si="105">(R18-R17)*20</f>
        <v>209.20000000000073</v>
      </c>
      <c r="T18" s="215">
        <v>3586.61</v>
      </c>
      <c r="U18" s="217">
        <f t="shared" ref="U18" si="106">(T18-T17)*20</f>
        <v>75.799999999999272</v>
      </c>
      <c r="V18" s="218">
        <f t="shared" si="9"/>
        <v>2852.2000000000389</v>
      </c>
      <c r="W18" s="4">
        <f t="shared" si="10"/>
        <v>4120573.3400000562</v>
      </c>
    </row>
    <row r="19" spans="1:23" x14ac:dyDescent="0.25">
      <c r="A19" s="214">
        <v>15</v>
      </c>
      <c r="B19" s="215">
        <v>2540.25</v>
      </c>
      <c r="C19" s="217">
        <f t="shared" si="0"/>
        <v>100.39999999999964</v>
      </c>
      <c r="D19" s="215">
        <v>7833.57</v>
      </c>
      <c r="E19" s="217">
        <f t="shared" si="0"/>
        <v>363.99999999999636</v>
      </c>
      <c r="F19" s="215">
        <v>4613.9799999999996</v>
      </c>
      <c r="G19" s="217">
        <f t="shared" ref="G19" si="107">(F19-F18)*20</f>
        <v>16.399999999994179</v>
      </c>
      <c r="H19" s="215">
        <v>8866.2900000000009</v>
      </c>
      <c r="I19" s="217">
        <f t="shared" ref="I19" si="108">(H19-H18)*20</f>
        <v>500</v>
      </c>
      <c r="J19" s="215">
        <v>7720.12</v>
      </c>
      <c r="K19" s="217">
        <f t="shared" ref="K19" si="109">(J19-J18)*20</f>
        <v>475</v>
      </c>
      <c r="L19" s="215">
        <v>6126.71</v>
      </c>
      <c r="M19" s="217">
        <f t="shared" ref="M19" si="110">(L19-L18)*20</f>
        <v>398.19999999999709</v>
      </c>
      <c r="N19" s="215">
        <v>4990.46</v>
      </c>
      <c r="O19" s="217">
        <f t="shared" ref="O19" si="111">(N19-N18)*20</f>
        <v>303.99999999999636</v>
      </c>
      <c r="P19" s="216">
        <v>4693.76</v>
      </c>
      <c r="Q19" s="217">
        <f t="shared" ref="Q19" si="112">(P19-P18)*20</f>
        <v>301.200000000008</v>
      </c>
      <c r="R19" s="216">
        <v>6140.12</v>
      </c>
      <c r="S19" s="217">
        <f t="shared" ref="S19" si="113">(R19-R18)*20</f>
        <v>196.39999999999418</v>
      </c>
      <c r="T19" s="215">
        <v>3590.2</v>
      </c>
      <c r="U19" s="217">
        <f t="shared" ref="U19" si="114">(T19-T18)*20</f>
        <v>71.799999999993815</v>
      </c>
      <c r="V19" s="218">
        <f t="shared" si="9"/>
        <v>2727.3999999999796</v>
      </c>
      <c r="W19" s="4">
        <f t="shared" si="10"/>
        <v>3940274.7799999709</v>
      </c>
    </row>
    <row r="20" spans="1:23" x14ac:dyDescent="0.25">
      <c r="A20" s="214">
        <v>16</v>
      </c>
      <c r="B20" s="215">
        <v>2545.3200000000002</v>
      </c>
      <c r="C20" s="217">
        <f t="shared" si="0"/>
        <v>101.40000000000327</v>
      </c>
      <c r="D20" s="216">
        <v>7850.7</v>
      </c>
      <c r="E20" s="217">
        <f t="shared" si="0"/>
        <v>342.60000000000218</v>
      </c>
      <c r="F20" s="215">
        <v>4614.79</v>
      </c>
      <c r="G20" s="217">
        <f t="shared" ref="G20" si="115">(F20-F19)*20</f>
        <v>16.200000000008004</v>
      </c>
      <c r="H20" s="215">
        <v>8880.0400000000009</v>
      </c>
      <c r="I20" s="217">
        <f t="shared" ref="I20" si="116">(H20-H19)*20</f>
        <v>275</v>
      </c>
      <c r="J20" s="215">
        <v>7736.12</v>
      </c>
      <c r="K20" s="217">
        <f t="shared" ref="K20" si="117">(J20-J19)*20</f>
        <v>320</v>
      </c>
      <c r="L20" s="215">
        <v>6151</v>
      </c>
      <c r="M20" s="217">
        <f t="shared" ref="M20" si="118">(L20-L19)*20</f>
        <v>485.79999999999927</v>
      </c>
      <c r="N20" s="215">
        <v>5007.51</v>
      </c>
      <c r="O20" s="217">
        <f t="shared" ref="O20" si="119">(N20-N19)*20</f>
        <v>341.00000000000364</v>
      </c>
      <c r="P20" s="216">
        <v>4710.8</v>
      </c>
      <c r="Q20" s="217">
        <f t="shared" ref="Q20" si="120">(P20-P19)*20</f>
        <v>340.79999999999927</v>
      </c>
      <c r="R20" s="216">
        <v>6150.12</v>
      </c>
      <c r="S20" s="217">
        <f t="shared" ref="S20" si="121">(R20-R19)*20</f>
        <v>200</v>
      </c>
      <c r="T20" s="215">
        <v>3593.53</v>
      </c>
      <c r="U20" s="217">
        <f t="shared" ref="U20" si="122">(T20-T19)*20</f>
        <v>66.60000000000764</v>
      </c>
      <c r="V20" s="218">
        <f t="shared" si="9"/>
        <v>2489.4000000000233</v>
      </c>
      <c r="W20" s="4">
        <f t="shared" si="10"/>
        <v>3596436.1800000337</v>
      </c>
    </row>
    <row r="21" spans="1:23" x14ac:dyDescent="0.25">
      <c r="A21" s="214">
        <v>17</v>
      </c>
      <c r="B21" s="215">
        <v>2550.52</v>
      </c>
      <c r="C21" s="217">
        <f t="shared" si="0"/>
        <v>103.99999999999636</v>
      </c>
      <c r="D21" s="215">
        <v>7869.28</v>
      </c>
      <c r="E21" s="217">
        <f t="shared" si="0"/>
        <v>371.59999999999854</v>
      </c>
      <c r="F21" s="215">
        <v>4615.6400000000003</v>
      </c>
      <c r="G21" s="217">
        <f t="shared" ref="G21" si="123">(F21-F20)*20</f>
        <v>17.000000000007276</v>
      </c>
      <c r="H21" s="215">
        <v>8891.76</v>
      </c>
      <c r="I21" s="217">
        <f t="shared" ref="I21" si="124">(H21-H20)*20</f>
        <v>234.3999999999869</v>
      </c>
      <c r="J21" s="215">
        <v>7743.72</v>
      </c>
      <c r="K21" s="217">
        <f t="shared" ref="K21" si="125">(J21-J20)*20</f>
        <v>152.00000000000728</v>
      </c>
      <c r="L21" s="215">
        <v>6177.48</v>
      </c>
      <c r="M21" s="217">
        <f t="shared" ref="M21" si="126">(L21-L20)*20</f>
        <v>529.59999999999127</v>
      </c>
      <c r="N21" s="215">
        <v>5026.8500000000004</v>
      </c>
      <c r="O21" s="217">
        <f t="shared" ref="O21" si="127">(N21-N20)*20</f>
        <v>386.80000000000291</v>
      </c>
      <c r="P21" s="216">
        <v>4726.1499999999996</v>
      </c>
      <c r="Q21" s="217">
        <f t="shared" ref="Q21" si="128">(P21-P20)*20</f>
        <v>306.99999999998909</v>
      </c>
      <c r="R21" s="216">
        <v>6161.89</v>
      </c>
      <c r="S21" s="217">
        <f t="shared" ref="S21" si="129">(R21-R20)*20</f>
        <v>235.40000000000873</v>
      </c>
      <c r="T21" s="215">
        <v>3597.61</v>
      </c>
      <c r="U21" s="217">
        <f t="shared" ref="U21" si="130">(T21-T20)*20</f>
        <v>81.599999999998545</v>
      </c>
      <c r="V21" s="218">
        <f t="shared" si="9"/>
        <v>2419.3999999999869</v>
      </c>
      <c r="W21" s="4">
        <f t="shared" si="10"/>
        <v>3495307.1799999811</v>
      </c>
    </row>
    <row r="22" spans="1:23" x14ac:dyDescent="0.25">
      <c r="A22" s="214">
        <v>18</v>
      </c>
      <c r="B22" s="215">
        <v>2556.38</v>
      </c>
      <c r="C22" s="217">
        <f t="shared" si="0"/>
        <v>117.20000000000255</v>
      </c>
      <c r="D22" s="215">
        <v>7887.96</v>
      </c>
      <c r="E22" s="217">
        <f t="shared" si="0"/>
        <v>373.60000000000582</v>
      </c>
      <c r="F22" s="215">
        <v>4616.45</v>
      </c>
      <c r="G22" s="217">
        <f t="shared" ref="G22" si="131">(F22-F21)*20</f>
        <v>16.199999999989814</v>
      </c>
      <c r="H22" s="215">
        <v>8917.36</v>
      </c>
      <c r="I22" s="217">
        <f t="shared" ref="I22" si="132">(H22-H21)*20</f>
        <v>512.00000000000728</v>
      </c>
      <c r="J22" s="215">
        <v>7766.8</v>
      </c>
      <c r="K22" s="217">
        <f t="shared" ref="K22" si="133">(J22-J21)*20</f>
        <v>461.59999999999854</v>
      </c>
      <c r="L22" s="215">
        <v>6201.59</v>
      </c>
      <c r="M22" s="217">
        <f t="shared" ref="M22" si="134">(L22-L21)*20</f>
        <v>482.20000000001164</v>
      </c>
      <c r="N22" s="215">
        <v>5044.92</v>
      </c>
      <c r="O22" s="217">
        <f t="shared" ref="O22" si="135">(N22-N21)*20</f>
        <v>361.39999999999418</v>
      </c>
      <c r="P22" s="216">
        <v>4743.03</v>
      </c>
      <c r="Q22" s="217">
        <f t="shared" ref="Q22" si="136">(P22-P21)*20</f>
        <v>337.60000000000218</v>
      </c>
      <c r="R22" s="216">
        <v>6173.45</v>
      </c>
      <c r="S22" s="217">
        <f t="shared" ref="S22" si="137">(R22-R21)*20</f>
        <v>231.19999999998981</v>
      </c>
      <c r="T22" s="215">
        <v>3600.76</v>
      </c>
      <c r="U22" s="217">
        <f t="shared" ref="U22" si="138">(T22-T21)*20</f>
        <v>63.000000000001819</v>
      </c>
      <c r="V22" s="218">
        <f t="shared" si="9"/>
        <v>2956.0000000000036</v>
      </c>
      <c r="W22" s="4">
        <f t="shared" si="10"/>
        <v>4270533.2000000058</v>
      </c>
    </row>
    <row r="23" spans="1:23" x14ac:dyDescent="0.25">
      <c r="A23" s="214">
        <v>19</v>
      </c>
      <c r="B23" s="215">
        <v>2561.54</v>
      </c>
      <c r="C23" s="217">
        <f t="shared" si="0"/>
        <v>103.19999999999709</v>
      </c>
      <c r="D23" s="215">
        <v>7904.03</v>
      </c>
      <c r="E23" s="217">
        <f t="shared" si="0"/>
        <v>321.39999999999418</v>
      </c>
      <c r="F23" s="215">
        <v>4617.25</v>
      </c>
      <c r="G23" s="217">
        <f t="shared" ref="G23" si="139">(F23-F22)*20</f>
        <v>16.000000000003638</v>
      </c>
      <c r="H23" s="215">
        <v>8947.09</v>
      </c>
      <c r="I23" s="217">
        <f t="shared" ref="I23" si="140">(H23-H22)*20</f>
        <v>594.59999999999127</v>
      </c>
      <c r="J23" s="215">
        <v>7786.14</v>
      </c>
      <c r="K23" s="217">
        <f t="shared" ref="K23" si="141">(J23-J22)*20</f>
        <v>386.80000000000291</v>
      </c>
      <c r="L23" s="215">
        <v>6226.26</v>
      </c>
      <c r="M23" s="217">
        <f t="shared" ref="M23" si="142">(L23-L22)*20</f>
        <v>493.40000000000146</v>
      </c>
      <c r="N23" s="215">
        <v>5059.5600000000004</v>
      </c>
      <c r="O23" s="217">
        <f t="shared" ref="O23" si="143">(N23-N22)*20</f>
        <v>292.80000000000655</v>
      </c>
      <c r="P23" s="216">
        <v>4759.5200000000004</v>
      </c>
      <c r="Q23" s="217">
        <f t="shared" ref="Q23" si="144">(P23-P22)*20</f>
        <v>329.80000000001382</v>
      </c>
      <c r="R23" s="216">
        <v>6184.93</v>
      </c>
      <c r="S23" s="217">
        <f t="shared" ref="S23" si="145">(R23-R22)*20</f>
        <v>229.60000000000946</v>
      </c>
      <c r="T23" s="215">
        <v>3605.55</v>
      </c>
      <c r="U23" s="217">
        <f t="shared" ref="U23" si="146">(T23-T22)*20</f>
        <v>95.799999999999272</v>
      </c>
      <c r="V23" s="218">
        <f t="shared" si="9"/>
        <v>2863.4000000000196</v>
      </c>
      <c r="W23" s="4">
        <f t="shared" si="10"/>
        <v>4136753.9800000284</v>
      </c>
    </row>
    <row r="24" spans="1:23" x14ac:dyDescent="0.25">
      <c r="A24" s="214">
        <v>20</v>
      </c>
      <c r="B24" s="215">
        <v>2566.8200000000002</v>
      </c>
      <c r="C24" s="217">
        <f t="shared" si="0"/>
        <v>105.600000000004</v>
      </c>
      <c r="D24" s="215">
        <v>7911.17</v>
      </c>
      <c r="E24" s="217">
        <f t="shared" si="0"/>
        <v>142.80000000000655</v>
      </c>
      <c r="F24" s="215">
        <v>4618.0200000000004</v>
      </c>
      <c r="G24" s="217">
        <f t="shared" ref="G24" si="147">(F24-F23)*20</f>
        <v>15.400000000008731</v>
      </c>
      <c r="H24" s="215">
        <v>8961.6200000000008</v>
      </c>
      <c r="I24" s="217">
        <f t="shared" ref="I24" si="148">(H24-H23)*20</f>
        <v>290.6000000000131</v>
      </c>
      <c r="J24" s="215">
        <v>7804.48</v>
      </c>
      <c r="K24" s="217">
        <f t="shared" ref="K24" si="149">(J24-J23)*20</f>
        <v>366.79999999998472</v>
      </c>
      <c r="L24" s="215">
        <v>6248.35</v>
      </c>
      <c r="M24" s="217">
        <f t="shared" ref="M24" si="150">(L24-L23)*20</f>
        <v>441.80000000000291</v>
      </c>
      <c r="N24" s="215">
        <v>5073.0200000000004</v>
      </c>
      <c r="O24" s="217">
        <f t="shared" ref="O24" si="151">(N24-N23)*20</f>
        <v>269.20000000000073</v>
      </c>
      <c r="P24" s="216">
        <v>4797.6000000000004</v>
      </c>
      <c r="Q24" s="217">
        <f t="shared" ref="Q24" si="152">(P24-P23)*20</f>
        <v>761.59999999999854</v>
      </c>
      <c r="R24" s="216">
        <v>6195.18</v>
      </c>
      <c r="S24" s="217">
        <f t="shared" ref="S24" si="153">(R24-R23)*20</f>
        <v>205</v>
      </c>
      <c r="T24" s="215">
        <v>3609.94</v>
      </c>
      <c r="U24" s="217">
        <f t="shared" ref="U24" si="154">(T24-T23)*20</f>
        <v>87.799999999997453</v>
      </c>
      <c r="V24" s="218">
        <f t="shared" si="9"/>
        <v>2686.6000000000167</v>
      </c>
      <c r="W24" s="4">
        <f t="shared" si="10"/>
        <v>3881331.0200000242</v>
      </c>
    </row>
    <row r="25" spans="1:23" x14ac:dyDescent="0.25">
      <c r="A25" s="214">
        <v>21</v>
      </c>
      <c r="B25" s="215">
        <v>2572.31</v>
      </c>
      <c r="C25" s="217">
        <f t="shared" si="0"/>
        <v>109.79999999999563</v>
      </c>
      <c r="D25" s="215">
        <v>7915.23</v>
      </c>
      <c r="E25" s="217">
        <f t="shared" si="0"/>
        <v>81.199999999989814</v>
      </c>
      <c r="F25" s="215">
        <v>4618.8100000000004</v>
      </c>
      <c r="G25" s="217">
        <f t="shared" ref="G25" si="155">(F25-F24)*20</f>
        <v>15.799999999999272</v>
      </c>
      <c r="H25" s="215">
        <v>8969.17</v>
      </c>
      <c r="I25" s="217">
        <f t="shared" ref="I25" si="156">(H25-H24)*20</f>
        <v>150.99999999998545</v>
      </c>
      <c r="J25" s="215">
        <v>7824.21</v>
      </c>
      <c r="K25" s="217">
        <f t="shared" ref="K25" si="157">(J25-J24)*20</f>
        <v>394.60000000000946</v>
      </c>
      <c r="L25" s="215">
        <v>6274.86</v>
      </c>
      <c r="M25" s="217">
        <f t="shared" ref="M25" si="158">(L25-L24)*20</f>
        <v>530.19999999998618</v>
      </c>
      <c r="N25" s="215">
        <v>5086.1000000000004</v>
      </c>
      <c r="O25" s="217">
        <f t="shared" ref="O25" si="159">(N25-N24)*20</f>
        <v>261.59999999999854</v>
      </c>
      <c r="P25" s="216">
        <v>4774.1400000000003</v>
      </c>
      <c r="Q25" s="217">
        <f t="shared" ref="Q25" si="160">(P25-P24)*20</f>
        <v>-469.20000000000073</v>
      </c>
      <c r="R25" s="216">
        <v>6206.66</v>
      </c>
      <c r="S25" s="217">
        <f t="shared" ref="S25" si="161">(R25-R24)*20</f>
        <v>229.59999999999127</v>
      </c>
      <c r="T25" s="215">
        <v>3614.4</v>
      </c>
      <c r="U25" s="217">
        <f t="shared" ref="U25" si="162">(T25-T24)*20</f>
        <v>89.200000000000728</v>
      </c>
      <c r="V25" s="218">
        <f t="shared" si="9"/>
        <v>1393.7999999999556</v>
      </c>
      <c r="W25" s="4">
        <f t="shared" si="10"/>
        <v>2013622.8599999358</v>
      </c>
    </row>
    <row r="26" spans="1:23" x14ac:dyDescent="0.25">
      <c r="A26" s="214">
        <v>22</v>
      </c>
      <c r="B26" s="215">
        <v>2576.88</v>
      </c>
      <c r="C26" s="217">
        <f t="shared" si="0"/>
        <v>91.400000000003274</v>
      </c>
      <c r="D26" s="215">
        <v>7921.09</v>
      </c>
      <c r="E26" s="217">
        <f t="shared" si="0"/>
        <v>117.20000000001164</v>
      </c>
      <c r="F26" s="215">
        <v>4619.59</v>
      </c>
      <c r="G26" s="217">
        <f t="shared" ref="G26" si="163">(F26-F25)*20</f>
        <v>15.599999999994907</v>
      </c>
      <c r="H26" s="215">
        <v>8975.01</v>
      </c>
      <c r="I26" s="217">
        <f t="shared" ref="I26" si="164">(H26-H25)*20</f>
        <v>116.80000000000291</v>
      </c>
      <c r="J26" s="215">
        <v>7833.8</v>
      </c>
      <c r="K26" s="217">
        <f t="shared" ref="K26" si="165">(J26-J25)*20</f>
        <v>191.80000000000291</v>
      </c>
      <c r="L26" s="215">
        <v>6299.87</v>
      </c>
      <c r="M26" s="217">
        <f t="shared" ref="M26" si="166">(L26-L25)*20</f>
        <v>500.20000000000437</v>
      </c>
      <c r="N26" s="215">
        <v>5098.66</v>
      </c>
      <c r="O26" s="217">
        <f t="shared" ref="O26" si="167">(N26-N25)*20</f>
        <v>251.19999999998981</v>
      </c>
      <c r="P26" s="216">
        <v>4781.1499999999996</v>
      </c>
      <c r="Q26" s="217">
        <f t="shared" ref="Q26" si="168">(P26-P25)*20</f>
        <v>140.19999999998618</v>
      </c>
      <c r="R26" s="216">
        <v>6218.54</v>
      </c>
      <c r="S26" s="217">
        <f t="shared" ref="S26" si="169">(R26-R25)*20</f>
        <v>237.60000000000218</v>
      </c>
      <c r="T26" s="215">
        <v>3618.94</v>
      </c>
      <c r="U26" s="217">
        <f t="shared" ref="U26" si="170">(T26-T25)*20</f>
        <v>90.799999999999272</v>
      </c>
      <c r="V26" s="218">
        <f t="shared" si="9"/>
        <v>1752.7999999999975</v>
      </c>
      <c r="W26" s="4">
        <f t="shared" si="10"/>
        <v>2532270.1599999964</v>
      </c>
    </row>
    <row r="27" spans="1:23" x14ac:dyDescent="0.25">
      <c r="A27" s="214">
        <v>23</v>
      </c>
      <c r="B27" s="215">
        <v>2581.29</v>
      </c>
      <c r="C27" s="217">
        <f t="shared" si="0"/>
        <v>88.19999999999709</v>
      </c>
      <c r="D27" s="215">
        <v>7936.17</v>
      </c>
      <c r="E27" s="217">
        <f t="shared" si="0"/>
        <v>301.59999999999854</v>
      </c>
      <c r="F27" s="215">
        <v>4620.3999999999996</v>
      </c>
      <c r="G27" s="217">
        <f t="shared" ref="G27" si="171">(F27-F26)*20</f>
        <v>16.199999999989814</v>
      </c>
      <c r="H27" s="215">
        <v>8999.0400000000009</v>
      </c>
      <c r="I27" s="217">
        <f t="shared" ref="I27" si="172">(H27-H26)*20</f>
        <v>480.6000000000131</v>
      </c>
      <c r="J27" s="215">
        <v>7858.45</v>
      </c>
      <c r="K27" s="217">
        <f t="shared" ref="K27" si="173">(J27-J26)*20</f>
        <v>492.99999999999272</v>
      </c>
      <c r="L27" s="215">
        <v>6317.61</v>
      </c>
      <c r="M27" s="217">
        <f t="shared" ref="M27" si="174">(L27-L26)*20</f>
        <v>354.79999999999563</v>
      </c>
      <c r="N27" s="215">
        <v>5113.2299999999996</v>
      </c>
      <c r="O27" s="217">
        <f t="shared" ref="O27" si="175">(N27-N26)*20</f>
        <v>291.39999999999418</v>
      </c>
      <c r="P27" s="216">
        <v>4787.7</v>
      </c>
      <c r="Q27" s="217">
        <f t="shared" ref="Q27" si="176">(P27-P26)*20</f>
        <v>131.00000000000364</v>
      </c>
      <c r="R27" s="216">
        <v>6230.61</v>
      </c>
      <c r="S27" s="217">
        <f t="shared" ref="S27" si="177">(R27-R26)*20</f>
        <v>241.39999999999418</v>
      </c>
      <c r="T27" s="215">
        <v>3624.19</v>
      </c>
      <c r="U27" s="217">
        <f t="shared" ref="U27" si="178">(T27-T26)*20</f>
        <v>105</v>
      </c>
      <c r="V27" s="218">
        <f t="shared" si="9"/>
        <v>2503.1999999999789</v>
      </c>
      <c r="W27" s="4">
        <f t="shared" si="10"/>
        <v>3616373.0399999698</v>
      </c>
    </row>
    <row r="28" spans="1:23" x14ac:dyDescent="0.25">
      <c r="A28" s="214">
        <v>24</v>
      </c>
      <c r="B28" s="215">
        <v>2586.92</v>
      </c>
      <c r="C28" s="217">
        <f t="shared" si="0"/>
        <v>112.60000000000218</v>
      </c>
      <c r="D28" s="215">
        <v>7962.49</v>
      </c>
      <c r="E28" s="217">
        <f t="shared" si="0"/>
        <v>526.39999999999418</v>
      </c>
      <c r="F28" s="215">
        <v>4621.28</v>
      </c>
      <c r="G28" s="217">
        <f t="shared" ref="G28" si="179">(F28-F27)*20</f>
        <v>17.600000000002183</v>
      </c>
      <c r="H28" s="215">
        <v>9028.66</v>
      </c>
      <c r="I28" s="217">
        <f t="shared" ref="I28" si="180">(H28-H27)*20</f>
        <v>592.39999999997963</v>
      </c>
      <c r="J28" s="215">
        <v>7883.84</v>
      </c>
      <c r="K28" s="217">
        <f t="shared" ref="K28" si="181">(J28-J27)*20</f>
        <v>507.80000000000655</v>
      </c>
      <c r="L28" s="215">
        <v>6330.89</v>
      </c>
      <c r="M28" s="217">
        <f t="shared" ref="M28" si="182">(L28-L27)*20</f>
        <v>265.6000000000131</v>
      </c>
      <c r="N28" s="215">
        <v>5128.2700000000004</v>
      </c>
      <c r="O28" s="217">
        <f t="shared" ref="O28" si="183">(N28-N27)*20</f>
        <v>300.80000000001746</v>
      </c>
      <c r="P28" s="216">
        <v>4795.1899999999996</v>
      </c>
      <c r="Q28" s="217">
        <f t="shared" ref="Q28" si="184">(P28-P27)*20</f>
        <v>149.79999999999563</v>
      </c>
      <c r="R28" s="216">
        <v>6244.07</v>
      </c>
      <c r="S28" s="217">
        <f t="shared" ref="S28" si="185">(R28-R27)*20</f>
        <v>269.20000000000073</v>
      </c>
      <c r="T28" s="215">
        <v>3628.46</v>
      </c>
      <c r="U28" s="217">
        <f t="shared" ref="U28" si="186">(T28-T27)*20</f>
        <v>85.399999999999636</v>
      </c>
      <c r="V28" s="218">
        <f t="shared" si="9"/>
        <v>2827.6000000000113</v>
      </c>
      <c r="W28" s="4">
        <f t="shared" si="10"/>
        <v>4085033.7200000165</v>
      </c>
    </row>
    <row r="29" spans="1:23" x14ac:dyDescent="0.25">
      <c r="A29" s="214">
        <v>25</v>
      </c>
      <c r="B29" s="215">
        <v>2591.81</v>
      </c>
      <c r="C29" s="217">
        <f t="shared" si="0"/>
        <v>97.799999999997453</v>
      </c>
      <c r="D29" s="215">
        <v>7992.39</v>
      </c>
      <c r="E29" s="217">
        <f t="shared" si="0"/>
        <v>598.00000000001091</v>
      </c>
      <c r="F29" s="215">
        <v>4622.07</v>
      </c>
      <c r="G29" s="217">
        <f t="shared" ref="G29" si="187">(F29-F28)*20</f>
        <v>15.799999999999272</v>
      </c>
      <c r="H29" s="215">
        <v>9056.61</v>
      </c>
      <c r="I29" s="217">
        <f t="shared" ref="I29" si="188">(H29-H28)*20</f>
        <v>559.00000000001455</v>
      </c>
      <c r="J29" s="215">
        <v>7906.01</v>
      </c>
      <c r="K29" s="217">
        <f t="shared" ref="K29" si="189">(J29-J28)*20</f>
        <v>443.40000000000146</v>
      </c>
      <c r="L29" s="215">
        <v>6351.13</v>
      </c>
      <c r="M29" s="217">
        <f t="shared" ref="M29" si="190">(L29-L28)*20</f>
        <v>404.79999999999563</v>
      </c>
      <c r="N29" s="215">
        <v>5142.67</v>
      </c>
      <c r="O29" s="217">
        <f t="shared" ref="O29" si="191">(N29-N28)*20</f>
        <v>287.99999999999272</v>
      </c>
      <c r="P29" s="216">
        <v>4804.22</v>
      </c>
      <c r="Q29" s="217">
        <f t="shared" ref="Q29" si="192">(P29-P28)*20</f>
        <v>180.6000000000131</v>
      </c>
      <c r="R29" s="216">
        <v>6255.46</v>
      </c>
      <c r="S29" s="217">
        <f t="shared" ref="S29" si="193">(R29-R28)*20</f>
        <v>227.80000000000655</v>
      </c>
      <c r="T29" s="215">
        <v>3632.01</v>
      </c>
      <c r="U29" s="217">
        <f t="shared" ref="U29" si="194">(T29-T28)*20</f>
        <v>71.000000000003638</v>
      </c>
      <c r="V29" s="218">
        <f t="shared" si="9"/>
        <v>2886.2000000000353</v>
      </c>
      <c r="W29" s="4">
        <f t="shared" si="10"/>
        <v>4169693.1400000509</v>
      </c>
    </row>
    <row r="30" spans="1:23" x14ac:dyDescent="0.25">
      <c r="A30" s="214">
        <v>26</v>
      </c>
      <c r="B30" s="215">
        <v>2597.08</v>
      </c>
      <c r="C30" s="217">
        <f t="shared" si="0"/>
        <v>105.39999999999964</v>
      </c>
      <c r="D30" s="215">
        <v>8021.66</v>
      </c>
      <c r="E30" s="217">
        <f t="shared" si="0"/>
        <v>585.39999999999054</v>
      </c>
      <c r="F30" s="215">
        <v>4622.88</v>
      </c>
      <c r="G30" s="217">
        <f t="shared" ref="G30" si="195">(F30-F29)*20</f>
        <v>16.200000000008004</v>
      </c>
      <c r="H30" s="215">
        <v>9080.42</v>
      </c>
      <c r="I30" s="217">
        <f t="shared" ref="I30" si="196">(H30-H29)*20</f>
        <v>476.19999999998981</v>
      </c>
      <c r="J30" s="215">
        <v>7926.59</v>
      </c>
      <c r="K30" s="217">
        <f t="shared" ref="K30" si="197">(J30-J29)*20</f>
        <v>411.59999999999854</v>
      </c>
      <c r="L30" s="215">
        <v>6372.21</v>
      </c>
      <c r="M30" s="217">
        <f t="shared" ref="M30" si="198">(L30-L29)*20</f>
        <v>421.59999999999854</v>
      </c>
      <c r="N30" s="215">
        <v>5162.05</v>
      </c>
      <c r="O30" s="217">
        <f t="shared" ref="O30" si="199">(N30-N29)*20</f>
        <v>387.60000000000218</v>
      </c>
      <c r="P30" s="216">
        <v>4824.1899999999996</v>
      </c>
      <c r="Q30" s="217">
        <f t="shared" ref="Q30" si="200">(P30-P29)*20</f>
        <v>399.3999999999869</v>
      </c>
      <c r="R30" s="216">
        <v>6269.03</v>
      </c>
      <c r="S30" s="217">
        <f t="shared" ref="S30" si="201">(R30-R29)*20</f>
        <v>271.39999999999418</v>
      </c>
      <c r="T30" s="215">
        <v>3637.89</v>
      </c>
      <c r="U30" s="217">
        <f t="shared" ref="U30" si="202">(T30-T29)*20</f>
        <v>117.59999999999309</v>
      </c>
      <c r="V30" s="218">
        <f t="shared" si="9"/>
        <v>3192.3999999999614</v>
      </c>
      <c r="W30" s="4">
        <f t="shared" si="10"/>
        <v>4612060.2799999444</v>
      </c>
    </row>
    <row r="31" spans="1:23" x14ac:dyDescent="0.25">
      <c r="A31" s="214">
        <v>27</v>
      </c>
      <c r="B31" s="215">
        <v>2601.9299999999998</v>
      </c>
      <c r="C31" s="217">
        <f t="shared" si="0"/>
        <v>96.999999999998181</v>
      </c>
      <c r="D31" s="215">
        <v>8041.61</v>
      </c>
      <c r="E31" s="217">
        <f t="shared" si="0"/>
        <v>398.99999999999636</v>
      </c>
      <c r="F31" s="215">
        <v>4623.8500000000004</v>
      </c>
      <c r="G31" s="217">
        <f t="shared" ref="G31" si="203">(F31-F30)*20</f>
        <v>19.400000000005093</v>
      </c>
      <c r="H31" s="215">
        <v>9102.25</v>
      </c>
      <c r="I31" s="217">
        <f t="shared" ref="I31" si="204">(H31-H30)*20</f>
        <v>436.59999999999854</v>
      </c>
      <c r="J31" s="215">
        <v>7945.98</v>
      </c>
      <c r="K31" s="217">
        <f t="shared" ref="K31" si="205">(J31-J30)*20</f>
        <v>387.79999999998836</v>
      </c>
      <c r="L31" s="215">
        <v>6398.13</v>
      </c>
      <c r="M31" s="217">
        <f t="shared" ref="M31" si="206">(L31-L30)*20</f>
        <v>518.40000000000146</v>
      </c>
      <c r="N31" s="215">
        <v>5174.25</v>
      </c>
      <c r="O31" s="217">
        <f t="shared" ref="O31" si="207">(N31-N30)*20</f>
        <v>243.99999999999636</v>
      </c>
      <c r="P31" s="216">
        <v>4842.25</v>
      </c>
      <c r="Q31" s="217">
        <f t="shared" ref="Q31" si="208">(P31-P30)*20</f>
        <v>361.200000000008</v>
      </c>
      <c r="R31" s="216">
        <v>6275.89</v>
      </c>
      <c r="S31" s="217">
        <f t="shared" ref="S31" si="209">(R31-R30)*20</f>
        <v>137.20000000001164</v>
      </c>
      <c r="T31" s="215">
        <v>3641.12</v>
      </c>
      <c r="U31" s="217">
        <f t="shared" ref="U31" si="210">(T31-T30)*20</f>
        <v>64.600000000000364</v>
      </c>
      <c r="V31" s="218">
        <f t="shared" si="9"/>
        <v>2665.2000000000044</v>
      </c>
      <c r="W31" s="4">
        <f t="shared" si="10"/>
        <v>3850414.4400000065</v>
      </c>
    </row>
    <row r="32" spans="1:23" x14ac:dyDescent="0.25">
      <c r="A32" s="214">
        <v>28</v>
      </c>
      <c r="B32" s="215">
        <v>2606.1799999999998</v>
      </c>
      <c r="C32" s="217">
        <f t="shared" si="0"/>
        <v>85</v>
      </c>
      <c r="D32" s="215">
        <v>8048.85</v>
      </c>
      <c r="E32" s="217">
        <f t="shared" si="0"/>
        <v>144.80000000001382</v>
      </c>
      <c r="F32" s="215">
        <v>4624.4399999999996</v>
      </c>
      <c r="G32" s="217">
        <f t="shared" ref="G32" si="211">(F32-F31)*20</f>
        <v>11.79999999998472</v>
      </c>
      <c r="H32" s="215">
        <v>9134.89</v>
      </c>
      <c r="I32" s="217">
        <f t="shared" ref="I32" si="212">(H32-H31)*20</f>
        <v>652.79999999998836</v>
      </c>
      <c r="J32" s="215">
        <v>7980.11</v>
      </c>
      <c r="K32" s="217">
        <f t="shared" ref="K32" si="213">(J32-J31)*20</f>
        <v>682.60000000000218</v>
      </c>
      <c r="L32" s="215">
        <v>6410.97</v>
      </c>
      <c r="M32" s="217">
        <f t="shared" ref="M32" si="214">(L32-L31)*20</f>
        <v>256.80000000000291</v>
      </c>
      <c r="N32" s="215">
        <v>5189.16</v>
      </c>
      <c r="O32" s="217">
        <f t="shared" ref="O32" si="215">(N32-N31)*20</f>
        <v>298.19999999999709</v>
      </c>
      <c r="P32" s="216">
        <v>4853.0600000000004</v>
      </c>
      <c r="Q32" s="217">
        <f t="shared" ref="Q32" si="216">(P32-P31)*20</f>
        <v>216.200000000008</v>
      </c>
      <c r="R32" s="216">
        <v>6294.41</v>
      </c>
      <c r="S32" s="217">
        <f t="shared" ref="S32" si="217">(R32-R31)*20</f>
        <v>370.39999999999054</v>
      </c>
      <c r="T32" s="215">
        <v>3645.95</v>
      </c>
      <c r="U32" s="217">
        <f t="shared" ref="U32" si="218">(T32-T31)*20</f>
        <v>96.599999999998545</v>
      </c>
      <c r="V32" s="218">
        <f t="shared" si="9"/>
        <v>2815.1999999999862</v>
      </c>
      <c r="W32" s="4">
        <f t="shared" si="10"/>
        <v>4067119.4399999804</v>
      </c>
    </row>
    <row r="33" spans="1:23" x14ac:dyDescent="0.25">
      <c r="A33" s="214">
        <v>29</v>
      </c>
      <c r="B33" s="216">
        <v>2611</v>
      </c>
      <c r="C33" s="217">
        <f t="shared" si="0"/>
        <v>96.400000000003274</v>
      </c>
      <c r="D33" s="215">
        <v>8054.68</v>
      </c>
      <c r="E33" s="217">
        <f t="shared" si="0"/>
        <v>116.59999999999854</v>
      </c>
      <c r="F33" s="215">
        <v>4625.28</v>
      </c>
      <c r="G33" s="217">
        <f t="shared" ref="G33" si="219">(F33-F32)*20</f>
        <v>16.80000000000291</v>
      </c>
      <c r="H33" s="215">
        <v>9156.75</v>
      </c>
      <c r="I33" s="217">
        <f t="shared" ref="I33" si="220">(H33-H32)*20</f>
        <v>437.20000000001164</v>
      </c>
      <c r="J33" s="215">
        <v>8001.07</v>
      </c>
      <c r="K33" s="217">
        <f t="shared" ref="K33" si="221">(J33-J32)*20</f>
        <v>419.20000000000073</v>
      </c>
      <c r="L33" s="215">
        <v>6425.7</v>
      </c>
      <c r="M33" s="217">
        <f t="shared" ref="M33" si="222">(L33-L32)*20</f>
        <v>294.59999999999127</v>
      </c>
      <c r="N33" s="215">
        <v>5192.41</v>
      </c>
      <c r="O33" s="217">
        <f t="shared" ref="O33" si="223">(N33-N32)*20</f>
        <v>65</v>
      </c>
      <c r="P33" s="216">
        <v>4859.83</v>
      </c>
      <c r="Q33" s="217">
        <f t="shared" ref="Q33" si="224">(P33-P32)*20</f>
        <v>135.39999999999054</v>
      </c>
      <c r="R33" s="216">
        <v>6303.4</v>
      </c>
      <c r="S33" s="217">
        <f t="shared" ref="S33" si="225">(R33-R32)*20</f>
        <v>179.79999999999563</v>
      </c>
      <c r="T33" s="215">
        <v>3649.53</v>
      </c>
      <c r="U33" s="217">
        <f t="shared" ref="U33" si="226">(T33-T32)*20</f>
        <v>71.60000000000764</v>
      </c>
      <c r="V33" s="218">
        <f t="shared" si="9"/>
        <v>1832.6000000000022</v>
      </c>
      <c r="W33" s="4">
        <f t="shared" si="10"/>
        <v>2647557.2200000035</v>
      </c>
    </row>
    <row r="34" spans="1:23" x14ac:dyDescent="0.25">
      <c r="A34" s="214">
        <v>30</v>
      </c>
      <c r="B34" s="215">
        <v>2616.0100000000002</v>
      </c>
      <c r="C34" s="217">
        <f t="shared" si="0"/>
        <v>100.20000000000437</v>
      </c>
      <c r="D34" s="215">
        <v>8061.72</v>
      </c>
      <c r="E34" s="217">
        <f t="shared" si="0"/>
        <v>140.79999999999927</v>
      </c>
      <c r="F34" s="215">
        <v>4626.1000000000004</v>
      </c>
      <c r="G34" s="217">
        <f t="shared" ref="G34" si="227">(F34-F33)*20</f>
        <v>16.400000000012369</v>
      </c>
      <c r="H34" s="215">
        <v>9176.35</v>
      </c>
      <c r="I34" s="217">
        <f t="shared" ref="I34" si="228">(H34-H33)*20</f>
        <v>392.00000000000728</v>
      </c>
      <c r="J34" s="215">
        <v>8020.98</v>
      </c>
      <c r="K34" s="217">
        <f t="shared" ref="K34" si="229">(J34-J33)*20</f>
        <v>398.19999999999709</v>
      </c>
      <c r="L34" s="215">
        <v>6441.9</v>
      </c>
      <c r="M34" s="217">
        <f t="shared" ref="M34" si="230">(L34-L33)*20</f>
        <v>323.99999999999636</v>
      </c>
      <c r="N34" s="215">
        <v>5204.37</v>
      </c>
      <c r="O34" s="217">
        <f t="shared" ref="O34" si="231">(N34-N33)*20</f>
        <v>239.20000000000073</v>
      </c>
      <c r="P34" s="216">
        <v>4866.28</v>
      </c>
      <c r="Q34" s="217">
        <f t="shared" ref="Q34" si="232">(P34-P33)*20</f>
        <v>128.99999999999636</v>
      </c>
      <c r="R34" s="216">
        <v>6311.34</v>
      </c>
      <c r="S34" s="217">
        <f t="shared" ref="S34" si="233">(R34-R33)*20</f>
        <v>158.80000000001019</v>
      </c>
      <c r="T34" s="215">
        <v>3652.31</v>
      </c>
      <c r="U34" s="217">
        <f t="shared" ref="U34" si="234">(T34-T33)*20</f>
        <v>55.599999999994907</v>
      </c>
      <c r="V34" s="218">
        <f t="shared" si="9"/>
        <v>1954.2000000000189</v>
      </c>
      <c r="W34" s="4">
        <f t="shared" si="10"/>
        <v>2823232.7400000272</v>
      </c>
    </row>
    <row r="35" spans="1:23" x14ac:dyDescent="0.25">
      <c r="A35" s="214">
        <v>31</v>
      </c>
      <c r="B35" s="215">
        <v>2621.3200000000002</v>
      </c>
      <c r="C35" s="217">
        <f t="shared" si="0"/>
        <v>106.19999999999891</v>
      </c>
      <c r="D35" s="215">
        <v>8084.26</v>
      </c>
      <c r="E35" s="217">
        <f t="shared" si="0"/>
        <v>450.79999999999927</v>
      </c>
      <c r="F35" s="215">
        <v>4626.87</v>
      </c>
      <c r="G35" s="217">
        <f t="shared" ref="G35" si="235">(F35-F34)*20</f>
        <v>15.399999999990541</v>
      </c>
      <c r="H35" s="215">
        <v>9201.24</v>
      </c>
      <c r="I35" s="217">
        <f t="shared" ref="I35" si="236">(H35-H34)*20</f>
        <v>497.79999999998836</v>
      </c>
      <c r="J35" s="215">
        <v>8043.92</v>
      </c>
      <c r="K35" s="217">
        <f t="shared" ref="K35" si="237">(J35-J34)*20</f>
        <v>458.80000000001019</v>
      </c>
      <c r="L35" s="215">
        <v>6460.52</v>
      </c>
      <c r="M35" s="217">
        <f t="shared" ref="M35" si="238">(L35-L34)*20</f>
        <v>372.40000000001601</v>
      </c>
      <c r="N35" s="215">
        <v>5219.83</v>
      </c>
      <c r="O35" s="217">
        <f t="shared" ref="O35" si="239">(N35-N34)*20</f>
        <v>309.20000000000073</v>
      </c>
      <c r="P35" s="216">
        <v>4880.38</v>
      </c>
      <c r="Q35" s="217">
        <f t="shared" ref="Q35" si="240">(P35-P34)*20</f>
        <v>282.00000000000728</v>
      </c>
      <c r="R35" s="216">
        <v>6322.08</v>
      </c>
      <c r="S35" s="217">
        <f t="shared" ref="S35" si="241">(R35-R34)*20</f>
        <v>214.79999999999563</v>
      </c>
      <c r="T35" s="215">
        <v>3655.53</v>
      </c>
      <c r="U35" s="217">
        <f t="shared" ref="U35" si="242">(T35-T34)*20</f>
        <v>64.400000000005093</v>
      </c>
      <c r="V35" s="218">
        <f t="shared" si="9"/>
        <v>2771.800000000012</v>
      </c>
      <c r="W35" s="4">
        <f t="shared" si="10"/>
        <v>4004419.4600000177</v>
      </c>
    </row>
    <row r="36" spans="1:23" x14ac:dyDescent="0.25">
      <c r="C36" s="219">
        <f>SUM(C5:C35)</f>
        <v>3307.0000000000073</v>
      </c>
      <c r="E36" s="219">
        <f>SUM(E5:E35)</f>
        <v>7998.8000000000102</v>
      </c>
      <c r="G36" s="219">
        <f>SUM(G5:G35)</f>
        <v>525.39999999999054</v>
      </c>
      <c r="I36" s="219">
        <f>SUM(I5:I35)</f>
        <v>11079.799999999996</v>
      </c>
      <c r="K36" s="219">
        <f>SUM(K5:K35)</f>
        <v>10486.800000000003</v>
      </c>
      <c r="M36" s="219">
        <f>SUM(M5:M35)</f>
        <v>10675.800000000017</v>
      </c>
      <c r="O36" s="219">
        <f>SUM(O5:O35)</f>
        <v>7943.4000000000015</v>
      </c>
      <c r="Q36" s="219">
        <f>SUM(Q5:Q35)</f>
        <v>7115.5999999999949</v>
      </c>
      <c r="S36" s="219">
        <f>SUM(S5:S35)</f>
        <v>6746.0000000000036</v>
      </c>
      <c r="U36" s="219">
        <f>SUM(U5:U35)</f>
        <v>2626.8000000000029</v>
      </c>
      <c r="V36" s="219">
        <f>SUM(V5:V35)</f>
        <v>68505.400000000052</v>
      </c>
    </row>
    <row r="37" spans="1:23" x14ac:dyDescent="0.25">
      <c r="C37" s="219"/>
    </row>
  </sheetData>
  <mergeCells count="11">
    <mergeCell ref="N2:O2"/>
    <mergeCell ref="P2:Q2"/>
    <mergeCell ref="R2:S2"/>
    <mergeCell ref="T2:U2"/>
    <mergeCell ref="A2:A3"/>
    <mergeCell ref="B2:C2"/>
    <mergeCell ref="D2:E2"/>
    <mergeCell ref="F2:G2"/>
    <mergeCell ref="H2:I2"/>
    <mergeCell ref="J2:K2"/>
    <mergeCell ref="L2:M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7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D20" sqref="D20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 x14ac:dyDescent="0.35">
      <c r="A1" s="25" t="s">
        <v>28</v>
      </c>
    </row>
    <row r="2" spans="1:3" ht="18" x14ac:dyDescent="0.35">
      <c r="A2" s="274">
        <v>44531</v>
      </c>
      <c r="B2" s="275"/>
      <c r="C2" s="275"/>
    </row>
    <row r="3" spans="1:3" x14ac:dyDescent="0.25">
      <c r="A3" s="277" t="s">
        <v>1</v>
      </c>
      <c r="B3" s="276" t="s">
        <v>2</v>
      </c>
      <c r="C3" s="276" t="s">
        <v>3</v>
      </c>
    </row>
    <row r="4" spans="1:3" x14ac:dyDescent="0.25">
      <c r="A4" s="277"/>
      <c r="B4" s="276"/>
      <c r="C4" s="276"/>
    </row>
    <row r="5" spans="1:3" x14ac:dyDescent="0.25">
      <c r="A5" s="277"/>
      <c r="B5" s="276"/>
      <c r="C5" s="276"/>
    </row>
    <row r="6" spans="1:3" x14ac:dyDescent="0.25">
      <c r="A6" s="2">
        <v>1</v>
      </c>
      <c r="B6" s="2">
        <v>15</v>
      </c>
      <c r="C6" s="2">
        <v>97</v>
      </c>
    </row>
    <row r="7" spans="1:3" x14ac:dyDescent="0.25">
      <c r="A7" s="2">
        <v>2</v>
      </c>
      <c r="B7" s="2">
        <v>18</v>
      </c>
      <c r="C7" s="2">
        <v>135</v>
      </c>
    </row>
    <row r="8" spans="1:3" x14ac:dyDescent="0.25">
      <c r="A8" s="2">
        <f>A7+1</f>
        <v>3</v>
      </c>
      <c r="B8" s="2">
        <v>14</v>
      </c>
      <c r="C8" s="2">
        <v>162</v>
      </c>
    </row>
    <row r="9" spans="1:3" x14ac:dyDescent="0.25">
      <c r="A9" s="2">
        <f>A8+1</f>
        <v>4</v>
      </c>
      <c r="B9" s="2">
        <v>9</v>
      </c>
      <c r="C9" s="2">
        <v>119</v>
      </c>
    </row>
    <row r="10" spans="1:3" x14ac:dyDescent="0.25">
      <c r="A10" s="2">
        <f t="shared" ref="A10:A36" si="0">A9+1</f>
        <v>5</v>
      </c>
      <c r="B10" s="2">
        <v>4</v>
      </c>
      <c r="C10" s="2">
        <v>136</v>
      </c>
    </row>
    <row r="11" spans="1:3" x14ac:dyDescent="0.25">
      <c r="A11" s="2">
        <f t="shared" si="0"/>
        <v>6</v>
      </c>
      <c r="B11" s="2">
        <v>12</v>
      </c>
      <c r="C11" s="2">
        <v>53</v>
      </c>
    </row>
    <row r="12" spans="1:3" x14ac:dyDescent="0.25">
      <c r="A12" s="2">
        <f t="shared" si="0"/>
        <v>7</v>
      </c>
      <c r="B12" s="2">
        <v>10</v>
      </c>
      <c r="C12" s="2">
        <v>79</v>
      </c>
    </row>
    <row r="13" spans="1:3" x14ac:dyDescent="0.25">
      <c r="A13" s="2">
        <f t="shared" si="0"/>
        <v>8</v>
      </c>
      <c r="B13" s="2">
        <v>12</v>
      </c>
      <c r="C13" s="2">
        <v>77</v>
      </c>
    </row>
    <row r="14" spans="1:3" x14ac:dyDescent="0.25">
      <c r="A14" s="2">
        <f t="shared" si="0"/>
        <v>9</v>
      </c>
      <c r="B14" s="2">
        <v>13</v>
      </c>
      <c r="C14" s="2">
        <v>101</v>
      </c>
    </row>
    <row r="15" spans="1:3" x14ac:dyDescent="0.25">
      <c r="A15" s="2">
        <f t="shared" si="0"/>
        <v>10</v>
      </c>
      <c r="B15" s="2">
        <v>17</v>
      </c>
      <c r="C15" s="2">
        <v>145</v>
      </c>
    </row>
    <row r="16" spans="1:3" x14ac:dyDescent="0.25">
      <c r="A16" s="2">
        <f t="shared" si="0"/>
        <v>11</v>
      </c>
      <c r="B16" s="2">
        <v>22</v>
      </c>
      <c r="C16" s="2">
        <v>365</v>
      </c>
    </row>
    <row r="17" spans="1:3" x14ac:dyDescent="0.25">
      <c r="A17" s="2">
        <f t="shared" si="0"/>
        <v>12</v>
      </c>
      <c r="B17" s="2">
        <v>26</v>
      </c>
      <c r="C17" s="2">
        <v>194</v>
      </c>
    </row>
    <row r="18" spans="1:3" x14ac:dyDescent="0.25">
      <c r="A18" s="2">
        <f t="shared" si="0"/>
        <v>13</v>
      </c>
      <c r="B18" s="2">
        <v>30</v>
      </c>
      <c r="C18" s="2">
        <v>189</v>
      </c>
    </row>
    <row r="19" spans="1:3" x14ac:dyDescent="0.25">
      <c r="A19" s="2">
        <f t="shared" si="0"/>
        <v>14</v>
      </c>
      <c r="B19" s="2">
        <v>21</v>
      </c>
      <c r="C19" s="2">
        <v>194</v>
      </c>
    </row>
    <row r="20" spans="1:3" x14ac:dyDescent="0.25">
      <c r="A20" s="2">
        <f t="shared" si="0"/>
        <v>15</v>
      </c>
      <c r="B20" s="2">
        <v>21</v>
      </c>
      <c r="C20" s="2">
        <v>177</v>
      </c>
    </row>
    <row r="21" spans="1:3" x14ac:dyDescent="0.25">
      <c r="A21" s="2">
        <f t="shared" si="0"/>
        <v>16</v>
      </c>
      <c r="B21" s="2">
        <v>23</v>
      </c>
      <c r="C21" s="2">
        <v>148</v>
      </c>
    </row>
    <row r="22" spans="1:3" x14ac:dyDescent="0.25">
      <c r="A22" s="2">
        <f t="shared" si="0"/>
        <v>17</v>
      </c>
      <c r="B22" s="2">
        <v>44</v>
      </c>
      <c r="C22" s="2">
        <v>214</v>
      </c>
    </row>
    <row r="23" spans="1:3" x14ac:dyDescent="0.25">
      <c r="A23" s="2">
        <f t="shared" si="0"/>
        <v>18</v>
      </c>
      <c r="B23" s="2">
        <v>53</v>
      </c>
      <c r="C23" s="2">
        <v>245</v>
      </c>
    </row>
    <row r="24" spans="1:3" x14ac:dyDescent="0.25">
      <c r="A24" s="2">
        <f t="shared" si="0"/>
        <v>19</v>
      </c>
      <c r="B24" s="2">
        <v>31</v>
      </c>
      <c r="C24" s="2">
        <v>286</v>
      </c>
    </row>
    <row r="25" spans="1:3" x14ac:dyDescent="0.25">
      <c r="A25" s="2">
        <f t="shared" si="0"/>
        <v>20</v>
      </c>
      <c r="B25" s="2">
        <v>26</v>
      </c>
      <c r="C25" s="2">
        <v>172</v>
      </c>
    </row>
    <row r="26" spans="1:3" x14ac:dyDescent="0.25">
      <c r="A26" s="2">
        <f t="shared" si="0"/>
        <v>21</v>
      </c>
      <c r="B26" s="2">
        <v>21</v>
      </c>
      <c r="C26" s="2">
        <v>158</v>
      </c>
    </row>
    <row r="27" spans="1:3" x14ac:dyDescent="0.25">
      <c r="A27" s="2">
        <f t="shared" si="0"/>
        <v>22</v>
      </c>
      <c r="B27" s="2">
        <v>23</v>
      </c>
      <c r="C27" s="2">
        <v>280</v>
      </c>
    </row>
    <row r="28" spans="1:3" x14ac:dyDescent="0.25">
      <c r="A28" s="2">
        <f t="shared" si="0"/>
        <v>23</v>
      </c>
      <c r="B28" s="2">
        <v>18</v>
      </c>
      <c r="C28" s="2">
        <v>168</v>
      </c>
    </row>
    <row r="29" spans="1:3" x14ac:dyDescent="0.25">
      <c r="A29" s="2">
        <f t="shared" si="0"/>
        <v>24</v>
      </c>
      <c r="B29" s="2">
        <v>14</v>
      </c>
      <c r="C29" s="2">
        <v>201</v>
      </c>
    </row>
    <row r="30" spans="1:3" x14ac:dyDescent="0.25">
      <c r="A30" s="2">
        <f t="shared" si="0"/>
        <v>25</v>
      </c>
      <c r="B30" s="2">
        <v>17</v>
      </c>
      <c r="C30" s="2">
        <v>224</v>
      </c>
    </row>
    <row r="31" spans="1:3" x14ac:dyDescent="0.25">
      <c r="A31" s="2">
        <f t="shared" si="0"/>
        <v>26</v>
      </c>
      <c r="B31" s="2">
        <v>18</v>
      </c>
      <c r="C31" s="2">
        <v>270</v>
      </c>
    </row>
    <row r="32" spans="1:3" x14ac:dyDescent="0.25">
      <c r="A32" s="2">
        <f t="shared" si="0"/>
        <v>27</v>
      </c>
      <c r="B32" s="2">
        <v>22</v>
      </c>
      <c r="C32" s="2">
        <v>150</v>
      </c>
    </row>
    <row r="33" spans="1:3" x14ac:dyDescent="0.25">
      <c r="A33" s="2">
        <f t="shared" si="0"/>
        <v>28</v>
      </c>
      <c r="B33" s="2">
        <v>22</v>
      </c>
      <c r="C33" s="2">
        <v>194</v>
      </c>
    </row>
    <row r="34" spans="1:3" x14ac:dyDescent="0.25">
      <c r="A34" s="2">
        <f t="shared" si="0"/>
        <v>29</v>
      </c>
      <c r="B34" s="2">
        <v>24</v>
      </c>
      <c r="C34" s="2">
        <v>190</v>
      </c>
    </row>
    <row r="35" spans="1:3" x14ac:dyDescent="0.25">
      <c r="A35" s="2">
        <f t="shared" si="0"/>
        <v>30</v>
      </c>
      <c r="B35" s="2">
        <v>25</v>
      </c>
      <c r="C35" s="2">
        <v>175</v>
      </c>
    </row>
    <row r="36" spans="1:3" x14ac:dyDescent="0.25">
      <c r="A36" s="2">
        <f t="shared" si="0"/>
        <v>31</v>
      </c>
      <c r="B36" s="2">
        <v>38</v>
      </c>
      <c r="C36" s="2">
        <v>197</v>
      </c>
    </row>
    <row r="37" spans="1:3" x14ac:dyDescent="0.25">
      <c r="B37" s="6">
        <f>SUM(B6:B36)</f>
        <v>663</v>
      </c>
      <c r="C37" s="6">
        <f>SUM(C6:C36)</f>
        <v>5495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8:E29"/>
  <sheetViews>
    <sheetView workbookViewId="0">
      <selection activeCell="E8" sqref="E8"/>
    </sheetView>
  </sheetViews>
  <sheetFormatPr defaultRowHeight="15" x14ac:dyDescent="0.25"/>
  <cols>
    <col min="3" max="3" width="14.5703125" bestFit="1" customWidth="1"/>
    <col min="4" max="4" width="30.140625" bestFit="1" customWidth="1"/>
    <col min="5" max="5" width="14.28515625" style="4" bestFit="1" customWidth="1"/>
  </cols>
  <sheetData>
    <row r="8" spans="3:5" x14ac:dyDescent="0.25">
      <c r="C8" s="2" t="s">
        <v>56</v>
      </c>
      <c r="D8" s="2" t="s">
        <v>57</v>
      </c>
      <c r="E8" s="3">
        <v>3310</v>
      </c>
    </row>
    <row r="9" spans="3:5" x14ac:dyDescent="0.25">
      <c r="C9" s="2"/>
      <c r="D9" s="2" t="s">
        <v>58</v>
      </c>
      <c r="E9" s="202">
        <v>5021055</v>
      </c>
    </row>
    <row r="10" spans="3:5" x14ac:dyDescent="0.25">
      <c r="C10" s="2" t="s">
        <v>59</v>
      </c>
      <c r="D10" s="2" t="s">
        <v>60</v>
      </c>
      <c r="E10" s="3">
        <v>8074</v>
      </c>
    </row>
    <row r="11" spans="3:5" x14ac:dyDescent="0.25">
      <c r="C11" s="2"/>
      <c r="D11" s="2" t="s">
        <v>58</v>
      </c>
      <c r="E11" s="202">
        <v>13414184</v>
      </c>
    </row>
    <row r="12" spans="3:5" x14ac:dyDescent="0.25">
      <c r="C12" s="2" t="s">
        <v>61</v>
      </c>
      <c r="D12" s="2" t="s">
        <v>62</v>
      </c>
      <c r="E12" s="3">
        <v>522</v>
      </c>
    </row>
    <row r="13" spans="3:5" x14ac:dyDescent="0.25">
      <c r="C13" s="2"/>
      <c r="D13" s="2" t="s">
        <v>58</v>
      </c>
      <c r="E13" s="202">
        <v>3522178</v>
      </c>
    </row>
    <row r="14" spans="3:5" x14ac:dyDescent="0.25">
      <c r="C14" s="2" t="s">
        <v>63</v>
      </c>
      <c r="D14" s="2" t="s">
        <v>64</v>
      </c>
      <c r="E14" s="3">
        <v>11167</v>
      </c>
    </row>
    <row r="15" spans="3:5" x14ac:dyDescent="0.25">
      <c r="C15" s="2"/>
      <c r="D15" s="2" t="s">
        <v>58</v>
      </c>
      <c r="E15" s="202">
        <v>18552910</v>
      </c>
    </row>
    <row r="16" spans="3:5" x14ac:dyDescent="0.25">
      <c r="C16" s="2" t="s">
        <v>65</v>
      </c>
      <c r="D16" s="2" t="s">
        <v>66</v>
      </c>
      <c r="E16" s="3">
        <v>10539</v>
      </c>
    </row>
    <row r="17" spans="3:5" x14ac:dyDescent="0.25">
      <c r="C17" s="2"/>
      <c r="D17" s="2" t="s">
        <v>58</v>
      </c>
      <c r="E17" s="202">
        <v>17509547</v>
      </c>
    </row>
    <row r="18" spans="3:5" x14ac:dyDescent="0.25">
      <c r="C18" s="2" t="s">
        <v>67</v>
      </c>
      <c r="D18" s="2" t="s">
        <v>68</v>
      </c>
      <c r="E18" s="3">
        <v>10735</v>
      </c>
    </row>
    <row r="19" spans="3:5" x14ac:dyDescent="0.25">
      <c r="C19" s="2"/>
      <c r="D19" s="2" t="s">
        <v>58</v>
      </c>
      <c r="E19" s="202">
        <v>17835184</v>
      </c>
    </row>
    <row r="20" spans="3:5" x14ac:dyDescent="0.25">
      <c r="C20" s="2" t="s">
        <v>69</v>
      </c>
      <c r="D20" s="2" t="s">
        <v>70</v>
      </c>
      <c r="E20" s="3">
        <v>7993</v>
      </c>
    </row>
    <row r="21" spans="3:5" x14ac:dyDescent="0.25">
      <c r="C21" s="2"/>
      <c r="D21" s="2" t="s">
        <v>58</v>
      </c>
      <c r="E21" s="202">
        <v>13279610</v>
      </c>
    </row>
    <row r="22" spans="3:5" x14ac:dyDescent="0.25">
      <c r="C22" s="2" t="s">
        <v>71</v>
      </c>
      <c r="D22" s="2" t="s">
        <v>72</v>
      </c>
      <c r="E22" s="3">
        <v>7108</v>
      </c>
    </row>
    <row r="23" spans="3:5" x14ac:dyDescent="0.25">
      <c r="C23" s="2"/>
      <c r="D23" s="2" t="s">
        <v>58</v>
      </c>
      <c r="E23" s="202">
        <v>11809267</v>
      </c>
    </row>
    <row r="24" spans="3:5" x14ac:dyDescent="0.25">
      <c r="C24" s="2" t="s">
        <v>73</v>
      </c>
      <c r="D24" s="2" t="s">
        <v>74</v>
      </c>
      <c r="E24" s="3">
        <v>6755</v>
      </c>
    </row>
    <row r="25" spans="3:5" x14ac:dyDescent="0.25">
      <c r="C25" s="2"/>
      <c r="D25" s="2" t="s">
        <v>58</v>
      </c>
      <c r="E25" s="202">
        <v>11222791</v>
      </c>
    </row>
    <row r="26" spans="3:5" x14ac:dyDescent="0.25">
      <c r="C26" s="2" t="s">
        <v>75</v>
      </c>
      <c r="D26" s="2" t="s">
        <v>76</v>
      </c>
      <c r="E26" s="3">
        <v>2627</v>
      </c>
    </row>
    <row r="27" spans="3:5" x14ac:dyDescent="0.25">
      <c r="C27" s="2"/>
      <c r="D27" s="2" t="s">
        <v>58</v>
      </c>
      <c r="E27" s="202">
        <v>4364511</v>
      </c>
    </row>
    <row r="28" spans="3:5" x14ac:dyDescent="0.25">
      <c r="C28" s="278" t="s">
        <v>77</v>
      </c>
      <c r="D28" s="278"/>
      <c r="E28" s="203">
        <f>+E8+E10+E12+E14+E16+E18+E20+E22+E24+E26</f>
        <v>68830</v>
      </c>
    </row>
    <row r="29" spans="3:5" x14ac:dyDescent="0.25">
      <c r="C29" s="278" t="s">
        <v>78</v>
      </c>
      <c r="D29" s="278"/>
      <c r="E29" s="204">
        <f>+E9+E11+E13+E15+E17+E19+E21+E23+E25+E27</f>
        <v>116531237</v>
      </c>
    </row>
  </sheetData>
  <mergeCells count="2">
    <mergeCell ref="C28:D28"/>
    <mergeCell ref="C29:D2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0f442fd14c8c2f27e599873b8aa4e1da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e4c8dcf7dcd090c9b8489b6930ce9acf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63AC17-9EFD-48DA-BB12-4FD1F7102A5E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  <ds:schemaRef ds:uri="ed2f2222-2bff-489f-89bb-9539c67e7b9c"/>
    <ds:schemaRef ds:uri="77842aba-bda6-4832-96cd-e75cb5324294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4C324EC-38EF-4CFC-9AFF-4A199CEAD0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FS Jimbaran December 2021</vt:lpstr>
      <vt:lpstr>Sheet1</vt:lpstr>
      <vt:lpstr>RNs &amp; Covers December 2021</vt:lpstr>
      <vt:lpstr>Residence Electricity Dec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Joe J. El Khoury</cp:lastModifiedBy>
  <cp:lastPrinted>2020-11-17T04:34:44Z</cp:lastPrinted>
  <dcterms:created xsi:type="dcterms:W3CDTF">2020-09-16T08:52:25Z</dcterms:created>
  <dcterms:modified xsi:type="dcterms:W3CDTF">2022-01-20T09:39:23Z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0x010100E0047CC794813E498F4E0E4373AD9880</vt:lpwstr>
  </property>
</Properties>
</file>