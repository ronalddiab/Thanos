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G31" i="3" l="1"/>
  <c r="AH10" i="3"/>
  <c r="AH11" i="3" s="1"/>
  <c r="AH12" i="3" s="1"/>
  <c r="AH13" i="3" s="1"/>
  <c r="AH14" i="3" s="1"/>
  <c r="AH15" i="3" s="1"/>
  <c r="AH16" i="3" s="1"/>
  <c r="AH17" i="3" s="1"/>
  <c r="AH18" i="3" s="1"/>
  <c r="AH19" i="3" s="1"/>
  <c r="AH20" i="3" s="1"/>
  <c r="AH21" i="3" s="1"/>
  <c r="AH9" i="3"/>
  <c r="AF9" i="3"/>
  <c r="AF10" i="3" s="1"/>
  <c r="AF11" i="3" s="1"/>
  <c r="AF12" i="3" s="1"/>
  <c r="AF13" i="3" s="1"/>
  <c r="AF14" i="3" s="1"/>
  <c r="AF15" i="3" s="1"/>
  <c r="AF16" i="3" s="1"/>
  <c r="AF17" i="3" s="1"/>
  <c r="AF18" i="3" s="1"/>
  <c r="AF19" i="3" s="1"/>
  <c r="AF20" i="3" s="1"/>
  <c r="AF21" i="3" s="1"/>
  <c r="AD9" i="3"/>
  <c r="AD10" i="3" s="1"/>
  <c r="AD11" i="3" s="1"/>
  <c r="AD12" i="3" s="1"/>
  <c r="AD13" i="3" s="1"/>
  <c r="AD14" i="3" s="1"/>
  <c r="AD15" i="3" s="1"/>
  <c r="AD16" i="3" s="1"/>
  <c r="AD17" i="3" s="1"/>
  <c r="AD18" i="3" s="1"/>
  <c r="AD19" i="3" s="1"/>
  <c r="AD20" i="3" s="1"/>
  <c r="AD21" i="3" s="1"/>
  <c r="AB10" i="3"/>
  <c r="AB11" i="3" s="1"/>
  <c r="AB12" i="3" s="1"/>
  <c r="AB13" i="3" s="1"/>
  <c r="AB14" i="3" s="1"/>
  <c r="AB15" i="3" s="1"/>
  <c r="AB16" i="3" s="1"/>
  <c r="AB17" i="3" s="1"/>
  <c r="AB18" i="3" s="1"/>
  <c r="AB19" i="3" s="1"/>
  <c r="AB20" i="3" s="1"/>
  <c r="AB21" i="3" s="1"/>
  <c r="AB9" i="3"/>
  <c r="Z11" i="3"/>
  <c r="Z12" i="3" s="1"/>
  <c r="Z13" i="3" s="1"/>
  <c r="Z14" i="3" s="1"/>
  <c r="Z15" i="3" s="1"/>
  <c r="Z16" i="3" s="1"/>
  <c r="Z17" i="3" s="1"/>
  <c r="Z18" i="3" s="1"/>
  <c r="Z19" i="3" s="1"/>
  <c r="Z20" i="3" s="1"/>
  <c r="Z21" i="3" s="1"/>
  <c r="Z10" i="3"/>
  <c r="Z9" i="3"/>
  <c r="W9" i="3"/>
  <c r="W10" i="3" s="1"/>
  <c r="W11" i="3" s="1"/>
  <c r="W12" i="3" s="1"/>
  <c r="W13" i="3" s="1"/>
  <c r="W14" i="3" s="1"/>
  <c r="W15" i="3" s="1"/>
  <c r="W16" i="3" s="1"/>
  <c r="W17" i="3" s="1"/>
  <c r="W18" i="3" s="1"/>
  <c r="W19" i="3" s="1"/>
  <c r="W20" i="3" s="1"/>
  <c r="W21" i="3" s="1"/>
  <c r="T9" i="3"/>
  <c r="T10" i="3" s="1"/>
  <c r="T11" i="3" s="1"/>
  <c r="T12" i="3" s="1"/>
  <c r="T13" i="3" s="1"/>
  <c r="T14" i="3" s="1"/>
  <c r="T15" i="3" s="1"/>
  <c r="T16" i="3" s="1"/>
  <c r="T17" i="3" s="1"/>
  <c r="T18" i="3" s="1"/>
  <c r="T19" i="3" s="1"/>
  <c r="T20" i="3" s="1"/>
  <c r="T21" i="3" s="1"/>
  <c r="Q9" i="3"/>
  <c r="Q10" i="3" s="1"/>
  <c r="Q11" i="3" s="1"/>
  <c r="Q12" i="3" s="1"/>
  <c r="Q13" i="3" s="1"/>
  <c r="Q14" i="3" s="1"/>
  <c r="Q15" i="3" s="1"/>
  <c r="Q16" i="3" s="1"/>
  <c r="Q17" i="3" s="1"/>
  <c r="Q18" i="3" s="1"/>
  <c r="Q19" i="3" s="1"/>
  <c r="Q20" i="3" s="1"/>
  <c r="Q21" i="3" s="1"/>
  <c r="N10" i="3"/>
  <c r="N11" i="3" s="1"/>
  <c r="N12" i="3" s="1"/>
  <c r="N13" i="3" s="1"/>
  <c r="N14" i="3" s="1"/>
  <c r="N15" i="3" s="1"/>
  <c r="N16" i="3" s="1"/>
  <c r="N17" i="3" s="1"/>
  <c r="N18" i="3" s="1"/>
  <c r="N19" i="3" s="1"/>
  <c r="N20" i="3" s="1"/>
  <c r="N21" i="3" s="1"/>
  <c r="N9" i="3"/>
  <c r="L9" i="3"/>
  <c r="L10" i="3" s="1"/>
  <c r="L11" i="3" s="1"/>
  <c r="L12" i="3" s="1"/>
  <c r="L13" i="3" s="1"/>
  <c r="L14" i="3" s="1"/>
  <c r="L15" i="3" s="1"/>
  <c r="L16" i="3" s="1"/>
  <c r="L17" i="3" s="1"/>
  <c r="L18" i="3" s="1"/>
  <c r="L19" i="3" s="1"/>
  <c r="L20" i="3" s="1"/>
  <c r="L21" i="3" s="1"/>
  <c r="J9" i="3"/>
  <c r="J10" i="3" s="1"/>
  <c r="J11" i="3" s="1"/>
  <c r="J12" i="3" s="1"/>
  <c r="J13" i="3" s="1"/>
  <c r="J14" i="3" s="1"/>
  <c r="J15" i="3" s="1"/>
  <c r="J16" i="3" s="1"/>
  <c r="J17" i="3" s="1"/>
  <c r="J18" i="3" s="1"/>
  <c r="J19" i="3" s="1"/>
  <c r="J20" i="3" s="1"/>
  <c r="J21" i="3" s="1"/>
  <c r="G9" i="3"/>
  <c r="G10" i="3" s="1"/>
  <c r="G11" i="3" s="1"/>
  <c r="G12" i="3" s="1"/>
  <c r="G13" i="3" s="1"/>
  <c r="G14" i="3" s="1"/>
  <c r="G15" i="3" s="1"/>
  <c r="G16" i="3" s="1"/>
  <c r="G17" i="3" s="1"/>
  <c r="G18" i="3" s="1"/>
  <c r="G19" i="3" s="1"/>
  <c r="G20" i="3" s="1"/>
  <c r="G21" i="3" s="1"/>
  <c r="E10" i="3"/>
  <c r="E11" i="3" s="1"/>
  <c r="E12" i="3" s="1"/>
  <c r="E13" i="3" s="1"/>
  <c r="E14" i="3" s="1"/>
  <c r="E15" i="3" s="1"/>
  <c r="E16" i="3" s="1"/>
  <c r="E17" i="3" s="1"/>
  <c r="E18" i="3" s="1"/>
  <c r="E19" i="3" s="1"/>
  <c r="E20" i="3" s="1"/>
  <c r="E21" i="3" s="1"/>
  <c r="E9" i="3"/>
  <c r="C20" i="3"/>
  <c r="C19" i="3"/>
  <c r="C18" i="3"/>
  <c r="C17" i="3"/>
  <c r="C16" i="3"/>
  <c r="C15" i="3"/>
  <c r="C14" i="3"/>
  <c r="C13" i="3"/>
  <c r="C12" i="3"/>
  <c r="C11" i="3"/>
  <c r="C10" i="3"/>
  <c r="C9" i="3"/>
  <c r="BI39" i="5"/>
  <c r="BH39" i="5"/>
  <c r="X39" i="5"/>
  <c r="V39" i="5"/>
  <c r="T39" i="5"/>
  <c r="R39" i="5"/>
  <c r="P39" i="5"/>
  <c r="N39" i="5"/>
  <c r="L39" i="5"/>
  <c r="J39" i="5"/>
  <c r="H39" i="5"/>
  <c r="Z39" i="5"/>
  <c r="AB39" i="5"/>
  <c r="AD39" i="5"/>
  <c r="AF39" i="5"/>
  <c r="AH39" i="5"/>
  <c r="AJ39" i="5"/>
  <c r="AL39" i="5"/>
  <c r="AN39" i="5"/>
  <c r="AP39" i="5"/>
  <c r="AR39" i="5"/>
  <c r="AT39" i="5"/>
  <c r="AV39" i="5"/>
  <c r="AX39" i="5"/>
  <c r="AZ39" i="5"/>
  <c r="BB39" i="5"/>
  <c r="BD39" i="5"/>
  <c r="BF39" i="5"/>
  <c r="BC38" i="5"/>
  <c r="AY38" i="5"/>
  <c r="AQ38" i="5"/>
  <c r="AO38" i="5"/>
  <c r="AM38" i="5"/>
  <c r="AI38" i="5"/>
  <c r="AG38" i="5"/>
  <c r="AE38" i="5"/>
  <c r="AC38" i="5"/>
  <c r="Y38" i="5"/>
  <c r="W38" i="5"/>
  <c r="U38" i="5"/>
  <c r="S38" i="5"/>
  <c r="Q38" i="5"/>
  <c r="O38" i="5"/>
  <c r="M38" i="5"/>
  <c r="K38" i="5"/>
  <c r="I38" i="5"/>
  <c r="G38" i="5"/>
  <c r="F39" i="5"/>
  <c r="E39" i="5"/>
  <c r="D39" i="5"/>
  <c r="C38" i="5"/>
  <c r="C21" i="3" l="1"/>
  <c r="Z9" i="5" l="1"/>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AM35" i="5"/>
  <c r="AY10" i="5"/>
  <c r="AY11" i="5" s="1"/>
  <c r="AY12" i="5" s="1"/>
  <c r="AY13" i="5" s="1"/>
  <c r="AM13" i="5"/>
  <c r="AM12" i="5"/>
  <c r="AM11" i="5"/>
  <c r="AM10" i="5"/>
  <c r="AM9" i="5"/>
  <c r="BC10" i="5"/>
  <c r="BC11" i="5" s="1"/>
  <c r="BC12" i="5" s="1"/>
  <c r="BC13" i="5" s="1"/>
  <c r="AQ10" i="5"/>
  <c r="AQ11" i="5" s="1"/>
  <c r="AQ12" i="5" s="1"/>
  <c r="AQ13" i="5" s="1"/>
  <c r="AO10" i="5"/>
  <c r="AO11" i="5" s="1"/>
  <c r="AO12" i="5" s="1"/>
  <c r="AO13" i="5" s="1"/>
  <c r="AI10" i="5"/>
  <c r="AI11" i="5" s="1"/>
  <c r="AI12" i="5" s="1"/>
  <c r="AI13" i="5" s="1"/>
  <c r="AG10" i="5"/>
  <c r="AG11" i="5" s="1"/>
  <c r="AG12" i="5" s="1"/>
  <c r="AG13" i="5" s="1"/>
  <c r="AE10" i="5"/>
  <c r="AE11" i="5" s="1"/>
  <c r="AE12" i="5" s="1"/>
  <c r="AE13" i="5" s="1"/>
  <c r="AC10" i="5"/>
  <c r="AC11" i="5" s="1"/>
  <c r="AC12" i="5" s="1"/>
  <c r="AC13" i="5" s="1"/>
  <c r="Y10" i="5"/>
  <c r="Y11" i="5" s="1"/>
  <c r="Y12" i="5" s="1"/>
  <c r="Y13" i="5" s="1"/>
  <c r="W10" i="5"/>
  <c r="W11" i="5" s="1"/>
  <c r="W12" i="5" s="1"/>
  <c r="W13" i="5" s="1"/>
  <c r="U10" i="5"/>
  <c r="U11" i="5" s="1"/>
  <c r="U12" i="5" s="1"/>
  <c r="U13" i="5" s="1"/>
  <c r="S10" i="5"/>
  <c r="S11" i="5" s="1"/>
  <c r="S12" i="5" s="1"/>
  <c r="S13" i="5" s="1"/>
  <c r="Q10" i="5"/>
  <c r="Q11" i="5" s="1"/>
  <c r="Q12" i="5" s="1"/>
  <c r="Q13" i="5" s="1"/>
  <c r="O10" i="5"/>
  <c r="O11" i="5" s="1"/>
  <c r="O12" i="5" s="1"/>
  <c r="O13" i="5" s="1"/>
  <c r="M10" i="5"/>
  <c r="M11" i="5" s="1"/>
  <c r="M12" i="5" s="1"/>
  <c r="M13" i="5" s="1"/>
  <c r="K10" i="5"/>
  <c r="K11" i="5" s="1"/>
  <c r="K12" i="5" s="1"/>
  <c r="K13" i="5" s="1"/>
  <c r="I10" i="5"/>
  <c r="I11" i="5" s="1"/>
  <c r="I12" i="5" s="1"/>
  <c r="I13" i="5" s="1"/>
  <c r="G10" i="5"/>
  <c r="G11" i="5" s="1"/>
  <c r="G12" i="5" s="1"/>
  <c r="G13" i="5" s="1"/>
  <c r="C13" i="5"/>
  <c r="C12" i="5"/>
  <c r="C11" i="5"/>
  <c r="C10" i="5"/>
  <c r="C8" i="4"/>
  <c r="C9" i="4" s="1"/>
  <c r="C10" i="4" s="1"/>
  <c r="C11" i="4" s="1"/>
  <c r="X38" i="3" l="1"/>
  <c r="AA38" i="3"/>
  <c r="AC38" i="3"/>
  <c r="AE38" i="3"/>
  <c r="AG38" i="3"/>
  <c r="AI38" i="3"/>
  <c r="S37" i="4"/>
  <c r="R37" i="4"/>
  <c r="J37" i="4"/>
  <c r="P37" i="4"/>
  <c r="L37" i="4"/>
  <c r="N37" i="4" s="1"/>
  <c r="H37" i="4"/>
  <c r="F37" i="4"/>
  <c r="D37" i="4"/>
  <c r="I7" i="4"/>
  <c r="I8" i="4" s="1"/>
  <c r="I9" i="4" s="1"/>
  <c r="I10" i="4" s="1"/>
  <c r="G10" i="4"/>
  <c r="G9" i="4"/>
  <c r="G8" i="4"/>
  <c r="G7" i="4"/>
  <c r="O8" i="4"/>
  <c r="O9" i="4" s="1"/>
  <c r="O10" i="4" s="1"/>
  <c r="O11" i="4" s="1"/>
  <c r="K8" i="4"/>
  <c r="K9" i="4" s="1"/>
  <c r="K10" i="4" s="1"/>
  <c r="K11" i="4" s="1"/>
  <c r="E8" i="4"/>
  <c r="E9" i="4" s="1"/>
  <c r="E10" i="4" s="1"/>
  <c r="E11" i="4" s="1"/>
  <c r="Y38" i="3"/>
  <c r="U38" i="3"/>
  <c r="V38" i="3" s="1"/>
  <c r="R38" i="3"/>
  <c r="S38" i="3" s="1"/>
  <c r="O38" i="3"/>
  <c r="P38" i="3" s="1"/>
  <c r="M38" i="3"/>
  <c r="K38" i="3"/>
  <c r="H38" i="3"/>
  <c r="I38" i="3" s="1"/>
  <c r="F38" i="3"/>
  <c r="D38" i="3"/>
  <c r="AK38" i="3" l="1"/>
  <c r="AL38" i="3"/>
  <c r="M37" i="4"/>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H11" i="3" l="1"/>
  <c r="D8" i="3" l="1"/>
  <c r="F8" i="3"/>
  <c r="H8" i="3"/>
  <c r="I8" i="3" s="1"/>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AL38" i="5"/>
  <c r="AL37" i="5"/>
  <c r="AH38" i="5"/>
  <c r="AH37" i="5"/>
  <c r="AF38" i="5"/>
  <c r="AF37" i="5"/>
  <c r="AD38" i="5"/>
  <c r="AD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R34" i="4"/>
  <c r="H30" i="8" s="1"/>
  <c r="R20" i="4"/>
  <c r="H16" i="8" s="1"/>
  <c r="S8" i="4"/>
  <c r="M23" i="4"/>
  <c r="M28" i="4"/>
  <c r="N31" i="4"/>
  <c r="S31" i="4" s="1"/>
  <c r="N24" i="4"/>
  <c r="S24" i="4" s="1"/>
  <c r="M27" i="4"/>
  <c r="R12" i="4"/>
  <c r="H8" i="8" s="1"/>
  <c r="R8" i="4"/>
  <c r="H4" i="8" s="1"/>
  <c r="N14" i="4"/>
  <c r="S14" i="4" s="1"/>
  <c r="M13" i="4"/>
  <c r="N9" i="4"/>
  <c r="S9" i="4" s="1"/>
  <c r="S15" i="4"/>
  <c r="S16" i="4"/>
  <c r="N29" i="4"/>
  <c r="S29" i="4" s="1"/>
  <c r="S23"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M3" i="8" l="1"/>
  <c r="G2" i="10" s="1"/>
  <c r="G2" i="6"/>
  <c r="G4" i="6" l="1"/>
  <c r="M5" i="8"/>
  <c r="G4" i="10" s="1"/>
  <c r="G5" i="6"/>
  <c r="M6" i="8"/>
  <c r="G5" i="10" s="1"/>
  <c r="M4" i="8"/>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<sst xmlns="http://schemas.openxmlformats.org/spreadsheetml/2006/main" count="1420" uniqueCount="404">
  <si>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</si>
  <si>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</si>
  <si>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</si>
  <si>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</si>
  <si>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</si>
  <si>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</si>
  <si>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</si>
  <si>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</si>
  <si>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</si>
  <si>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</si>
  <si>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</si>
  <si>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</si>
  <si>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</si>
  <si>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</si>
  <si>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</si>
  <si>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</si>
  <si>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</si>
  <si>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</si>
  <si>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</si>
  <si>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</si>
  <si>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</si>
  <si>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</si>
  <si>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</si>
  <si>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</si>
  <si>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</si>
  <si>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</si>
  <si>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</si>
  <si>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</si>
  <si>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</si>
  <si>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</si>
  <si>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</si>
  <si>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</si>
  <si>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</si>
  <si>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</si>
  <si>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</si>
  <si>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</si>
  <si>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</si>
  <si>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</si>
  <si>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</si>
  <si>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</si>
  <si>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</si>
  <si>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</si>
  <si>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</si>
  <si>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</si>
  <si>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</si>
  <si>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</si>
  <si>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</si>
  <si>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</si>
  <si>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</si>
  <si>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</si>
  <si>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</si>
  <si>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</si>
  <si>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</si>
  <si>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</si>
  <si>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</si>
  <si>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</si>
  <si>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</si>
  <si>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</si>
  <si>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</si>
  <si>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</si>
  <si>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</si>
  <si>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</si>
  <si>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</si>
  <si>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</si>
  <si>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</si>
  <si>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</si>
  <si>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</si>
  <si>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</si>
  <si>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</si>
  <si>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</si>
  <si>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</si>
  <si>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</si>
  <si>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</si>
  <si>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</si>
  <si>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</si>
  <si>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</si>
  <si>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</si>
  <si>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</si>
  <si>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</si>
  <si>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</si>
  <si>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</si>
  <si>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</si>
  <si>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</si>
  <si>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</si>
  <si>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</si>
  <si>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</si>
  <si>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</si>
  <si>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</si>
  <si>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</si>
  <si>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</si>
  <si>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</si>
  <si>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</si>
  <si>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</si>
  <si>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</si>
  <si>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</si>
  <si>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</si>
  <si>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</si>
  <si>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</si>
  <si>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</si>
  <si>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</si>
  <si>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</si>
  <si>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</si>
  <si>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</si>
  <si>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</si>
  <si>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</si>
  <si>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</si>
  <si>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</si>
  <si>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</si>
  <si>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</si>
  <si>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</si>
  <si>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</si>
  <si>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</si>
  <si>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</si>
  <si>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</si>
  <si>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</si>
  <si>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</si>
  <si>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</si>
  <si>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</si>
  <si>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</si>
  <si>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</si>
  <si>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</si>
  <si>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</si>
  <si>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</si>
  <si>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</si>
  <si>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</si>
  <si>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</si>
  <si>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</si>
  <si>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</si>
  <si>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</si>
  <si>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</si>
  <si>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</si>
  <si>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</si>
  <si>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</si>
  <si>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</si>
  <si>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</si>
  <si>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</si>
  <si>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</si>
  <si>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</si>
  <si>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</si>
  <si>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</si>
  <si>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</si>
  <si>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</si>
  <si>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</si>
  <si>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</si>
  <si>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</si>
  <si>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</si>
  <si>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</si>
  <si>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</si>
  <si>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</si>
  <si>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</si>
  <si>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</si>
  <si>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</si>
  <si>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</si>
  <si>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</si>
  <si>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</si>
  <si>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</si>
  <si>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</si>
  <si>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</si>
  <si>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</si>
  <si>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</si>
  <si>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</si>
  <si>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</si>
  <si>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</si>
  <si>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</si>
  <si>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</si>
  <si>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</si>
  <si>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</si>
  <si>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</si>
  <si>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</si>
  <si>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</si>
  <si>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</si>
  <si>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</si>
  <si>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</si>
  <si>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</si>
  <si>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</si>
  <si>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</si>
  <si>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</si>
  <si>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</si>
  <si>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</si>
  <si>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</si>
  <si>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</si>
  <si>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</si>
  <si>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</si>
  <si>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</si>
  <si>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</si>
  <si>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</si>
  <si>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</si>
  <si>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</si>
  <si>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</si>
  <si>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</si>
  <si>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</si>
  <si>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</si>
  <si>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</si>
  <si>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</si>
  <si>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</si>
  <si>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</si>
  <si>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</si>
  <si>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</si>
  <si>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</si>
  <si>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</si>
  <si>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</si>
  <si>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</si>
  <si>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</si>
  <si>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</si>
  <si>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</si>
  <si>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</si>
  <si>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</si>
  <si>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</si>
  <si>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</si>
  <si>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</si>
  <si>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</si>
  <si>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</si>
  <si>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</si>
  <si>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</si>
  <si>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</si>
  <si>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</si>
  <si>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</si>
  <si>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</si>
  <si>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</si>
  <si>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</si>
  <si>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</si>
  <si>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</si>
  <si>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</si>
  <si>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</si>
  <si>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</si>
  <si>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</si>
  <si>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</si>
  <si>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</si>
  <si>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</si>
  <si>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</si>
  <si>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</si>
  <si>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</si>
  <si>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</si>
  <si>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</si>
  <si>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</si>
  <si>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</si>
  <si>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</si>
  <si>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</si>
  <si>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</si>
  <si>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</si>
  <si>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</si>
  <si>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</si>
  <si>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</si>
  <si>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</si>
  <si>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</si>
  <si>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</si>
  <si>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</si>
  <si>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</si>
  <si>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</si>
  <si>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</si>
  <si>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</si>
  <si>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</si>
  <si>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</si>
  <si>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</si>
  <si>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</si>
  <si>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</si>
  <si>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</si>
  <si>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</si>
  <si>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</si>
  <si>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</si>
  <si>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</si>
  <si>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</si>
  <si>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</si>
  <si>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</si>
  <si>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</si>
  <si>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</si>
  <si>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</si>
  <si>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</si>
  <si>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</si>
  <si>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</si>
  <si>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</si>
  <si>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</si>
  <si>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</si>
  <si>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</si>
  <si>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</si>
  <si>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</si>
  <si>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</si>
  <si>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</si>
  <si>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</si>
  <si>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</si>
  <si>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</si>
  <si>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</si>
  <si>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</si>
  <si>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</si>
  <si>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</si>
  <si>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</si>
  <si>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</si>
  <si>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</si>
  <si>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</si>
  <si>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</si>
  <si>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</si>
  <si>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</si>
  <si>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</si>
  <si>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</si>
  <si>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</si>
  <si>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</si>
  <si>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</si>
  <si>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</si>
  <si>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</si>
  <si>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</si>
  <si>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</si>
  <si>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</si>
  <si>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</si>
  <si>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</si>
  <si>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</si>
  <si>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</si>
  <si>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</si>
  <si>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</si>
  <si>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</si>
  <si>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</si>
  <si>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</si>
  <si>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</si>
  <si>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</si>
  <si>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</si>
  <si>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</si>
  <si>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</si>
  <si>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</si>
  <si>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</si>
  <si>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</si>
  <si>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</si>
  <si>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</si>
  <si>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</si>
  <si>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</si>
  <si>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</si>
  <si>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</si>
  <si>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</si>
  <si>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</si>
  <si>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</si>
  <si>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</si>
  <si>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</si>
  <si>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</si>
  <si>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</si>
  <si>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</si>
  <si>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</si>
  <si>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</si>
  <si>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</si>
  <si>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</si>
  <si>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</si>
  <si>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</si>
  <si>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</si>
  <si>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</si>
  <si>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</si>
  <si>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</si>
  <si>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</si>
  <si>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</si>
  <si>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</si>
  <si>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</si>
  <si>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</si>
  <si>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</si>
  <si>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</si>
  <si>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</si>
  <si>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</si>
  <si>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</si>
  <si>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</si>
  <si>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</si>
  <si>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</si>
  <si>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</si>
  <si>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</si>
  <si>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</si>
  <si>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</si>
  <si>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</si>
  <si>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</si>
  <si>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</si>
  <si>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</si>
  <si>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</si>
  <si>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</si>
  <si>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</si>
  <si>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</si>
  <si>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</si>
  <si>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</si>
  <si>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</si>
  <si>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</si>
  <si>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</si>
  <si>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</si>
  <si>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</si>
  <si>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</si>
  <si>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</si>
  <si>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</si>
  <si>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</si>
  <si>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</si>
  <si>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</si>
  <si>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</si>
  <si>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</si>
  <si>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</si>
  <si>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</si>
  <si>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</si>
  <si>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</si>
  <si>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</si>
  <si>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</si>
  <si>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</si>
  <si>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</si>
  <si>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</si>
  <si>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</si>
  <si>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</si>
  <si>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</si>
  <si>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</si>
  <si>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</si>
  <si>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</si>
  <si>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</si>
  <si>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</si>
  <si>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</si>
  <si>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</si>
  <si>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</si>
  <si>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May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</si>
</sst>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topLeftCell="B1" workbookViewId="0">
      <selection activeCell="I14" sqref="I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5</v>
      </c>
      <c r="D2" s="189">
        <v>2020</v>
      </c>
      <c r="E2" s="119">
        <f>Combine!G3</f>
        <v>221320</v>
      </c>
      <c r="F2" s="191">
        <v>1.2712000000000001</v>
      </c>
      <c r="G2" s="119">
        <f>Combine!M3</f>
        <v>1977.5415695415629</v>
      </c>
      <c r="H2" s="192">
        <v>8.3481000000000005</v>
      </c>
      <c r="I2" s="119">
        <f>Combine!J3</f>
        <v>310.80505999999968</v>
      </c>
      <c r="J2" s="191">
        <v>8.4181000000000008</v>
      </c>
      <c r="K2" s="119">
        <f>Combine!N3</f>
        <v>31</v>
      </c>
      <c r="L2" s="119">
        <f>Combine!O3</f>
        <v>60</v>
      </c>
    </row>
    <row r="3" spans="1:12">
      <c r="A3" s="188" t="s">
        <v>400</v>
      </c>
      <c r="B3" s="189">
        <v>2</v>
      </c>
      <c r="C3" s="190">
        <v>5</v>
      </c>
      <c r="D3" s="189">
        <v>2020</v>
      </c>
      <c r="E3" s="119">
        <f>Combine!G4</f>
        <v>225852.03571428545</v>
      </c>
      <c r="F3" s="191">
        <v>1.2712000000000001</v>
      </c>
      <c r="G3" s="119">
        <f>Combine!M4</f>
        <v>2281.7780264179537</v>
      </c>
      <c r="H3" s="192">
        <v>8.3481000000000005</v>
      </c>
      <c r="I3" s="119">
        <f>Combine!J4</f>
        <v>330.00506000001133</v>
      </c>
      <c r="J3" s="191">
        <v>8.4181000000000008</v>
      </c>
      <c r="K3" s="119">
        <f>Combine!N4</f>
        <v>44</v>
      </c>
      <c r="L3" s="119">
        <f>Combine!O4</f>
        <v>100</v>
      </c>
    </row>
    <row r="4" spans="1:12">
      <c r="A4" s="188" t="s">
        <v>400</v>
      </c>
      <c r="B4" s="189">
        <v>3</v>
      </c>
      <c r="C4" s="190">
        <v>5</v>
      </c>
      <c r="D4" s="189">
        <v>2020</v>
      </c>
      <c r="E4" s="119">
        <f>Combine!G5</f>
        <v>225852.03571428545</v>
      </c>
      <c r="F4" s="191">
        <v>1.2712000000000001</v>
      </c>
      <c r="G4" s="119">
        <f>Combine!M5</f>
        <v>2281.7780264179537</v>
      </c>
      <c r="H4" s="192">
        <v>8.3481000000000005</v>
      </c>
      <c r="I4" s="119">
        <f>Combine!J5</f>
        <v>330.00506000001133</v>
      </c>
      <c r="J4" s="191">
        <v>8.4181000000000008</v>
      </c>
      <c r="K4" s="119">
        <f>Combine!N5</f>
        <v>14</v>
      </c>
      <c r="L4" s="119">
        <f>Combine!O5</f>
        <v>29</v>
      </c>
    </row>
    <row r="5" spans="1:12">
      <c r="A5" s="188" t="s">
        <v>400</v>
      </c>
      <c r="B5" s="189">
        <v>4</v>
      </c>
      <c r="C5" s="190">
        <v>5</v>
      </c>
      <c r="D5" s="189">
        <v>2020</v>
      </c>
      <c r="E5" s="119">
        <f>Combine!G6</f>
        <v>225852.03571428551</v>
      </c>
      <c r="F5" s="191">
        <v>1.2712000000000001</v>
      </c>
      <c r="G5" s="119">
        <f>Combine!M6</f>
        <v>2281.7780264179537</v>
      </c>
      <c r="H5" s="192">
        <v>8.3481000000000005</v>
      </c>
      <c r="I5" s="119">
        <f>Combine!J6</f>
        <v>330.00506000001133</v>
      </c>
      <c r="J5" s="191">
        <v>8.4181000000000008</v>
      </c>
      <c r="K5" s="119">
        <f>Combine!N6</f>
        <v>7</v>
      </c>
      <c r="L5" s="119">
        <f>Combine!O6</f>
        <v>12</v>
      </c>
    </row>
    <row r="6" spans="1:12">
      <c r="A6" s="188" t="s">
        <v>400</v>
      </c>
      <c r="B6" s="189">
        <v>5</v>
      </c>
      <c r="C6" s="190">
        <v>5</v>
      </c>
      <c r="D6" s="189">
        <v>2020</v>
      </c>
      <c r="E6" s="119">
        <f>Combine!G7</f>
        <v>225852.03571428551</v>
      </c>
      <c r="F6" s="191">
        <v>1.2712000000000001</v>
      </c>
      <c r="G6" s="119">
        <f>Combine!M7</f>
        <v>2281.7780264179537</v>
      </c>
      <c r="H6" s="192">
        <v>8.3481000000000005</v>
      </c>
      <c r="I6" s="119">
        <f>Combine!J7</f>
        <v>330.00506000001315</v>
      </c>
      <c r="J6" s="191">
        <v>8.4181000000000008</v>
      </c>
      <c r="K6" s="119">
        <f>Combine!N7</f>
        <v>9</v>
      </c>
      <c r="L6" s="119">
        <f>Combine!O7</f>
        <v>15</v>
      </c>
    </row>
    <row r="7" spans="1:12">
      <c r="A7" s="188" t="s">
        <v>400</v>
      </c>
      <c r="B7" s="189">
        <v>6</v>
      </c>
      <c r="C7" s="190">
        <v>5</v>
      </c>
      <c r="D7" s="189">
        <v>2020</v>
      </c>
      <c r="E7" s="119">
        <f>Combine!G8</f>
        <v>225852.03571428551</v>
      </c>
      <c r="F7" s="191">
        <v>1.2712000000000001</v>
      </c>
      <c r="G7" s="119">
        <f>Combine!M8</f>
        <v>2281.7780264183225</v>
      </c>
      <c r="H7" s="192">
        <v>8.3481000000000005</v>
      </c>
      <c r="I7" s="119">
        <f>Combine!J8</f>
        <v>328.22189999995317</v>
      </c>
      <c r="J7" s="191">
        <v>8.4181000000000008</v>
      </c>
      <c r="K7" s="119">
        <f>Combine!N8</f>
        <v>11</v>
      </c>
      <c r="L7" s="119">
        <f>Combine!O8</f>
        <v>22</v>
      </c>
    </row>
    <row r="8" spans="1:12">
      <c r="A8" s="188" t="s">
        <v>400</v>
      </c>
      <c r="B8" s="189">
        <v>7</v>
      </c>
      <c r="C8" s="190">
        <v>5</v>
      </c>
      <c r="D8" s="189">
        <v>2020</v>
      </c>
      <c r="E8" s="119">
        <f>Combine!G9</f>
        <v>225852.03571428551</v>
      </c>
      <c r="F8" s="191">
        <v>1.2712000000000001</v>
      </c>
      <c r="G8" s="119">
        <f>Combine!M9</f>
        <v>2555.4846930846993</v>
      </c>
      <c r="H8" s="192">
        <v>8.3481000000000005</v>
      </c>
      <c r="I8" s="119">
        <f>Combine!J9</f>
        <v>332.70570000000043</v>
      </c>
      <c r="J8" s="191">
        <v>8.4181000000000008</v>
      </c>
      <c r="K8" s="119">
        <f>Combine!N9</f>
        <v>14</v>
      </c>
      <c r="L8" s="119">
        <f>Combine!O9</f>
        <v>30</v>
      </c>
    </row>
    <row r="9" spans="1:12">
      <c r="A9" s="188" t="s">
        <v>400</v>
      </c>
      <c r="B9" s="189">
        <v>8</v>
      </c>
      <c r="C9" s="190">
        <v>5</v>
      </c>
      <c r="D9" s="189">
        <v>2020</v>
      </c>
      <c r="E9" s="119">
        <f>Combine!G10</f>
        <v>225852.03571428551</v>
      </c>
      <c r="F9" s="191">
        <v>1.2712000000000001</v>
      </c>
      <c r="G9" s="119">
        <f>Combine!M10</f>
        <v>2195.8054390054331</v>
      </c>
      <c r="H9" s="192">
        <v>8.3481000000000005</v>
      </c>
      <c r="I9" s="119">
        <f>Combine!J10</f>
        <v>294.83119999999963</v>
      </c>
      <c r="J9" s="191">
        <v>8.4181000000000008</v>
      </c>
      <c r="K9" s="119">
        <f>Combine!N10</f>
        <v>39</v>
      </c>
      <c r="L9" s="119">
        <f>Combine!O10</f>
        <v>88</v>
      </c>
    </row>
    <row r="10" spans="1:12">
      <c r="A10" s="188" t="s">
        <v>400</v>
      </c>
      <c r="B10" s="189">
        <v>9</v>
      </c>
      <c r="C10" s="190">
        <v>5</v>
      </c>
      <c r="D10" s="189">
        <v>2020</v>
      </c>
      <c r="E10" s="119">
        <f>Combine!G11</f>
        <v>225852.03571428551</v>
      </c>
      <c r="F10" s="191">
        <v>1.2712000000000001</v>
      </c>
      <c r="G10" s="119">
        <f>Combine!M11</f>
        <v>2557.2326340326326</v>
      </c>
      <c r="H10" s="192">
        <v>8.3481000000000005</v>
      </c>
      <c r="I10" s="119">
        <f>Combine!J11</f>
        <v>305.05709999999999</v>
      </c>
      <c r="J10" s="191">
        <v>8.4181000000000008</v>
      </c>
      <c r="K10" s="119">
        <f>Combine!N11</f>
        <v>91</v>
      </c>
      <c r="L10" s="119">
        <f>Combine!O11</f>
        <v>231</v>
      </c>
    </row>
    <row r="11" spans="1:12">
      <c r="A11" s="188" t="s">
        <v>400</v>
      </c>
      <c r="B11" s="189">
        <v>10</v>
      </c>
      <c r="C11" s="190">
        <v>5</v>
      </c>
      <c r="D11" s="189">
        <v>2020</v>
      </c>
      <c r="E11" s="119">
        <f>Combine!G12</f>
        <v>225852.03571428551</v>
      </c>
      <c r="F11" s="191">
        <v>1.2712000000000001</v>
      </c>
      <c r="G11" s="119">
        <f>Combine!M12</f>
        <v>2321.8672882672868</v>
      </c>
      <c r="H11" s="192">
        <v>8.3481000000000005</v>
      </c>
      <c r="I11" s="119">
        <f>Combine!J12</f>
        <v>334.69989999999962</v>
      </c>
      <c r="J11" s="191">
        <v>8.4181000000000008</v>
      </c>
      <c r="K11" s="119">
        <f>Combine!N12</f>
        <v>20</v>
      </c>
      <c r="L11" s="119">
        <f>Combine!O12</f>
        <v>44</v>
      </c>
    </row>
    <row r="12" spans="1:12">
      <c r="A12" s="188" t="s">
        <v>400</v>
      </c>
      <c r="B12" s="189">
        <v>11</v>
      </c>
      <c r="C12" s="190">
        <v>5</v>
      </c>
      <c r="D12" s="189">
        <v>2020</v>
      </c>
      <c r="E12" s="119">
        <f>Combine!G13</f>
        <v>225852.03571428551</v>
      </c>
      <c r="F12" s="191">
        <v>1.2712000000000001</v>
      </c>
      <c r="G12" s="119">
        <f>Combine!M13</f>
        <v>2520.1255633255682</v>
      </c>
      <c r="H12" s="192">
        <v>8.3481000000000005</v>
      </c>
      <c r="I12" s="119">
        <f>Combine!J13</f>
        <v>392.27850000000035</v>
      </c>
      <c r="J12" s="191">
        <v>8.4181000000000008</v>
      </c>
      <c r="K12" s="119">
        <f>Combine!N13</f>
        <v>8</v>
      </c>
      <c r="L12" s="119">
        <f>Combine!O13</f>
        <v>17</v>
      </c>
    </row>
    <row r="13" spans="1:12">
      <c r="A13" s="188" t="s">
        <v>400</v>
      </c>
      <c r="B13" s="189">
        <v>12</v>
      </c>
      <c r="C13" s="190">
        <v>5</v>
      </c>
      <c r="D13" s="189">
        <v>2020</v>
      </c>
      <c r="E13" s="119">
        <f>Combine!G14</f>
        <v>225852.03571428551</v>
      </c>
      <c r="F13" s="191">
        <v>1.2712000000000001</v>
      </c>
      <c r="G13" s="119">
        <f>Combine!M14</f>
        <v>2350.3005439005415</v>
      </c>
      <c r="H13" s="192">
        <v>8.3481000000000005</v>
      </c>
      <c r="I13" s="119">
        <f>Combine!J14</f>
        <v>265.67950000000019</v>
      </c>
      <c r="J13" s="191">
        <v>8.4181000000000008</v>
      </c>
      <c r="K13" s="119">
        <f>Combine!N14</f>
        <v>13</v>
      </c>
      <c r="L13" s="119">
        <f>Combine!O14</f>
        <v>28</v>
      </c>
    </row>
    <row r="14" spans="1:12">
      <c r="A14" s="188" t="s">
        <v>400</v>
      </c>
      <c r="B14" s="189">
        <v>13</v>
      </c>
      <c r="C14" s="190">
        <v>5</v>
      </c>
      <c r="D14" s="189">
        <v>2020</v>
      </c>
      <c r="E14" s="119">
        <f>Combine!G15</f>
        <v>225852.03571428551</v>
      </c>
      <c r="F14" s="191">
        <v>1.2712000000000001</v>
      </c>
      <c r="G14" s="119">
        <f>Combine!M15</f>
        <v>2328.2237762237755</v>
      </c>
      <c r="H14" s="192">
        <v>8.3481000000000005</v>
      </c>
      <c r="I14" s="119">
        <f>Combine!J15</f>
        <v>393.72620000000006</v>
      </c>
      <c r="J14" s="191">
        <v>8.4181000000000008</v>
      </c>
      <c r="K14" s="119">
        <f>Combine!N15</f>
        <v>10</v>
      </c>
      <c r="L14" s="119">
        <f>Combine!O15</f>
        <v>23</v>
      </c>
    </row>
    <row r="15" spans="1:12">
      <c r="A15" s="188" t="s">
        <v>400</v>
      </c>
      <c r="B15" s="189">
        <v>14</v>
      </c>
      <c r="C15" s="190">
        <v>5</v>
      </c>
      <c r="D15" s="189">
        <v>2020</v>
      </c>
      <c r="E15" s="119">
        <f>Combine!G16</f>
        <v>230388.75510204089</v>
      </c>
      <c r="F15" s="191">
        <v>1.2712000000000001</v>
      </c>
      <c r="G15" s="119">
        <f>Combine!M16</f>
        <v>2570.7362859362879</v>
      </c>
      <c r="H15" s="192">
        <v>8.3481000000000005</v>
      </c>
      <c r="I15" s="119">
        <f>Combine!J16</f>
        <v>370.88360000000011</v>
      </c>
      <c r="J15" s="191">
        <v>8.4181000000000008</v>
      </c>
      <c r="K15" s="119">
        <f>Combine!N16</f>
        <v>19</v>
      </c>
      <c r="L15" s="119">
        <f>Combine!O16</f>
        <v>41</v>
      </c>
    </row>
    <row r="16" spans="1:12">
      <c r="A16" s="188" t="s">
        <v>400</v>
      </c>
      <c r="B16" s="189">
        <v>15</v>
      </c>
      <c r="C16" s="190">
        <v>5</v>
      </c>
      <c r="D16" s="189">
        <v>2020</v>
      </c>
      <c r="E16" s="119">
        <f>Combine!G17</f>
        <v>221315.31632653321</v>
      </c>
      <c r="F16" s="191">
        <v>1.2712000000000001</v>
      </c>
      <c r="G16" s="119">
        <f>Combine!M17</f>
        <v>2222.1600621600624</v>
      </c>
      <c r="H16" s="192">
        <v>8.3481000000000005</v>
      </c>
      <c r="I16" s="119">
        <f>Combine!J17</f>
        <v>364.77499999999964</v>
      </c>
      <c r="J16" s="191">
        <v>8.4181000000000008</v>
      </c>
      <c r="K16" s="119">
        <f>Combine!N17</f>
        <v>32</v>
      </c>
      <c r="L16" s="119">
        <f>Combine!O17</f>
        <v>74</v>
      </c>
    </row>
    <row r="17" spans="1:12">
      <c r="A17" s="188" t="s">
        <v>400</v>
      </c>
      <c r="B17" s="189">
        <v>16</v>
      </c>
      <c r="C17" s="190">
        <v>5</v>
      </c>
      <c r="D17" s="189">
        <v>2020</v>
      </c>
      <c r="E17" s="119">
        <f>Combine!G18</f>
        <v>221625.5</v>
      </c>
      <c r="F17" s="191">
        <v>1.2712000000000001</v>
      </c>
      <c r="G17" s="119">
        <f>Combine!M18</f>
        <v>2476.6284382284462</v>
      </c>
      <c r="H17" s="192">
        <v>8.3481000000000005</v>
      </c>
      <c r="I17" s="119">
        <f>Combine!J18</f>
        <v>352.9368999999997</v>
      </c>
      <c r="J17" s="191">
        <v>8.4181000000000008</v>
      </c>
      <c r="K17" s="119">
        <f>Combine!N18</f>
        <v>13</v>
      </c>
      <c r="L17" s="119">
        <f>Combine!O18</f>
        <v>25</v>
      </c>
    </row>
    <row r="18" spans="1:12">
      <c r="A18" s="188" t="s">
        <v>400</v>
      </c>
      <c r="B18" s="189">
        <v>17</v>
      </c>
      <c r="C18" s="190">
        <v>5</v>
      </c>
      <c r="D18" s="189">
        <v>2020</v>
      </c>
      <c r="E18" s="119">
        <f>Combine!G19</f>
        <v>240319.5</v>
      </c>
      <c r="F18" s="191">
        <v>1.2712000000000001</v>
      </c>
      <c r="G18" s="119">
        <f>Combine!M19</f>
        <v>2381.2612276612299</v>
      </c>
      <c r="H18" s="192">
        <v>8.3481000000000005</v>
      </c>
      <c r="I18" s="119">
        <f>Combine!J19</f>
        <v>390.57960000000003</v>
      </c>
      <c r="J18" s="191">
        <v>8.4181000000000008</v>
      </c>
      <c r="K18" s="119">
        <f>Combine!N19</f>
        <v>13</v>
      </c>
      <c r="L18" s="119">
        <f>Combine!O19</f>
        <v>25</v>
      </c>
    </row>
    <row r="19" spans="1:12">
      <c r="A19" s="188" t="s">
        <v>400</v>
      </c>
      <c r="B19" s="189">
        <v>18</v>
      </c>
      <c r="C19" s="190">
        <v>5</v>
      </c>
      <c r="D19" s="189">
        <v>2020</v>
      </c>
      <c r="E19" s="119">
        <f>Combine!G20</f>
        <v>230161.5</v>
      </c>
      <c r="F19" s="191">
        <v>1.2712000000000001</v>
      </c>
      <c r="G19" s="119">
        <f>Combine!M20</f>
        <v>2216.2038850038739</v>
      </c>
      <c r="H19" s="192">
        <v>8.3481000000000005</v>
      </c>
      <c r="I19" s="119">
        <f>Combine!J20</f>
        <v>272.63940000000002</v>
      </c>
      <c r="J19" s="191">
        <v>8.4181000000000008</v>
      </c>
      <c r="K19" s="119">
        <f>Combine!N20</f>
        <v>17</v>
      </c>
      <c r="L19" s="119">
        <f>Combine!O20</f>
        <v>32</v>
      </c>
    </row>
    <row r="20" spans="1:12">
      <c r="A20" s="188" t="s">
        <v>400</v>
      </c>
      <c r="B20" s="189">
        <v>19</v>
      </c>
      <c r="C20" s="190">
        <v>5</v>
      </c>
      <c r="D20" s="189">
        <v>2020</v>
      </c>
      <c r="E20" s="119">
        <f>Combine!G21</f>
        <v>226205.5</v>
      </c>
      <c r="F20" s="191">
        <v>1.2712000000000001</v>
      </c>
      <c r="G20" s="119">
        <f>Combine!M21</f>
        <v>2515.4312354312387</v>
      </c>
      <c r="H20" s="192">
        <v>8.3481000000000005</v>
      </c>
      <c r="I20" s="119">
        <f>Combine!J21</f>
        <v>236.17920000000049</v>
      </c>
      <c r="J20" s="191">
        <v>8.4181000000000008</v>
      </c>
      <c r="K20" s="119">
        <f>Combine!N21</f>
        <v>14</v>
      </c>
      <c r="L20" s="119">
        <f>Combine!O21</f>
        <v>24</v>
      </c>
    </row>
    <row r="21" spans="1:12">
      <c r="A21" s="188" t="s">
        <v>400</v>
      </c>
      <c r="B21" s="189">
        <v>20</v>
      </c>
      <c r="C21" s="190">
        <v>5</v>
      </c>
      <c r="D21" s="189">
        <v>2020</v>
      </c>
      <c r="E21" s="119">
        <f>Combine!G22</f>
        <v>232218</v>
      </c>
      <c r="F21" s="191">
        <v>1.2712000000000001</v>
      </c>
      <c r="G21" s="119">
        <f>Combine!M22</f>
        <v>2106.9016317016335</v>
      </c>
      <c r="H21" s="192">
        <v>8.3481000000000005</v>
      </c>
      <c r="I21" s="119">
        <f>Combine!J22</f>
        <v>277.73809999999958</v>
      </c>
      <c r="J21" s="191">
        <v>8.4181000000000008</v>
      </c>
      <c r="K21" s="119">
        <f>Combine!N22</f>
        <v>22</v>
      </c>
      <c r="L21" s="119">
        <f>Combine!O22</f>
        <v>37</v>
      </c>
    </row>
    <row r="22" spans="1:12">
      <c r="A22" s="188" t="s">
        <v>400</v>
      </c>
      <c r="B22" s="189">
        <v>21</v>
      </c>
      <c r="C22" s="190">
        <v>5</v>
      </c>
      <c r="D22" s="189">
        <v>2020</v>
      </c>
      <c r="E22" s="119">
        <f>Combine!G23</f>
        <v>307921</v>
      </c>
      <c r="F22" s="191">
        <v>1.2712000000000001</v>
      </c>
      <c r="G22" s="119">
        <f>Combine!M23</f>
        <v>2358.3900543900454</v>
      </c>
      <c r="H22" s="192">
        <v>8.3481000000000005</v>
      </c>
      <c r="I22" s="119">
        <f>Combine!J23</f>
        <v>359.40599999999995</v>
      </c>
      <c r="J22" s="191">
        <v>8.4181000000000008</v>
      </c>
      <c r="K22" s="119">
        <f>Combine!N23</f>
        <v>16</v>
      </c>
      <c r="L22" s="119">
        <f>Combine!O23</f>
        <v>28</v>
      </c>
    </row>
    <row r="23" spans="1:12">
      <c r="A23" s="188" t="s">
        <v>400</v>
      </c>
      <c r="B23" s="189">
        <v>22</v>
      </c>
      <c r="C23" s="190">
        <v>5</v>
      </c>
      <c r="D23" s="189">
        <v>2020</v>
      </c>
      <c r="E23" s="119">
        <f>Combine!G24</f>
        <v>172736</v>
      </c>
      <c r="F23" s="191">
        <v>1.2712000000000001</v>
      </c>
      <c r="G23" s="119">
        <f>Combine!M24</f>
        <v>2175.6394716394807</v>
      </c>
      <c r="H23" s="192">
        <v>8.3481000000000005</v>
      </c>
      <c r="I23" s="119">
        <f>Combine!J24</f>
        <v>304.83290000000034</v>
      </c>
      <c r="J23" s="191">
        <v>8.4181000000000008</v>
      </c>
      <c r="K23" s="119">
        <f>Combine!N24</f>
        <v>26</v>
      </c>
      <c r="L23" s="119">
        <f>Combine!O24</f>
        <v>52</v>
      </c>
    </row>
    <row r="24" spans="1:12">
      <c r="A24" s="188" t="s">
        <v>400</v>
      </c>
      <c r="B24" s="189">
        <v>23</v>
      </c>
      <c r="C24" s="190">
        <v>5</v>
      </c>
      <c r="D24" s="189">
        <v>2020</v>
      </c>
      <c r="E24" s="119">
        <f>Combine!G25</f>
        <v>213607.5</v>
      </c>
      <c r="F24" s="191">
        <v>1.2712000000000001</v>
      </c>
      <c r="G24" s="119">
        <f>Combine!M25</f>
        <v>2430.9507381507406</v>
      </c>
      <c r="H24" s="192">
        <v>8.3481000000000005</v>
      </c>
      <c r="I24" s="119">
        <f>Combine!J25</f>
        <v>360.22900000000027</v>
      </c>
      <c r="J24" s="191">
        <v>8.4181000000000008</v>
      </c>
      <c r="K24" s="119">
        <f>Combine!N25</f>
        <v>34</v>
      </c>
      <c r="L24" s="119">
        <f>Combine!O25</f>
        <v>67</v>
      </c>
    </row>
    <row r="25" spans="1:12">
      <c r="A25" s="188" t="s">
        <v>400</v>
      </c>
      <c r="B25" s="189">
        <v>24</v>
      </c>
      <c r="C25" s="190">
        <v>5</v>
      </c>
      <c r="D25" s="189">
        <v>2020</v>
      </c>
      <c r="E25" s="119">
        <f>Combine!G26</f>
        <v>252565.5</v>
      </c>
      <c r="F25" s="191">
        <v>1.2712000000000001</v>
      </c>
      <c r="G25" s="119">
        <f>Combine!M26</f>
        <v>2187.5381507381517</v>
      </c>
      <c r="H25" s="192">
        <v>8.3481000000000005</v>
      </c>
      <c r="I25" s="119">
        <f>Combine!J26</f>
        <v>359.35279999999966</v>
      </c>
      <c r="J25" s="191">
        <v>8.4181000000000008</v>
      </c>
      <c r="K25" s="119">
        <f>Combine!N26</f>
        <v>17</v>
      </c>
      <c r="L25" s="119">
        <f>Combine!O26</f>
        <v>32</v>
      </c>
    </row>
    <row r="26" spans="1:12">
      <c r="A26" s="188" t="s">
        <v>400</v>
      </c>
      <c r="B26" s="189">
        <v>25</v>
      </c>
      <c r="C26" s="190">
        <v>5</v>
      </c>
      <c r="D26" s="189">
        <v>2020</v>
      </c>
      <c r="E26" s="119">
        <f>Combine!G27</f>
        <v>188765</v>
      </c>
      <c r="F26" s="191">
        <v>1.2712000000000001</v>
      </c>
      <c r="G26" s="119">
        <f>Combine!M27</f>
        <v>2027.0334110333977</v>
      </c>
      <c r="H26" s="192">
        <v>8.3481000000000005</v>
      </c>
      <c r="I26" s="119">
        <f>Combine!J27</f>
        <v>272.77739999999994</v>
      </c>
      <c r="J26" s="191">
        <v>8.4181000000000008</v>
      </c>
      <c r="K26" s="119">
        <f>Combine!N27</f>
        <v>17</v>
      </c>
      <c r="L26" s="119">
        <f>Combine!O27</f>
        <v>31</v>
      </c>
    </row>
    <row r="27" spans="1:12">
      <c r="A27" s="188" t="s">
        <v>400</v>
      </c>
      <c r="B27" s="189">
        <v>26</v>
      </c>
      <c r="C27" s="190">
        <v>5</v>
      </c>
      <c r="D27" s="189">
        <v>2020</v>
      </c>
      <c r="E27" s="119">
        <f>Combine!G28</f>
        <v>223563</v>
      </c>
      <c r="F27" s="191">
        <v>1.2712000000000001</v>
      </c>
      <c r="G27" s="119">
        <f>Combine!M28</f>
        <v>2262.7841491841627</v>
      </c>
      <c r="H27" s="192">
        <v>8.3481000000000005</v>
      </c>
      <c r="I27" s="119">
        <f>Combine!J28</f>
        <v>273.19869999999992</v>
      </c>
      <c r="J27" s="191">
        <v>8.4181000000000008</v>
      </c>
      <c r="K27" s="119">
        <f>Combine!N28</f>
        <v>14</v>
      </c>
      <c r="L27" s="119">
        <f>Combine!O28</f>
        <v>22</v>
      </c>
    </row>
    <row r="28" spans="1:12">
      <c r="A28" s="188" t="s">
        <v>400</v>
      </c>
      <c r="B28" s="189">
        <v>27</v>
      </c>
      <c r="C28" s="190">
        <v>5</v>
      </c>
      <c r="D28" s="189">
        <v>2020</v>
      </c>
      <c r="E28" s="119">
        <f>Combine!G29</f>
        <v>264050.5</v>
      </c>
      <c r="F28" s="191">
        <v>1.2712000000000001</v>
      </c>
      <c r="G28" s="119">
        <f>Combine!M29</f>
        <v>2158.805283605278</v>
      </c>
      <c r="H28" s="192">
        <v>8.3481000000000005</v>
      </c>
      <c r="I28" s="119">
        <f>Combine!J29</f>
        <v>320.41409999999996</v>
      </c>
      <c r="J28" s="191">
        <v>8.4181000000000008</v>
      </c>
      <c r="K28" s="119">
        <f>Combine!N29</f>
        <v>17</v>
      </c>
      <c r="L28" s="119">
        <f>Combine!O29</f>
        <v>33</v>
      </c>
    </row>
    <row r="29" spans="1:12">
      <c r="A29" s="188" t="s">
        <v>400</v>
      </c>
      <c r="B29" s="189">
        <v>28</v>
      </c>
      <c r="C29" s="190">
        <v>5</v>
      </c>
      <c r="D29" s="189">
        <v>2020</v>
      </c>
      <c r="E29" s="119">
        <f>Combine!G30</f>
        <v>232984</v>
      </c>
      <c r="F29" s="191">
        <v>1.2712000000000001</v>
      </c>
      <c r="G29" s="119">
        <f>Combine!M30</f>
        <v>2523.7084693084753</v>
      </c>
      <c r="H29" s="192">
        <v>8.3481000000000005</v>
      </c>
      <c r="I29" s="119">
        <f>Combine!J30</f>
        <v>358.19540000000052</v>
      </c>
      <c r="J29" s="191">
        <v>8.4181000000000008</v>
      </c>
      <c r="K29" s="119">
        <f>Combine!N30</f>
        <v>19</v>
      </c>
      <c r="L29" s="119">
        <f>Combine!O30</f>
        <v>38</v>
      </c>
    </row>
    <row r="30" spans="1:12">
      <c r="A30" s="188" t="s">
        <v>400</v>
      </c>
      <c r="B30" s="189">
        <v>29</v>
      </c>
      <c r="C30" s="190">
        <v>5</v>
      </c>
      <c r="D30" s="189">
        <v>2020</v>
      </c>
      <c r="E30" s="119">
        <f>Combine!G31</f>
        <v>230036</v>
      </c>
      <c r="F30" s="191">
        <v>1.2712000000000001</v>
      </c>
      <c r="G30" s="119">
        <f>Combine!M31</f>
        <v>2142.6374514374365</v>
      </c>
      <c r="H30" s="192">
        <v>8.3481000000000005</v>
      </c>
      <c r="I30" s="119">
        <f>Combine!J31</f>
        <v>270.83659999999963</v>
      </c>
      <c r="J30" s="191">
        <v>8.4181000000000008</v>
      </c>
      <c r="K30" s="119">
        <f>Combine!N31</f>
        <v>40</v>
      </c>
      <c r="L30" s="119">
        <f>Combine!O31</f>
        <v>83</v>
      </c>
    </row>
    <row r="31" spans="1:12">
      <c r="A31" s="188" t="s">
        <v>400</v>
      </c>
      <c r="B31" s="189">
        <v>30</v>
      </c>
      <c r="C31" s="190">
        <v>5</v>
      </c>
      <c r="D31" s="189">
        <v>2020</v>
      </c>
      <c r="E31" s="119">
        <f>Combine!G32</f>
        <v>240673</v>
      </c>
      <c r="F31" s="191">
        <v>1.2712000000000001</v>
      </c>
      <c r="G31" s="119">
        <f>Combine!M32</f>
        <v>2861.9754467754524</v>
      </c>
      <c r="H31" s="192">
        <v>8.3481000000000005</v>
      </c>
      <c r="I31" s="119">
        <f>Combine!J32</f>
        <v>357</v>
      </c>
      <c r="J31" s="191">
        <v>8.4181000000000008</v>
      </c>
      <c r="K31" s="119">
        <f>Combine!N32</f>
        <v>48</v>
      </c>
      <c r="L31" s="119">
        <f>Combine!O32</f>
        <v>100</v>
      </c>
    </row>
    <row r="32" spans="1:12">
      <c r="A32" s="188" t="s">
        <v>400</v>
      </c>
      <c r="B32" s="189">
        <v>31</v>
      </c>
      <c r="C32" s="190">
        <v>5</v>
      </c>
      <c r="D32" s="189">
        <v>2020</v>
      </c>
      <c r="E32" s="119">
        <f>Combine!G33</f>
        <v>243750</v>
      </c>
      <c r="F32" s="191">
        <v>1.2712000000000001</v>
      </c>
      <c r="G32" s="119">
        <f>Combine!M33</f>
        <v>2861.9754467754524</v>
      </c>
      <c r="H32" s="192">
        <v>8.3481000000000005</v>
      </c>
      <c r="I32" s="119">
        <f>Combine!J33</f>
        <v>351.71860000000015</v>
      </c>
      <c r="J32" s="191">
        <v>8.4181000000000008</v>
      </c>
      <c r="K32" s="119">
        <f>Combine!N33</f>
        <v>18</v>
      </c>
      <c r="L32" s="119">
        <f>Combine!O33</f>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S24" sqref="S2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5" t="s">
        <v>65</v>
      </c>
      <c r="O1" s="196"/>
      <c r="P1" s="197"/>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5</v>
      </c>
      <c r="D3" s="118">
        <v>2020</v>
      </c>
      <c r="E3" s="149">
        <f>'Athens Daily - EL'!AK8</f>
        <v>221320</v>
      </c>
      <c r="F3" s="151"/>
      <c r="G3" s="129">
        <f>SUM(E3,F3)</f>
        <v>221320</v>
      </c>
      <c r="H3" s="149">
        <f>'Athens Daily - Water'!R7</f>
        <v>310.80505999999968</v>
      </c>
      <c r="I3" s="119"/>
      <c r="J3" s="125">
        <f t="shared" ref="J3:J33" si="0">SUM(H3,I3)</f>
        <v>310.80505999999968</v>
      </c>
      <c r="K3" s="149">
        <f>'Athens Daily - Gas'!BH9</f>
        <v>76352.879999999743</v>
      </c>
      <c r="L3" s="119"/>
      <c r="M3" s="129">
        <f>SUM(K3,L3)/38.61</f>
        <v>1977.5415695415629</v>
      </c>
      <c r="N3" s="158">
        <f>Occ!G10</f>
        <v>31</v>
      </c>
      <c r="O3" s="101">
        <f>Occ!H10</f>
        <v>60</v>
      </c>
      <c r="P3" s="157">
        <v>918</v>
      </c>
      <c r="Q3" s="166"/>
    </row>
    <row r="4" spans="1:17" ht="15.75">
      <c r="A4" s="7" t="s">
        <v>14</v>
      </c>
      <c r="B4" s="7">
        <v>2</v>
      </c>
      <c r="C4" s="7">
        <v>5</v>
      </c>
      <c r="D4" s="118">
        <v>2020</v>
      </c>
      <c r="E4" s="149">
        <f>'Athens Daily - EL'!AK9</f>
        <v>225852.03571428545</v>
      </c>
      <c r="F4" s="151"/>
      <c r="G4" s="129">
        <f t="shared" ref="G4:G33" si="1">SUM(E4,F4)</f>
        <v>225852.03571428545</v>
      </c>
      <c r="H4" s="149">
        <f>'Athens Daily - Water'!R8</f>
        <v>330.00506000001133</v>
      </c>
      <c r="I4" s="119"/>
      <c r="J4" s="125">
        <f t="shared" si="0"/>
        <v>330.00506000001133</v>
      </c>
      <c r="K4" s="149">
        <f>'Athens Daily - Gas'!BH10</f>
        <v>88099.449599997184</v>
      </c>
      <c r="L4" s="119"/>
      <c r="M4" s="129">
        <f t="shared" ref="M4:M33" si="2">SUM(K4,L4)/38.61</f>
        <v>2281.7780264179537</v>
      </c>
      <c r="N4" s="158">
        <f>Occ!G11</f>
        <v>44</v>
      </c>
      <c r="O4" s="101">
        <f>Occ!H11</f>
        <v>100</v>
      </c>
      <c r="P4" s="157">
        <v>918</v>
      </c>
      <c r="Q4" s="166"/>
    </row>
    <row r="5" spans="1:17" ht="15.75">
      <c r="A5" s="7" t="s">
        <v>14</v>
      </c>
      <c r="B5" s="7">
        <v>3</v>
      </c>
      <c r="C5" s="7">
        <v>5</v>
      </c>
      <c r="D5" s="118">
        <v>2020</v>
      </c>
      <c r="E5" s="149">
        <f>'Athens Daily - EL'!AK10</f>
        <v>225852.03571428545</v>
      </c>
      <c r="F5" s="151"/>
      <c r="G5" s="129">
        <f t="shared" si="1"/>
        <v>225852.03571428545</v>
      </c>
      <c r="H5" s="149">
        <f>'Athens Daily - Water'!R9</f>
        <v>330.00506000001133</v>
      </c>
      <c r="I5" s="119"/>
      <c r="J5" s="125">
        <f t="shared" si="0"/>
        <v>330.00506000001133</v>
      </c>
      <c r="K5" s="149">
        <f>'Athens Daily - Gas'!BH11</f>
        <v>88099.449599997184</v>
      </c>
      <c r="L5" s="119"/>
      <c r="M5" s="129">
        <f t="shared" si="2"/>
        <v>2281.7780264179537</v>
      </c>
      <c r="N5" s="158">
        <f>Occ!G12</f>
        <v>14</v>
      </c>
      <c r="O5" s="101">
        <f>Occ!H12</f>
        <v>29</v>
      </c>
      <c r="P5" s="157">
        <v>918</v>
      </c>
      <c r="Q5" s="166"/>
    </row>
    <row r="6" spans="1:17" ht="15.75">
      <c r="A6" s="7" t="s">
        <v>14</v>
      </c>
      <c r="B6" s="7">
        <v>4</v>
      </c>
      <c r="C6" s="7">
        <v>5</v>
      </c>
      <c r="D6" s="118">
        <v>2020</v>
      </c>
      <c r="E6" s="149">
        <f>'Athens Daily - EL'!AK11</f>
        <v>225852.03571428551</v>
      </c>
      <c r="F6" s="151"/>
      <c r="G6" s="129">
        <f t="shared" si="1"/>
        <v>225852.03571428551</v>
      </c>
      <c r="H6" s="149">
        <f>'Athens Daily - Water'!R10</f>
        <v>330.00506000001133</v>
      </c>
      <c r="I6" s="119"/>
      <c r="J6" s="125">
        <f t="shared" si="0"/>
        <v>330.00506000001133</v>
      </c>
      <c r="K6" s="149">
        <f>'Athens Daily - Gas'!BH12</f>
        <v>88099.449599997184</v>
      </c>
      <c r="L6" s="119"/>
      <c r="M6" s="129">
        <f t="shared" si="2"/>
        <v>2281.7780264179537</v>
      </c>
      <c r="N6" s="158">
        <f>Occ!G13</f>
        <v>7</v>
      </c>
      <c r="O6" s="101">
        <f>Occ!H13</f>
        <v>12</v>
      </c>
      <c r="P6" s="157">
        <v>918</v>
      </c>
      <c r="Q6" s="166"/>
    </row>
    <row r="7" spans="1:17" ht="15.75">
      <c r="A7" s="7" t="s">
        <v>14</v>
      </c>
      <c r="B7" s="7">
        <v>5</v>
      </c>
      <c r="C7" s="7">
        <v>5</v>
      </c>
      <c r="D7" s="118">
        <v>2020</v>
      </c>
      <c r="E7" s="149">
        <f>'Athens Daily - EL'!AK12</f>
        <v>225852.03571428551</v>
      </c>
      <c r="F7" s="151"/>
      <c r="G7" s="129">
        <f t="shared" si="1"/>
        <v>225852.03571428551</v>
      </c>
      <c r="H7" s="149">
        <f>'Athens Daily - Water'!R11</f>
        <v>330.00506000001315</v>
      </c>
      <c r="I7" s="119"/>
      <c r="J7" s="125">
        <f t="shared" si="0"/>
        <v>330.00506000001315</v>
      </c>
      <c r="K7" s="149">
        <f>'Athens Daily - Gas'!BH13</f>
        <v>88099.449599997184</v>
      </c>
      <c r="L7" s="119"/>
      <c r="M7" s="129">
        <f t="shared" si="2"/>
        <v>2281.7780264179537</v>
      </c>
      <c r="N7" s="158">
        <f>Occ!G14</f>
        <v>9</v>
      </c>
      <c r="O7" s="101">
        <f>Occ!H14</f>
        <v>15</v>
      </c>
      <c r="P7" s="157">
        <v>918</v>
      </c>
      <c r="Q7" s="166"/>
    </row>
    <row r="8" spans="1:17" ht="15.75">
      <c r="A8" s="7" t="s">
        <v>14</v>
      </c>
      <c r="B8" s="7">
        <v>6</v>
      </c>
      <c r="C8" s="7">
        <v>5</v>
      </c>
      <c r="D8" s="118">
        <v>2020</v>
      </c>
      <c r="E8" s="149">
        <f>'Athens Daily - EL'!AK13</f>
        <v>225852.03571428551</v>
      </c>
      <c r="F8" s="151"/>
      <c r="G8" s="129">
        <f t="shared" si="1"/>
        <v>225852.03571428551</v>
      </c>
      <c r="H8" s="149">
        <f>'Athens Daily - Water'!R12</f>
        <v>328.22189999995317</v>
      </c>
      <c r="I8" s="119"/>
      <c r="J8" s="125">
        <f t="shared" si="0"/>
        <v>328.22189999995317</v>
      </c>
      <c r="K8" s="149">
        <f>'Athens Daily - Gas'!BH14</f>
        <v>88099.44960001143</v>
      </c>
      <c r="L8" s="119"/>
      <c r="M8" s="129">
        <f t="shared" si="2"/>
        <v>2281.7780264183225</v>
      </c>
      <c r="N8" s="158">
        <f>Occ!G15</f>
        <v>11</v>
      </c>
      <c r="O8" s="101">
        <f>Occ!H15</f>
        <v>22</v>
      </c>
      <c r="P8" s="157">
        <v>918</v>
      </c>
      <c r="Q8" s="166"/>
    </row>
    <row r="9" spans="1:17" ht="15.75">
      <c r="A9" s="7" t="s">
        <v>14</v>
      </c>
      <c r="B9" s="7">
        <v>7</v>
      </c>
      <c r="C9" s="7">
        <v>5</v>
      </c>
      <c r="D9" s="118">
        <v>2020</v>
      </c>
      <c r="E9" s="149">
        <f>'Athens Daily - EL'!AK14</f>
        <v>225852.03571428551</v>
      </c>
      <c r="F9" s="151"/>
      <c r="G9" s="129">
        <f t="shared" si="1"/>
        <v>225852.03571428551</v>
      </c>
      <c r="H9" s="149">
        <f>'Athens Daily - Water'!R13</f>
        <v>332.70570000000043</v>
      </c>
      <c r="I9" s="119"/>
      <c r="J9" s="125">
        <f t="shared" si="0"/>
        <v>332.70570000000043</v>
      </c>
      <c r="K9" s="149">
        <f>'Athens Daily - Gas'!BH15</f>
        <v>98667.264000000243</v>
      </c>
      <c r="L9" s="119"/>
      <c r="M9" s="129">
        <f t="shared" si="2"/>
        <v>2555.4846930846993</v>
      </c>
      <c r="N9" s="158">
        <f>Occ!G16</f>
        <v>14</v>
      </c>
      <c r="O9" s="101">
        <f>Occ!H16</f>
        <v>30</v>
      </c>
      <c r="P9" s="157">
        <v>918</v>
      </c>
      <c r="Q9" s="166"/>
    </row>
    <row r="10" spans="1:17">
      <c r="A10" s="7" t="s">
        <v>14</v>
      </c>
      <c r="B10" s="7">
        <v>8</v>
      </c>
      <c r="C10" s="7">
        <v>5</v>
      </c>
      <c r="D10" s="118">
        <v>2020</v>
      </c>
      <c r="E10" s="149">
        <f>'Athens Daily - EL'!AK15</f>
        <v>225852.03571428551</v>
      </c>
      <c r="F10" s="151"/>
      <c r="G10" s="129">
        <f t="shared" si="1"/>
        <v>225852.03571428551</v>
      </c>
      <c r="H10" s="149">
        <f>'Athens Daily - Water'!R14</f>
        <v>294.83119999999963</v>
      </c>
      <c r="I10" s="119"/>
      <c r="J10" s="125">
        <f t="shared" si="0"/>
        <v>294.83119999999963</v>
      </c>
      <c r="K10" s="149">
        <f>'Athens Daily - Gas'!BH16</f>
        <v>84780.047999999762</v>
      </c>
      <c r="L10" s="119"/>
      <c r="M10" s="129">
        <f t="shared" si="2"/>
        <v>2195.8054390054331</v>
      </c>
      <c r="N10" s="158">
        <f>Occ!G17</f>
        <v>39</v>
      </c>
      <c r="O10" s="101">
        <f>Occ!H17</f>
        <v>88</v>
      </c>
      <c r="P10" s="157">
        <v>918</v>
      </c>
      <c r="Q10" s="99"/>
    </row>
    <row r="11" spans="1:17">
      <c r="A11" s="7" t="s">
        <v>14</v>
      </c>
      <c r="B11" s="7">
        <v>9</v>
      </c>
      <c r="C11" s="7">
        <v>5</v>
      </c>
      <c r="D11" s="118">
        <v>2020</v>
      </c>
      <c r="E11" s="149">
        <f>'Athens Daily - EL'!AK16</f>
        <v>225852.03571428551</v>
      </c>
      <c r="F11" s="151"/>
      <c r="G11" s="129">
        <f t="shared" si="1"/>
        <v>225852.03571428551</v>
      </c>
      <c r="H11" s="149">
        <f>'Athens Daily - Water'!R15</f>
        <v>305.05709999999999</v>
      </c>
      <c r="I11" s="119"/>
      <c r="J11" s="125">
        <f t="shared" si="0"/>
        <v>305.05709999999999</v>
      </c>
      <c r="K11" s="149">
        <f>'Athens Daily - Gas'!BH17</f>
        <v>98734.751999999949</v>
      </c>
      <c r="L11" s="119"/>
      <c r="M11" s="129">
        <f t="shared" si="2"/>
        <v>2557.2326340326326</v>
      </c>
      <c r="N11" s="158">
        <f>Occ!G18</f>
        <v>91</v>
      </c>
      <c r="O11" s="101">
        <f>Occ!H18</f>
        <v>231</v>
      </c>
      <c r="P11" s="157">
        <v>918</v>
      </c>
      <c r="Q11" s="99"/>
    </row>
    <row r="12" spans="1:17" ht="15.75">
      <c r="A12" s="7" t="s">
        <v>14</v>
      </c>
      <c r="B12" s="7">
        <v>10</v>
      </c>
      <c r="C12" s="7">
        <v>5</v>
      </c>
      <c r="D12" s="118">
        <v>2020</v>
      </c>
      <c r="E12" s="149">
        <f>'Athens Daily - EL'!AK17</f>
        <v>225852.03571428551</v>
      </c>
      <c r="F12" s="151"/>
      <c r="G12" s="129">
        <f t="shared" si="1"/>
        <v>225852.03571428551</v>
      </c>
      <c r="H12" s="149">
        <f>'Athens Daily - Water'!R16</f>
        <v>334.69989999999962</v>
      </c>
      <c r="I12" s="119"/>
      <c r="J12" s="125">
        <f t="shared" si="0"/>
        <v>334.69989999999962</v>
      </c>
      <c r="K12" s="149">
        <f>'Athens Daily - Gas'!BH18</f>
        <v>89647.295999999944</v>
      </c>
      <c r="L12" s="119"/>
      <c r="M12" s="129">
        <f t="shared" si="2"/>
        <v>2321.8672882672868</v>
      </c>
      <c r="N12" s="158">
        <f>Occ!G19</f>
        <v>20</v>
      </c>
      <c r="O12" s="101">
        <f>Occ!H19</f>
        <v>44</v>
      </c>
      <c r="P12" s="157">
        <v>918</v>
      </c>
      <c r="Q12" s="166"/>
    </row>
    <row r="13" spans="1:17" ht="15.75">
      <c r="A13" s="7" t="s">
        <v>14</v>
      </c>
      <c r="B13" s="7">
        <v>11</v>
      </c>
      <c r="C13" s="7">
        <v>5</v>
      </c>
      <c r="D13" s="118">
        <v>2020</v>
      </c>
      <c r="E13" s="149">
        <f>'Athens Daily - EL'!AK18</f>
        <v>225852.03571428551</v>
      </c>
      <c r="F13" s="151"/>
      <c r="G13" s="129">
        <f t="shared" si="1"/>
        <v>225852.03571428551</v>
      </c>
      <c r="H13" s="149">
        <f>'Athens Daily - Water'!R17</f>
        <v>392.27850000000035</v>
      </c>
      <c r="I13" s="119"/>
      <c r="J13" s="125">
        <f t="shared" si="0"/>
        <v>392.27850000000035</v>
      </c>
      <c r="K13" s="149">
        <f>'Athens Daily - Gas'!BH19</f>
        <v>97302.048000000184</v>
      </c>
      <c r="L13" s="119"/>
      <c r="M13" s="129">
        <f t="shared" si="2"/>
        <v>2520.1255633255682</v>
      </c>
      <c r="N13" s="158">
        <f>Occ!G20</f>
        <v>8</v>
      </c>
      <c r="O13" s="101">
        <f>Occ!H20</f>
        <v>17</v>
      </c>
      <c r="P13" s="157">
        <v>918</v>
      </c>
      <c r="Q13" s="166"/>
    </row>
    <row r="14" spans="1:17" ht="15.75">
      <c r="A14" s="7" t="s">
        <v>14</v>
      </c>
      <c r="B14" s="7">
        <v>12</v>
      </c>
      <c r="C14" s="7">
        <v>5</v>
      </c>
      <c r="D14" s="118">
        <v>2020</v>
      </c>
      <c r="E14" s="149">
        <f>'Athens Daily - EL'!AK19</f>
        <v>225852.03571428551</v>
      </c>
      <c r="F14" s="151"/>
      <c r="G14" s="129">
        <f t="shared" si="1"/>
        <v>225852.03571428551</v>
      </c>
      <c r="H14" s="149">
        <f>'Athens Daily - Water'!R18</f>
        <v>265.67950000000019</v>
      </c>
      <c r="I14" s="119"/>
      <c r="J14" s="125">
        <f t="shared" si="0"/>
        <v>265.67950000000019</v>
      </c>
      <c r="K14" s="149">
        <f>'Athens Daily - Gas'!BH20</f>
        <v>90745.103999999905</v>
      </c>
      <c r="L14" s="119"/>
      <c r="M14" s="129">
        <f t="shared" si="2"/>
        <v>2350.3005439005415</v>
      </c>
      <c r="N14" s="158">
        <f>Occ!G21</f>
        <v>13</v>
      </c>
      <c r="O14" s="101">
        <f>Occ!H21</f>
        <v>28</v>
      </c>
      <c r="P14" s="157">
        <v>918</v>
      </c>
      <c r="Q14" s="166"/>
    </row>
    <row r="15" spans="1:17">
      <c r="A15" s="7" t="s">
        <v>14</v>
      </c>
      <c r="B15" s="7">
        <v>13</v>
      </c>
      <c r="C15" s="7">
        <v>5</v>
      </c>
      <c r="D15" s="118">
        <v>2020</v>
      </c>
      <c r="E15" s="149">
        <f>'Athens Daily - EL'!AK20</f>
        <v>225852.03571428551</v>
      </c>
      <c r="F15" s="167"/>
      <c r="G15" s="129">
        <f t="shared" si="1"/>
        <v>225852.03571428551</v>
      </c>
      <c r="H15" s="149">
        <f>'Athens Daily - Water'!R19</f>
        <v>393.72620000000006</v>
      </c>
      <c r="I15" s="119"/>
      <c r="J15" s="125">
        <f t="shared" si="0"/>
        <v>393.72620000000006</v>
      </c>
      <c r="K15" s="149">
        <f>'Athens Daily - Gas'!BH21</f>
        <v>89892.719999999972</v>
      </c>
      <c r="L15" s="119"/>
      <c r="M15" s="129">
        <f t="shared" si="2"/>
        <v>2328.2237762237755</v>
      </c>
      <c r="N15" s="158">
        <f>Occ!G22</f>
        <v>10</v>
      </c>
      <c r="O15" s="101">
        <f>Occ!H22</f>
        <v>23</v>
      </c>
      <c r="P15" s="157">
        <v>918</v>
      </c>
      <c r="Q15" s="163"/>
    </row>
    <row r="16" spans="1:17">
      <c r="A16" s="7" t="s">
        <v>14</v>
      </c>
      <c r="B16" s="7">
        <v>14</v>
      </c>
      <c r="C16" s="7">
        <v>5</v>
      </c>
      <c r="D16" s="118">
        <v>2020</v>
      </c>
      <c r="E16" s="149">
        <f>'Athens Daily - EL'!AK21</f>
        <v>230388.75510204089</v>
      </c>
      <c r="F16" s="151"/>
      <c r="G16" s="129">
        <f t="shared" si="1"/>
        <v>230388.75510204089</v>
      </c>
      <c r="H16" s="149">
        <f>'Athens Daily - Water'!R20</f>
        <v>370.88360000000011</v>
      </c>
      <c r="I16" s="119"/>
      <c r="J16" s="125">
        <f t="shared" si="0"/>
        <v>370.88360000000011</v>
      </c>
      <c r="K16" s="149">
        <f>'Athens Daily - Gas'!BH22</f>
        <v>99256.12800000007</v>
      </c>
      <c r="L16" s="119"/>
      <c r="M16" s="129">
        <f t="shared" si="2"/>
        <v>2570.7362859362879</v>
      </c>
      <c r="N16" s="158">
        <f>Occ!G23</f>
        <v>19</v>
      </c>
      <c r="O16" s="101">
        <f>Occ!H23</f>
        <v>41</v>
      </c>
      <c r="P16" s="157">
        <v>918</v>
      </c>
      <c r="Q16" s="163"/>
    </row>
    <row r="17" spans="1:17">
      <c r="A17" s="7" t="s">
        <v>14</v>
      </c>
      <c r="B17" s="7">
        <v>15</v>
      </c>
      <c r="C17" s="7">
        <v>5</v>
      </c>
      <c r="D17" s="118">
        <v>2020</v>
      </c>
      <c r="E17" s="149">
        <f>'Athens Daily - EL'!AK22</f>
        <v>221315.31632653321</v>
      </c>
      <c r="F17" s="151"/>
      <c r="G17" s="129">
        <f t="shared" si="1"/>
        <v>221315.31632653321</v>
      </c>
      <c r="H17" s="149">
        <f>'Athens Daily - Water'!R21</f>
        <v>364.77499999999964</v>
      </c>
      <c r="I17" s="119"/>
      <c r="J17" s="125">
        <f t="shared" si="0"/>
        <v>364.77499999999964</v>
      </c>
      <c r="K17" s="149">
        <f>'Athens Daily - Gas'!BH23</f>
        <v>85797.6</v>
      </c>
      <c r="L17" s="119"/>
      <c r="M17" s="129">
        <f t="shared" si="2"/>
        <v>2222.1600621600624</v>
      </c>
      <c r="N17" s="158">
        <f>Occ!G24</f>
        <v>32</v>
      </c>
      <c r="O17" s="101">
        <f>Occ!H24</f>
        <v>74</v>
      </c>
      <c r="P17" s="157">
        <v>918</v>
      </c>
      <c r="Q17" s="163"/>
    </row>
    <row r="18" spans="1:17">
      <c r="A18" s="7" t="s">
        <v>14</v>
      </c>
      <c r="B18" s="7">
        <v>16</v>
      </c>
      <c r="C18" s="7">
        <v>5</v>
      </c>
      <c r="D18" s="118">
        <v>2020</v>
      </c>
      <c r="E18" s="149">
        <f>'Athens Daily - EL'!AK23</f>
        <v>221625.5</v>
      </c>
      <c r="F18" s="151"/>
      <c r="G18" s="129">
        <f t="shared" si="1"/>
        <v>221625.5</v>
      </c>
      <c r="H18" s="149">
        <f>'Athens Daily - Water'!R22</f>
        <v>352.9368999999997</v>
      </c>
      <c r="I18" s="119"/>
      <c r="J18" s="125">
        <f t="shared" si="0"/>
        <v>352.9368999999997</v>
      </c>
      <c r="K18" s="149">
        <f>'Athens Daily - Gas'!BH24</f>
        <v>95622.624000000302</v>
      </c>
      <c r="L18" s="119"/>
      <c r="M18" s="129">
        <f t="shared" si="2"/>
        <v>2476.6284382284462</v>
      </c>
      <c r="N18" s="158">
        <f>Occ!G25</f>
        <v>13</v>
      </c>
      <c r="O18" s="101">
        <f>Occ!H25</f>
        <v>25</v>
      </c>
      <c r="P18" s="157">
        <v>918</v>
      </c>
      <c r="Q18" s="162"/>
    </row>
    <row r="19" spans="1:17">
      <c r="A19" s="7" t="s">
        <v>14</v>
      </c>
      <c r="B19" s="7">
        <v>17</v>
      </c>
      <c r="C19" s="7">
        <v>5</v>
      </c>
      <c r="D19" s="118">
        <v>2020</v>
      </c>
      <c r="E19" s="149">
        <f>'Athens Daily - EL'!AK24</f>
        <v>240319.5</v>
      </c>
      <c r="F19" s="151"/>
      <c r="G19" s="129">
        <f t="shared" si="1"/>
        <v>240319.5</v>
      </c>
      <c r="H19" s="149">
        <f>'Athens Daily - Water'!R23</f>
        <v>390.57960000000003</v>
      </c>
      <c r="I19" s="119"/>
      <c r="J19" s="125">
        <f t="shared" si="0"/>
        <v>390.57960000000003</v>
      </c>
      <c r="K19" s="149">
        <f>'Athens Daily - Gas'!BH25</f>
        <v>91940.496000000086</v>
      </c>
      <c r="L19" s="119"/>
      <c r="M19" s="129">
        <f t="shared" si="2"/>
        <v>2381.2612276612299</v>
      </c>
      <c r="N19" s="158">
        <f>Occ!G26</f>
        <v>13</v>
      </c>
      <c r="O19" s="101">
        <f>Occ!H26</f>
        <v>25</v>
      </c>
      <c r="P19" s="157">
        <v>918</v>
      </c>
      <c r="Q19" s="162"/>
    </row>
    <row r="20" spans="1:17">
      <c r="A20" s="7" t="s">
        <v>14</v>
      </c>
      <c r="B20" s="7">
        <v>18</v>
      </c>
      <c r="C20" s="7">
        <v>5</v>
      </c>
      <c r="D20" s="118">
        <v>2020</v>
      </c>
      <c r="E20" s="149">
        <f>'Athens Daily - EL'!AK25</f>
        <v>230161.5</v>
      </c>
      <c r="F20" s="151"/>
      <c r="G20" s="129">
        <f t="shared" si="1"/>
        <v>230161.5</v>
      </c>
      <c r="H20" s="149">
        <f>'Athens Daily - Water'!R24</f>
        <v>272.63940000000002</v>
      </c>
      <c r="I20" s="119"/>
      <c r="J20" s="125">
        <f t="shared" si="0"/>
        <v>272.63940000000002</v>
      </c>
      <c r="K20" s="149">
        <f>'Athens Daily - Gas'!BH26</f>
        <v>85567.631999999561</v>
      </c>
      <c r="L20" s="119"/>
      <c r="M20" s="129">
        <f t="shared" si="2"/>
        <v>2216.2038850038739</v>
      </c>
      <c r="N20" s="158">
        <f>Occ!G27</f>
        <v>17</v>
      </c>
      <c r="O20" s="101">
        <f>Occ!H27</f>
        <v>32</v>
      </c>
      <c r="P20" s="157">
        <v>918</v>
      </c>
      <c r="Q20" s="162"/>
    </row>
    <row r="21" spans="1:17">
      <c r="A21" s="7" t="s">
        <v>14</v>
      </c>
      <c r="B21" s="7">
        <v>19</v>
      </c>
      <c r="C21" s="7">
        <v>5</v>
      </c>
      <c r="D21" s="118">
        <v>2020</v>
      </c>
      <c r="E21" s="149">
        <f>'Athens Daily - EL'!AK26</f>
        <v>226205.5</v>
      </c>
      <c r="F21" s="151"/>
      <c r="G21" s="129">
        <f t="shared" si="1"/>
        <v>226205.5</v>
      </c>
      <c r="H21" s="149">
        <f>'Athens Daily - Water'!R25</f>
        <v>236.17920000000049</v>
      </c>
      <c r="I21" s="119"/>
      <c r="J21" s="125">
        <f t="shared" si="0"/>
        <v>236.17920000000049</v>
      </c>
      <c r="K21" s="149">
        <f>'Athens Daily - Gas'!BH27</f>
        <v>97120.800000000134</v>
      </c>
      <c r="L21" s="171"/>
      <c r="M21" s="129">
        <f t="shared" si="2"/>
        <v>2515.4312354312387</v>
      </c>
      <c r="N21" s="158">
        <f>Occ!G28</f>
        <v>14</v>
      </c>
      <c r="O21" s="101">
        <f>Occ!H28</f>
        <v>24</v>
      </c>
      <c r="P21" s="157">
        <v>918</v>
      </c>
      <c r="Q21" s="162"/>
    </row>
    <row r="22" spans="1:17">
      <c r="A22" s="7" t="s">
        <v>14</v>
      </c>
      <c r="B22" s="7">
        <v>20</v>
      </c>
      <c r="C22" s="7">
        <v>5</v>
      </c>
      <c r="D22" s="118">
        <v>2020</v>
      </c>
      <c r="E22" s="149">
        <f>'Athens Daily - EL'!AK27</f>
        <v>232218</v>
      </c>
      <c r="F22" s="151"/>
      <c r="G22" s="129">
        <f t="shared" si="1"/>
        <v>232218</v>
      </c>
      <c r="H22" s="149">
        <f>'Athens Daily - Water'!R26</f>
        <v>277.73809999999958</v>
      </c>
      <c r="I22" s="119"/>
      <c r="J22" s="125">
        <f t="shared" si="0"/>
        <v>277.73809999999958</v>
      </c>
      <c r="K22" s="149">
        <f>'Athens Daily - Gas'!BH28</f>
        <v>81347.472000000067</v>
      </c>
      <c r="L22" s="119"/>
      <c r="M22" s="129">
        <f t="shared" si="2"/>
        <v>2106.9016317016335</v>
      </c>
      <c r="N22" s="158">
        <f>Occ!G29</f>
        <v>22</v>
      </c>
      <c r="O22" s="101">
        <f>Occ!H29</f>
        <v>37</v>
      </c>
      <c r="P22" s="157">
        <v>918</v>
      </c>
      <c r="Q22" s="163"/>
    </row>
    <row r="23" spans="1:17">
      <c r="A23" s="7" t="s">
        <v>14</v>
      </c>
      <c r="B23" s="7">
        <v>21</v>
      </c>
      <c r="C23" s="7">
        <v>5</v>
      </c>
      <c r="D23" s="118">
        <v>2020</v>
      </c>
      <c r="E23" s="149">
        <f>'Athens Daily - EL'!AK28</f>
        <v>307921</v>
      </c>
      <c r="F23" s="151"/>
      <c r="G23" s="129">
        <f t="shared" si="1"/>
        <v>307921</v>
      </c>
      <c r="H23" s="170">
        <f>'Athens Daily - Water'!R27</f>
        <v>359.40599999999995</v>
      </c>
      <c r="I23" s="171"/>
      <c r="J23" s="125">
        <f t="shared" si="0"/>
        <v>359.40599999999995</v>
      </c>
      <c r="K23" s="149">
        <f>'Athens Daily - Gas'!BH29</f>
        <v>91057.439999999653</v>
      </c>
      <c r="L23" s="119"/>
      <c r="M23" s="129">
        <f t="shared" si="2"/>
        <v>2358.3900543900454</v>
      </c>
      <c r="N23" s="158">
        <f>Occ!G30</f>
        <v>16</v>
      </c>
      <c r="O23" s="101">
        <f>Occ!H30</f>
        <v>28</v>
      </c>
      <c r="P23" s="157">
        <v>918</v>
      </c>
      <c r="Q23" s="163"/>
    </row>
    <row r="24" spans="1:17">
      <c r="A24" s="7" t="s">
        <v>14</v>
      </c>
      <c r="B24" s="7">
        <v>22</v>
      </c>
      <c r="C24" s="7">
        <v>5</v>
      </c>
      <c r="D24" s="118">
        <v>2020</v>
      </c>
      <c r="E24" s="149">
        <f>'Athens Daily - EL'!AK29</f>
        <v>172736</v>
      </c>
      <c r="F24" s="151"/>
      <c r="G24" s="129">
        <f t="shared" si="1"/>
        <v>172736</v>
      </c>
      <c r="H24" s="170">
        <f>'Athens Daily - Water'!R28</f>
        <v>304.83290000000034</v>
      </c>
      <c r="I24" s="171"/>
      <c r="J24" s="125">
        <f t="shared" si="0"/>
        <v>304.83290000000034</v>
      </c>
      <c r="K24" s="149">
        <f>'Athens Daily - Gas'!BH30</f>
        <v>84001.440000000352</v>
      </c>
      <c r="L24" s="119"/>
      <c r="M24" s="129">
        <f t="shared" si="2"/>
        <v>2175.6394716394807</v>
      </c>
      <c r="N24" s="158">
        <f>Occ!G31</f>
        <v>26</v>
      </c>
      <c r="O24" s="101">
        <f>Occ!H31</f>
        <v>52</v>
      </c>
      <c r="P24" s="157">
        <v>918</v>
      </c>
      <c r="Q24" s="163"/>
    </row>
    <row r="25" spans="1:17">
      <c r="A25" s="7" t="s">
        <v>14</v>
      </c>
      <c r="B25" s="7">
        <v>23</v>
      </c>
      <c r="C25" s="7">
        <v>5</v>
      </c>
      <c r="D25" s="118">
        <v>2020</v>
      </c>
      <c r="E25" s="149">
        <f>'Athens Daily - EL'!AK30</f>
        <v>213607.5</v>
      </c>
      <c r="F25" s="151"/>
      <c r="G25" s="129">
        <f t="shared" si="1"/>
        <v>213607.5</v>
      </c>
      <c r="H25" s="170">
        <f>'Athens Daily - Water'!R29</f>
        <v>360.22900000000027</v>
      </c>
      <c r="I25" s="171"/>
      <c r="J25" s="125">
        <f t="shared" si="0"/>
        <v>360.22900000000027</v>
      </c>
      <c r="K25" s="170">
        <f>'Athens Daily - Gas'!BH31</f>
        <v>93859.008000000089</v>
      </c>
      <c r="L25" s="119"/>
      <c r="M25" s="129">
        <f t="shared" si="2"/>
        <v>2430.9507381507406</v>
      </c>
      <c r="N25" s="158">
        <f>Occ!G32</f>
        <v>34</v>
      </c>
      <c r="O25" s="101">
        <f>Occ!H32</f>
        <v>67</v>
      </c>
      <c r="P25" s="157">
        <v>918</v>
      </c>
      <c r="Q25" s="163"/>
    </row>
    <row r="26" spans="1:17">
      <c r="A26" s="7" t="s">
        <v>14</v>
      </c>
      <c r="B26" s="7">
        <v>24</v>
      </c>
      <c r="C26" s="7">
        <v>5</v>
      </c>
      <c r="D26" s="118">
        <v>2020</v>
      </c>
      <c r="E26" s="149">
        <f>'Athens Daily - EL'!AK31</f>
        <v>252565.5</v>
      </c>
      <c r="F26" s="151"/>
      <c r="G26" s="129">
        <f t="shared" si="1"/>
        <v>252565.5</v>
      </c>
      <c r="H26" s="170">
        <f>'Athens Daily - Water'!R30</f>
        <v>359.35279999999966</v>
      </c>
      <c r="I26" s="171"/>
      <c r="J26" s="125">
        <f t="shared" si="0"/>
        <v>359.35279999999966</v>
      </c>
      <c r="K26" s="149">
        <f>'Athens Daily - Gas'!BH32</f>
        <v>84460.848000000042</v>
      </c>
      <c r="L26" s="119"/>
      <c r="M26" s="129">
        <f t="shared" si="2"/>
        <v>2187.5381507381517</v>
      </c>
      <c r="N26" s="158">
        <f>Occ!G33</f>
        <v>17</v>
      </c>
      <c r="O26" s="101">
        <f>Occ!H33</f>
        <v>32</v>
      </c>
      <c r="P26" s="157">
        <v>918</v>
      </c>
      <c r="Q26" s="163"/>
    </row>
    <row r="27" spans="1:17">
      <c r="A27" s="7" t="s">
        <v>14</v>
      </c>
      <c r="B27" s="7">
        <v>25</v>
      </c>
      <c r="C27" s="7">
        <v>5</v>
      </c>
      <c r="D27" s="118">
        <v>2020</v>
      </c>
      <c r="E27" s="149">
        <f>'Athens Daily - EL'!AK32</f>
        <v>188765</v>
      </c>
      <c r="F27" s="151"/>
      <c r="G27" s="129">
        <f t="shared" si="1"/>
        <v>188765</v>
      </c>
      <c r="H27" s="170">
        <f>'Athens Daily - Water'!R31</f>
        <v>272.77739999999994</v>
      </c>
      <c r="I27" s="171"/>
      <c r="J27" s="125">
        <f t="shared" si="0"/>
        <v>272.77739999999994</v>
      </c>
      <c r="K27" s="149">
        <f>'Athens Daily - Gas'!BH33</f>
        <v>78263.759999999485</v>
      </c>
      <c r="L27" s="119"/>
      <c r="M27" s="129">
        <f t="shared" si="2"/>
        <v>2027.0334110333977</v>
      </c>
      <c r="N27" s="158">
        <f>Occ!G34</f>
        <v>17</v>
      </c>
      <c r="O27" s="101">
        <f>Occ!H34</f>
        <v>31</v>
      </c>
      <c r="P27" s="157">
        <v>918</v>
      </c>
      <c r="Q27" s="161"/>
    </row>
    <row r="28" spans="1:17">
      <c r="A28" s="7" t="s">
        <v>14</v>
      </c>
      <c r="B28" s="7">
        <v>26</v>
      </c>
      <c r="C28" s="7">
        <v>5</v>
      </c>
      <c r="D28" s="118">
        <v>2020</v>
      </c>
      <c r="E28" s="149">
        <f>'Athens Daily - EL'!AK33</f>
        <v>223563</v>
      </c>
      <c r="F28" s="151"/>
      <c r="G28" s="129">
        <f t="shared" si="1"/>
        <v>223563</v>
      </c>
      <c r="H28" s="149">
        <f>'Athens Daily - Water'!R32</f>
        <v>273.19869999999992</v>
      </c>
      <c r="I28" s="119"/>
      <c r="J28" s="125">
        <f t="shared" si="0"/>
        <v>273.19869999999992</v>
      </c>
      <c r="K28" s="149">
        <f>'Athens Daily - Gas'!BH34</f>
        <v>87366.096000000514</v>
      </c>
      <c r="L28" s="119"/>
      <c r="M28" s="129">
        <f t="shared" si="2"/>
        <v>2262.7841491841627</v>
      </c>
      <c r="N28" s="158">
        <f>Occ!G35</f>
        <v>14</v>
      </c>
      <c r="O28" s="101">
        <f>Occ!H35</f>
        <v>22</v>
      </c>
      <c r="P28" s="157">
        <v>918</v>
      </c>
      <c r="Q28" s="161"/>
    </row>
    <row r="29" spans="1:17">
      <c r="A29" s="7" t="s">
        <v>14</v>
      </c>
      <c r="B29" s="7">
        <v>27</v>
      </c>
      <c r="C29" s="7">
        <v>5</v>
      </c>
      <c r="D29" s="118">
        <v>2020</v>
      </c>
      <c r="E29" s="149">
        <f>'Athens Daily - EL'!AK34</f>
        <v>264050.5</v>
      </c>
      <c r="F29" s="151"/>
      <c r="G29" s="129">
        <f t="shared" si="1"/>
        <v>264050.5</v>
      </c>
      <c r="H29" s="149">
        <f>'Athens Daily - Water'!R33</f>
        <v>320.41409999999996</v>
      </c>
      <c r="I29" s="119"/>
      <c r="J29" s="125">
        <f t="shared" si="0"/>
        <v>320.41409999999996</v>
      </c>
      <c r="K29" s="149">
        <f>'Athens Daily - Gas'!BH35</f>
        <v>83351.471999999776</v>
      </c>
      <c r="L29" s="119"/>
      <c r="M29" s="129">
        <f t="shared" si="2"/>
        <v>2158.805283605278</v>
      </c>
      <c r="N29" s="158">
        <f>Occ!G36</f>
        <v>17</v>
      </c>
      <c r="O29" s="101">
        <f>Occ!H36</f>
        <v>33</v>
      </c>
      <c r="P29" s="157">
        <v>918</v>
      </c>
      <c r="Q29" s="161"/>
    </row>
    <row r="30" spans="1:17">
      <c r="A30" s="7" t="s">
        <v>14</v>
      </c>
      <c r="B30" s="7">
        <v>28</v>
      </c>
      <c r="C30" s="7">
        <v>5</v>
      </c>
      <c r="D30" s="118">
        <v>2020</v>
      </c>
      <c r="E30" s="149">
        <f>'Athens Daily - EL'!AK35</f>
        <v>232984</v>
      </c>
      <c r="F30" s="151"/>
      <c r="G30" s="129">
        <f t="shared" si="1"/>
        <v>232984</v>
      </c>
      <c r="H30" s="149">
        <f>'Athens Daily - Water'!R34</f>
        <v>358.19540000000052</v>
      </c>
      <c r="I30" s="119"/>
      <c r="J30" s="125">
        <f t="shared" si="0"/>
        <v>358.19540000000052</v>
      </c>
      <c r="K30" s="149">
        <f>'Athens Daily - Gas'!BH36</f>
        <v>97440.384000000224</v>
      </c>
      <c r="L30" s="119"/>
      <c r="M30" s="129">
        <f t="shared" si="2"/>
        <v>2523.7084693084753</v>
      </c>
      <c r="N30" s="158">
        <f>Occ!G37</f>
        <v>19</v>
      </c>
      <c r="O30" s="101">
        <f>Occ!H37</f>
        <v>38</v>
      </c>
      <c r="P30" s="157">
        <v>918</v>
      </c>
      <c r="Q30" s="161"/>
    </row>
    <row r="31" spans="1:17">
      <c r="A31" s="7" t="s">
        <v>14</v>
      </c>
      <c r="B31" s="7">
        <v>29</v>
      </c>
      <c r="C31" s="7">
        <v>5</v>
      </c>
      <c r="D31" s="118">
        <v>2020</v>
      </c>
      <c r="E31" s="149">
        <f>'Athens Daily - EL'!AK36</f>
        <v>230036</v>
      </c>
      <c r="F31" s="151"/>
      <c r="G31" s="129">
        <f t="shared" si="1"/>
        <v>230036</v>
      </c>
      <c r="H31" s="149">
        <f>'Athens Daily - Water'!R35</f>
        <v>270.83659999999963</v>
      </c>
      <c r="I31" s="119"/>
      <c r="J31" s="125">
        <f t="shared" si="0"/>
        <v>270.83659999999963</v>
      </c>
      <c r="K31" s="149">
        <f>'Athens Daily - Gas'!BH37</f>
        <v>82727.231999999422</v>
      </c>
      <c r="L31" s="119"/>
      <c r="M31" s="129">
        <f t="shared" si="2"/>
        <v>2142.6374514374365</v>
      </c>
      <c r="N31" s="158">
        <f>Occ!G38</f>
        <v>40</v>
      </c>
      <c r="O31" s="101">
        <f>Occ!H38</f>
        <v>83</v>
      </c>
      <c r="P31" s="157">
        <v>918</v>
      </c>
      <c r="Q31" s="161"/>
    </row>
    <row r="32" spans="1:17">
      <c r="A32" s="7" t="s">
        <v>14</v>
      </c>
      <c r="B32" s="7">
        <v>30</v>
      </c>
      <c r="C32" s="7">
        <v>5</v>
      </c>
      <c r="D32" s="118">
        <v>2020</v>
      </c>
      <c r="E32" s="149">
        <f>'Athens Daily - EL'!AK37</f>
        <v>240673</v>
      </c>
      <c r="F32" s="151"/>
      <c r="G32" s="129">
        <f t="shared" si="1"/>
        <v>240673</v>
      </c>
      <c r="H32" s="149">
        <f>'Athens Daily - Water'!R36</f>
        <v>357</v>
      </c>
      <c r="I32" s="119"/>
      <c r="J32" s="125">
        <f t="shared" si="0"/>
        <v>357</v>
      </c>
      <c r="K32" s="149">
        <f>'Athens Daily - Gas'!BH38</f>
        <v>110500.87200000021</v>
      </c>
      <c r="L32" s="119"/>
      <c r="M32" s="129">
        <f t="shared" si="2"/>
        <v>2861.9754467754524</v>
      </c>
      <c r="N32" s="158">
        <f>Occ!G39</f>
        <v>48</v>
      </c>
      <c r="O32" s="101">
        <f>Occ!H39</f>
        <v>100</v>
      </c>
      <c r="P32" s="157">
        <v>918</v>
      </c>
      <c r="Q32" s="161"/>
    </row>
    <row r="33" spans="1:17" ht="15.75" thickBot="1">
      <c r="A33" s="7" t="s">
        <v>14</v>
      </c>
      <c r="B33" s="7">
        <v>31</v>
      </c>
      <c r="C33" s="7">
        <v>5</v>
      </c>
      <c r="D33" s="118">
        <v>2020</v>
      </c>
      <c r="E33" s="150">
        <f>'Athens Daily - EL'!AK38</f>
        <v>243750</v>
      </c>
      <c r="F33" s="152"/>
      <c r="G33" s="130">
        <f t="shared" si="1"/>
        <v>243750</v>
      </c>
      <c r="H33" s="150">
        <f>'Athens Daily - Water'!R37</f>
        <v>351.71860000000015</v>
      </c>
      <c r="I33" s="123"/>
      <c r="J33" s="126">
        <f t="shared" si="0"/>
        <v>351.71860000000015</v>
      </c>
      <c r="K33" s="150">
        <f>'Athens Daily - Gas'!BH39</f>
        <v>110500.87200000021</v>
      </c>
      <c r="L33" s="123"/>
      <c r="M33" s="130">
        <f t="shared" si="2"/>
        <v>2861.9754467754524</v>
      </c>
      <c r="N33" s="165">
        <f>Occ!G40</f>
        <v>18</v>
      </c>
      <c r="O33" s="156">
        <f>Occ!H40</f>
        <v>31</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0" sqref="E10:F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8" t="s">
        <v>22</v>
      </c>
      <c r="H8" s="199"/>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31</v>
      </c>
      <c r="D10" s="142">
        <v>60</v>
      </c>
      <c r="E10" s="141"/>
      <c r="F10" s="142"/>
      <c r="G10" s="164">
        <f>SUM(C10+E10)</f>
        <v>31</v>
      </c>
      <c r="H10" s="142">
        <f>D10+F10</f>
        <v>60</v>
      </c>
      <c r="I10" s="139">
        <v>918</v>
      </c>
      <c r="J10" s="131"/>
      <c r="K10" s="131"/>
      <c r="L10" s="131"/>
      <c r="M10" s="131"/>
      <c r="N10" s="131"/>
    </row>
    <row r="11" spans="1:14">
      <c r="A11" s="131"/>
      <c r="B11" s="140" t="s">
        <v>29</v>
      </c>
      <c r="C11" s="141">
        <v>44</v>
      </c>
      <c r="D11" s="142">
        <v>100</v>
      </c>
      <c r="E11" s="141"/>
      <c r="F11" s="142"/>
      <c r="G11" s="164">
        <f t="shared" ref="G11:G40" si="0">SUM(C11+E11)</f>
        <v>44</v>
      </c>
      <c r="H11" s="142">
        <f t="shared" ref="H11:H14" si="1">D11+F11</f>
        <v>100</v>
      </c>
      <c r="I11" s="139">
        <v>918</v>
      </c>
      <c r="J11" s="131"/>
      <c r="K11" s="131"/>
      <c r="L11" s="131"/>
      <c r="M11" s="131"/>
      <c r="N11" s="131"/>
    </row>
    <row r="12" spans="1:14">
      <c r="A12" s="131"/>
      <c r="B12" s="140" t="s">
        <v>30</v>
      </c>
      <c r="C12" s="141">
        <v>14</v>
      </c>
      <c r="D12" s="142">
        <v>29</v>
      </c>
      <c r="E12" s="141"/>
      <c r="F12" s="142"/>
      <c r="G12" s="164">
        <f t="shared" si="0"/>
        <v>14</v>
      </c>
      <c r="H12" s="142">
        <f t="shared" si="1"/>
        <v>29</v>
      </c>
      <c r="I12" s="139">
        <v>918</v>
      </c>
      <c r="J12" s="131"/>
      <c r="K12" s="131"/>
      <c r="L12" s="131"/>
      <c r="M12" s="131"/>
      <c r="N12" s="131"/>
    </row>
    <row r="13" spans="1:14">
      <c r="A13" s="131"/>
      <c r="B13" s="140" t="s">
        <v>31</v>
      </c>
      <c r="C13" s="141">
        <v>7</v>
      </c>
      <c r="D13" s="142">
        <v>12</v>
      </c>
      <c r="E13" s="141"/>
      <c r="F13" s="142"/>
      <c r="G13" s="164">
        <f t="shared" si="0"/>
        <v>7</v>
      </c>
      <c r="H13" s="142">
        <f t="shared" si="1"/>
        <v>12</v>
      </c>
      <c r="I13" s="139">
        <v>918</v>
      </c>
      <c r="J13" s="131"/>
      <c r="K13" s="131"/>
      <c r="L13" s="131"/>
      <c r="M13" s="131"/>
      <c r="N13" s="131"/>
    </row>
    <row r="14" spans="1:14">
      <c r="A14" s="131"/>
      <c r="B14" s="140" t="s">
        <v>32</v>
      </c>
      <c r="C14" s="141">
        <v>9</v>
      </c>
      <c r="D14" s="142">
        <v>15</v>
      </c>
      <c r="E14" s="141"/>
      <c r="F14" s="142"/>
      <c r="G14" s="164">
        <f t="shared" si="0"/>
        <v>9</v>
      </c>
      <c r="H14" s="142">
        <f t="shared" si="1"/>
        <v>15</v>
      </c>
      <c r="I14" s="139">
        <v>918</v>
      </c>
      <c r="J14" s="131"/>
      <c r="K14" s="131"/>
      <c r="L14" s="131"/>
      <c r="M14" s="131"/>
      <c r="N14" s="131"/>
    </row>
    <row r="15" spans="1:14">
      <c r="A15" s="131"/>
      <c r="B15" s="140" t="s">
        <v>33</v>
      </c>
      <c r="C15" s="141">
        <v>11</v>
      </c>
      <c r="D15" s="142">
        <v>22</v>
      </c>
      <c r="E15" s="141"/>
      <c r="F15" s="142"/>
      <c r="G15" s="164">
        <f t="shared" si="0"/>
        <v>11</v>
      </c>
      <c r="H15" s="142">
        <f t="shared" ref="H15:H40" si="2">D15+F15</f>
        <v>22</v>
      </c>
      <c r="I15" s="139">
        <v>918</v>
      </c>
      <c r="J15" s="131"/>
      <c r="K15" s="131"/>
      <c r="L15" s="131"/>
      <c r="M15" s="131"/>
      <c r="N15" s="131"/>
    </row>
    <row r="16" spans="1:14">
      <c r="A16" s="131"/>
      <c r="B16" s="140" t="s">
        <v>34</v>
      </c>
      <c r="C16" s="141">
        <v>14</v>
      </c>
      <c r="D16" s="142">
        <v>30</v>
      </c>
      <c r="E16" s="141"/>
      <c r="F16" s="142"/>
      <c r="G16" s="164">
        <f t="shared" si="0"/>
        <v>14</v>
      </c>
      <c r="H16" s="142">
        <f t="shared" si="2"/>
        <v>30</v>
      </c>
      <c r="I16" s="139">
        <v>918</v>
      </c>
      <c r="J16" s="131"/>
      <c r="K16" s="131"/>
      <c r="L16" s="131"/>
      <c r="M16" s="131"/>
      <c r="N16" s="131"/>
    </row>
    <row r="17" spans="1:14">
      <c r="A17" s="131"/>
      <c r="B17" s="140" t="s">
        <v>35</v>
      </c>
      <c r="C17" s="141">
        <v>39</v>
      </c>
      <c r="D17" s="142">
        <v>88</v>
      </c>
      <c r="E17" s="141"/>
      <c r="F17" s="142"/>
      <c r="G17" s="164">
        <f t="shared" si="0"/>
        <v>39</v>
      </c>
      <c r="H17" s="142">
        <f t="shared" si="2"/>
        <v>88</v>
      </c>
      <c r="I17" s="139">
        <v>918</v>
      </c>
      <c r="J17" s="131"/>
      <c r="K17" s="131"/>
      <c r="L17" s="131"/>
      <c r="M17" s="131"/>
      <c r="N17" s="131"/>
    </row>
    <row r="18" spans="1:14">
      <c r="A18" s="131"/>
      <c r="B18" s="140" t="s">
        <v>36</v>
      </c>
      <c r="C18" s="141">
        <v>91</v>
      </c>
      <c r="D18" s="142">
        <v>231</v>
      </c>
      <c r="E18" s="141"/>
      <c r="F18" s="142"/>
      <c r="G18" s="164">
        <f t="shared" si="0"/>
        <v>91</v>
      </c>
      <c r="H18" s="142">
        <f t="shared" si="2"/>
        <v>231</v>
      </c>
      <c r="I18" s="139">
        <v>918</v>
      </c>
      <c r="J18" s="131"/>
      <c r="K18" s="131"/>
      <c r="L18" s="131"/>
      <c r="M18" s="131"/>
      <c r="N18" s="131"/>
    </row>
    <row r="19" spans="1:14">
      <c r="A19" s="131"/>
      <c r="B19" s="140" t="s">
        <v>37</v>
      </c>
      <c r="C19" s="141">
        <v>20</v>
      </c>
      <c r="D19" s="142">
        <v>44</v>
      </c>
      <c r="E19" s="141"/>
      <c r="F19" s="142"/>
      <c r="G19" s="164">
        <f t="shared" si="0"/>
        <v>20</v>
      </c>
      <c r="H19" s="142">
        <f t="shared" si="2"/>
        <v>44</v>
      </c>
      <c r="I19" s="139">
        <v>918</v>
      </c>
      <c r="J19" s="131"/>
      <c r="K19" s="131"/>
      <c r="L19" s="131"/>
      <c r="M19" s="131"/>
      <c r="N19" s="131"/>
    </row>
    <row r="20" spans="1:14">
      <c r="A20" s="131"/>
      <c r="B20" s="140" t="s">
        <v>38</v>
      </c>
      <c r="C20" s="141">
        <v>8</v>
      </c>
      <c r="D20" s="142">
        <v>17</v>
      </c>
      <c r="E20" s="141"/>
      <c r="F20" s="142"/>
      <c r="G20" s="164">
        <f t="shared" si="0"/>
        <v>8</v>
      </c>
      <c r="H20" s="142">
        <f t="shared" si="2"/>
        <v>17</v>
      </c>
      <c r="I20" s="139">
        <v>918</v>
      </c>
      <c r="J20" s="131"/>
      <c r="K20" s="131"/>
      <c r="L20" s="131"/>
      <c r="M20" s="131"/>
      <c r="N20" s="131"/>
    </row>
    <row r="21" spans="1:14">
      <c r="A21" s="131"/>
      <c r="B21" s="140" t="s">
        <v>39</v>
      </c>
      <c r="C21" s="141">
        <v>13</v>
      </c>
      <c r="D21" s="142">
        <v>28</v>
      </c>
      <c r="E21" s="164"/>
      <c r="F21" s="142"/>
      <c r="G21" s="164">
        <f t="shared" ref="G21:G34" si="3">SUM(C21+E21)</f>
        <v>13</v>
      </c>
      <c r="H21" s="142">
        <f t="shared" ref="H21:H34" si="4">D21+F21</f>
        <v>28</v>
      </c>
      <c r="I21" s="139">
        <v>918</v>
      </c>
      <c r="J21" s="131"/>
      <c r="K21" s="131"/>
      <c r="L21" s="131"/>
      <c r="M21" s="131"/>
      <c r="N21" s="131"/>
    </row>
    <row r="22" spans="1:14">
      <c r="A22" s="131"/>
      <c r="B22" s="140" t="s">
        <v>40</v>
      </c>
      <c r="C22" s="141">
        <v>10</v>
      </c>
      <c r="D22" s="142">
        <v>23</v>
      </c>
      <c r="E22" s="164"/>
      <c r="F22" s="142"/>
      <c r="G22" s="164">
        <f t="shared" si="3"/>
        <v>10</v>
      </c>
      <c r="H22" s="142">
        <f t="shared" si="4"/>
        <v>23</v>
      </c>
      <c r="I22" s="139">
        <v>918</v>
      </c>
      <c r="J22" s="131"/>
      <c r="K22" s="131"/>
      <c r="L22" s="131"/>
      <c r="M22" s="131"/>
      <c r="N22" s="131"/>
    </row>
    <row r="23" spans="1:14">
      <c r="A23" s="131"/>
      <c r="B23" s="140" t="s">
        <v>41</v>
      </c>
      <c r="C23" s="141">
        <v>19</v>
      </c>
      <c r="D23" s="142">
        <v>41</v>
      </c>
      <c r="E23" s="164"/>
      <c r="F23" s="142"/>
      <c r="G23" s="164">
        <f t="shared" si="3"/>
        <v>19</v>
      </c>
      <c r="H23" s="142">
        <f t="shared" si="4"/>
        <v>41</v>
      </c>
      <c r="I23" s="139">
        <v>918</v>
      </c>
      <c r="J23" s="131"/>
      <c r="K23" s="131"/>
      <c r="L23" s="131"/>
      <c r="M23" s="131"/>
      <c r="N23" s="131"/>
    </row>
    <row r="24" spans="1:14">
      <c r="A24" s="131"/>
      <c r="B24" s="140" t="s">
        <v>42</v>
      </c>
      <c r="C24" s="141">
        <v>32</v>
      </c>
      <c r="D24" s="142">
        <v>74</v>
      </c>
      <c r="E24" s="164"/>
      <c r="F24" s="142"/>
      <c r="G24" s="164">
        <f t="shared" si="3"/>
        <v>32</v>
      </c>
      <c r="H24" s="142">
        <f t="shared" si="4"/>
        <v>74</v>
      </c>
      <c r="I24" s="139">
        <v>918</v>
      </c>
      <c r="J24" s="131"/>
      <c r="K24" s="131"/>
      <c r="L24" s="131"/>
      <c r="M24" s="131"/>
      <c r="N24" s="131"/>
    </row>
    <row r="25" spans="1:14">
      <c r="A25" s="131"/>
      <c r="B25" s="140" t="s">
        <v>43</v>
      </c>
      <c r="C25" s="141">
        <v>13</v>
      </c>
      <c r="D25" s="142">
        <v>25</v>
      </c>
      <c r="E25" s="164"/>
      <c r="F25" s="142"/>
      <c r="G25" s="164">
        <f t="shared" si="3"/>
        <v>13</v>
      </c>
      <c r="H25" s="142">
        <f t="shared" si="4"/>
        <v>25</v>
      </c>
      <c r="I25" s="139">
        <v>918</v>
      </c>
      <c r="J25" s="131"/>
      <c r="K25" s="131"/>
      <c r="L25" s="131"/>
      <c r="M25" s="131"/>
      <c r="N25" s="131"/>
    </row>
    <row r="26" spans="1:14">
      <c r="A26" s="131"/>
      <c r="B26" s="140" t="s">
        <v>44</v>
      </c>
      <c r="C26" s="141">
        <v>13</v>
      </c>
      <c r="D26" s="142">
        <v>25</v>
      </c>
      <c r="E26" s="164"/>
      <c r="F26" s="142"/>
      <c r="G26" s="164">
        <f t="shared" si="3"/>
        <v>13</v>
      </c>
      <c r="H26" s="142">
        <f t="shared" si="4"/>
        <v>25</v>
      </c>
      <c r="I26" s="139">
        <v>918</v>
      </c>
      <c r="J26" s="131"/>
      <c r="K26" s="131"/>
      <c r="L26" s="131"/>
      <c r="M26" s="131"/>
      <c r="N26" s="131"/>
    </row>
    <row r="27" spans="1:14">
      <c r="A27" s="131"/>
      <c r="B27" s="140" t="s">
        <v>45</v>
      </c>
      <c r="C27" s="141">
        <v>17</v>
      </c>
      <c r="D27" s="142">
        <v>32</v>
      </c>
      <c r="E27" s="164"/>
      <c r="F27" s="142"/>
      <c r="G27" s="164">
        <f t="shared" si="3"/>
        <v>17</v>
      </c>
      <c r="H27" s="142">
        <f t="shared" si="4"/>
        <v>32</v>
      </c>
      <c r="I27" s="139">
        <v>918</v>
      </c>
      <c r="J27" s="131"/>
      <c r="K27" s="131"/>
      <c r="L27" s="131"/>
      <c r="M27" s="131"/>
      <c r="N27" s="131"/>
    </row>
    <row r="28" spans="1:14">
      <c r="A28" s="131"/>
      <c r="B28" s="140" t="s">
        <v>46</v>
      </c>
      <c r="C28" s="141">
        <v>14</v>
      </c>
      <c r="D28" s="142">
        <v>24</v>
      </c>
      <c r="E28" s="164"/>
      <c r="F28" s="142"/>
      <c r="G28" s="164">
        <f t="shared" si="3"/>
        <v>14</v>
      </c>
      <c r="H28" s="142">
        <f t="shared" si="4"/>
        <v>24</v>
      </c>
      <c r="I28" s="139">
        <v>918</v>
      </c>
      <c r="J28" s="131"/>
      <c r="K28" s="131"/>
      <c r="L28" s="131"/>
      <c r="M28" s="131"/>
      <c r="N28" s="131"/>
    </row>
    <row r="29" spans="1:14">
      <c r="A29" s="131"/>
      <c r="B29" s="140" t="s">
        <v>47</v>
      </c>
      <c r="C29" s="141">
        <v>22</v>
      </c>
      <c r="D29" s="142">
        <v>37</v>
      </c>
      <c r="E29" s="164"/>
      <c r="F29" s="142"/>
      <c r="G29" s="164">
        <f t="shared" si="3"/>
        <v>22</v>
      </c>
      <c r="H29" s="142">
        <f t="shared" si="4"/>
        <v>37</v>
      </c>
      <c r="I29" s="139">
        <v>918</v>
      </c>
      <c r="J29" s="131"/>
      <c r="K29" s="131"/>
      <c r="L29" s="131"/>
      <c r="M29" s="131"/>
      <c r="N29" s="131"/>
    </row>
    <row r="30" spans="1:14">
      <c r="A30" s="131"/>
      <c r="B30" s="140" t="s">
        <v>48</v>
      </c>
      <c r="C30" s="141">
        <v>16</v>
      </c>
      <c r="D30" s="142">
        <v>28</v>
      </c>
      <c r="E30" s="164"/>
      <c r="F30" s="142"/>
      <c r="G30" s="164">
        <f t="shared" si="3"/>
        <v>16</v>
      </c>
      <c r="H30" s="142">
        <f t="shared" si="4"/>
        <v>28</v>
      </c>
      <c r="I30" s="139">
        <v>918</v>
      </c>
      <c r="J30" s="131"/>
      <c r="K30" s="131"/>
      <c r="L30" s="131"/>
      <c r="M30" s="131"/>
      <c r="N30" s="131"/>
    </row>
    <row r="31" spans="1:14">
      <c r="A31" s="131"/>
      <c r="B31" s="140" t="s">
        <v>49</v>
      </c>
      <c r="C31" s="141">
        <v>26</v>
      </c>
      <c r="D31" s="142">
        <v>52</v>
      </c>
      <c r="E31" s="164"/>
      <c r="F31" s="142"/>
      <c r="G31" s="164">
        <f t="shared" si="3"/>
        <v>26</v>
      </c>
      <c r="H31" s="142">
        <f t="shared" si="4"/>
        <v>52</v>
      </c>
      <c r="I31" s="139">
        <v>918</v>
      </c>
      <c r="J31" s="131"/>
      <c r="K31" s="131"/>
      <c r="L31" s="131"/>
      <c r="M31" s="131"/>
      <c r="N31" s="131"/>
    </row>
    <row r="32" spans="1:14">
      <c r="A32" s="131"/>
      <c r="B32" s="140" t="s">
        <v>50</v>
      </c>
      <c r="C32" s="141">
        <v>34</v>
      </c>
      <c r="D32" s="142">
        <v>67</v>
      </c>
      <c r="E32" s="164"/>
      <c r="F32" s="142"/>
      <c r="G32" s="164">
        <f t="shared" si="3"/>
        <v>34</v>
      </c>
      <c r="H32" s="142">
        <f t="shared" si="4"/>
        <v>67</v>
      </c>
      <c r="I32" s="139">
        <v>918</v>
      </c>
      <c r="J32" s="131"/>
      <c r="K32" s="131"/>
      <c r="L32" s="131"/>
      <c r="M32" s="131"/>
      <c r="N32" s="131"/>
    </row>
    <row r="33" spans="1:14">
      <c r="A33" s="131"/>
      <c r="B33" s="140" t="s">
        <v>51</v>
      </c>
      <c r="C33" s="141">
        <v>17</v>
      </c>
      <c r="D33" s="142">
        <v>32</v>
      </c>
      <c r="E33" s="164"/>
      <c r="F33" s="142"/>
      <c r="G33" s="164">
        <f t="shared" si="3"/>
        <v>17</v>
      </c>
      <c r="H33" s="142">
        <f t="shared" si="4"/>
        <v>32</v>
      </c>
      <c r="I33" s="139">
        <v>918</v>
      </c>
      <c r="J33" s="131"/>
      <c r="K33" s="131"/>
      <c r="L33" s="131"/>
      <c r="M33" s="131"/>
      <c r="N33" s="131"/>
    </row>
    <row r="34" spans="1:14">
      <c r="A34" s="131"/>
      <c r="B34" s="140" t="s">
        <v>52</v>
      </c>
      <c r="C34" s="141">
        <v>17</v>
      </c>
      <c r="D34" s="142">
        <v>31</v>
      </c>
      <c r="E34" s="164"/>
      <c r="F34" s="142"/>
      <c r="G34" s="164">
        <f t="shared" si="3"/>
        <v>17</v>
      </c>
      <c r="H34" s="142">
        <f t="shared" si="4"/>
        <v>31</v>
      </c>
      <c r="I34" s="139">
        <v>918</v>
      </c>
      <c r="J34" s="131"/>
      <c r="K34" s="131"/>
      <c r="L34" s="131"/>
      <c r="M34" s="131"/>
      <c r="N34" s="131"/>
    </row>
    <row r="35" spans="1:14">
      <c r="A35" s="131"/>
      <c r="B35" s="140" t="s">
        <v>53</v>
      </c>
      <c r="C35" s="141">
        <v>14</v>
      </c>
      <c r="D35" s="142">
        <v>22</v>
      </c>
      <c r="E35" s="141"/>
      <c r="F35" s="142"/>
      <c r="G35" s="164">
        <f t="shared" si="0"/>
        <v>14</v>
      </c>
      <c r="H35" s="142">
        <f t="shared" si="2"/>
        <v>22</v>
      </c>
      <c r="I35" s="139">
        <v>918</v>
      </c>
      <c r="J35" s="131"/>
      <c r="K35" s="131"/>
      <c r="L35" s="131"/>
      <c r="M35" s="131"/>
      <c r="N35" s="131"/>
    </row>
    <row r="36" spans="1:14">
      <c r="A36" s="131"/>
      <c r="B36" s="140" t="s">
        <v>54</v>
      </c>
      <c r="C36" s="141">
        <v>17</v>
      </c>
      <c r="D36" s="142">
        <v>33</v>
      </c>
      <c r="E36" s="141"/>
      <c r="F36" s="142"/>
      <c r="G36" s="164">
        <f t="shared" si="0"/>
        <v>17</v>
      </c>
      <c r="H36" s="142">
        <f t="shared" si="2"/>
        <v>33</v>
      </c>
      <c r="I36" s="139">
        <v>918</v>
      </c>
      <c r="J36" s="131"/>
      <c r="K36" s="131"/>
      <c r="L36" s="131"/>
      <c r="M36" s="131"/>
      <c r="N36" s="131"/>
    </row>
    <row r="37" spans="1:14">
      <c r="A37" s="131"/>
      <c r="B37" s="140" t="s">
        <v>55</v>
      </c>
      <c r="C37" s="141">
        <v>19</v>
      </c>
      <c r="D37" s="142">
        <v>38</v>
      </c>
      <c r="E37" s="141"/>
      <c r="F37" s="142"/>
      <c r="G37" s="164">
        <f t="shared" si="0"/>
        <v>19</v>
      </c>
      <c r="H37" s="142">
        <f t="shared" si="2"/>
        <v>38</v>
      </c>
      <c r="I37" s="139">
        <v>918</v>
      </c>
      <c r="J37" s="131"/>
      <c r="K37" s="131"/>
      <c r="L37" s="131"/>
      <c r="M37" s="131"/>
      <c r="N37" s="131"/>
    </row>
    <row r="38" spans="1:14" s="178" customFormat="1">
      <c r="A38" s="172"/>
      <c r="B38" s="173" t="s">
        <v>56</v>
      </c>
      <c r="C38" s="174">
        <v>40</v>
      </c>
      <c r="D38" s="175">
        <v>83</v>
      </c>
      <c r="E38" s="174"/>
      <c r="F38" s="175"/>
      <c r="G38" s="176">
        <f t="shared" si="0"/>
        <v>40</v>
      </c>
      <c r="H38" s="175">
        <f t="shared" si="2"/>
        <v>83</v>
      </c>
      <c r="I38" s="177">
        <v>918</v>
      </c>
      <c r="J38" s="172"/>
      <c r="K38" s="172"/>
      <c r="L38" s="172"/>
      <c r="M38" s="172"/>
      <c r="N38" s="172"/>
    </row>
    <row r="39" spans="1:14" s="178" customFormat="1">
      <c r="A39" s="172"/>
      <c r="B39" s="173" t="s">
        <v>57</v>
      </c>
      <c r="C39" s="174">
        <v>48</v>
      </c>
      <c r="D39" s="175">
        <v>100</v>
      </c>
      <c r="E39" s="174"/>
      <c r="F39" s="175"/>
      <c r="G39" s="176">
        <f t="shared" si="0"/>
        <v>48</v>
      </c>
      <c r="H39" s="175">
        <f t="shared" si="2"/>
        <v>100</v>
      </c>
      <c r="I39" s="177">
        <v>918</v>
      </c>
      <c r="J39" s="172"/>
      <c r="K39" s="172"/>
      <c r="L39" s="172"/>
      <c r="M39" s="172"/>
      <c r="N39" s="172"/>
    </row>
    <row r="40" spans="1:14" s="178" customFormat="1" ht="15.75" thickBot="1">
      <c r="A40" s="172"/>
      <c r="B40" s="173" t="s">
        <v>402</v>
      </c>
      <c r="C40" s="179">
        <v>18</v>
      </c>
      <c r="D40" s="180">
        <v>31</v>
      </c>
      <c r="E40" s="179"/>
      <c r="F40" s="180"/>
      <c r="G40" s="181">
        <f t="shared" si="0"/>
        <v>18</v>
      </c>
      <c r="H40" s="180">
        <f t="shared" si="2"/>
        <v>31</v>
      </c>
      <c r="I40" s="177">
        <v>918</v>
      </c>
      <c r="J40" s="172"/>
      <c r="K40" s="172"/>
      <c r="L40" s="172"/>
      <c r="M40" s="172"/>
      <c r="N40" s="172"/>
    </row>
    <row r="41" spans="1:14">
      <c r="C41" s="3">
        <f>SUM(C10:C40)</f>
        <v>707</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221320</v>
      </c>
      <c r="F2" s="101"/>
      <c r="G2" s="101">
        <f>'Athens Daily - Gas'!BH9</f>
        <v>76352.879999999743</v>
      </c>
      <c r="H2" s="101">
        <f>G2/38.3</f>
        <v>1993.5477806788447</v>
      </c>
      <c r="I2" s="101"/>
      <c r="J2" s="101">
        <f>'Athens Daily - Water'!R7</f>
        <v>310.80505999999968</v>
      </c>
      <c r="K2" s="101"/>
      <c r="L2" s="102">
        <v>142</v>
      </c>
      <c r="M2" s="101">
        <f>L2*2</f>
        <v>284</v>
      </c>
      <c r="N2" s="99">
        <v>10</v>
      </c>
    </row>
    <row r="3" spans="1:14">
      <c r="A3" s="7" t="s">
        <v>14</v>
      </c>
      <c r="B3" s="7">
        <v>2</v>
      </c>
      <c r="C3" s="7">
        <v>1</v>
      </c>
      <c r="D3" s="7">
        <v>2021</v>
      </c>
      <c r="E3" s="101">
        <f>'Athens Daily - EL'!AK9</f>
        <v>225852.03571428545</v>
      </c>
      <c r="F3" s="101"/>
      <c r="G3" s="101">
        <f>'Athens Daily - Gas'!BH10</f>
        <v>88099.449599997184</v>
      </c>
      <c r="H3" s="101">
        <f t="shared" ref="H3:H32" si="0">G3/38.3</f>
        <v>2300.2467258484908</v>
      </c>
      <c r="I3" s="101"/>
      <c r="J3" s="101">
        <f>'Athens Daily - Water'!R8</f>
        <v>330.00506000001133</v>
      </c>
      <c r="K3" s="101"/>
      <c r="L3" s="102">
        <v>102</v>
      </c>
      <c r="M3" s="101">
        <f t="shared" ref="M3:M32" si="1">L3*2</f>
        <v>204</v>
      </c>
      <c r="N3" s="99">
        <v>12</v>
      </c>
    </row>
    <row r="4" spans="1:14">
      <c r="A4" s="7" t="s">
        <v>14</v>
      </c>
      <c r="B4" s="7">
        <v>3</v>
      </c>
      <c r="C4" s="7">
        <v>1</v>
      </c>
      <c r="D4" s="7">
        <v>2021</v>
      </c>
      <c r="E4" s="101">
        <f>'Athens Daily - EL'!AK10</f>
        <v>225852.03571428545</v>
      </c>
      <c r="F4" s="101"/>
      <c r="G4" s="101">
        <f>'Athens Daily - Gas'!BH11</f>
        <v>88099.449599997184</v>
      </c>
      <c r="H4" s="101">
        <f t="shared" si="0"/>
        <v>2300.2467258484908</v>
      </c>
      <c r="I4" s="101"/>
      <c r="J4" s="101">
        <f>'Athens Daily - Water'!R9</f>
        <v>330.00506000001133</v>
      </c>
      <c r="K4" s="101"/>
      <c r="L4" s="102">
        <v>55</v>
      </c>
      <c r="M4" s="101">
        <f t="shared" si="1"/>
        <v>110</v>
      </c>
      <c r="N4" s="99">
        <v>15</v>
      </c>
    </row>
    <row r="5" spans="1:14">
      <c r="A5" s="7" t="s">
        <v>14</v>
      </c>
      <c r="B5" s="7">
        <v>4</v>
      </c>
      <c r="C5" s="7">
        <v>1</v>
      </c>
      <c r="D5" s="7">
        <v>2021</v>
      </c>
      <c r="E5" s="101">
        <f>'Athens Daily - EL'!AK11</f>
        <v>225852.03571428551</v>
      </c>
      <c r="F5" s="101"/>
      <c r="G5" s="101">
        <f>'Athens Daily - Gas'!BH12</f>
        <v>88099.449599997184</v>
      </c>
      <c r="H5" s="101">
        <f t="shared" si="0"/>
        <v>2300.2467258484908</v>
      </c>
      <c r="I5" s="101"/>
      <c r="J5" s="101">
        <f>'Athens Daily - Water'!R10</f>
        <v>330.00506000001133</v>
      </c>
      <c r="K5" s="101"/>
      <c r="L5" s="102">
        <v>45</v>
      </c>
      <c r="M5" s="101">
        <f t="shared" si="1"/>
        <v>90</v>
      </c>
      <c r="N5" s="99">
        <v>17</v>
      </c>
    </row>
    <row r="6" spans="1:14">
      <c r="A6" s="7" t="s">
        <v>14</v>
      </c>
      <c r="B6" s="7">
        <v>5</v>
      </c>
      <c r="C6" s="7">
        <v>1</v>
      </c>
      <c r="D6" s="7">
        <v>2021</v>
      </c>
      <c r="E6" s="101">
        <f>'Athens Daily - EL'!AK12</f>
        <v>225852.03571428551</v>
      </c>
      <c r="F6" s="101"/>
      <c r="G6" s="101">
        <f>'Athens Daily - Gas'!BH13</f>
        <v>88099.449599997184</v>
      </c>
      <c r="H6" s="101">
        <f t="shared" si="0"/>
        <v>2300.2467258484908</v>
      </c>
      <c r="I6" s="101"/>
      <c r="J6" s="101">
        <f>'Athens Daily - Water'!R11</f>
        <v>330.00506000001315</v>
      </c>
      <c r="K6" s="101"/>
      <c r="L6" s="102">
        <v>34</v>
      </c>
      <c r="M6" s="101">
        <f t="shared" si="1"/>
        <v>68</v>
      </c>
      <c r="N6" s="99">
        <v>15</v>
      </c>
    </row>
    <row r="7" spans="1:14">
      <c r="A7" s="7" t="s">
        <v>14</v>
      </c>
      <c r="B7" s="7">
        <v>6</v>
      </c>
      <c r="C7" s="7">
        <v>1</v>
      </c>
      <c r="D7" s="7">
        <v>2021</v>
      </c>
      <c r="E7" s="101">
        <f>'Athens Daily - EL'!AK13</f>
        <v>225852.03571428551</v>
      </c>
      <c r="F7" s="101"/>
      <c r="G7" s="101">
        <f>'Athens Daily - Gas'!BH14</f>
        <v>88099.44960001143</v>
      </c>
      <c r="H7" s="101">
        <f t="shared" si="0"/>
        <v>2300.2467258488628</v>
      </c>
      <c r="I7" s="101"/>
      <c r="J7" s="101">
        <f>'Athens Daily - Water'!R12</f>
        <v>328.22189999995317</v>
      </c>
      <c r="K7" s="101"/>
      <c r="L7" s="102">
        <v>36</v>
      </c>
      <c r="M7" s="101">
        <f t="shared" si="1"/>
        <v>72</v>
      </c>
      <c r="N7" s="99"/>
    </row>
    <row r="8" spans="1:14">
      <c r="A8" s="7" t="s">
        <v>14</v>
      </c>
      <c r="B8" s="7">
        <v>7</v>
      </c>
      <c r="C8" s="7">
        <v>1</v>
      </c>
      <c r="D8" s="7">
        <v>2021</v>
      </c>
      <c r="E8" s="101">
        <f>'Athens Daily - EL'!AK14</f>
        <v>225852.03571428551</v>
      </c>
      <c r="F8" s="101"/>
      <c r="G8" s="101">
        <f>'Athens Daily - Gas'!BH15</f>
        <v>98667.264000000243</v>
      </c>
      <c r="H8" s="101">
        <f t="shared" si="0"/>
        <v>2576.1687728459597</v>
      </c>
      <c r="I8" s="101"/>
      <c r="J8" s="101">
        <f>'Athens Daily - Water'!R13</f>
        <v>332.70570000000043</v>
      </c>
      <c r="K8" s="101"/>
      <c r="L8" s="102">
        <v>60</v>
      </c>
      <c r="M8" s="101">
        <f t="shared" si="1"/>
        <v>120</v>
      </c>
      <c r="N8" s="99"/>
    </row>
    <row r="9" spans="1:14">
      <c r="A9" s="7" t="s">
        <v>14</v>
      </c>
      <c r="B9" s="7">
        <v>8</v>
      </c>
      <c r="C9" s="7">
        <v>1</v>
      </c>
      <c r="D9" s="7">
        <v>2021</v>
      </c>
      <c r="E9" s="101">
        <f>'Athens Daily - EL'!AK15</f>
        <v>225852.03571428551</v>
      </c>
      <c r="F9" s="101"/>
      <c r="G9" s="101">
        <f>'Athens Daily - Gas'!BH16</f>
        <v>84780.047999999762</v>
      </c>
      <c r="H9" s="101">
        <f t="shared" si="0"/>
        <v>2213.5782767623959</v>
      </c>
      <c r="I9" s="101"/>
      <c r="J9" s="101">
        <f>'Athens Daily - Water'!R14</f>
        <v>294.83119999999963</v>
      </c>
      <c r="K9" s="101"/>
      <c r="L9" s="102">
        <v>64</v>
      </c>
      <c r="M9" s="101">
        <f t="shared" si="1"/>
        <v>128</v>
      </c>
      <c r="N9" s="99"/>
    </row>
    <row r="10" spans="1:14">
      <c r="A10" s="7" t="s">
        <v>14</v>
      </c>
      <c r="B10" s="7">
        <v>9</v>
      </c>
      <c r="C10" s="7">
        <v>1</v>
      </c>
      <c r="D10" s="7">
        <v>2021</v>
      </c>
      <c r="E10" s="101">
        <f>'Athens Daily - EL'!AK16</f>
        <v>225852.03571428551</v>
      </c>
      <c r="F10" s="101"/>
      <c r="G10" s="101">
        <f>'Athens Daily - Gas'!BH17</f>
        <v>98734.751999999949</v>
      </c>
      <c r="H10" s="101">
        <f t="shared" si="0"/>
        <v>2577.9308616187977</v>
      </c>
      <c r="I10" s="101"/>
      <c r="J10" s="101">
        <f>'Athens Daily - Water'!R15</f>
        <v>305.05709999999999</v>
      </c>
      <c r="K10" s="101"/>
      <c r="L10" s="102">
        <v>100</v>
      </c>
      <c r="M10" s="101">
        <f t="shared" si="1"/>
        <v>200</v>
      </c>
      <c r="N10" s="99">
        <v>9</v>
      </c>
    </row>
    <row r="11" spans="1:14">
      <c r="A11" s="7" t="s">
        <v>14</v>
      </c>
      <c r="B11" s="7">
        <v>10</v>
      </c>
      <c r="C11" s="7">
        <v>1</v>
      </c>
      <c r="D11" s="7">
        <v>2021</v>
      </c>
      <c r="E11" s="101">
        <f>'Athens Daily - EL'!AK17</f>
        <v>225852.03571428551</v>
      </c>
      <c r="F11" s="101"/>
      <c r="G11" s="101">
        <f>'Athens Daily - Gas'!BH18</f>
        <v>89647.295999999944</v>
      </c>
      <c r="H11" s="101">
        <f t="shared" si="0"/>
        <v>2340.6604699738891</v>
      </c>
      <c r="I11" s="101"/>
      <c r="J11" s="101">
        <f>'Athens Daily - Water'!R16</f>
        <v>334.69989999999962</v>
      </c>
      <c r="K11" s="101"/>
      <c r="L11" s="102">
        <v>63</v>
      </c>
      <c r="M11" s="101">
        <f t="shared" si="1"/>
        <v>126</v>
      </c>
      <c r="N11" s="99">
        <v>12</v>
      </c>
    </row>
    <row r="12" spans="1:14">
      <c r="A12" s="7" t="s">
        <v>14</v>
      </c>
      <c r="B12" s="7">
        <v>11</v>
      </c>
      <c r="C12" s="7">
        <v>1</v>
      </c>
      <c r="D12" s="7">
        <v>2021</v>
      </c>
      <c r="E12" s="101">
        <f>'Athens Daily - EL'!AK18</f>
        <v>225852.03571428551</v>
      </c>
      <c r="F12" s="101"/>
      <c r="G12" s="101">
        <f>'Athens Daily - Gas'!BH19</f>
        <v>97302.048000000184</v>
      </c>
      <c r="H12" s="101">
        <f t="shared" si="0"/>
        <v>2540.5234464752007</v>
      </c>
      <c r="I12" s="101"/>
      <c r="J12" s="101">
        <f>'Athens Daily - Water'!R17</f>
        <v>392.27850000000035</v>
      </c>
      <c r="K12" s="101"/>
      <c r="L12" s="102">
        <v>39</v>
      </c>
      <c r="M12" s="101">
        <f t="shared" si="1"/>
        <v>78</v>
      </c>
      <c r="N12" s="99">
        <v>12</v>
      </c>
    </row>
    <row r="13" spans="1:14">
      <c r="A13" s="7" t="s">
        <v>14</v>
      </c>
      <c r="B13" s="7">
        <v>12</v>
      </c>
      <c r="C13" s="7">
        <v>1</v>
      </c>
      <c r="D13" s="7">
        <v>2021</v>
      </c>
      <c r="E13" s="101">
        <f>'Athens Daily - EL'!AK19</f>
        <v>225852.03571428551</v>
      </c>
      <c r="F13" s="101"/>
      <c r="G13" s="101">
        <f>'Athens Daily - Gas'!BH20</f>
        <v>90745.103999999905</v>
      </c>
      <c r="H13" s="101">
        <f t="shared" si="0"/>
        <v>2369.3238642297629</v>
      </c>
      <c r="I13" s="101"/>
      <c r="J13" s="101">
        <f>'Athens Daily - Water'!R18</f>
        <v>265.67950000000019</v>
      </c>
      <c r="K13" s="101"/>
      <c r="L13" s="102">
        <v>43</v>
      </c>
      <c r="M13" s="101">
        <f t="shared" si="1"/>
        <v>86</v>
      </c>
      <c r="N13" s="99">
        <v>10</v>
      </c>
    </row>
    <row r="14" spans="1:14">
      <c r="A14" s="7" t="s">
        <v>14</v>
      </c>
      <c r="B14" s="7">
        <v>13</v>
      </c>
      <c r="C14" s="7">
        <v>1</v>
      </c>
      <c r="D14" s="7">
        <v>2021</v>
      </c>
      <c r="E14" s="101">
        <f>'Athens Daily - EL'!AK20</f>
        <v>225852.03571428551</v>
      </c>
      <c r="F14" s="101"/>
      <c r="G14" s="101">
        <f>'Athens Daily - Gas'!BH21</f>
        <v>89892.719999999972</v>
      </c>
      <c r="H14" s="101">
        <f t="shared" si="0"/>
        <v>2347.0684073107045</v>
      </c>
      <c r="I14" s="101"/>
      <c r="J14" s="101">
        <f>'Athens Daily - Water'!R19</f>
        <v>393.72620000000006</v>
      </c>
      <c r="K14" s="101"/>
      <c r="L14" s="102">
        <v>46</v>
      </c>
      <c r="M14" s="101">
        <f t="shared" si="1"/>
        <v>92</v>
      </c>
      <c r="N14" s="99">
        <v>12</v>
      </c>
    </row>
    <row r="15" spans="1:14">
      <c r="A15" s="7" t="s">
        <v>14</v>
      </c>
      <c r="B15" s="7">
        <v>14</v>
      </c>
      <c r="C15" s="7">
        <v>1</v>
      </c>
      <c r="D15" s="7">
        <v>2021</v>
      </c>
      <c r="E15" s="101">
        <f>'Athens Daily - EL'!AK21</f>
        <v>230388.75510204089</v>
      </c>
      <c r="F15" s="101"/>
      <c r="G15" s="101">
        <f>'Athens Daily - Gas'!BH22</f>
        <v>99256.12800000007</v>
      </c>
      <c r="H15" s="101">
        <f t="shared" si="0"/>
        <v>2591.5438120104459</v>
      </c>
      <c r="I15" s="101"/>
      <c r="J15" s="101">
        <f>'Athens Daily - Water'!R20</f>
        <v>370.88360000000011</v>
      </c>
      <c r="K15" s="101"/>
      <c r="L15" s="102">
        <v>55</v>
      </c>
      <c r="M15" s="101">
        <f t="shared" si="1"/>
        <v>110</v>
      </c>
      <c r="N15" s="99">
        <v>13</v>
      </c>
    </row>
    <row r="16" spans="1:14">
      <c r="A16" s="7" t="s">
        <v>14</v>
      </c>
      <c r="B16" s="7">
        <v>15</v>
      </c>
      <c r="C16" s="7">
        <v>1</v>
      </c>
      <c r="D16" s="7">
        <v>2021</v>
      </c>
      <c r="E16" s="101">
        <f>'Athens Daily - EL'!AK22</f>
        <v>221315.31632653321</v>
      </c>
      <c r="F16" s="101"/>
      <c r="G16" s="101">
        <f>'Athens Daily - Gas'!BH23</f>
        <v>85797.6</v>
      </c>
      <c r="H16" s="101">
        <f t="shared" si="0"/>
        <v>2240.1462140992171</v>
      </c>
      <c r="I16" s="101"/>
      <c r="J16" s="101">
        <f>'Athens Daily - Water'!R21</f>
        <v>364.77499999999964</v>
      </c>
      <c r="K16" s="101"/>
      <c r="L16" s="102">
        <v>74</v>
      </c>
      <c r="M16" s="101">
        <f t="shared" si="1"/>
        <v>148</v>
      </c>
      <c r="N16" s="99">
        <v>13</v>
      </c>
    </row>
    <row r="17" spans="1:14">
      <c r="A17" s="7" t="s">
        <v>14</v>
      </c>
      <c r="B17" s="7">
        <v>16</v>
      </c>
      <c r="C17" s="7">
        <v>1</v>
      </c>
      <c r="D17" s="7">
        <v>2021</v>
      </c>
      <c r="E17" s="101">
        <f>'Athens Daily - EL'!AK23</f>
        <v>221625.5</v>
      </c>
      <c r="F17" s="101"/>
      <c r="G17" s="101">
        <f>'Athens Daily - Gas'!BH24</f>
        <v>95622.624000000302</v>
      </c>
      <c r="H17" s="101">
        <f t="shared" si="0"/>
        <v>2496.6742558746819</v>
      </c>
      <c r="I17" s="101"/>
      <c r="J17" s="101">
        <f>'Athens Daily - Water'!R22</f>
        <v>352.9368999999997</v>
      </c>
      <c r="K17" s="101"/>
      <c r="L17" s="102">
        <v>149</v>
      </c>
      <c r="M17" s="101">
        <f t="shared" si="1"/>
        <v>298</v>
      </c>
      <c r="N17" s="103"/>
    </row>
    <row r="18" spans="1:14">
      <c r="A18" s="7" t="s">
        <v>14</v>
      </c>
      <c r="B18" s="7">
        <v>17</v>
      </c>
      <c r="C18" s="7">
        <v>1</v>
      </c>
      <c r="D18" s="7">
        <v>2021</v>
      </c>
      <c r="E18" s="101">
        <f>'Athens Daily - EL'!AK24</f>
        <v>240319.5</v>
      </c>
      <c r="F18" s="101"/>
      <c r="G18" s="101">
        <f>'Athens Daily - Gas'!BH25</f>
        <v>91940.496000000086</v>
      </c>
      <c r="H18" s="101">
        <f t="shared" si="0"/>
        <v>2400.5351436031356</v>
      </c>
      <c r="I18" s="101"/>
      <c r="J18" s="101">
        <f>'Athens Daily - Water'!R23</f>
        <v>390.57960000000003</v>
      </c>
      <c r="K18" s="101"/>
      <c r="L18" s="102">
        <v>64</v>
      </c>
      <c r="M18" s="101">
        <f t="shared" si="1"/>
        <v>128</v>
      </c>
      <c r="N18" s="103"/>
    </row>
    <row r="19" spans="1:14">
      <c r="A19" s="7" t="s">
        <v>14</v>
      </c>
      <c r="B19" s="7">
        <v>18</v>
      </c>
      <c r="C19" s="7">
        <v>1</v>
      </c>
      <c r="D19" s="7">
        <v>2021</v>
      </c>
      <c r="E19" s="101">
        <f>'Athens Daily - EL'!AK25</f>
        <v>230161.5</v>
      </c>
      <c r="F19" s="101"/>
      <c r="G19" s="101">
        <f>'Athens Daily - Gas'!BH26</f>
        <v>85567.631999999561</v>
      </c>
      <c r="H19" s="101">
        <f t="shared" si="0"/>
        <v>2234.1418276762288</v>
      </c>
      <c r="I19" s="101"/>
      <c r="J19" s="101">
        <f>'Athens Daily - Water'!R24</f>
        <v>272.63940000000002</v>
      </c>
      <c r="K19" s="101"/>
      <c r="L19" s="102">
        <v>58</v>
      </c>
      <c r="M19" s="101">
        <f t="shared" si="1"/>
        <v>116</v>
      </c>
      <c r="N19" s="103"/>
    </row>
    <row r="20" spans="1:14">
      <c r="A20" s="7" t="s">
        <v>14</v>
      </c>
      <c r="B20" s="7">
        <v>19</v>
      </c>
      <c r="C20" s="7">
        <v>1</v>
      </c>
      <c r="D20" s="7">
        <v>2021</v>
      </c>
      <c r="E20" s="101">
        <f>'Athens Daily - EL'!AK26</f>
        <v>226205.5</v>
      </c>
      <c r="F20" s="101"/>
      <c r="G20" s="101">
        <f>'Athens Daily - Gas'!BH27</f>
        <v>97120.800000000134</v>
      </c>
      <c r="H20" s="101">
        <f t="shared" si="0"/>
        <v>2535.7911227154082</v>
      </c>
      <c r="I20" s="101"/>
      <c r="J20" s="101">
        <f>'Athens Daily - Water'!R25</f>
        <v>236.17920000000049</v>
      </c>
      <c r="K20" s="101"/>
      <c r="L20" s="102">
        <v>69</v>
      </c>
      <c r="M20" s="101">
        <f t="shared" si="1"/>
        <v>138</v>
      </c>
      <c r="N20" s="103"/>
    </row>
    <row r="21" spans="1:14">
      <c r="A21" s="7" t="s">
        <v>14</v>
      </c>
      <c r="B21" s="7">
        <v>20</v>
      </c>
      <c r="C21" s="7">
        <v>1</v>
      </c>
      <c r="D21" s="7">
        <v>2021</v>
      </c>
      <c r="E21" s="101">
        <f>'Athens Daily - EL'!AK27</f>
        <v>232218</v>
      </c>
      <c r="F21" s="101"/>
      <c r="G21" s="101">
        <f>'Athens Daily - Gas'!BH28</f>
        <v>81347.472000000067</v>
      </c>
      <c r="H21" s="101">
        <f t="shared" si="0"/>
        <v>2123.9548825065294</v>
      </c>
      <c r="I21" s="101"/>
      <c r="J21" s="101">
        <f>'Athens Daily - Water'!R26</f>
        <v>277.73809999999958</v>
      </c>
      <c r="K21" s="101"/>
      <c r="L21" s="102">
        <v>42</v>
      </c>
      <c r="M21" s="101">
        <f t="shared" si="1"/>
        <v>84</v>
      </c>
      <c r="N21" s="99"/>
    </row>
    <row r="22" spans="1:14">
      <c r="A22" s="7" t="s">
        <v>14</v>
      </c>
      <c r="B22" s="7">
        <v>21</v>
      </c>
      <c r="C22" s="7">
        <v>1</v>
      </c>
      <c r="D22" s="7">
        <v>2021</v>
      </c>
      <c r="E22" s="101">
        <f>'Athens Daily - EL'!AK28</f>
        <v>307921</v>
      </c>
      <c r="F22" s="101"/>
      <c r="G22" s="101">
        <f>'Athens Daily - Gas'!BH29</f>
        <v>91057.439999999653</v>
      </c>
      <c r="H22" s="101">
        <f t="shared" si="0"/>
        <v>2377.4788511749257</v>
      </c>
      <c r="I22" s="101"/>
      <c r="J22" s="101">
        <f>'Athens Daily - Water'!R27</f>
        <v>359.40599999999995</v>
      </c>
      <c r="K22" s="101"/>
      <c r="L22" s="102">
        <v>45</v>
      </c>
      <c r="M22" s="101">
        <f t="shared" si="1"/>
        <v>90</v>
      </c>
      <c r="N22" s="99"/>
    </row>
    <row r="23" spans="1:14">
      <c r="A23" s="7" t="s">
        <v>14</v>
      </c>
      <c r="B23" s="7">
        <v>22</v>
      </c>
      <c r="C23" s="7">
        <v>1</v>
      </c>
      <c r="D23" s="7">
        <v>2021</v>
      </c>
      <c r="E23" s="101">
        <f>'Athens Daily - EL'!AK29</f>
        <v>172736</v>
      </c>
      <c r="F23" s="101"/>
      <c r="G23" s="101">
        <f>'Athens Daily - Gas'!BH30</f>
        <v>84001.440000000352</v>
      </c>
      <c r="H23" s="101">
        <f t="shared" si="0"/>
        <v>2193.2490861618894</v>
      </c>
      <c r="I23" s="101"/>
      <c r="J23" s="101">
        <f>'Athens Daily - Water'!R28</f>
        <v>304.83290000000034</v>
      </c>
      <c r="K23" s="101"/>
      <c r="L23" s="102">
        <v>82</v>
      </c>
      <c r="M23" s="101">
        <f t="shared" si="1"/>
        <v>164</v>
      </c>
      <c r="N23" s="99">
        <v>19</v>
      </c>
    </row>
    <row r="24" spans="1:14">
      <c r="A24" s="7" t="s">
        <v>14</v>
      </c>
      <c r="B24" s="7">
        <v>23</v>
      </c>
      <c r="C24" s="7">
        <v>1</v>
      </c>
      <c r="D24" s="7">
        <v>2021</v>
      </c>
      <c r="E24" s="101">
        <f>'Athens Daily - EL'!AK30</f>
        <v>213607.5</v>
      </c>
      <c r="F24" s="101"/>
      <c r="G24" s="101">
        <f>'Athens Daily - Gas'!BH31</f>
        <v>93859.008000000089</v>
      </c>
      <c r="H24" s="101">
        <f t="shared" si="0"/>
        <v>2450.6268407310731</v>
      </c>
      <c r="I24" s="101"/>
      <c r="J24" s="101">
        <f>'Athens Daily - Water'!R29</f>
        <v>360.22900000000027</v>
      </c>
      <c r="K24" s="101"/>
      <c r="L24" s="102">
        <v>170</v>
      </c>
      <c r="M24" s="101">
        <f t="shared" si="1"/>
        <v>340</v>
      </c>
      <c r="N24" s="99">
        <v>20</v>
      </c>
    </row>
    <row r="25" spans="1:14">
      <c r="A25" s="7" t="s">
        <v>14</v>
      </c>
      <c r="B25" s="7">
        <v>24</v>
      </c>
      <c r="C25" s="7">
        <v>1</v>
      </c>
      <c r="D25" s="7">
        <v>2021</v>
      </c>
      <c r="E25" s="101">
        <f>'Athens Daily - EL'!AK31</f>
        <v>252565.5</v>
      </c>
      <c r="F25" s="101"/>
      <c r="G25" s="101">
        <f>'Athens Daily - Gas'!BH32</f>
        <v>84460.848000000042</v>
      </c>
      <c r="H25" s="101">
        <f t="shared" si="0"/>
        <v>2205.244073107051</v>
      </c>
      <c r="I25" s="101"/>
      <c r="J25" s="101">
        <f>'Athens Daily - Water'!R30</f>
        <v>359.35279999999966</v>
      </c>
      <c r="K25" s="101"/>
      <c r="L25" s="102">
        <v>91</v>
      </c>
      <c r="M25" s="101">
        <f t="shared" si="1"/>
        <v>182</v>
      </c>
      <c r="N25" s="99">
        <v>19</v>
      </c>
    </row>
    <row r="26" spans="1:14">
      <c r="A26" s="7" t="s">
        <v>14</v>
      </c>
      <c r="B26" s="7">
        <v>25</v>
      </c>
      <c r="C26" s="7">
        <v>1</v>
      </c>
      <c r="D26" s="7">
        <v>2021</v>
      </c>
      <c r="E26" s="101">
        <f>'Athens Daily - EL'!AK32</f>
        <v>188765</v>
      </c>
      <c r="F26" s="101"/>
      <c r="G26" s="101">
        <f>'Athens Daily - Gas'!BH33</f>
        <v>78263.759999999485</v>
      </c>
      <c r="H26" s="101">
        <f t="shared" si="0"/>
        <v>2043.4402088772713</v>
      </c>
      <c r="I26" s="101"/>
      <c r="J26" s="101">
        <f>'Athens Daily - Water'!R31</f>
        <v>272.77739999999994</v>
      </c>
      <c r="K26" s="101"/>
      <c r="L26" s="102">
        <v>56</v>
      </c>
      <c r="M26" s="101">
        <f t="shared" si="1"/>
        <v>112</v>
      </c>
      <c r="N26" s="100"/>
    </row>
    <row r="27" spans="1:14">
      <c r="A27" s="7" t="s">
        <v>14</v>
      </c>
      <c r="B27" s="7">
        <v>26</v>
      </c>
      <c r="C27" s="7">
        <v>1</v>
      </c>
      <c r="D27" s="7">
        <v>2021</v>
      </c>
      <c r="E27" s="101">
        <f>'Athens Daily - EL'!AK33</f>
        <v>223563</v>
      </c>
      <c r="F27" s="101"/>
      <c r="G27" s="101">
        <f>'Athens Daily - Gas'!BH34</f>
        <v>87366.096000000514</v>
      </c>
      <c r="H27" s="101">
        <f t="shared" si="0"/>
        <v>2281.0991122715541</v>
      </c>
      <c r="I27" s="101"/>
      <c r="J27" s="101">
        <f>'Athens Daily - Water'!R32</f>
        <v>273.19869999999992</v>
      </c>
      <c r="K27" s="101"/>
      <c r="L27" s="101"/>
      <c r="M27" s="101">
        <f t="shared" si="1"/>
        <v>0</v>
      </c>
      <c r="N27" s="100"/>
    </row>
    <row r="28" spans="1:14">
      <c r="A28" s="7" t="s">
        <v>14</v>
      </c>
      <c r="B28" s="7">
        <v>27</v>
      </c>
      <c r="C28" s="7">
        <v>1</v>
      </c>
      <c r="D28" s="7">
        <v>2021</v>
      </c>
      <c r="E28" s="101">
        <f>'Athens Daily - EL'!AK34</f>
        <v>264050.5</v>
      </c>
      <c r="F28" s="101"/>
      <c r="G28" s="101">
        <f>'Athens Daily - Gas'!BH35</f>
        <v>83351.471999999776</v>
      </c>
      <c r="H28" s="101">
        <f t="shared" si="0"/>
        <v>2176.2786422976446</v>
      </c>
      <c r="I28" s="101"/>
      <c r="J28" s="101">
        <f>'Athens Daily - Water'!R33</f>
        <v>320.41409999999996</v>
      </c>
      <c r="K28" s="101"/>
      <c r="L28" s="101"/>
      <c r="M28" s="101">
        <f t="shared" si="1"/>
        <v>0</v>
      </c>
      <c r="N28" s="100"/>
    </row>
    <row r="29" spans="1:14">
      <c r="A29" s="7" t="s">
        <v>14</v>
      </c>
      <c r="B29" s="7">
        <v>28</v>
      </c>
      <c r="C29" s="7">
        <v>1</v>
      </c>
      <c r="D29" s="7">
        <v>2021</v>
      </c>
      <c r="E29" s="101">
        <f>'Athens Daily - EL'!AK35</f>
        <v>232984</v>
      </c>
      <c r="F29" s="101"/>
      <c r="G29" s="101">
        <f>'Athens Daily - Gas'!BH36</f>
        <v>97440.384000000224</v>
      </c>
      <c r="H29" s="101">
        <f t="shared" si="0"/>
        <v>2544.135352480424</v>
      </c>
      <c r="I29" s="101"/>
      <c r="J29" s="101">
        <f>'Athens Daily - Water'!R34</f>
        <v>358.19540000000052</v>
      </c>
      <c r="K29" s="101"/>
      <c r="L29" s="101"/>
      <c r="M29" s="101">
        <f t="shared" si="1"/>
        <v>0</v>
      </c>
      <c r="N29" s="100"/>
    </row>
    <row r="30" spans="1:14">
      <c r="A30" s="7" t="s">
        <v>14</v>
      </c>
      <c r="B30" s="7">
        <v>29</v>
      </c>
      <c r="C30" s="7">
        <v>1</v>
      </c>
      <c r="D30" s="7">
        <v>2021</v>
      </c>
      <c r="E30" s="101">
        <f>'Athens Daily - EL'!AK36</f>
        <v>230036</v>
      </c>
      <c r="F30" s="101"/>
      <c r="G30" s="101">
        <f>'Athens Daily - Gas'!BH37</f>
        <v>82727.231999999422</v>
      </c>
      <c r="H30" s="101">
        <f t="shared" si="0"/>
        <v>2159.9799477806641</v>
      </c>
      <c r="I30" s="101"/>
      <c r="J30" s="101">
        <f>'Athens Daily - Water'!R35</f>
        <v>270.83659999999963</v>
      </c>
      <c r="K30" s="101"/>
      <c r="L30" s="101"/>
      <c r="M30" s="101">
        <f t="shared" si="1"/>
        <v>0</v>
      </c>
      <c r="N30" s="100"/>
    </row>
    <row r="31" spans="1:14">
      <c r="A31" s="7" t="s">
        <v>14</v>
      </c>
      <c r="B31" s="7">
        <v>30</v>
      </c>
      <c r="C31" s="7">
        <v>1</v>
      </c>
      <c r="D31" s="7">
        <v>2021</v>
      </c>
      <c r="E31" s="101">
        <f>'Athens Daily - EL'!AK37</f>
        <v>240673</v>
      </c>
      <c r="F31" s="101"/>
      <c r="G31" s="101">
        <f>'Athens Daily - Gas'!BH38</f>
        <v>110500.87200000021</v>
      </c>
      <c r="H31" s="101">
        <f t="shared" si="0"/>
        <v>2885.1402610966115</v>
      </c>
      <c r="I31" s="101"/>
      <c r="J31" s="101">
        <f>'Athens Daily - Water'!R37</f>
        <v>351.71860000000015</v>
      </c>
      <c r="K31" s="101"/>
      <c r="L31" s="101"/>
      <c r="M31" s="101">
        <f t="shared" si="1"/>
        <v>0</v>
      </c>
      <c r="N31" s="100"/>
    </row>
    <row r="32" spans="1:14">
      <c r="A32" s="7" t="s">
        <v>14</v>
      </c>
      <c r="B32" s="7">
        <v>31</v>
      </c>
      <c r="C32" s="7">
        <v>1</v>
      </c>
      <c r="D32" s="7">
        <v>2021</v>
      </c>
      <c r="E32" s="101">
        <f>'Athens Daily - EL'!AK38</f>
        <v>243750</v>
      </c>
      <c r="F32" s="101"/>
      <c r="G32" s="101">
        <f>'Athens Daily - Gas'!BH39</f>
        <v>110500.87200000021</v>
      </c>
      <c r="H32" s="101">
        <f t="shared" si="0"/>
        <v>2885.1402610966115</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22631</v>
      </c>
      <c r="F2" s="7"/>
      <c r="G2" s="39">
        <f>'Athens Daily - Gas'!BI9</f>
        <v>50745.600000000006</v>
      </c>
      <c r="H2" s="7"/>
      <c r="I2" s="40">
        <f>'Athens Daily - Water'!S7</f>
        <v>91.2</v>
      </c>
      <c r="J2" s="7"/>
      <c r="K2" s="7">
        <v>286</v>
      </c>
      <c r="L2" s="7">
        <v>2</v>
      </c>
    </row>
    <row r="3" spans="1:12">
      <c r="A3" s="7" t="s">
        <v>14</v>
      </c>
      <c r="B3" s="7">
        <v>2</v>
      </c>
      <c r="C3" s="7">
        <v>1</v>
      </c>
      <c r="D3" s="7">
        <v>2021</v>
      </c>
      <c r="E3" s="7">
        <f>'Athens Daily - EL'!AL9</f>
        <v>25187.96428571413</v>
      </c>
      <c r="F3" s="7"/>
      <c r="G3" s="39">
        <f>'Athens Daily - Gas'!BI10</f>
        <v>54994.559999994541</v>
      </c>
      <c r="H3" s="7"/>
      <c r="I3" s="40">
        <f>'Athens Daily - Water'!S8</f>
        <v>107.63000000000029</v>
      </c>
      <c r="J3" s="7"/>
      <c r="K3" s="7">
        <v>285</v>
      </c>
      <c r="L3" s="7">
        <v>2</v>
      </c>
    </row>
    <row r="4" spans="1:12">
      <c r="A4" s="7" t="s">
        <v>14</v>
      </c>
      <c r="B4" s="7">
        <v>3</v>
      </c>
      <c r="C4" s="7">
        <v>1</v>
      </c>
      <c r="D4" s="7">
        <v>2021</v>
      </c>
      <c r="E4" s="7">
        <f>'Athens Daily - EL'!AL10</f>
        <v>25187.96428571413</v>
      </c>
      <c r="F4" s="7"/>
      <c r="G4" s="39">
        <f>'Athens Daily - Gas'!BI11</f>
        <v>54994.559999994541</v>
      </c>
      <c r="H4" s="7"/>
      <c r="I4" s="40">
        <f>'Athens Daily - Water'!S9</f>
        <v>107.63000000000029</v>
      </c>
      <c r="J4" s="7"/>
      <c r="K4" s="7">
        <v>282</v>
      </c>
      <c r="L4" s="7">
        <v>2</v>
      </c>
    </row>
    <row r="5" spans="1:12">
      <c r="A5" s="7" t="s">
        <v>14</v>
      </c>
      <c r="B5" s="7">
        <v>4</v>
      </c>
      <c r="C5" s="7">
        <v>1</v>
      </c>
      <c r="D5" s="7">
        <v>2021</v>
      </c>
      <c r="E5" s="7">
        <f>'Athens Daily - EL'!AL11</f>
        <v>25187.96428571413</v>
      </c>
      <c r="F5" s="7"/>
      <c r="G5" s="39">
        <f>'Athens Daily - Gas'!BI12</f>
        <v>54994.559999994541</v>
      </c>
      <c r="H5" s="7"/>
      <c r="I5" s="40">
        <f>'Athens Daily - Water'!S10</f>
        <v>107.63000000000029</v>
      </c>
      <c r="J5" s="7"/>
      <c r="K5" s="7">
        <v>284</v>
      </c>
      <c r="L5" s="7">
        <v>2</v>
      </c>
    </row>
    <row r="6" spans="1:12">
      <c r="A6" s="7" t="s">
        <v>14</v>
      </c>
      <c r="B6" s="7">
        <v>5</v>
      </c>
      <c r="C6" s="7">
        <v>1</v>
      </c>
      <c r="D6" s="7">
        <v>2021</v>
      </c>
      <c r="E6" s="7">
        <f>'Athens Daily - EL'!AL12</f>
        <v>25187.96428571413</v>
      </c>
      <c r="F6" s="7"/>
      <c r="G6" s="39">
        <f>'Athens Daily - Gas'!BI13</f>
        <v>54994.559999994541</v>
      </c>
      <c r="H6" s="7"/>
      <c r="I6" s="40">
        <f>'Athens Daily - Water'!S11</f>
        <v>107.63000000000029</v>
      </c>
      <c r="J6" s="7"/>
      <c r="K6" s="7">
        <v>286</v>
      </c>
      <c r="L6" s="7">
        <v>2</v>
      </c>
    </row>
    <row r="7" spans="1:12">
      <c r="A7" s="7" t="s">
        <v>14</v>
      </c>
      <c r="B7" s="7">
        <v>6</v>
      </c>
      <c r="C7" s="7">
        <v>1</v>
      </c>
      <c r="D7" s="7">
        <v>2021</v>
      </c>
      <c r="E7" s="7">
        <f>'Athens Daily - EL'!AL13</f>
        <v>25187.96428571413</v>
      </c>
      <c r="F7" s="7"/>
      <c r="G7" s="39">
        <f>'Athens Daily - Gas'!BI14</f>
        <v>54994.560000021855</v>
      </c>
      <c r="H7" s="7"/>
      <c r="I7" s="40">
        <f>'Athens Daily - Water'!S12</f>
        <v>107.62999999999883</v>
      </c>
      <c r="J7" s="7"/>
      <c r="K7" s="7">
        <v>288</v>
      </c>
      <c r="L7" s="7">
        <v>2</v>
      </c>
    </row>
    <row r="8" spans="1:12">
      <c r="A8" s="7" t="s">
        <v>14</v>
      </c>
      <c r="B8" s="7">
        <v>7</v>
      </c>
      <c r="C8" s="7">
        <v>1</v>
      </c>
      <c r="D8" s="7">
        <v>2021</v>
      </c>
      <c r="E8" s="7">
        <f>'Athens Daily - EL'!AL14</f>
        <v>25187.96428571413</v>
      </c>
      <c r="F8" s="7"/>
      <c r="G8" s="39">
        <f>'Athens Daily - Gas'!BI15</f>
        <v>57916.800000000003</v>
      </c>
      <c r="H8" s="7"/>
      <c r="I8" s="40">
        <f>'Athens Daily - Water'!S13</f>
        <v>119.85</v>
      </c>
      <c r="J8" s="7"/>
      <c r="K8" s="7">
        <v>286</v>
      </c>
      <c r="L8" s="7">
        <v>2</v>
      </c>
    </row>
    <row r="9" spans="1:12">
      <c r="A9" s="7" t="s">
        <v>14</v>
      </c>
      <c r="B9" s="7">
        <v>8</v>
      </c>
      <c r="C9" s="7">
        <v>1</v>
      </c>
      <c r="D9" s="7">
        <v>2021</v>
      </c>
      <c r="E9" s="7">
        <f>'Athens Daily - EL'!AL15</f>
        <v>25187.96428571413</v>
      </c>
      <c r="F9" s="7"/>
      <c r="G9" s="39">
        <f>'Athens Daily - Gas'!BI16</f>
        <v>50956.800000000003</v>
      </c>
      <c r="H9" s="7"/>
      <c r="I9" s="40">
        <f>'Athens Daily - Water'!S14</f>
        <v>103.9</v>
      </c>
      <c r="J9" s="7"/>
      <c r="K9" s="7">
        <v>287</v>
      </c>
      <c r="L9" s="7">
        <v>2</v>
      </c>
    </row>
    <row r="10" spans="1:12">
      <c r="A10" s="7" t="s">
        <v>14</v>
      </c>
      <c r="B10" s="7">
        <v>9</v>
      </c>
      <c r="C10" s="7">
        <v>1</v>
      </c>
      <c r="D10" s="7">
        <v>2021</v>
      </c>
      <c r="E10" s="7">
        <f>'Athens Daily - EL'!AL16</f>
        <v>25187.96428571413</v>
      </c>
      <c r="F10" s="7"/>
      <c r="G10" s="39">
        <f>'Athens Daily - Gas'!BI17</f>
        <v>56601.599999999999</v>
      </c>
      <c r="H10" s="7"/>
      <c r="I10" s="40">
        <f>'Athens Daily - Water'!S15</f>
        <v>124.45</v>
      </c>
      <c r="J10" s="7"/>
      <c r="K10" s="7">
        <v>284</v>
      </c>
      <c r="L10" s="7">
        <v>2</v>
      </c>
    </row>
    <row r="11" spans="1:12">
      <c r="A11" s="7" t="s">
        <v>14</v>
      </c>
      <c r="B11" s="7">
        <v>10</v>
      </c>
      <c r="C11" s="7">
        <v>1</v>
      </c>
      <c r="D11" s="7">
        <v>2021</v>
      </c>
      <c r="E11" s="7">
        <f>'Athens Daily - EL'!AL17</f>
        <v>25187.96428571413</v>
      </c>
      <c r="F11" s="7"/>
      <c r="G11" s="39">
        <f>'Athens Daily - Gas'!BI18</f>
        <v>50409.600000000006</v>
      </c>
      <c r="H11" s="7"/>
      <c r="I11" s="40">
        <f>'Athens Daily - Water'!S16</f>
        <v>110.65</v>
      </c>
      <c r="J11" s="7"/>
      <c r="K11" s="7">
        <v>284</v>
      </c>
      <c r="L11" s="7">
        <v>2</v>
      </c>
    </row>
    <row r="12" spans="1:12">
      <c r="A12" s="7" t="s">
        <v>14</v>
      </c>
      <c r="B12" s="7">
        <v>11</v>
      </c>
      <c r="C12" s="7">
        <v>1</v>
      </c>
      <c r="D12" s="7">
        <v>2021</v>
      </c>
      <c r="E12" s="7">
        <f>'Athens Daily - EL'!AL18</f>
        <v>25187.96428571413</v>
      </c>
      <c r="F12" s="7"/>
      <c r="G12" s="39">
        <f>'Athens Daily - Gas'!BI19</f>
        <v>56304</v>
      </c>
      <c r="H12" s="7"/>
      <c r="I12" s="40">
        <f>'Athens Daily - Water'!S17</f>
        <v>115.95</v>
      </c>
      <c r="J12" s="7"/>
      <c r="K12" s="7">
        <v>284</v>
      </c>
      <c r="L12" s="7">
        <v>2</v>
      </c>
    </row>
    <row r="13" spans="1:12">
      <c r="A13" s="7" t="s">
        <v>14</v>
      </c>
      <c r="B13" s="7">
        <v>12</v>
      </c>
      <c r="C13" s="7">
        <v>1</v>
      </c>
      <c r="D13" s="7">
        <v>2021</v>
      </c>
      <c r="E13" s="7">
        <f>'Athens Daily - EL'!AL19</f>
        <v>25187.96428571413</v>
      </c>
      <c r="F13" s="7"/>
      <c r="G13" s="39">
        <f>'Athens Daily - Gas'!BI20</f>
        <v>53289.599999999999</v>
      </c>
      <c r="H13" s="7"/>
      <c r="I13" s="40">
        <f>'Athens Daily - Water'!S18</f>
        <v>113.15</v>
      </c>
      <c r="J13" s="7"/>
      <c r="K13" s="7">
        <v>286</v>
      </c>
      <c r="L13" s="7">
        <v>2</v>
      </c>
    </row>
    <row r="14" spans="1:12">
      <c r="A14" s="7" t="s">
        <v>14</v>
      </c>
      <c r="B14" s="7">
        <v>13</v>
      </c>
      <c r="C14" s="7">
        <v>1</v>
      </c>
      <c r="D14" s="7">
        <v>2021</v>
      </c>
      <c r="E14" s="7">
        <f>'Athens Daily - EL'!AL20</f>
        <v>25187.96428571413</v>
      </c>
      <c r="F14" s="7"/>
      <c r="G14" s="39">
        <f>'Athens Daily - Gas'!BI21</f>
        <v>52464</v>
      </c>
      <c r="H14" s="7"/>
      <c r="I14" s="40">
        <f>'Athens Daily - Water'!S19</f>
        <v>120.55000000000001</v>
      </c>
      <c r="J14" s="7"/>
      <c r="K14" s="7">
        <v>287</v>
      </c>
      <c r="L14" s="7">
        <v>2</v>
      </c>
    </row>
    <row r="15" spans="1:12">
      <c r="A15" s="7" t="s">
        <v>14</v>
      </c>
      <c r="B15" s="7">
        <v>14</v>
      </c>
      <c r="C15" s="7">
        <v>1</v>
      </c>
      <c r="D15" s="7">
        <v>2021</v>
      </c>
      <c r="E15" s="7">
        <f>'Athens Daily - EL'!AL21</f>
        <v>24849.03061224526</v>
      </c>
      <c r="F15" s="7"/>
      <c r="G15" s="39">
        <f>'Athens Daily - Gas'!BI22</f>
        <v>58444.800000000003</v>
      </c>
      <c r="H15" s="7"/>
      <c r="I15" s="40">
        <f>'Athens Daily - Water'!S20</f>
        <v>117.65</v>
      </c>
      <c r="J15" s="7"/>
      <c r="K15" s="7">
        <v>287</v>
      </c>
      <c r="L15" s="7">
        <v>2</v>
      </c>
    </row>
    <row r="16" spans="1:12">
      <c r="A16" s="7" t="s">
        <v>14</v>
      </c>
      <c r="B16" s="7">
        <v>15</v>
      </c>
      <c r="C16" s="7">
        <v>1</v>
      </c>
      <c r="D16" s="7">
        <v>2021</v>
      </c>
      <c r="E16" s="7">
        <f>'Athens Daily - EL'!AL22</f>
        <v>25526.897959185182</v>
      </c>
      <c r="F16" s="7"/>
      <c r="G16" s="39">
        <f>'Athens Daily - Gas'!BI23</f>
        <v>50198.400000000001</v>
      </c>
      <c r="H16" s="7"/>
      <c r="I16" s="40">
        <f>'Athens Daily - Water'!S21</f>
        <v>113.7</v>
      </c>
      <c r="J16" s="7"/>
      <c r="K16" s="7">
        <v>288</v>
      </c>
      <c r="L16" s="7">
        <v>2</v>
      </c>
    </row>
    <row r="17" spans="1:12">
      <c r="A17" s="7" t="s">
        <v>14</v>
      </c>
      <c r="B17" s="7">
        <v>16</v>
      </c>
      <c r="C17" s="7">
        <v>1</v>
      </c>
      <c r="D17" s="7">
        <v>2021</v>
      </c>
      <c r="E17" s="7">
        <f>'Athens Daily - EL'!AL23</f>
        <v>25455.5</v>
      </c>
      <c r="F17" s="7"/>
      <c r="G17" s="39">
        <f>'Athens Daily - Gas'!BI24</f>
        <v>55488</v>
      </c>
      <c r="H17" s="7"/>
      <c r="I17" s="40">
        <f>'Athens Daily - Water'!S22</f>
        <v>113.80000000000001</v>
      </c>
      <c r="J17" s="7"/>
      <c r="K17" s="7">
        <v>288</v>
      </c>
      <c r="L17" s="7">
        <v>2</v>
      </c>
    </row>
    <row r="18" spans="1:12">
      <c r="A18" s="7" t="s">
        <v>14</v>
      </c>
      <c r="B18" s="7">
        <v>17</v>
      </c>
      <c r="C18" s="7">
        <v>1</v>
      </c>
      <c r="D18" s="7">
        <v>2021</v>
      </c>
      <c r="E18" s="7">
        <f>'Athens Daily - EL'!AL24</f>
        <v>24509.5</v>
      </c>
      <c r="F18" s="7"/>
      <c r="G18" s="39">
        <f>'Athens Daily - Gas'!BI25</f>
        <v>54124.800000000003</v>
      </c>
      <c r="H18" s="7"/>
      <c r="I18" s="40">
        <f>'Athens Daily - Water'!S23</f>
        <v>131.4</v>
      </c>
      <c r="J18" s="7"/>
      <c r="K18" s="7">
        <v>288</v>
      </c>
      <c r="L18" s="7">
        <v>2</v>
      </c>
    </row>
    <row r="19" spans="1:12">
      <c r="A19" s="7" t="s">
        <v>14</v>
      </c>
      <c r="B19" s="7">
        <v>18</v>
      </c>
      <c r="C19" s="7">
        <v>1</v>
      </c>
      <c r="D19" s="7">
        <v>2021</v>
      </c>
      <c r="E19" s="7">
        <f>'Athens Daily - EL'!AL25</f>
        <v>24959.5</v>
      </c>
      <c r="F19" s="7"/>
      <c r="G19" s="39">
        <f>'Athens Daily - Gas'!BI26</f>
        <v>43708.800000000003</v>
      </c>
      <c r="H19" s="7"/>
      <c r="I19" s="40">
        <f>'Athens Daily - Water'!S24</f>
        <v>110.75</v>
      </c>
      <c r="J19" s="7"/>
      <c r="K19" s="7">
        <v>291</v>
      </c>
      <c r="L19" s="7">
        <v>2</v>
      </c>
    </row>
    <row r="20" spans="1:12">
      <c r="A20" s="7" t="s">
        <v>14</v>
      </c>
      <c r="B20" s="7">
        <v>19</v>
      </c>
      <c r="C20" s="7">
        <v>1</v>
      </c>
      <c r="D20" s="7">
        <v>2021</v>
      </c>
      <c r="E20" s="7">
        <f>'Athens Daily - EL'!AL26</f>
        <v>25356.5</v>
      </c>
      <c r="F20" s="7"/>
      <c r="G20" s="39">
        <f>'Athens Daily - Gas'!BI27</f>
        <v>55881.599999999999</v>
      </c>
      <c r="H20" s="7"/>
      <c r="I20" s="40">
        <f>'Athens Daily - Water'!S25</f>
        <v>124.7</v>
      </c>
      <c r="J20" s="7"/>
      <c r="K20" s="7">
        <v>290</v>
      </c>
      <c r="L20" s="7">
        <v>2</v>
      </c>
    </row>
    <row r="21" spans="1:12">
      <c r="A21" s="7" t="s">
        <v>14</v>
      </c>
      <c r="B21" s="7">
        <v>20</v>
      </c>
      <c r="C21" s="7">
        <v>1</v>
      </c>
      <c r="D21" s="7">
        <v>2021</v>
      </c>
      <c r="E21" s="7">
        <f>'Athens Daily - EL'!AL27</f>
        <v>25457</v>
      </c>
      <c r="F21" s="7"/>
      <c r="G21" s="39">
        <f>'Athens Daily - Gas'!BI28</f>
        <v>45312</v>
      </c>
      <c r="H21" s="7"/>
      <c r="I21" s="40">
        <f>'Athens Daily - Water'!S26</f>
        <v>106.30000000000001</v>
      </c>
      <c r="J21" s="7"/>
      <c r="K21" s="7">
        <v>292</v>
      </c>
      <c r="L21" s="7">
        <v>2</v>
      </c>
    </row>
    <row r="22" spans="1:12">
      <c r="A22" s="7" t="s">
        <v>14</v>
      </c>
      <c r="B22" s="7">
        <v>21</v>
      </c>
      <c r="C22" s="7">
        <v>1</v>
      </c>
      <c r="D22" s="7">
        <v>2021</v>
      </c>
      <c r="E22" s="7">
        <f>'Athens Daily - EL'!AL28</f>
        <v>30909</v>
      </c>
      <c r="F22" s="7"/>
      <c r="G22" s="39">
        <f>'Athens Daily - Gas'!BI29</f>
        <v>52243.199999999997</v>
      </c>
      <c r="H22" s="7"/>
      <c r="I22" s="40">
        <f>'Athens Daily - Water'!S27</f>
        <v>135.25</v>
      </c>
      <c r="J22" s="7"/>
      <c r="K22" s="7">
        <v>293</v>
      </c>
      <c r="L22" s="7">
        <v>2</v>
      </c>
    </row>
    <row r="23" spans="1:12">
      <c r="A23" s="7" t="s">
        <v>14</v>
      </c>
      <c r="B23" s="7">
        <v>22</v>
      </c>
      <c r="C23" s="7">
        <v>1</v>
      </c>
      <c r="D23" s="7">
        <v>2021</v>
      </c>
      <c r="E23" s="7">
        <f>'Athens Daily - EL'!AL29</f>
        <v>20212</v>
      </c>
      <c r="F23" s="7"/>
      <c r="G23" s="39">
        <f>'Athens Daily - Gas'!BI30</f>
        <v>47107.199999999997</v>
      </c>
      <c r="H23" s="7"/>
      <c r="I23" s="40">
        <f>'Athens Daily - Water'!S28</f>
        <v>101.2</v>
      </c>
      <c r="J23" s="7"/>
      <c r="K23" s="7">
        <v>293</v>
      </c>
      <c r="L23" s="7">
        <v>2</v>
      </c>
    </row>
    <row r="24" spans="1:12">
      <c r="A24" s="7" t="s">
        <v>14</v>
      </c>
      <c r="B24" s="7">
        <v>23</v>
      </c>
      <c r="C24" s="7">
        <v>1</v>
      </c>
      <c r="D24" s="7">
        <v>2021</v>
      </c>
      <c r="E24" s="7">
        <f>'Athens Daily - EL'!AL30</f>
        <v>24074.5</v>
      </c>
      <c r="F24" s="7"/>
      <c r="G24" s="39">
        <f>'Athens Daily - Gas'!BI31</f>
        <v>55027.200000000004</v>
      </c>
      <c r="H24" s="7"/>
      <c r="I24" s="40">
        <f>'Athens Daily - Water'!S29</f>
        <v>127.35</v>
      </c>
      <c r="J24" s="7"/>
      <c r="K24" s="7">
        <v>294</v>
      </c>
      <c r="L24" s="7">
        <v>2</v>
      </c>
    </row>
    <row r="25" spans="1:12">
      <c r="A25" s="7" t="s">
        <v>14</v>
      </c>
      <c r="B25" s="7">
        <v>24</v>
      </c>
      <c r="C25" s="7">
        <v>1</v>
      </c>
      <c r="D25" s="7">
        <v>2021</v>
      </c>
      <c r="E25" s="7">
        <f>'Athens Daily - EL'!AL31</f>
        <v>23218</v>
      </c>
      <c r="F25" s="7"/>
      <c r="G25" s="39">
        <f>'Athens Daily - Gas'!BI32</f>
        <v>49852.800000000003</v>
      </c>
      <c r="H25" s="7"/>
      <c r="I25" s="40">
        <f>'Athens Daily - Water'!S30</f>
        <v>111.75</v>
      </c>
      <c r="J25" s="7"/>
      <c r="K25" s="7">
        <v>294</v>
      </c>
      <c r="L25" s="7">
        <v>2</v>
      </c>
    </row>
    <row r="26" spans="1:12">
      <c r="A26" s="7" t="s">
        <v>14</v>
      </c>
      <c r="B26" s="7">
        <v>25</v>
      </c>
      <c r="C26" s="7">
        <v>1</v>
      </c>
      <c r="D26" s="7">
        <v>2021</v>
      </c>
      <c r="E26" s="7">
        <f>'Athens Daily - EL'!AL32</f>
        <v>24427.5</v>
      </c>
      <c r="F26" s="7"/>
      <c r="G26" s="39">
        <f>'Athens Daily - Gas'!BI33</f>
        <v>45811.199999999997</v>
      </c>
      <c r="H26" s="7"/>
      <c r="I26" s="40">
        <f>'Athens Daily - Water'!S31</f>
        <v>107.6</v>
      </c>
      <c r="J26" s="7"/>
      <c r="K26" s="7">
        <v>291</v>
      </c>
      <c r="L26" s="7">
        <v>2</v>
      </c>
    </row>
    <row r="27" spans="1:12">
      <c r="A27" s="7" t="s">
        <v>14</v>
      </c>
      <c r="B27" s="7">
        <v>26</v>
      </c>
      <c r="C27" s="7">
        <v>1</v>
      </c>
      <c r="D27" s="7">
        <v>2021</v>
      </c>
      <c r="E27" s="7">
        <f>'Athens Daily - EL'!AL33</f>
        <v>25709</v>
      </c>
      <c r="F27" s="7"/>
      <c r="G27" s="39">
        <f>'Athens Daily - Gas'!BI34</f>
        <v>54470.400000000001</v>
      </c>
      <c r="H27" s="7"/>
      <c r="I27" s="40">
        <f>'Athens Daily - Water'!S32</f>
        <v>135.65</v>
      </c>
      <c r="J27" s="7"/>
      <c r="K27" s="7">
        <v>291</v>
      </c>
      <c r="L27" s="7">
        <v>2</v>
      </c>
    </row>
    <row r="28" spans="1:12">
      <c r="A28" s="7" t="s">
        <v>14</v>
      </c>
      <c r="B28" s="7">
        <v>27</v>
      </c>
      <c r="C28" s="7">
        <v>1</v>
      </c>
      <c r="D28" s="7">
        <v>2021</v>
      </c>
      <c r="E28" s="7">
        <f>'Athens Daily - EL'!AL34</f>
        <v>23222.5</v>
      </c>
      <c r="F28" s="7"/>
      <c r="G28" s="39">
        <f>'Athens Daily - Gas'!BI35</f>
        <v>46747.199999999997</v>
      </c>
      <c r="H28" s="7"/>
      <c r="I28" s="40">
        <f>'Athens Daily - Water'!S33</f>
        <v>104.55000000000001</v>
      </c>
      <c r="J28" s="7"/>
      <c r="K28" s="7">
        <v>288</v>
      </c>
      <c r="L28" s="7">
        <v>2</v>
      </c>
    </row>
    <row r="29" spans="1:12">
      <c r="A29" s="7" t="s">
        <v>14</v>
      </c>
      <c r="B29" s="7">
        <v>28</v>
      </c>
      <c r="C29" s="7">
        <v>1</v>
      </c>
      <c r="D29" s="7">
        <v>2021</v>
      </c>
      <c r="E29" s="7">
        <f>'Athens Daily - EL'!AL35</f>
        <v>28545</v>
      </c>
      <c r="F29" s="7"/>
      <c r="G29" s="39">
        <f>'Athens Daily - Gas'!BI36</f>
        <v>53054.400000000001</v>
      </c>
      <c r="H29" s="7"/>
      <c r="I29" s="40">
        <f>'Athens Daily - Water'!S34</f>
        <v>133.85</v>
      </c>
      <c r="J29" s="7"/>
      <c r="K29" s="7">
        <v>290</v>
      </c>
      <c r="L29" s="7">
        <v>2</v>
      </c>
    </row>
    <row r="30" spans="1:12">
      <c r="A30" s="7" t="s">
        <v>14</v>
      </c>
      <c r="B30" s="7">
        <v>29</v>
      </c>
      <c r="C30" s="7">
        <v>1</v>
      </c>
      <c r="D30" s="7">
        <v>2021</v>
      </c>
      <c r="E30" s="7">
        <f>'Athens Daily - EL'!AL36</f>
        <v>25410</v>
      </c>
      <c r="F30" s="7"/>
      <c r="G30" s="39">
        <f>'Athens Daily - Gas'!BI37</f>
        <v>47980.800000000003</v>
      </c>
      <c r="H30" s="7"/>
      <c r="I30" s="40">
        <f>'Athens Daily - Water'!S35</f>
        <v>108.95</v>
      </c>
      <c r="J30" s="7"/>
      <c r="K30" s="7">
        <v>291</v>
      </c>
      <c r="L30" s="7">
        <v>2</v>
      </c>
    </row>
    <row r="31" spans="1:12">
      <c r="A31" s="7" t="s">
        <v>14</v>
      </c>
      <c r="B31" s="7">
        <v>30</v>
      </c>
      <c r="C31" s="7">
        <v>1</v>
      </c>
      <c r="D31" s="7">
        <v>2021</v>
      </c>
      <c r="E31" s="7">
        <f>'Athens Daily - EL'!AL37</f>
        <v>25562</v>
      </c>
      <c r="F31" s="7"/>
      <c r="G31" s="39">
        <f>'Athens Daily - Gas'!BI38</f>
        <v>61080</v>
      </c>
      <c r="H31" s="7"/>
      <c r="I31" s="40">
        <f>'Athens Daily - Water'!S37</f>
        <v>117.05000000000001</v>
      </c>
      <c r="J31" s="7"/>
      <c r="K31" s="7">
        <v>290</v>
      </c>
      <c r="L31" s="7">
        <v>2</v>
      </c>
    </row>
    <row r="32" spans="1:12">
      <c r="A32" s="7" t="s">
        <v>14</v>
      </c>
      <c r="B32" s="7">
        <v>31</v>
      </c>
      <c r="C32" s="7">
        <v>1</v>
      </c>
      <c r="D32" s="7">
        <v>2021</v>
      </c>
      <c r="E32" s="7">
        <f>'Athens Daily - EL'!AL38</f>
        <v>25948</v>
      </c>
      <c r="F32" s="7"/>
      <c r="G32" s="39">
        <f>'Athens Daily - Gas'!BI39</f>
        <v>62664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19" activePane="bottomRight" state="frozen"/>
      <selection pane="topRight" activeCell="C2" sqref="C2"/>
      <selection pane="bottomLeft" activeCell="A7" sqref="A7"/>
      <selection pane="bottomRight" activeCell="C36" sqref="C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02" t="s">
        <v>64</v>
      </c>
      <c r="D1" s="202"/>
      <c r="E1" s="202" t="s">
        <v>64</v>
      </c>
      <c r="F1" s="202"/>
      <c r="G1" s="202" t="s">
        <v>64</v>
      </c>
      <c r="H1" s="202"/>
      <c r="I1" s="109"/>
      <c r="J1" s="202" t="s">
        <v>64</v>
      </c>
      <c r="K1" s="202"/>
      <c r="L1" s="202" t="s">
        <v>64</v>
      </c>
      <c r="M1" s="202"/>
      <c r="N1" s="215" t="s">
        <v>65</v>
      </c>
      <c r="O1" s="216"/>
      <c r="P1" s="217"/>
      <c r="Q1" s="215" t="s">
        <v>65</v>
      </c>
      <c r="R1" s="216"/>
      <c r="S1" s="217"/>
      <c r="T1" s="215" t="s">
        <v>65</v>
      </c>
      <c r="U1" s="216"/>
      <c r="V1" s="217"/>
      <c r="W1" s="215" t="s">
        <v>65</v>
      </c>
      <c r="X1" s="216"/>
      <c r="Y1" s="217"/>
      <c r="Z1" s="202" t="s">
        <v>66</v>
      </c>
      <c r="AA1" s="202"/>
      <c r="AB1" s="202" t="s">
        <v>66</v>
      </c>
      <c r="AC1" s="202"/>
      <c r="AD1" s="202" t="s">
        <v>66</v>
      </c>
      <c r="AE1" s="202"/>
      <c r="AF1" s="202" t="s">
        <v>66</v>
      </c>
      <c r="AG1" s="202"/>
      <c r="AH1" s="202" t="s">
        <v>66</v>
      </c>
      <c r="AI1" s="202"/>
    </row>
    <row r="2" spans="1:38" s="3" customFormat="1" ht="113.25" customHeight="1">
      <c r="A2" s="13"/>
      <c r="B2" s="14"/>
      <c r="C2" s="201" t="s">
        <v>67</v>
      </c>
      <c r="D2" s="201"/>
      <c r="E2" s="201" t="s">
        <v>68</v>
      </c>
      <c r="F2" s="201"/>
      <c r="G2" s="206" t="s">
        <v>69</v>
      </c>
      <c r="H2" s="207"/>
      <c r="I2" s="208"/>
      <c r="J2" s="201" t="s">
        <v>70</v>
      </c>
      <c r="K2" s="201"/>
      <c r="L2" s="201" t="s">
        <v>71</v>
      </c>
      <c r="M2" s="201"/>
      <c r="N2" s="206" t="s">
        <v>72</v>
      </c>
      <c r="O2" s="207"/>
      <c r="P2" s="208"/>
      <c r="Q2" s="206" t="s">
        <v>73</v>
      </c>
      <c r="R2" s="207"/>
      <c r="S2" s="208"/>
      <c r="T2" s="206" t="s">
        <v>74</v>
      </c>
      <c r="U2" s="207"/>
      <c r="V2" s="208"/>
      <c r="W2" s="206" t="s">
        <v>75</v>
      </c>
      <c r="X2" s="207"/>
      <c r="Y2" s="208"/>
      <c r="Z2" s="201" t="s">
        <v>76</v>
      </c>
      <c r="AA2" s="201"/>
      <c r="AB2" s="201" t="s">
        <v>77</v>
      </c>
      <c r="AC2" s="201"/>
      <c r="AD2" s="201" t="s">
        <v>78</v>
      </c>
      <c r="AE2" s="201"/>
      <c r="AF2" s="201" t="s">
        <v>77</v>
      </c>
      <c r="AG2" s="201"/>
      <c r="AH2" s="201" t="s">
        <v>79</v>
      </c>
      <c r="AI2" s="201"/>
      <c r="AJ2" s="116"/>
      <c r="AK2" s="116"/>
      <c r="AL2" s="116"/>
    </row>
    <row r="3" spans="1:38" s="25" customFormat="1" ht="30" customHeight="1">
      <c r="A3" s="107"/>
      <c r="B3" s="50"/>
      <c r="C3" s="203">
        <v>5003566</v>
      </c>
      <c r="D3" s="205"/>
      <c r="E3" s="203">
        <v>5003596</v>
      </c>
      <c r="F3" s="205"/>
      <c r="G3" s="203">
        <v>507329</v>
      </c>
      <c r="H3" s="204"/>
      <c r="I3" s="205"/>
      <c r="J3" s="203">
        <v>5003563</v>
      </c>
      <c r="K3" s="205"/>
      <c r="L3" s="203">
        <v>5003562</v>
      </c>
      <c r="M3" s="205"/>
      <c r="N3" s="203">
        <v>507155</v>
      </c>
      <c r="O3" s="204"/>
      <c r="P3" s="205"/>
      <c r="Q3" s="203">
        <v>5003077</v>
      </c>
      <c r="R3" s="204"/>
      <c r="S3" s="205"/>
      <c r="T3" s="203">
        <v>5003079</v>
      </c>
      <c r="U3" s="204"/>
      <c r="V3" s="205"/>
      <c r="W3" s="203">
        <v>5003078</v>
      </c>
      <c r="X3" s="204"/>
      <c r="Y3" s="205"/>
      <c r="Z3" s="203">
        <v>5003565</v>
      </c>
      <c r="AA3" s="205"/>
      <c r="AB3" s="203">
        <v>5003564</v>
      </c>
      <c r="AC3" s="205"/>
      <c r="AD3" s="203">
        <v>5003597</v>
      </c>
      <c r="AE3" s="205"/>
      <c r="AF3" s="203">
        <v>5003598</v>
      </c>
      <c r="AG3" s="205"/>
      <c r="AH3" s="203">
        <v>5003599</v>
      </c>
      <c r="AI3" s="205"/>
      <c r="AK3" s="200" t="s">
        <v>80</v>
      </c>
      <c r="AL3" s="200"/>
    </row>
    <row r="4" spans="1:38" s="24" customFormat="1" ht="30" customHeight="1">
      <c r="A4" s="107"/>
      <c r="B4" s="113"/>
      <c r="C4" s="211" t="s">
        <v>81</v>
      </c>
      <c r="D4" s="212"/>
      <c r="E4" s="211" t="s">
        <v>82</v>
      </c>
      <c r="F4" s="212"/>
      <c r="G4" s="211" t="s">
        <v>83</v>
      </c>
      <c r="H4" s="213"/>
      <c r="I4" s="212"/>
      <c r="J4" s="211" t="s">
        <v>84</v>
      </c>
      <c r="K4" s="212"/>
      <c r="L4" s="211" t="s">
        <v>85</v>
      </c>
      <c r="M4" s="212"/>
      <c r="N4" s="211" t="s">
        <v>86</v>
      </c>
      <c r="O4" s="213"/>
      <c r="P4" s="212"/>
      <c r="Q4" s="211" t="s">
        <v>87</v>
      </c>
      <c r="R4" s="213"/>
      <c r="S4" s="212"/>
      <c r="T4" s="211" t="s">
        <v>88</v>
      </c>
      <c r="U4" s="213"/>
      <c r="V4" s="212"/>
      <c r="W4" s="211" t="s">
        <v>89</v>
      </c>
      <c r="X4" s="213"/>
      <c r="Y4" s="212"/>
      <c r="Z4" s="211" t="s">
        <v>90</v>
      </c>
      <c r="AA4" s="212"/>
      <c r="AB4" s="211" t="s">
        <v>91</v>
      </c>
      <c r="AC4" s="212"/>
      <c r="AD4" s="211" t="s">
        <v>92</v>
      </c>
      <c r="AE4" s="212"/>
      <c r="AF4" s="211" t="s">
        <v>93</v>
      </c>
      <c r="AG4" s="212"/>
      <c r="AH4" s="211" t="s">
        <v>94</v>
      </c>
      <c r="AI4" s="212"/>
      <c r="AK4" s="200"/>
      <c r="AL4" s="200"/>
    </row>
    <row r="5" spans="1:38" s="8" customFormat="1" ht="30" customHeight="1">
      <c r="A5" s="107" t="s">
        <v>95</v>
      </c>
      <c r="B5" s="51"/>
      <c r="C5" s="209" t="s">
        <v>96</v>
      </c>
      <c r="D5" s="210"/>
      <c r="E5" s="209" t="s">
        <v>96</v>
      </c>
      <c r="F5" s="210"/>
      <c r="G5" s="209" t="s">
        <v>96</v>
      </c>
      <c r="H5" s="214"/>
      <c r="I5" s="210"/>
      <c r="J5" s="51" t="s">
        <v>96</v>
      </c>
      <c r="K5" s="51"/>
      <c r="L5" s="209" t="s">
        <v>96</v>
      </c>
      <c r="M5" s="210"/>
      <c r="N5" s="209" t="s">
        <v>96</v>
      </c>
      <c r="O5" s="214"/>
      <c r="P5" s="210"/>
      <c r="Q5" s="209" t="s">
        <v>97</v>
      </c>
      <c r="R5" s="214"/>
      <c r="S5" s="210"/>
      <c r="T5" s="209" t="s">
        <v>97</v>
      </c>
      <c r="U5" s="214"/>
      <c r="V5" s="210"/>
      <c r="W5" s="209" t="s">
        <v>97</v>
      </c>
      <c r="X5" s="214"/>
      <c r="Y5" s="210"/>
      <c r="Z5" s="209" t="s">
        <v>96</v>
      </c>
      <c r="AA5" s="210"/>
      <c r="AB5" s="209" t="s">
        <v>96</v>
      </c>
      <c r="AC5" s="210"/>
      <c r="AD5" s="209" t="s">
        <v>96</v>
      </c>
      <c r="AE5" s="210"/>
      <c r="AF5" s="209" t="s">
        <v>96</v>
      </c>
      <c r="AG5" s="210"/>
      <c r="AH5" s="209" t="s">
        <v>96</v>
      </c>
      <c r="AI5" s="210"/>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43951</v>
      </c>
      <c r="B7" s="146"/>
      <c r="C7" s="74">
        <v>58900</v>
      </c>
      <c r="D7" s="17"/>
      <c r="E7" s="74">
        <v>563494</v>
      </c>
      <c r="F7" s="17"/>
      <c r="G7" s="74">
        <v>620848</v>
      </c>
      <c r="H7" s="17"/>
      <c r="I7" s="17"/>
      <c r="J7" s="74">
        <v>163312</v>
      </c>
      <c r="K7" s="17"/>
      <c r="L7" s="74">
        <v>376610</v>
      </c>
      <c r="M7" s="17"/>
      <c r="N7" s="74">
        <v>557863</v>
      </c>
      <c r="O7" s="17"/>
      <c r="P7" s="17"/>
      <c r="Q7" s="74">
        <v>37595</v>
      </c>
      <c r="R7" s="17"/>
      <c r="S7" s="17"/>
      <c r="T7" s="74">
        <v>718</v>
      </c>
      <c r="U7" s="17"/>
      <c r="V7" s="17"/>
      <c r="W7" s="74">
        <v>27829</v>
      </c>
      <c r="X7" s="17"/>
      <c r="Y7" s="17"/>
      <c r="Z7" s="74">
        <v>812484</v>
      </c>
      <c r="AA7" s="17"/>
      <c r="AB7" s="74">
        <v>185731</v>
      </c>
      <c r="AC7" s="17"/>
      <c r="AD7" s="74">
        <v>827273</v>
      </c>
      <c r="AE7" s="17"/>
      <c r="AF7" s="74">
        <v>68517</v>
      </c>
      <c r="AG7" s="17"/>
      <c r="AH7" s="74">
        <v>410512</v>
      </c>
      <c r="AI7" s="17"/>
      <c r="AK7" s="97">
        <v>210253.5</v>
      </c>
      <c r="AL7" s="98">
        <v>21932.5</v>
      </c>
    </row>
    <row r="8" spans="1:38" s="2" customFormat="1" ht="39.950000000000003" customHeight="1">
      <c r="A8" s="145">
        <v>43952</v>
      </c>
      <c r="B8" s="15"/>
      <c r="C8" s="49">
        <v>61974</v>
      </c>
      <c r="D8" s="17">
        <f>(C8-C7)*10</f>
        <v>30740</v>
      </c>
      <c r="E8" s="49">
        <v>568708</v>
      </c>
      <c r="F8" s="17">
        <f>(E8-E7)*10</f>
        <v>52140</v>
      </c>
      <c r="G8" s="49">
        <v>621664</v>
      </c>
      <c r="H8" s="17">
        <f>(G8-G7)*10</f>
        <v>8160</v>
      </c>
      <c r="I8" s="17">
        <f>H8*50%</f>
        <v>4080</v>
      </c>
      <c r="J8" s="49">
        <v>168248</v>
      </c>
      <c r="K8" s="17">
        <f>(J8-J7)*10</f>
        <v>49360</v>
      </c>
      <c r="L8" s="49">
        <v>384473</v>
      </c>
      <c r="M8" s="17">
        <f>(L8-L7)*10</f>
        <v>78630</v>
      </c>
      <c r="N8" s="49">
        <v>559091</v>
      </c>
      <c r="O8" s="17">
        <f t="shared" ref="O8:O24" si="0">(N8-N7)*10</f>
        <v>12280</v>
      </c>
      <c r="P8" s="17">
        <f>O8*50%</f>
        <v>6140</v>
      </c>
      <c r="Q8" s="49">
        <v>37632</v>
      </c>
      <c r="R8" s="17">
        <f t="shared" ref="R8:R24" si="1">(Q8-Q7)*10</f>
        <v>370</v>
      </c>
      <c r="S8" s="17">
        <f>R8*50%</f>
        <v>185</v>
      </c>
      <c r="T8" s="49">
        <v>720</v>
      </c>
      <c r="U8" s="17">
        <f>(T8-T7)*10</f>
        <v>20</v>
      </c>
      <c r="V8" s="17">
        <f>U8*50%</f>
        <v>10</v>
      </c>
      <c r="W8" s="49">
        <v>27836</v>
      </c>
      <c r="X8" s="17">
        <f>(W8-W7)*10</f>
        <v>70</v>
      </c>
      <c r="Y8" s="17">
        <f>X8*50%</f>
        <v>35</v>
      </c>
      <c r="Z8" s="49">
        <v>813282</v>
      </c>
      <c r="AA8" s="17">
        <f>Z8-Z7</f>
        <v>798</v>
      </c>
      <c r="AB8" s="49">
        <v>187485</v>
      </c>
      <c r="AC8" s="17">
        <f>AB8-AB7</f>
        <v>1754</v>
      </c>
      <c r="AD8" s="49">
        <v>830541</v>
      </c>
      <c r="AE8" s="17">
        <f>AD8-AD7</f>
        <v>3268</v>
      </c>
      <c r="AF8" s="49">
        <v>70147</v>
      </c>
      <c r="AG8" s="17">
        <f>AF8-AF7</f>
        <v>1630</v>
      </c>
      <c r="AH8" s="49">
        <v>419323</v>
      </c>
      <c r="AI8" s="17">
        <f>AH8-AH7</f>
        <v>8811</v>
      </c>
      <c r="AK8" s="97">
        <f>SUM(D8,F8,I8,K8,M8,P8,S8,V8,Y8)</f>
        <v>221320</v>
      </c>
      <c r="AL8" s="98">
        <f>SUM(P8,S8,V8,Y8,AA8,AC8,AE8,AG8,AI8)</f>
        <v>22631</v>
      </c>
    </row>
    <row r="9" spans="1:38" ht="39.950000000000003" customHeight="1">
      <c r="A9" s="145">
        <v>43953</v>
      </c>
      <c r="B9" s="16"/>
      <c r="C9" s="194">
        <f>(C22-C8)/14+C8</f>
        <v>65178.714285714283</v>
      </c>
      <c r="D9" s="97">
        <f t="shared" ref="D9:F25" si="2">(C9-C8)*10</f>
        <v>32047.142857142826</v>
      </c>
      <c r="E9" s="194">
        <f>(E22-E8)/14+E8</f>
        <v>573786</v>
      </c>
      <c r="F9" s="97">
        <f t="shared" si="2"/>
        <v>50780</v>
      </c>
      <c r="G9" s="194">
        <f>(G22-G8)/14+G8</f>
        <v>622627.78571428568</v>
      </c>
      <c r="H9" s="97">
        <f t="shared" ref="H9" si="3">(G9-G8)*10</f>
        <v>9637.8571428568102</v>
      </c>
      <c r="I9" s="97">
        <f t="shared" ref="I9:I24" si="4">H9*50%</f>
        <v>4818.9285714284051</v>
      </c>
      <c r="J9" s="194">
        <f>(J22-J8)/14+J8</f>
        <v>173392.92857142858</v>
      </c>
      <c r="K9" s="97">
        <f t="shared" ref="K9" si="5">(J9-J8)*10</f>
        <v>51449.285714285797</v>
      </c>
      <c r="L9" s="194">
        <f>(L22-L8)/14+L8</f>
        <v>392288</v>
      </c>
      <c r="M9" s="97">
        <f t="shared" ref="M9" si="6">(L9-L8)*10</f>
        <v>78150</v>
      </c>
      <c r="N9" s="194">
        <f>(N22-N8)/14+N8</f>
        <v>560395.78571428568</v>
      </c>
      <c r="O9" s="97">
        <f t="shared" si="0"/>
        <v>13047.85714285681</v>
      </c>
      <c r="P9" s="97">
        <f t="shared" ref="P9:P24" si="7">O9*50%</f>
        <v>6523.9285714284051</v>
      </c>
      <c r="Q9" s="194">
        <f>(Q22-Q8)/14+Q8</f>
        <v>38016.5</v>
      </c>
      <c r="R9" s="97">
        <f t="shared" si="1"/>
        <v>3845</v>
      </c>
      <c r="S9" s="97">
        <f t="shared" ref="S9:S24" si="8">R9*50%</f>
        <v>1922.5</v>
      </c>
      <c r="T9" s="194">
        <f>(T22-T8)/14+T8</f>
        <v>721.92857142857144</v>
      </c>
      <c r="U9" s="97">
        <f t="shared" ref="U9" si="9">(T9-T8)*10</f>
        <v>19.285714285714448</v>
      </c>
      <c r="V9" s="97">
        <f t="shared" ref="V9:V24" si="10">U9*50%</f>
        <v>9.6428571428572241</v>
      </c>
      <c r="W9" s="194">
        <f>(W22-W8)/14+W8</f>
        <v>28137.214285714286</v>
      </c>
      <c r="X9" s="97">
        <f t="shared" ref="X9" si="11">W9-W8</f>
        <v>301.21428571428623</v>
      </c>
      <c r="Y9" s="97">
        <f t="shared" ref="Y9:Y24" si="12">X9*50%</f>
        <v>150.60714285714312</v>
      </c>
      <c r="Z9" s="194">
        <f>(Z22-Z8)/14+Z8</f>
        <v>814064.85714285716</v>
      </c>
      <c r="AA9" s="97">
        <f t="shared" ref="AA9" si="13">Z9-Z8</f>
        <v>782.85714285715949</v>
      </c>
      <c r="AB9" s="194">
        <f>(AB22-AB8)/14+AB8</f>
        <v>189326.92857142858</v>
      </c>
      <c r="AC9" s="97">
        <f t="shared" ref="AC9" si="14">AB9-AB8</f>
        <v>1841.9285714285797</v>
      </c>
      <c r="AD9" s="194">
        <f>(AD22-AD8)/14+AD8</f>
        <v>833857.78571428568</v>
      </c>
      <c r="AE9" s="97">
        <f t="shared" ref="AE9" si="15">AD9-AD8</f>
        <v>3316.785714285681</v>
      </c>
      <c r="AF9" s="194">
        <f>(AF22-AF8)/14+AF8</f>
        <v>71906.928571428565</v>
      </c>
      <c r="AG9" s="97">
        <f t="shared" ref="AG9" si="16">AF9-AF8</f>
        <v>1759.9285714285652</v>
      </c>
      <c r="AH9" s="194">
        <f>(AH22-AH8)/14+AH8</f>
        <v>428202.78571428574</v>
      </c>
      <c r="AI9" s="97">
        <f t="shared" ref="AI9" si="17">AH9-AH8</f>
        <v>8879.7857142857392</v>
      </c>
      <c r="AK9" s="97">
        <f t="shared" ref="AK9:AK24" si="18">SUM(D9,F9,I9,K9,M9,P9,S9,V9,Y9)</f>
        <v>225852.03571428545</v>
      </c>
      <c r="AL9" s="98">
        <f t="shared" ref="AL9:AL24" si="19">SUM(P9,S9,V9,Y9,AA9,AC9,AE9,AG9,AI9)</f>
        <v>25187.96428571413</v>
      </c>
    </row>
    <row r="10" spans="1:38" ht="39.950000000000003" customHeight="1">
      <c r="A10" s="145">
        <v>43954</v>
      </c>
      <c r="B10" s="16"/>
      <c r="C10" s="194">
        <f>(C22-C8)/14+C9</f>
        <v>68383.428571428565</v>
      </c>
      <c r="D10" s="97">
        <f t="shared" si="2"/>
        <v>32047.142857142826</v>
      </c>
      <c r="E10" s="194">
        <f>(E22-E8)/14+E9</f>
        <v>578864</v>
      </c>
      <c r="F10" s="97">
        <f t="shared" si="2"/>
        <v>50780</v>
      </c>
      <c r="G10" s="194">
        <f>(G22-G8)/14+G9</f>
        <v>623591.57142857136</v>
      </c>
      <c r="H10" s="97">
        <f t="shared" ref="H10" si="20">(G10-G9)*10</f>
        <v>9637.8571428568102</v>
      </c>
      <c r="I10" s="97">
        <f t="shared" si="4"/>
        <v>4818.9285714284051</v>
      </c>
      <c r="J10" s="194">
        <f>(J22-J8)/14+J9</f>
        <v>178537.85714285716</v>
      </c>
      <c r="K10" s="97">
        <f t="shared" ref="K10" si="21">(J10-J9)*10</f>
        <v>51449.285714285797</v>
      </c>
      <c r="L10" s="194">
        <f>(L22-L8)/14+L9</f>
        <v>400103</v>
      </c>
      <c r="M10" s="97">
        <f t="shared" ref="M10" si="22">(L10-L9)*10</f>
        <v>78150</v>
      </c>
      <c r="N10" s="194">
        <f>(N22-N8)/14+N9</f>
        <v>561700.57142857136</v>
      </c>
      <c r="O10" s="97">
        <f t="shared" si="0"/>
        <v>13047.85714285681</v>
      </c>
      <c r="P10" s="97">
        <f t="shared" si="7"/>
        <v>6523.9285714284051</v>
      </c>
      <c r="Q10" s="194">
        <f>(Q22-Q8)/14+Q9</f>
        <v>38401</v>
      </c>
      <c r="R10" s="97">
        <f t="shared" si="1"/>
        <v>3845</v>
      </c>
      <c r="S10" s="97">
        <f t="shared" si="8"/>
        <v>1922.5</v>
      </c>
      <c r="T10" s="194">
        <f>(T22-T8)/14+T9</f>
        <v>723.85714285714289</v>
      </c>
      <c r="U10" s="97">
        <f t="shared" ref="U10" si="23">(T10-T9)*10</f>
        <v>19.285714285714448</v>
      </c>
      <c r="V10" s="97">
        <f t="shared" si="10"/>
        <v>9.6428571428572241</v>
      </c>
      <c r="W10" s="194">
        <f>(W22-W8)/14+W9</f>
        <v>28438.428571428572</v>
      </c>
      <c r="X10" s="97">
        <f t="shared" ref="X10" si="24">W10-W9</f>
        <v>301.21428571428623</v>
      </c>
      <c r="Y10" s="97">
        <f t="shared" si="12"/>
        <v>150.60714285714312</v>
      </c>
      <c r="Z10" s="194">
        <f>(Z22-Z8)/14+Z9</f>
        <v>814847.71428571432</v>
      </c>
      <c r="AA10" s="97">
        <f t="shared" ref="AA10" si="25">Z10-Z9</f>
        <v>782.85714285715949</v>
      </c>
      <c r="AB10" s="194">
        <f>(AB22-AB8)/14+AB9</f>
        <v>191168.85714285716</v>
      </c>
      <c r="AC10" s="97">
        <f t="shared" ref="AC10" si="26">AB10-AB9</f>
        <v>1841.9285714285797</v>
      </c>
      <c r="AD10" s="194">
        <f>(AD22-AD8)/14+AD9</f>
        <v>837174.57142857136</v>
      </c>
      <c r="AE10" s="97">
        <f t="shared" ref="AE10" si="27">AD10-AD9</f>
        <v>3316.785714285681</v>
      </c>
      <c r="AF10" s="194">
        <f>(AF22-AF8)/14+AF9</f>
        <v>73666.85714285713</v>
      </c>
      <c r="AG10" s="97">
        <f t="shared" ref="AG10" si="28">AF10-AF9</f>
        <v>1759.9285714285652</v>
      </c>
      <c r="AH10" s="194">
        <f>(AH22-AH8)/14+AH9</f>
        <v>437082.57142857148</v>
      </c>
      <c r="AI10" s="97">
        <f t="shared" ref="AI10" si="29">AH10-AH9</f>
        <v>8879.7857142857392</v>
      </c>
      <c r="AK10" s="97">
        <f t="shared" si="18"/>
        <v>225852.03571428545</v>
      </c>
      <c r="AL10" s="98">
        <f t="shared" si="19"/>
        <v>25187.96428571413</v>
      </c>
    </row>
    <row r="11" spans="1:38" ht="39.950000000000003" customHeight="1">
      <c r="A11" s="145">
        <v>43955</v>
      </c>
      <c r="B11" s="16"/>
      <c r="C11" s="194">
        <f>(C22-C8)/14+C10</f>
        <v>71588.142857142855</v>
      </c>
      <c r="D11" s="97">
        <f t="shared" si="2"/>
        <v>32047.142857142899</v>
      </c>
      <c r="E11" s="194">
        <f>(E22-E8)/14+E10</f>
        <v>583942</v>
      </c>
      <c r="F11" s="97">
        <f t="shared" si="2"/>
        <v>50780</v>
      </c>
      <c r="G11" s="194">
        <f>(G22-G8)/14+G10</f>
        <v>624555.35714285704</v>
      </c>
      <c r="H11" s="97">
        <f>(G11-G10)*10</f>
        <v>9637.8571428568102</v>
      </c>
      <c r="I11" s="97">
        <f t="shared" si="4"/>
        <v>4818.9285714284051</v>
      </c>
      <c r="J11" s="194">
        <f>(J22-J8)/14+J10</f>
        <v>183682.78571428574</v>
      </c>
      <c r="K11" s="97">
        <f t="shared" ref="K11" si="30">(J11-J10)*10</f>
        <v>51449.285714285797</v>
      </c>
      <c r="L11" s="194">
        <f>(L22-L8)/14+L10</f>
        <v>407918</v>
      </c>
      <c r="M11" s="97">
        <f t="shared" ref="M11" si="31">(L11-L10)*10</f>
        <v>78150</v>
      </c>
      <c r="N11" s="194">
        <f>(N22-N8)/14+N10</f>
        <v>563005.35714285704</v>
      </c>
      <c r="O11" s="97">
        <f t="shared" si="0"/>
        <v>13047.85714285681</v>
      </c>
      <c r="P11" s="97">
        <f t="shared" si="7"/>
        <v>6523.9285714284051</v>
      </c>
      <c r="Q11" s="194">
        <f>(Q22-Q8)/14+Q10</f>
        <v>38785.5</v>
      </c>
      <c r="R11" s="97">
        <f t="shared" si="1"/>
        <v>3845</v>
      </c>
      <c r="S11" s="97">
        <f t="shared" si="8"/>
        <v>1922.5</v>
      </c>
      <c r="T11" s="194">
        <f>(T22-T8)/14+T10</f>
        <v>725.78571428571433</v>
      </c>
      <c r="U11" s="97">
        <f t="shared" ref="U11" si="32">(T11-T10)*10</f>
        <v>19.285714285714448</v>
      </c>
      <c r="V11" s="97">
        <f t="shared" si="10"/>
        <v>9.6428571428572241</v>
      </c>
      <c r="W11" s="194">
        <f>(W22-W8)/14+W10</f>
        <v>28739.642857142859</v>
      </c>
      <c r="X11" s="97">
        <f t="shared" ref="X11" si="33">W11-W10</f>
        <v>301.21428571428623</v>
      </c>
      <c r="Y11" s="97">
        <f t="shared" si="12"/>
        <v>150.60714285714312</v>
      </c>
      <c r="Z11" s="194">
        <f>(Z22-Z8)/14+Z10</f>
        <v>815630.57142857148</v>
      </c>
      <c r="AA11" s="97">
        <f t="shared" ref="AA11" si="34">Z11-Z10</f>
        <v>782.85714285715949</v>
      </c>
      <c r="AB11" s="194">
        <f>(AB22-AB8)/14+AB10</f>
        <v>193010.78571428574</v>
      </c>
      <c r="AC11" s="97">
        <f t="shared" ref="AC11" si="35">AB11-AB10</f>
        <v>1841.9285714285797</v>
      </c>
      <c r="AD11" s="194">
        <f>(AD22-AD8)/14+AD10</f>
        <v>840491.35714285704</v>
      </c>
      <c r="AE11" s="97">
        <f t="shared" ref="AE11" si="36">AD11-AD10</f>
        <v>3316.785714285681</v>
      </c>
      <c r="AF11" s="194">
        <f>(AF22-AF8)/14+AF10</f>
        <v>75426.785714285696</v>
      </c>
      <c r="AG11" s="97">
        <f t="shared" ref="AG11" si="37">AF11-AF10</f>
        <v>1759.9285714285652</v>
      </c>
      <c r="AH11" s="194">
        <f>(AH22-AH8)/14+AH10</f>
        <v>445962.35714285722</v>
      </c>
      <c r="AI11" s="97">
        <f t="shared" ref="AI11" si="38">AH11-AH10</f>
        <v>8879.7857142857392</v>
      </c>
      <c r="AK11" s="97">
        <f t="shared" si="18"/>
        <v>225852.03571428551</v>
      </c>
      <c r="AL11" s="98">
        <f t="shared" si="19"/>
        <v>25187.96428571413</v>
      </c>
    </row>
    <row r="12" spans="1:38" ht="39.950000000000003" customHeight="1">
      <c r="A12" s="145">
        <v>43956</v>
      </c>
      <c r="B12" s="16"/>
      <c r="C12" s="194">
        <f>(C22-C8)/14+C11</f>
        <v>74792.857142857145</v>
      </c>
      <c r="D12" s="97">
        <f t="shared" si="2"/>
        <v>32047.142857142899</v>
      </c>
      <c r="E12" s="194">
        <f>(E22-E8)/14+E11</f>
        <v>589020</v>
      </c>
      <c r="F12" s="97">
        <f t="shared" si="2"/>
        <v>50780</v>
      </c>
      <c r="G12" s="194">
        <f>(G22-G8)/14+G11</f>
        <v>625519.14285714272</v>
      </c>
      <c r="H12" s="97">
        <f t="shared" ref="H12" si="39">(G12-G11)*10</f>
        <v>9637.8571428568102</v>
      </c>
      <c r="I12" s="97">
        <f t="shared" si="4"/>
        <v>4818.9285714284051</v>
      </c>
      <c r="J12" s="194">
        <f>(J22-J8)/14+J11</f>
        <v>188827.71428571432</v>
      </c>
      <c r="K12" s="97">
        <f t="shared" ref="K12" si="40">(J12-J11)*10</f>
        <v>51449.285714285797</v>
      </c>
      <c r="L12" s="194">
        <f>(L22-L8)/14+L11</f>
        <v>415733</v>
      </c>
      <c r="M12" s="97">
        <f t="shared" ref="M12" si="41">(L12-L11)*10</f>
        <v>78150</v>
      </c>
      <c r="N12" s="194">
        <f>(N22-N8)/14+N11</f>
        <v>564310.14285714272</v>
      </c>
      <c r="O12" s="97">
        <f t="shared" si="0"/>
        <v>13047.85714285681</v>
      </c>
      <c r="P12" s="97">
        <f t="shared" si="7"/>
        <v>6523.9285714284051</v>
      </c>
      <c r="Q12" s="194">
        <f>(Q22-Q8)/14+Q11</f>
        <v>39170</v>
      </c>
      <c r="R12" s="97">
        <f t="shared" si="1"/>
        <v>3845</v>
      </c>
      <c r="S12" s="97">
        <f t="shared" si="8"/>
        <v>1922.5</v>
      </c>
      <c r="T12" s="194">
        <f>(T22-T8)/14+T11</f>
        <v>727.71428571428578</v>
      </c>
      <c r="U12" s="97">
        <f t="shared" ref="U12" si="42">(T12-T11)*10</f>
        <v>19.285714285714448</v>
      </c>
      <c r="V12" s="97">
        <f t="shared" si="10"/>
        <v>9.6428571428572241</v>
      </c>
      <c r="W12" s="194">
        <f>(W22-W8)/14+W11</f>
        <v>29040.857142857145</v>
      </c>
      <c r="X12" s="97">
        <f t="shared" ref="X12" si="43">W12-W11</f>
        <v>301.21428571428623</v>
      </c>
      <c r="Y12" s="97">
        <f t="shared" si="12"/>
        <v>150.60714285714312</v>
      </c>
      <c r="Z12" s="194">
        <f>(Z22-Z8)/14+Z11</f>
        <v>816413.42857142864</v>
      </c>
      <c r="AA12" s="97">
        <f t="shared" ref="AA12" si="44">Z12-Z11</f>
        <v>782.85714285715949</v>
      </c>
      <c r="AB12" s="194">
        <f>(AB22-AB8)/14+AB11</f>
        <v>194852.71428571432</v>
      </c>
      <c r="AC12" s="97">
        <f t="shared" ref="AC12" si="45">AB12-AB11</f>
        <v>1841.9285714285797</v>
      </c>
      <c r="AD12" s="194">
        <f>(AD22-AD8)/14+AD11</f>
        <v>843808.14285714272</v>
      </c>
      <c r="AE12" s="97">
        <f t="shared" ref="AE12" si="46">AD12-AD11</f>
        <v>3316.785714285681</v>
      </c>
      <c r="AF12" s="194">
        <f>(AF22-AF8)/14+AF11</f>
        <v>77186.714285714261</v>
      </c>
      <c r="AG12" s="97">
        <f t="shared" ref="AG12" si="47">AF12-AF11</f>
        <v>1759.9285714285652</v>
      </c>
      <c r="AH12" s="194">
        <f>(AH22-AH8)/14+AH11</f>
        <v>454842.14285714296</v>
      </c>
      <c r="AI12" s="97">
        <f t="shared" ref="AI12" si="48">AH12-AH11</f>
        <v>8879.7857142857392</v>
      </c>
      <c r="AK12" s="97">
        <f t="shared" si="18"/>
        <v>225852.03571428551</v>
      </c>
      <c r="AL12" s="98">
        <f t="shared" si="19"/>
        <v>25187.96428571413</v>
      </c>
    </row>
    <row r="13" spans="1:38" ht="39.950000000000003" customHeight="1">
      <c r="A13" s="145">
        <v>43957</v>
      </c>
      <c r="B13" s="16"/>
      <c r="C13" s="194">
        <f>(C22-C8)/14+C12</f>
        <v>77997.571428571435</v>
      </c>
      <c r="D13" s="97">
        <f t="shared" si="2"/>
        <v>32047.142857142899</v>
      </c>
      <c r="E13" s="194">
        <f>(E22-E8)/14+E12</f>
        <v>594098</v>
      </c>
      <c r="F13" s="97">
        <f t="shared" si="2"/>
        <v>50780</v>
      </c>
      <c r="G13" s="194">
        <f>(G22-G8)/14+G12</f>
        <v>626482.92857142841</v>
      </c>
      <c r="H13" s="97">
        <f t="shared" ref="H13" si="49">(G13-G12)*10</f>
        <v>9637.8571428568102</v>
      </c>
      <c r="I13" s="97">
        <f t="shared" si="4"/>
        <v>4818.9285714284051</v>
      </c>
      <c r="J13" s="194">
        <f>(J22-J8)/14+J12</f>
        <v>193972.6428571429</v>
      </c>
      <c r="K13" s="97">
        <f t="shared" ref="K13" si="50">(J13-J12)*10</f>
        <v>51449.285714285797</v>
      </c>
      <c r="L13" s="194">
        <f>(L22-L8)/14+L12</f>
        <v>423548</v>
      </c>
      <c r="M13" s="97">
        <f t="shared" ref="M13" si="51">(L13-L12)*10</f>
        <v>78150</v>
      </c>
      <c r="N13" s="194">
        <f>(N22-N8)/14+N12</f>
        <v>565614.92857142841</v>
      </c>
      <c r="O13" s="97">
        <f t="shared" si="0"/>
        <v>13047.85714285681</v>
      </c>
      <c r="P13" s="97">
        <f t="shared" si="7"/>
        <v>6523.9285714284051</v>
      </c>
      <c r="Q13" s="194">
        <f>(Q22-Q8)/14+Q12</f>
        <v>39554.5</v>
      </c>
      <c r="R13" s="97">
        <f t="shared" si="1"/>
        <v>3845</v>
      </c>
      <c r="S13" s="97">
        <f t="shared" si="8"/>
        <v>1922.5</v>
      </c>
      <c r="T13" s="194">
        <f>(T22-T8)/14+T12</f>
        <v>729.64285714285722</v>
      </c>
      <c r="U13" s="97">
        <f t="shared" ref="U13" si="52">(T13-T12)*10</f>
        <v>19.285714285714448</v>
      </c>
      <c r="V13" s="97">
        <f t="shared" si="10"/>
        <v>9.6428571428572241</v>
      </c>
      <c r="W13" s="194">
        <f>(W22-W8)/14+W12</f>
        <v>29342.071428571431</v>
      </c>
      <c r="X13" s="97">
        <f t="shared" ref="X13" si="53">W13-W12</f>
        <v>301.21428571428623</v>
      </c>
      <c r="Y13" s="97">
        <f t="shared" si="12"/>
        <v>150.60714285714312</v>
      </c>
      <c r="Z13" s="194">
        <f>(Z22-Z8)/14+Z12</f>
        <v>817196.2857142858</v>
      </c>
      <c r="AA13" s="97">
        <f t="shared" ref="AA13" si="54">Z13-Z12</f>
        <v>782.85714285715949</v>
      </c>
      <c r="AB13" s="194">
        <f>(AB22-AB8)/14+AB12</f>
        <v>196694.6428571429</v>
      </c>
      <c r="AC13" s="97">
        <f t="shared" ref="AC13" si="55">AB13-AB12</f>
        <v>1841.9285714285797</v>
      </c>
      <c r="AD13" s="194">
        <f>(AD22-AD8)/14+AD12</f>
        <v>847124.92857142841</v>
      </c>
      <c r="AE13" s="97">
        <f t="shared" ref="AE13" si="56">AD13-AD12</f>
        <v>3316.785714285681</v>
      </c>
      <c r="AF13" s="194">
        <f>(AF22-AF8)/14+AF12</f>
        <v>78946.642857142826</v>
      </c>
      <c r="AG13" s="97">
        <f t="shared" ref="AG13" si="57">AF13-AF12</f>
        <v>1759.9285714285652</v>
      </c>
      <c r="AH13" s="194">
        <f>(AH22-AH8)/14+AH12</f>
        <v>463721.9285714287</v>
      </c>
      <c r="AI13" s="97">
        <f t="shared" ref="AI13" si="58">AH13-AH12</f>
        <v>8879.7857142857392</v>
      </c>
      <c r="AK13" s="97">
        <f t="shared" si="18"/>
        <v>225852.03571428551</v>
      </c>
      <c r="AL13" s="98">
        <f t="shared" si="19"/>
        <v>25187.96428571413</v>
      </c>
    </row>
    <row r="14" spans="1:38" ht="39.950000000000003" customHeight="1">
      <c r="A14" s="145">
        <v>43958</v>
      </c>
      <c r="B14" s="16"/>
      <c r="C14" s="194">
        <f>(C22-C8)/14+C13</f>
        <v>81202.285714285725</v>
      </c>
      <c r="D14" s="97">
        <f t="shared" si="2"/>
        <v>32047.142857142899</v>
      </c>
      <c r="E14" s="194">
        <f>(E22-E8)/14+E13</f>
        <v>599176</v>
      </c>
      <c r="F14" s="97">
        <f t="shared" si="2"/>
        <v>50780</v>
      </c>
      <c r="G14" s="194">
        <f>(G22-G8)/14+G13</f>
        <v>627446.71428571409</v>
      </c>
      <c r="H14" s="97">
        <f t="shared" ref="H14" si="59">(G14-G13)*10</f>
        <v>9637.8571428568102</v>
      </c>
      <c r="I14" s="97">
        <f t="shared" si="4"/>
        <v>4818.9285714284051</v>
      </c>
      <c r="J14" s="194">
        <f>(J22-J8)/14+J13</f>
        <v>199117.57142857148</v>
      </c>
      <c r="K14" s="97">
        <f t="shared" ref="K14" si="60">(J14-J13)*10</f>
        <v>51449.285714285797</v>
      </c>
      <c r="L14" s="194">
        <f>(L22-L8)/14+L13</f>
        <v>431363</v>
      </c>
      <c r="M14" s="97">
        <f t="shared" ref="M14" si="61">(L14-L13)*10</f>
        <v>78150</v>
      </c>
      <c r="N14" s="194">
        <f>(N22-N8)/14+N13</f>
        <v>566919.71428571409</v>
      </c>
      <c r="O14" s="97">
        <f t="shared" si="0"/>
        <v>13047.85714285681</v>
      </c>
      <c r="P14" s="97">
        <f t="shared" si="7"/>
        <v>6523.9285714284051</v>
      </c>
      <c r="Q14" s="194">
        <f>(Q22-Q8)/14+Q13</f>
        <v>39939</v>
      </c>
      <c r="R14" s="97">
        <f t="shared" si="1"/>
        <v>3845</v>
      </c>
      <c r="S14" s="97">
        <f t="shared" si="8"/>
        <v>1922.5</v>
      </c>
      <c r="T14" s="194">
        <f>(T22-T8)/14+T13</f>
        <v>731.57142857142867</v>
      </c>
      <c r="U14" s="97">
        <f t="shared" ref="U14" si="62">(T14-T13)*10</f>
        <v>19.285714285714448</v>
      </c>
      <c r="V14" s="97">
        <f t="shared" si="10"/>
        <v>9.6428571428572241</v>
      </c>
      <c r="W14" s="194">
        <f>(W22-W8)/14+W13</f>
        <v>29643.285714285717</v>
      </c>
      <c r="X14" s="97">
        <f t="shared" ref="X14" si="63">W14-W13</f>
        <v>301.21428571428623</v>
      </c>
      <c r="Y14" s="97">
        <f t="shared" si="12"/>
        <v>150.60714285714312</v>
      </c>
      <c r="Z14" s="194">
        <f>(Z22-Z8)/14+Z13</f>
        <v>817979.14285714296</v>
      </c>
      <c r="AA14" s="97">
        <f t="shared" ref="AA14" si="64">Z14-Z13</f>
        <v>782.85714285715949</v>
      </c>
      <c r="AB14" s="194">
        <f>(AB22-AB8)/14+AB13</f>
        <v>198536.57142857148</v>
      </c>
      <c r="AC14" s="97">
        <f t="shared" ref="AC14" si="65">AB14-AB13</f>
        <v>1841.9285714285797</v>
      </c>
      <c r="AD14" s="194">
        <f>(AD22-AD8)/14+AD13</f>
        <v>850441.71428571409</v>
      </c>
      <c r="AE14" s="97">
        <f t="shared" ref="AE14" si="66">AD14-AD13</f>
        <v>3316.785714285681</v>
      </c>
      <c r="AF14" s="194">
        <f>(AF22-AF8)/14+AF13</f>
        <v>80706.571428571391</v>
      </c>
      <c r="AG14" s="97">
        <f t="shared" ref="AG14" si="67">AF14-AF13</f>
        <v>1759.9285714285652</v>
      </c>
      <c r="AH14" s="194">
        <f>(AH22-AH8)/14+AH13</f>
        <v>472601.71428571444</v>
      </c>
      <c r="AI14" s="97">
        <f t="shared" ref="AI14" si="68">AH14-AH13</f>
        <v>8879.7857142857392</v>
      </c>
      <c r="AK14" s="97">
        <f t="shared" si="18"/>
        <v>225852.03571428551</v>
      </c>
      <c r="AL14" s="98">
        <f t="shared" si="19"/>
        <v>25187.96428571413</v>
      </c>
    </row>
    <row r="15" spans="1:38" ht="39.950000000000003" customHeight="1">
      <c r="A15" s="145">
        <v>43959</v>
      </c>
      <c r="B15" s="16"/>
      <c r="C15" s="194">
        <f>(C22-C8)/14+C14</f>
        <v>84407.000000000015</v>
      </c>
      <c r="D15" s="97">
        <f t="shared" si="2"/>
        <v>32047.142857142899</v>
      </c>
      <c r="E15" s="194">
        <f>(E22-E8)/14+E14</f>
        <v>604254</v>
      </c>
      <c r="F15" s="97">
        <f t="shared" si="2"/>
        <v>50780</v>
      </c>
      <c r="G15" s="194">
        <f>(G22-G8)/14+G14</f>
        <v>628410.49999999977</v>
      </c>
      <c r="H15" s="97">
        <f t="shared" ref="H15" si="69">(G15-G14)*10</f>
        <v>9637.8571428568102</v>
      </c>
      <c r="I15" s="97">
        <f t="shared" si="4"/>
        <v>4818.9285714284051</v>
      </c>
      <c r="J15" s="194">
        <f>(J22-J8)/14+J14</f>
        <v>204262.50000000006</v>
      </c>
      <c r="K15" s="97">
        <f t="shared" ref="K15" si="70">(J15-J14)*10</f>
        <v>51449.285714285797</v>
      </c>
      <c r="L15" s="194">
        <f>(L22-L8)/14+L14</f>
        <v>439178</v>
      </c>
      <c r="M15" s="97">
        <f t="shared" ref="M15" si="71">(L15-L14)*10</f>
        <v>78150</v>
      </c>
      <c r="N15" s="194">
        <f>(N22-N8)/14+N14</f>
        <v>568224.49999999977</v>
      </c>
      <c r="O15" s="97">
        <f t="shared" si="0"/>
        <v>13047.85714285681</v>
      </c>
      <c r="P15" s="97">
        <f t="shared" si="7"/>
        <v>6523.9285714284051</v>
      </c>
      <c r="Q15" s="194">
        <f>(Q22-Q8)/14+Q14</f>
        <v>40323.5</v>
      </c>
      <c r="R15" s="97">
        <f t="shared" si="1"/>
        <v>3845</v>
      </c>
      <c r="S15" s="97">
        <f t="shared" si="8"/>
        <v>1922.5</v>
      </c>
      <c r="T15" s="194">
        <f>(T22-T8)/14+T14</f>
        <v>733.50000000000011</v>
      </c>
      <c r="U15" s="97">
        <f t="shared" ref="U15" si="72">(T15-T14)*10</f>
        <v>19.285714285714448</v>
      </c>
      <c r="V15" s="97">
        <f t="shared" si="10"/>
        <v>9.6428571428572241</v>
      </c>
      <c r="W15" s="194">
        <f>(W22-W8)/14+W14</f>
        <v>29944.500000000004</v>
      </c>
      <c r="X15" s="97">
        <f t="shared" ref="X15" si="73">W15-W14</f>
        <v>301.21428571428623</v>
      </c>
      <c r="Y15" s="97">
        <f t="shared" si="12"/>
        <v>150.60714285714312</v>
      </c>
      <c r="Z15" s="194">
        <f>(Z22-Z8)/14+Z14</f>
        <v>818762.00000000012</v>
      </c>
      <c r="AA15" s="97">
        <f t="shared" ref="AA15" si="74">Z15-Z14</f>
        <v>782.85714285715949</v>
      </c>
      <c r="AB15" s="194">
        <f>(AB22-AB8)/14+AB14</f>
        <v>200378.50000000006</v>
      </c>
      <c r="AC15" s="97">
        <f t="shared" ref="AC15" si="75">AB15-AB14</f>
        <v>1841.9285714285797</v>
      </c>
      <c r="AD15" s="194">
        <f>(AD22-AD8)/14+AD14</f>
        <v>853758.49999999977</v>
      </c>
      <c r="AE15" s="97">
        <f t="shared" ref="AE15" si="76">AD15-AD14</f>
        <v>3316.785714285681</v>
      </c>
      <c r="AF15" s="194">
        <f>(AF22-AF8)/14+AF14</f>
        <v>82466.499999999956</v>
      </c>
      <c r="AG15" s="97">
        <f t="shared" ref="AG15" si="77">AF15-AF14</f>
        <v>1759.9285714285652</v>
      </c>
      <c r="AH15" s="194">
        <f>(AH22-AH8)/14+AH14</f>
        <v>481481.50000000017</v>
      </c>
      <c r="AI15" s="97">
        <f t="shared" ref="AI15" si="78">AH15-AH14</f>
        <v>8879.7857142857392</v>
      </c>
      <c r="AK15" s="97">
        <f t="shared" si="18"/>
        <v>225852.03571428551</v>
      </c>
      <c r="AL15" s="98">
        <f t="shared" si="19"/>
        <v>25187.96428571413</v>
      </c>
    </row>
    <row r="16" spans="1:38" ht="39.950000000000003" customHeight="1">
      <c r="A16" s="145">
        <v>43960</v>
      </c>
      <c r="B16" s="16"/>
      <c r="C16" s="194">
        <f>(C22-C8)/14+C15</f>
        <v>87611.714285714304</v>
      </c>
      <c r="D16" s="97">
        <f t="shared" si="2"/>
        <v>32047.142857142899</v>
      </c>
      <c r="E16" s="194">
        <f>(E22-E8)/14+E15</f>
        <v>609332</v>
      </c>
      <c r="F16" s="97">
        <f t="shared" si="2"/>
        <v>50780</v>
      </c>
      <c r="G16" s="194">
        <f>(G22-G8)/14+G15</f>
        <v>629374.28571428545</v>
      </c>
      <c r="H16" s="97">
        <f t="shared" ref="H16" si="79">(G16-G15)*10</f>
        <v>9637.8571428568102</v>
      </c>
      <c r="I16" s="97">
        <f t="shared" si="4"/>
        <v>4818.9285714284051</v>
      </c>
      <c r="J16" s="194">
        <f>(J22-J8)/14+J15</f>
        <v>209407.42857142864</v>
      </c>
      <c r="K16" s="97">
        <f t="shared" ref="K16" si="80">(J16-J15)*10</f>
        <v>51449.285714285797</v>
      </c>
      <c r="L16" s="194">
        <f>(L22-L8)/14+L15</f>
        <v>446993</v>
      </c>
      <c r="M16" s="97">
        <f t="shared" ref="M16" si="81">(L16-L15)*10</f>
        <v>78150</v>
      </c>
      <c r="N16" s="194">
        <f>(N22-N8)/14+N15</f>
        <v>569529.28571428545</v>
      </c>
      <c r="O16" s="97">
        <f t="shared" si="0"/>
        <v>13047.85714285681</v>
      </c>
      <c r="P16" s="97">
        <f t="shared" si="7"/>
        <v>6523.9285714284051</v>
      </c>
      <c r="Q16" s="194">
        <f>(Q22-Q8)/14+Q15</f>
        <v>40708</v>
      </c>
      <c r="R16" s="97">
        <f t="shared" si="1"/>
        <v>3845</v>
      </c>
      <c r="S16" s="97">
        <f t="shared" si="8"/>
        <v>1922.5</v>
      </c>
      <c r="T16" s="194">
        <f>(T22-T8)/14+T15</f>
        <v>735.42857142857156</v>
      </c>
      <c r="U16" s="97">
        <f t="shared" ref="U16" si="82">(T16-T15)*10</f>
        <v>19.285714285714448</v>
      </c>
      <c r="V16" s="97">
        <f t="shared" si="10"/>
        <v>9.6428571428572241</v>
      </c>
      <c r="W16" s="194">
        <f>(W22-W8)/14+W15</f>
        <v>30245.71428571429</v>
      </c>
      <c r="X16" s="97">
        <f t="shared" ref="X16" si="83">W16-W15</f>
        <v>301.21428571428623</v>
      </c>
      <c r="Y16" s="97">
        <f t="shared" si="12"/>
        <v>150.60714285714312</v>
      </c>
      <c r="Z16" s="194">
        <f>(Z22-Z8)/14+Z15</f>
        <v>819544.85714285728</v>
      </c>
      <c r="AA16" s="97">
        <f t="shared" ref="AA16" si="84">Z16-Z15</f>
        <v>782.85714285715949</v>
      </c>
      <c r="AB16" s="194">
        <f>(AB22-AB8)/14+AB15</f>
        <v>202220.42857142864</v>
      </c>
      <c r="AC16" s="97">
        <f t="shared" ref="AC16" si="85">AB16-AB15</f>
        <v>1841.9285714285797</v>
      </c>
      <c r="AD16" s="194">
        <f>(AD22-AD8)/14+AD15</f>
        <v>857075.28571428545</v>
      </c>
      <c r="AE16" s="97">
        <f t="shared" ref="AE16" si="86">AD16-AD15</f>
        <v>3316.785714285681</v>
      </c>
      <c r="AF16" s="194">
        <f>(AF22-AF8)/14+AF15</f>
        <v>84226.428571428522</v>
      </c>
      <c r="AG16" s="97">
        <f t="shared" ref="AG16" si="87">AF16-AF15</f>
        <v>1759.9285714285652</v>
      </c>
      <c r="AH16" s="194">
        <f>(AH22-AH8)/14+AH15</f>
        <v>490361.28571428591</v>
      </c>
      <c r="AI16" s="97">
        <f t="shared" ref="AI16" si="88">AH16-AH15</f>
        <v>8879.7857142857392</v>
      </c>
      <c r="AK16" s="97">
        <f t="shared" si="18"/>
        <v>225852.03571428551</v>
      </c>
      <c r="AL16" s="98">
        <f t="shared" si="19"/>
        <v>25187.96428571413</v>
      </c>
    </row>
    <row r="17" spans="1:38" ht="39.950000000000003" customHeight="1">
      <c r="A17" s="145">
        <v>43961</v>
      </c>
      <c r="B17" s="16"/>
      <c r="C17" s="194">
        <f>(C22-C8)/14+C16</f>
        <v>90816.428571428594</v>
      </c>
      <c r="D17" s="97">
        <f t="shared" si="2"/>
        <v>32047.142857142899</v>
      </c>
      <c r="E17" s="194">
        <f>(E22-E8)/14+E16</f>
        <v>614410</v>
      </c>
      <c r="F17" s="97">
        <f t="shared" si="2"/>
        <v>50780</v>
      </c>
      <c r="G17" s="194">
        <f>(G22-G8)/14+G16</f>
        <v>630338.07142857113</v>
      </c>
      <c r="H17" s="97">
        <f t="shared" ref="H17" si="89">(G17-G16)*10</f>
        <v>9637.8571428568102</v>
      </c>
      <c r="I17" s="97">
        <f t="shared" si="4"/>
        <v>4818.9285714284051</v>
      </c>
      <c r="J17" s="194">
        <f>(J22-J8)/14+J16</f>
        <v>214552.35714285722</v>
      </c>
      <c r="K17" s="97">
        <f t="shared" ref="K17" si="90">(J17-J16)*10</f>
        <v>51449.285714285797</v>
      </c>
      <c r="L17" s="194">
        <f>(L22-L8)/14+L16</f>
        <v>454808</v>
      </c>
      <c r="M17" s="97">
        <f t="shared" ref="M17" si="91">(L17-L16)*10</f>
        <v>78150</v>
      </c>
      <c r="N17" s="194">
        <f>(N22-N8)/14+N16</f>
        <v>570834.07142857113</v>
      </c>
      <c r="O17" s="97">
        <f t="shared" si="0"/>
        <v>13047.85714285681</v>
      </c>
      <c r="P17" s="97">
        <f t="shared" si="7"/>
        <v>6523.9285714284051</v>
      </c>
      <c r="Q17" s="194">
        <f>(Q22-Q8)/14+Q16</f>
        <v>41092.5</v>
      </c>
      <c r="R17" s="97">
        <f t="shared" si="1"/>
        <v>3845</v>
      </c>
      <c r="S17" s="97">
        <f t="shared" si="8"/>
        <v>1922.5</v>
      </c>
      <c r="T17" s="194">
        <f>(T22-T8)/14+T16</f>
        <v>737.357142857143</v>
      </c>
      <c r="U17" s="97">
        <f t="shared" ref="U17" si="92">(T17-T16)*10</f>
        <v>19.285714285714448</v>
      </c>
      <c r="V17" s="97">
        <f t="shared" si="10"/>
        <v>9.6428571428572241</v>
      </c>
      <c r="W17" s="194">
        <f>(W22-W8)/14+W16</f>
        <v>30546.928571428576</v>
      </c>
      <c r="X17" s="97">
        <f t="shared" ref="X17" si="93">W17-W16</f>
        <v>301.21428571428623</v>
      </c>
      <c r="Y17" s="97">
        <f t="shared" si="12"/>
        <v>150.60714285714312</v>
      </c>
      <c r="Z17" s="194">
        <f>(Z22-Z8)/14+Z16</f>
        <v>820327.71428571444</v>
      </c>
      <c r="AA17" s="97">
        <f t="shared" ref="AA17" si="94">Z17-Z16</f>
        <v>782.85714285715949</v>
      </c>
      <c r="AB17" s="194">
        <f>(AB22-AB8)/14+AB16</f>
        <v>204062.35714285722</v>
      </c>
      <c r="AC17" s="97">
        <f t="shared" ref="AC17" si="95">AB17-AB16</f>
        <v>1841.9285714285797</v>
      </c>
      <c r="AD17" s="194">
        <f>(AD22-AD8)/14+AD16</f>
        <v>860392.07142857113</v>
      </c>
      <c r="AE17" s="97">
        <f t="shared" ref="AE17" si="96">AD17-AD16</f>
        <v>3316.785714285681</v>
      </c>
      <c r="AF17" s="194">
        <f>(AF22-AF8)/14+AF16</f>
        <v>85986.357142857087</v>
      </c>
      <c r="AG17" s="97">
        <f t="shared" ref="AG17" si="97">AF17-AF16</f>
        <v>1759.9285714285652</v>
      </c>
      <c r="AH17" s="194">
        <f>(AH22-AH8)/14+AH16</f>
        <v>499241.07142857165</v>
      </c>
      <c r="AI17" s="97">
        <f t="shared" ref="AI17" si="98">AH17-AH16</f>
        <v>8879.7857142857392</v>
      </c>
      <c r="AK17" s="97">
        <f t="shared" si="18"/>
        <v>225852.03571428551</v>
      </c>
      <c r="AL17" s="98">
        <f t="shared" si="19"/>
        <v>25187.96428571413</v>
      </c>
    </row>
    <row r="18" spans="1:38" ht="39.950000000000003" customHeight="1">
      <c r="A18" s="145">
        <v>43962</v>
      </c>
      <c r="B18" s="16"/>
      <c r="C18" s="194">
        <f>(C22-C8)/14+C17</f>
        <v>94021.142857142884</v>
      </c>
      <c r="D18" s="97">
        <f t="shared" si="2"/>
        <v>32047.142857142899</v>
      </c>
      <c r="E18" s="194">
        <f>(E22-E8)/14+E17</f>
        <v>619488</v>
      </c>
      <c r="F18" s="97">
        <f t="shared" si="2"/>
        <v>50780</v>
      </c>
      <c r="G18" s="194">
        <f>(G22-G8)/14+G17</f>
        <v>631301.85714285681</v>
      </c>
      <c r="H18" s="97">
        <f t="shared" ref="H18" si="99">(G18-G17)*10</f>
        <v>9637.8571428568102</v>
      </c>
      <c r="I18" s="97">
        <f t="shared" si="4"/>
        <v>4818.9285714284051</v>
      </c>
      <c r="J18" s="194">
        <f>(J22-J8)/14+J17</f>
        <v>219697.2857142858</v>
      </c>
      <c r="K18" s="97">
        <f t="shared" ref="K18" si="100">(J18-J17)*10</f>
        <v>51449.285714285797</v>
      </c>
      <c r="L18" s="194">
        <f>(L22-L8)/14+L17</f>
        <v>462623</v>
      </c>
      <c r="M18" s="97">
        <f t="shared" ref="M18" si="101">(L18-L17)*10</f>
        <v>78150</v>
      </c>
      <c r="N18" s="194">
        <f>(N22-N8)/14+N17</f>
        <v>572138.85714285681</v>
      </c>
      <c r="O18" s="97">
        <f t="shared" si="0"/>
        <v>13047.85714285681</v>
      </c>
      <c r="P18" s="97">
        <f t="shared" si="7"/>
        <v>6523.9285714284051</v>
      </c>
      <c r="Q18" s="194">
        <f>(Q22-Q8)/14+Q17</f>
        <v>41477</v>
      </c>
      <c r="R18" s="97">
        <f t="shared" si="1"/>
        <v>3845</v>
      </c>
      <c r="S18" s="97">
        <f t="shared" si="8"/>
        <v>1922.5</v>
      </c>
      <c r="T18" s="194">
        <f>(T22-T8)/14+T17</f>
        <v>739.28571428571445</v>
      </c>
      <c r="U18" s="97">
        <f t="shared" ref="U18" si="102">(T18-T17)*10</f>
        <v>19.285714285714448</v>
      </c>
      <c r="V18" s="97">
        <f t="shared" si="10"/>
        <v>9.6428571428572241</v>
      </c>
      <c r="W18" s="194">
        <f>(W22-W8)/14+W17</f>
        <v>30848.142857142862</v>
      </c>
      <c r="X18" s="97">
        <f t="shared" ref="X18" si="103">W18-W17</f>
        <v>301.21428571428623</v>
      </c>
      <c r="Y18" s="97">
        <f t="shared" si="12"/>
        <v>150.60714285714312</v>
      </c>
      <c r="Z18" s="194">
        <f>(Z22-Z8)/14+Z17</f>
        <v>821110.57142857159</v>
      </c>
      <c r="AA18" s="97">
        <f t="shared" ref="AA18" si="104">Z18-Z17</f>
        <v>782.85714285715949</v>
      </c>
      <c r="AB18" s="194">
        <f>(AB22-AB8)/14+AB17</f>
        <v>205904.2857142858</v>
      </c>
      <c r="AC18" s="97">
        <f t="shared" ref="AC18" si="105">AB18-AB17</f>
        <v>1841.9285714285797</v>
      </c>
      <c r="AD18" s="194">
        <f>(AD22-AD8)/14+AD17</f>
        <v>863708.85714285681</v>
      </c>
      <c r="AE18" s="97">
        <f t="shared" ref="AE18" si="106">AD18-AD17</f>
        <v>3316.785714285681</v>
      </c>
      <c r="AF18" s="194">
        <f>(AF22-AF8)/14+AF17</f>
        <v>87746.285714285652</v>
      </c>
      <c r="AG18" s="97">
        <f t="shared" ref="AG18" si="107">AF18-AF17</f>
        <v>1759.9285714285652</v>
      </c>
      <c r="AH18" s="194">
        <f>(AH22-AH8)/14+AH17</f>
        <v>508120.85714285739</v>
      </c>
      <c r="AI18" s="97">
        <f t="shared" ref="AI18" si="108">AH18-AH17</f>
        <v>8879.7857142857392</v>
      </c>
      <c r="AK18" s="97">
        <f t="shared" si="18"/>
        <v>225852.03571428551</v>
      </c>
      <c r="AL18" s="98">
        <f t="shared" si="19"/>
        <v>25187.96428571413</v>
      </c>
    </row>
    <row r="19" spans="1:38" ht="39.950000000000003" customHeight="1">
      <c r="A19" s="145">
        <v>43963</v>
      </c>
      <c r="B19" s="16"/>
      <c r="C19" s="194">
        <f>(C22-C8)/14+C18</f>
        <v>97225.857142857174</v>
      </c>
      <c r="D19" s="97">
        <f t="shared" si="2"/>
        <v>32047.142857142899</v>
      </c>
      <c r="E19" s="194">
        <f>(E22-E8)/14+E18</f>
        <v>624566</v>
      </c>
      <c r="F19" s="97">
        <f t="shared" si="2"/>
        <v>50780</v>
      </c>
      <c r="G19" s="194">
        <f>(G22-G8)/14+G18</f>
        <v>632265.64285714249</v>
      </c>
      <c r="H19" s="97">
        <f t="shared" ref="H19" si="109">(G19-G18)*10</f>
        <v>9637.8571428568102</v>
      </c>
      <c r="I19" s="97">
        <f t="shared" si="4"/>
        <v>4818.9285714284051</v>
      </c>
      <c r="J19" s="194">
        <f>(J22-J8)/14+J18</f>
        <v>224842.21428571438</v>
      </c>
      <c r="K19" s="97">
        <f t="shared" ref="K19" si="110">(J19-J18)*10</f>
        <v>51449.285714285797</v>
      </c>
      <c r="L19" s="194">
        <f>(L22-L8)/14+L18</f>
        <v>470438</v>
      </c>
      <c r="M19" s="97">
        <f t="shared" ref="M19" si="111">(L19-L18)*10</f>
        <v>78150</v>
      </c>
      <c r="N19" s="194">
        <f>(N22-N8)/14+N18</f>
        <v>573443.64285714249</v>
      </c>
      <c r="O19" s="97">
        <f t="shared" si="0"/>
        <v>13047.85714285681</v>
      </c>
      <c r="P19" s="97">
        <f t="shared" si="7"/>
        <v>6523.9285714284051</v>
      </c>
      <c r="Q19" s="194">
        <f>(Q22-Q8)/14+Q18</f>
        <v>41861.5</v>
      </c>
      <c r="R19" s="97">
        <f t="shared" si="1"/>
        <v>3845</v>
      </c>
      <c r="S19" s="97">
        <f t="shared" si="8"/>
        <v>1922.5</v>
      </c>
      <c r="T19" s="194">
        <f>(T22-T8)/14+T18</f>
        <v>741.21428571428589</v>
      </c>
      <c r="U19" s="97">
        <f t="shared" ref="U19" si="112">(T19-T18)*10</f>
        <v>19.285714285714448</v>
      </c>
      <c r="V19" s="97">
        <f t="shared" si="10"/>
        <v>9.6428571428572241</v>
      </c>
      <c r="W19" s="194">
        <f>(W22-W8)/14+W18</f>
        <v>31149.357142857149</v>
      </c>
      <c r="X19" s="97">
        <f t="shared" ref="X19" si="113">W19-W18</f>
        <v>301.21428571428623</v>
      </c>
      <c r="Y19" s="97">
        <f t="shared" si="12"/>
        <v>150.60714285714312</v>
      </c>
      <c r="Z19" s="194">
        <f>(Z22-Z8)/14+Z18</f>
        <v>821893.42857142875</v>
      </c>
      <c r="AA19" s="97">
        <f t="shared" ref="AA19" si="114">Z19-Z18</f>
        <v>782.85714285715949</v>
      </c>
      <c r="AB19" s="194">
        <f>(AB22-AB8)/14+AB18</f>
        <v>207746.21428571438</v>
      </c>
      <c r="AC19" s="97">
        <f t="shared" ref="AC19" si="115">AB19-AB18</f>
        <v>1841.9285714285797</v>
      </c>
      <c r="AD19" s="194">
        <f>(AD22-AD8)/14+AD18</f>
        <v>867025.64285714249</v>
      </c>
      <c r="AE19" s="97">
        <f t="shared" ref="AE19" si="116">AD19-AD18</f>
        <v>3316.785714285681</v>
      </c>
      <c r="AF19" s="194">
        <f>(AF22-AF8)/14+AF18</f>
        <v>89506.214285714217</v>
      </c>
      <c r="AG19" s="97">
        <f t="shared" ref="AG19" si="117">AF19-AF18</f>
        <v>1759.9285714285652</v>
      </c>
      <c r="AH19" s="194">
        <f>(AH22-AH8)/14+AH18</f>
        <v>517000.64285714313</v>
      </c>
      <c r="AI19" s="97">
        <f t="shared" ref="AI19" si="118">AH19-AH18</f>
        <v>8879.7857142857392</v>
      </c>
      <c r="AK19" s="97">
        <f t="shared" si="18"/>
        <v>225852.03571428551</v>
      </c>
      <c r="AL19" s="98">
        <f t="shared" si="19"/>
        <v>25187.96428571413</v>
      </c>
    </row>
    <row r="20" spans="1:38" ht="39.950000000000003" customHeight="1">
      <c r="A20" s="145">
        <v>43964</v>
      </c>
      <c r="B20" s="16"/>
      <c r="C20" s="194">
        <f>(C22-C8)/14+C19</f>
        <v>100430.57142857146</v>
      </c>
      <c r="D20" s="97">
        <f t="shared" si="2"/>
        <v>32047.142857142899</v>
      </c>
      <c r="E20" s="194">
        <f>(E22-E8)/14+E19</f>
        <v>629644</v>
      </c>
      <c r="F20" s="97">
        <f t="shared" si="2"/>
        <v>50780</v>
      </c>
      <c r="G20" s="194">
        <f>(G22-G8)/14+G19</f>
        <v>633229.42857142817</v>
      </c>
      <c r="H20" s="97">
        <f t="shared" ref="H20" si="119">(G20-G19)*10</f>
        <v>9637.8571428568102</v>
      </c>
      <c r="I20" s="97">
        <f t="shared" si="4"/>
        <v>4818.9285714284051</v>
      </c>
      <c r="J20" s="194">
        <f>(J22-J8)/14+J19</f>
        <v>229987.14285714296</v>
      </c>
      <c r="K20" s="97">
        <f t="shared" ref="K20" si="120">(J20-J19)*10</f>
        <v>51449.285714285797</v>
      </c>
      <c r="L20" s="194">
        <f>(L22-L8)/14+L19</f>
        <v>478253</v>
      </c>
      <c r="M20" s="97">
        <f t="shared" ref="M20" si="121">(L20-L19)*10</f>
        <v>78150</v>
      </c>
      <c r="N20" s="194">
        <f>(N22-N8)/14+N19</f>
        <v>574748.42857142817</v>
      </c>
      <c r="O20" s="97">
        <f t="shared" si="0"/>
        <v>13047.85714285681</v>
      </c>
      <c r="P20" s="97">
        <f t="shared" si="7"/>
        <v>6523.9285714284051</v>
      </c>
      <c r="Q20" s="194">
        <f>(Q22-Q8)/14+Q19</f>
        <v>42246</v>
      </c>
      <c r="R20" s="97">
        <f t="shared" si="1"/>
        <v>3845</v>
      </c>
      <c r="S20" s="97">
        <f t="shared" si="8"/>
        <v>1922.5</v>
      </c>
      <c r="T20" s="194">
        <f>(T22-T8)/14+T19</f>
        <v>743.14285714285734</v>
      </c>
      <c r="U20" s="97">
        <f t="shared" ref="U20" si="122">(T20-T19)*10</f>
        <v>19.285714285714448</v>
      </c>
      <c r="V20" s="97">
        <f t="shared" si="10"/>
        <v>9.6428571428572241</v>
      </c>
      <c r="W20" s="194">
        <f>(W22-W8)/14+W19</f>
        <v>31450.571428571435</v>
      </c>
      <c r="X20" s="97">
        <f t="shared" ref="X20" si="123">W20-W19</f>
        <v>301.21428571428623</v>
      </c>
      <c r="Y20" s="97">
        <f t="shared" si="12"/>
        <v>150.60714285714312</v>
      </c>
      <c r="Z20" s="194">
        <f>(Z22-Z8)/14+Z19</f>
        <v>822676.28571428591</v>
      </c>
      <c r="AA20" s="97">
        <f t="shared" ref="AA20" si="124">Z20-Z19</f>
        <v>782.85714285715949</v>
      </c>
      <c r="AB20" s="194">
        <f>(AB22-AB8)/14+AB19</f>
        <v>209588.14285714296</v>
      </c>
      <c r="AC20" s="97">
        <f t="shared" ref="AC20" si="125">AB20-AB19</f>
        <v>1841.9285714285797</v>
      </c>
      <c r="AD20" s="194">
        <f>(AD22-AD8)/14+AD19</f>
        <v>870342.42857142817</v>
      </c>
      <c r="AE20" s="97">
        <f t="shared" ref="AE20" si="126">AD20-AD19</f>
        <v>3316.785714285681</v>
      </c>
      <c r="AF20" s="194">
        <f>(AF22-AF8)/14+AF19</f>
        <v>91266.142857142782</v>
      </c>
      <c r="AG20" s="97">
        <f t="shared" ref="AG20" si="127">AF20-AF19</f>
        <v>1759.9285714285652</v>
      </c>
      <c r="AH20" s="194">
        <f>(AH22-AH8)/14+AH19</f>
        <v>525880.42857142887</v>
      </c>
      <c r="AI20" s="97">
        <f t="shared" ref="AI20" si="128">AH20-AH19</f>
        <v>8879.7857142857392</v>
      </c>
      <c r="AK20" s="97">
        <f t="shared" si="18"/>
        <v>225852.03571428551</v>
      </c>
      <c r="AL20" s="98">
        <f t="shared" si="19"/>
        <v>25187.96428571413</v>
      </c>
    </row>
    <row r="21" spans="1:38" ht="39.950000000000003" customHeight="1">
      <c r="A21" s="145">
        <v>43965</v>
      </c>
      <c r="B21" s="16"/>
      <c r="C21" s="194">
        <f t="shared" ref="C21:G21" si="129">(C34-C20)/14+C20</f>
        <v>103740.67346938778</v>
      </c>
      <c r="D21" s="97">
        <f t="shared" si="2"/>
        <v>33101.020408163167</v>
      </c>
      <c r="E21" s="194">
        <f t="shared" si="129"/>
        <v>634762.5</v>
      </c>
      <c r="F21" s="97">
        <f t="shared" si="2"/>
        <v>51185</v>
      </c>
      <c r="G21" s="194">
        <f t="shared" si="129"/>
        <v>634440.04081632616</v>
      </c>
      <c r="H21" s="97">
        <f t="shared" ref="H21" si="130">(G21-G20)*10</f>
        <v>12106.122448979877</v>
      </c>
      <c r="I21" s="97">
        <f t="shared" si="4"/>
        <v>6053.0612244899385</v>
      </c>
      <c r="J21" s="194">
        <f t="shared" ref="J21" si="131">(J34-J20)/14+J20</f>
        <v>235271.27551020417</v>
      </c>
      <c r="K21" s="97">
        <f t="shared" ref="K21" si="132">(J21-J20)*10</f>
        <v>52841.326530612132</v>
      </c>
      <c r="L21" s="194">
        <f t="shared" ref="L21" si="133">(L34-L20)/14+L20</f>
        <v>486231.21428571426</v>
      </c>
      <c r="M21" s="97">
        <f t="shared" ref="M21" si="134">(L21-L20)*10</f>
        <v>79782.142857142608</v>
      </c>
      <c r="N21" s="194">
        <f t="shared" ref="N21" si="135">(N34-N20)/14+N20</f>
        <v>576094.61224489764</v>
      </c>
      <c r="O21" s="97">
        <f t="shared" si="0"/>
        <v>13461.836734694662</v>
      </c>
      <c r="P21" s="97">
        <f t="shared" si="7"/>
        <v>6730.9183673473308</v>
      </c>
      <c r="Q21" s="194">
        <f t="shared" ref="Q21" si="136">(Q34-Q20)/14+Q20</f>
        <v>42328.571428571428</v>
      </c>
      <c r="R21" s="97">
        <f t="shared" si="1"/>
        <v>825.71428571427532</v>
      </c>
      <c r="S21" s="97">
        <f t="shared" si="8"/>
        <v>412.85714285713766</v>
      </c>
      <c r="T21" s="194">
        <f t="shared" ref="T21" si="137">(T34-T20)/14+T20</f>
        <v>745.20408163265324</v>
      </c>
      <c r="U21" s="97">
        <f t="shared" ref="U21" si="138">(T21-T20)*10</f>
        <v>20.612244897959044</v>
      </c>
      <c r="V21" s="97">
        <f t="shared" si="10"/>
        <v>10.306122448979522</v>
      </c>
      <c r="W21" s="194">
        <f t="shared" ref="W21" si="139">(W34-W20)/14+W20</f>
        <v>31994.816326530618</v>
      </c>
      <c r="X21" s="97">
        <f t="shared" ref="X21" si="140">W21-W20</f>
        <v>544.24489795918271</v>
      </c>
      <c r="Y21" s="97">
        <f t="shared" si="12"/>
        <v>272.12244897959135</v>
      </c>
      <c r="Z21" s="194">
        <f t="shared" ref="Z21" si="141">(Z34-Z20)/14+Z20</f>
        <v>823502.33673469408</v>
      </c>
      <c r="AA21" s="97">
        <f t="shared" ref="AA21" si="142">Z21-Z20</f>
        <v>826.05102040816564</v>
      </c>
      <c r="AB21" s="194">
        <f t="shared" ref="AB21" si="143">(AB34-AB20)/14+AB20</f>
        <v>211443.48979591846</v>
      </c>
      <c r="AC21" s="97">
        <f t="shared" ref="AC21" si="144">AB21-AB20</f>
        <v>1855.3469387755031</v>
      </c>
      <c r="AD21" s="194">
        <f t="shared" ref="AD21" si="145">(AD34-AD20)/14+AD20</f>
        <v>873946.96938775468</v>
      </c>
      <c r="AE21" s="97">
        <f t="shared" ref="AE21" si="146">AD21-AD20</f>
        <v>3604.5408163265092</v>
      </c>
      <c r="AF21" s="194">
        <f t="shared" ref="AF21" si="147">(AF34-AF20)/14+AF20</f>
        <v>93153.132653061155</v>
      </c>
      <c r="AG21" s="97">
        <f t="shared" ref="AG21" si="148">AF21-AF20</f>
        <v>1886.9897959183727</v>
      </c>
      <c r="AH21" s="194">
        <f t="shared" ref="AH21" si="149">(AH34-AH20)/14+AH20</f>
        <v>535130.32653061254</v>
      </c>
      <c r="AI21" s="97">
        <f t="shared" ref="AI21" si="150">AH21-AH20</f>
        <v>9249.8979591836687</v>
      </c>
      <c r="AK21" s="97">
        <f t="shared" si="18"/>
        <v>230388.75510204089</v>
      </c>
      <c r="AL21" s="98">
        <f t="shared" si="19"/>
        <v>24849.03061224526</v>
      </c>
    </row>
    <row r="22" spans="1:38" ht="39.950000000000003" customHeight="1">
      <c r="A22" s="145">
        <v>43966</v>
      </c>
      <c r="B22" s="16"/>
      <c r="C22" s="194">
        <v>106840</v>
      </c>
      <c r="D22" s="97">
        <f t="shared" si="2"/>
        <v>30993.265306122194</v>
      </c>
      <c r="E22" s="194">
        <v>639800</v>
      </c>
      <c r="F22" s="97">
        <f t="shared" si="2"/>
        <v>50375</v>
      </c>
      <c r="G22" s="194">
        <v>635157</v>
      </c>
      <c r="H22" s="97">
        <f t="shared" ref="H22" si="151">(G22-G21)*10</f>
        <v>7169.5918367384002</v>
      </c>
      <c r="I22" s="97">
        <f t="shared" si="4"/>
        <v>3584.7959183692001</v>
      </c>
      <c r="J22" s="194">
        <v>240277</v>
      </c>
      <c r="K22" s="97">
        <f t="shared" ref="K22" si="152">(J22-J21)*10</f>
        <v>50057.244897958299</v>
      </c>
      <c r="L22" s="194">
        <v>493883</v>
      </c>
      <c r="M22" s="97">
        <f t="shared" ref="M22" si="153">(L22-L21)*10</f>
        <v>76517.857142857392</v>
      </c>
      <c r="N22" s="194">
        <v>577358</v>
      </c>
      <c r="O22" s="97">
        <f t="shared" si="0"/>
        <v>12633.877551023616</v>
      </c>
      <c r="P22" s="97">
        <f t="shared" si="7"/>
        <v>6316.9387755118078</v>
      </c>
      <c r="Q22" s="194">
        <v>43015</v>
      </c>
      <c r="R22" s="97">
        <f t="shared" si="1"/>
        <v>6864.2857142857247</v>
      </c>
      <c r="S22" s="97">
        <f t="shared" si="8"/>
        <v>3432.1428571428623</v>
      </c>
      <c r="T22" s="194">
        <v>747</v>
      </c>
      <c r="U22" s="97">
        <f t="shared" ref="U22" si="154">(T22-T21)*10</f>
        <v>17.959183673467578</v>
      </c>
      <c r="V22" s="97">
        <f t="shared" si="10"/>
        <v>8.979591836733789</v>
      </c>
      <c r="W22" s="194">
        <v>32053</v>
      </c>
      <c r="X22" s="97">
        <f t="shared" ref="X22" si="155">W22-W21</f>
        <v>58.183673469382484</v>
      </c>
      <c r="Y22" s="97">
        <f t="shared" si="12"/>
        <v>29.091836734691242</v>
      </c>
      <c r="Z22" s="194">
        <v>824242</v>
      </c>
      <c r="AA22" s="97">
        <f t="shared" ref="AA22" si="156">Z22-Z21</f>
        <v>739.6632653059205</v>
      </c>
      <c r="AB22" s="194">
        <v>213272</v>
      </c>
      <c r="AC22" s="97">
        <f t="shared" ref="AC22" si="157">AB22-AB21</f>
        <v>1828.51020408154</v>
      </c>
      <c r="AD22" s="194">
        <v>876976</v>
      </c>
      <c r="AE22" s="97">
        <f t="shared" ref="AE22" si="158">AD22-AD21</f>
        <v>3029.0306122453185</v>
      </c>
      <c r="AF22" s="194">
        <v>94786</v>
      </c>
      <c r="AG22" s="97">
        <f t="shared" ref="AG22" si="159">AF22-AF21</f>
        <v>1632.867346938845</v>
      </c>
      <c r="AH22" s="194">
        <v>543640</v>
      </c>
      <c r="AI22" s="97">
        <f t="shared" ref="AI22" si="160">AH22-AH21</f>
        <v>8509.6734693874605</v>
      </c>
      <c r="AK22" s="97">
        <f t="shared" si="18"/>
        <v>221315.31632653321</v>
      </c>
      <c r="AL22" s="98">
        <f t="shared" si="19"/>
        <v>25526.897959185182</v>
      </c>
    </row>
    <row r="23" spans="1:38" ht="39.950000000000003" customHeight="1">
      <c r="A23" s="145">
        <v>43967</v>
      </c>
      <c r="B23" s="16"/>
      <c r="C23" s="49">
        <v>110204</v>
      </c>
      <c r="D23" s="17">
        <f t="shared" si="2"/>
        <v>33640</v>
      </c>
      <c r="E23" s="49">
        <v>644917</v>
      </c>
      <c r="F23" s="17">
        <f t="shared" si="2"/>
        <v>51170</v>
      </c>
      <c r="G23" s="49">
        <v>636251</v>
      </c>
      <c r="H23" s="17">
        <f t="shared" ref="H23" si="161">(G23-G22)*10</f>
        <v>10940</v>
      </c>
      <c r="I23" s="17">
        <f t="shared" si="4"/>
        <v>5470</v>
      </c>
      <c r="J23" s="49">
        <v>245418</v>
      </c>
      <c r="K23" s="17">
        <f t="shared" ref="K23" si="162">(J23-J22)*10</f>
        <v>51410</v>
      </c>
      <c r="L23" s="49">
        <v>501038</v>
      </c>
      <c r="M23" s="17">
        <f t="shared" ref="M23" si="163">(L23-L22)*10</f>
        <v>71550</v>
      </c>
      <c r="N23" s="49">
        <v>578684</v>
      </c>
      <c r="O23" s="17">
        <f t="shared" si="0"/>
        <v>13260</v>
      </c>
      <c r="P23" s="17">
        <f t="shared" si="7"/>
        <v>6630</v>
      </c>
      <c r="Q23" s="49">
        <v>43320</v>
      </c>
      <c r="R23" s="17">
        <f t="shared" si="1"/>
        <v>3050</v>
      </c>
      <c r="S23" s="17">
        <f t="shared" si="8"/>
        <v>1525</v>
      </c>
      <c r="T23" s="49">
        <v>749</v>
      </c>
      <c r="U23" s="17">
        <f t="shared" ref="U23" si="164">(T23-T22)*10</f>
        <v>20</v>
      </c>
      <c r="V23" s="17">
        <f t="shared" si="10"/>
        <v>10</v>
      </c>
      <c r="W23" s="49">
        <v>32494</v>
      </c>
      <c r="X23" s="17">
        <f t="shared" ref="X23" si="165">W23-W22</f>
        <v>441</v>
      </c>
      <c r="Y23" s="17">
        <f t="shared" si="12"/>
        <v>220.5</v>
      </c>
      <c r="Z23" s="49">
        <v>825042</v>
      </c>
      <c r="AA23" s="17">
        <f t="shared" ref="AA23" si="166">Z23-Z22</f>
        <v>800</v>
      </c>
      <c r="AB23" s="49">
        <v>215319</v>
      </c>
      <c r="AC23" s="17">
        <f t="shared" ref="AC23" si="167">AB23-AB22</f>
        <v>2047</v>
      </c>
      <c r="AD23" s="49">
        <v>880353</v>
      </c>
      <c r="AE23" s="17">
        <f t="shared" ref="AE23" si="168">AD23-AD22</f>
        <v>3377</v>
      </c>
      <c r="AF23" s="49">
        <v>96549</v>
      </c>
      <c r="AG23" s="17">
        <f t="shared" ref="AG23" si="169">AF23-AF22</f>
        <v>1763</v>
      </c>
      <c r="AH23" s="49">
        <v>552723</v>
      </c>
      <c r="AI23" s="17">
        <f t="shared" ref="AI23" si="170">AH23-AH22</f>
        <v>9083</v>
      </c>
      <c r="AK23" s="97">
        <f t="shared" si="18"/>
        <v>221625.5</v>
      </c>
      <c r="AL23" s="98">
        <f t="shared" si="19"/>
        <v>25455.5</v>
      </c>
    </row>
    <row r="24" spans="1:38" ht="39.950000000000003" customHeight="1">
      <c r="A24" s="145">
        <v>43968</v>
      </c>
      <c r="B24" s="16"/>
      <c r="C24" s="49">
        <v>113763</v>
      </c>
      <c r="D24" s="17">
        <f t="shared" si="2"/>
        <v>35590</v>
      </c>
      <c r="E24" s="49">
        <v>650188</v>
      </c>
      <c r="F24" s="17">
        <f t="shared" si="2"/>
        <v>52710</v>
      </c>
      <c r="G24" s="49">
        <v>637649</v>
      </c>
      <c r="H24" s="17">
        <f t="shared" ref="H24" si="171">(G24-G23)*10</f>
        <v>13980</v>
      </c>
      <c r="I24" s="17">
        <f t="shared" si="4"/>
        <v>6990</v>
      </c>
      <c r="J24" s="49">
        <v>250767</v>
      </c>
      <c r="K24" s="17">
        <f t="shared" ref="K24:K38" si="172">(J24-J23)*10</f>
        <v>53490</v>
      </c>
      <c r="L24" s="49">
        <v>509491</v>
      </c>
      <c r="M24" s="17">
        <f t="shared" ref="M24:M38" si="173">(L24-L23)*10</f>
        <v>84530</v>
      </c>
      <c r="N24" s="49">
        <v>580021</v>
      </c>
      <c r="O24" s="17">
        <f t="shared" si="0"/>
        <v>13370</v>
      </c>
      <c r="P24" s="17">
        <f t="shared" si="7"/>
        <v>6685</v>
      </c>
      <c r="Q24" s="49">
        <v>43322</v>
      </c>
      <c r="R24" s="17">
        <f t="shared" si="1"/>
        <v>20</v>
      </c>
      <c r="S24" s="17">
        <f t="shared" si="8"/>
        <v>10</v>
      </c>
      <c r="T24" s="49">
        <v>751</v>
      </c>
      <c r="U24" s="17">
        <f t="shared" ref="U24" si="174">(T24-T23)*10</f>
        <v>20</v>
      </c>
      <c r="V24" s="17">
        <f t="shared" si="10"/>
        <v>10</v>
      </c>
      <c r="W24" s="49">
        <v>33103</v>
      </c>
      <c r="X24" s="17">
        <f t="shared" ref="X24" si="175">W24-W23</f>
        <v>609</v>
      </c>
      <c r="Y24" s="17">
        <f t="shared" si="12"/>
        <v>304.5</v>
      </c>
      <c r="Z24" s="49">
        <v>825906</v>
      </c>
      <c r="AA24" s="17">
        <f t="shared" ref="AA24:AA37" si="176">Z24-Z23</f>
        <v>864</v>
      </c>
      <c r="AB24" s="49">
        <v>217306</v>
      </c>
      <c r="AC24" s="17">
        <f t="shared" ref="AC24:AC37" si="177">AB24-AB23</f>
        <v>1987</v>
      </c>
      <c r="AD24" s="49">
        <v>883892</v>
      </c>
      <c r="AE24" s="17">
        <f t="shared" ref="AE24:AE37" si="178">AD24-AD23</f>
        <v>3539</v>
      </c>
      <c r="AF24" s="49">
        <v>98431</v>
      </c>
      <c r="AG24" s="17">
        <f t="shared" ref="AG24:AG37" si="179">AF24-AF23</f>
        <v>1882</v>
      </c>
      <c r="AH24" s="49">
        <v>561951</v>
      </c>
      <c r="AI24" s="17">
        <f t="shared" ref="AI24:AI37" si="180">AH24-AH23</f>
        <v>9228</v>
      </c>
      <c r="AK24" s="97">
        <f t="shared" si="18"/>
        <v>240319.5</v>
      </c>
      <c r="AL24" s="98">
        <f t="shared" si="19"/>
        <v>24509.5</v>
      </c>
    </row>
    <row r="25" spans="1:38" ht="39.950000000000003" customHeight="1">
      <c r="A25" s="145">
        <v>43969</v>
      </c>
      <c r="B25" s="16"/>
      <c r="C25" s="49">
        <v>117296</v>
      </c>
      <c r="D25" s="17">
        <f t="shared" si="2"/>
        <v>35330</v>
      </c>
      <c r="E25" s="49">
        <v>655279</v>
      </c>
      <c r="F25" s="17">
        <f t="shared" si="2"/>
        <v>50910</v>
      </c>
      <c r="G25" s="49">
        <v>639020</v>
      </c>
      <c r="H25" s="17">
        <f t="shared" ref="H25:H35" si="181">(G25-G24)*10</f>
        <v>13710</v>
      </c>
      <c r="I25" s="17">
        <f t="shared" ref="I25:I35" si="182">H25*50%</f>
        <v>6855</v>
      </c>
      <c r="J25" s="49">
        <v>256072</v>
      </c>
      <c r="K25" s="17">
        <f t="shared" si="172"/>
        <v>53050</v>
      </c>
      <c r="L25" s="49">
        <v>517205</v>
      </c>
      <c r="M25" s="17">
        <f t="shared" si="173"/>
        <v>77140</v>
      </c>
      <c r="N25" s="49">
        <v>581332</v>
      </c>
      <c r="O25" s="17">
        <f t="shared" ref="O25:O35" si="183">(N25-N24)*10</f>
        <v>13110</v>
      </c>
      <c r="P25" s="17">
        <f t="shared" ref="P25:P35" si="184">O25*50%</f>
        <v>6555</v>
      </c>
      <c r="Q25" s="49">
        <v>43325</v>
      </c>
      <c r="R25" s="17">
        <f t="shared" ref="R25:R35" si="185">(Q25-Q24)*10</f>
        <v>30</v>
      </c>
      <c r="S25" s="17">
        <f t="shared" ref="S25:S35" si="186">R25*50%</f>
        <v>15</v>
      </c>
      <c r="T25" s="49">
        <v>753</v>
      </c>
      <c r="U25" s="17">
        <f t="shared" ref="U25:U35" si="187">(T25-T24)*10</f>
        <v>20</v>
      </c>
      <c r="V25" s="17">
        <f t="shared" ref="V25:V35" si="188">U25*50%</f>
        <v>10</v>
      </c>
      <c r="W25" s="49">
        <v>33696</v>
      </c>
      <c r="X25" s="17">
        <f t="shared" ref="X25:X35" si="189">W25-W24</f>
        <v>593</v>
      </c>
      <c r="Y25" s="17">
        <f t="shared" ref="Y25:Y35" si="190">X25*50%</f>
        <v>296.5</v>
      </c>
      <c r="Z25" s="49">
        <v>826746</v>
      </c>
      <c r="AA25" s="17">
        <f t="shared" si="176"/>
        <v>840</v>
      </c>
      <c r="AB25" s="49">
        <v>219460</v>
      </c>
      <c r="AC25" s="17">
        <f t="shared" si="177"/>
        <v>2154</v>
      </c>
      <c r="AD25" s="49">
        <v>887658</v>
      </c>
      <c r="AE25" s="17">
        <f t="shared" si="178"/>
        <v>3766</v>
      </c>
      <c r="AF25" s="49">
        <v>100257</v>
      </c>
      <c r="AG25" s="17">
        <f t="shared" si="179"/>
        <v>1826</v>
      </c>
      <c r="AH25" s="49">
        <v>571448</v>
      </c>
      <c r="AI25" s="17">
        <f t="shared" si="180"/>
        <v>9497</v>
      </c>
      <c r="AK25" s="97">
        <f t="shared" ref="AK25:AK35" si="191">SUM(D25,F25,I25,K25,M25,P25,S25,V25,Y25)</f>
        <v>230161.5</v>
      </c>
      <c r="AL25" s="98">
        <f t="shared" ref="AL25:AL35" si="192">SUM(P25,S25,V25,Y25,AA25,AC25,AE25,AG25,AI25)</f>
        <v>24959.5</v>
      </c>
    </row>
    <row r="26" spans="1:38" ht="39.950000000000003" customHeight="1">
      <c r="A26" s="145">
        <v>43970</v>
      </c>
      <c r="B26" s="16"/>
      <c r="C26" s="49">
        <v>120591</v>
      </c>
      <c r="D26" s="17">
        <f t="shared" ref="D26:H38" si="193">(C26-C25)*10</f>
        <v>32950</v>
      </c>
      <c r="E26" s="49">
        <v>660315</v>
      </c>
      <c r="F26" s="17">
        <f t="shared" ref="F26:F37" si="194">(E26-E25)*10</f>
        <v>50360</v>
      </c>
      <c r="G26" s="49">
        <v>640429</v>
      </c>
      <c r="H26" s="17">
        <f t="shared" si="181"/>
        <v>14090</v>
      </c>
      <c r="I26" s="17">
        <f t="shared" si="182"/>
        <v>7045</v>
      </c>
      <c r="J26" s="49">
        <v>261312</v>
      </c>
      <c r="K26" s="17">
        <f t="shared" si="172"/>
        <v>52400</v>
      </c>
      <c r="L26" s="49">
        <v>524831</v>
      </c>
      <c r="M26" s="17">
        <f t="shared" si="173"/>
        <v>76260</v>
      </c>
      <c r="N26" s="49">
        <v>582684</v>
      </c>
      <c r="O26" s="17">
        <f t="shared" si="183"/>
        <v>13520</v>
      </c>
      <c r="P26" s="17">
        <f t="shared" si="184"/>
        <v>6760</v>
      </c>
      <c r="Q26" s="49">
        <v>43385</v>
      </c>
      <c r="R26" s="17">
        <f t="shared" si="185"/>
        <v>600</v>
      </c>
      <c r="S26" s="17">
        <f t="shared" si="186"/>
        <v>300</v>
      </c>
      <c r="T26" s="49">
        <v>756</v>
      </c>
      <c r="U26" s="17">
        <f t="shared" si="187"/>
        <v>30</v>
      </c>
      <c r="V26" s="17">
        <f t="shared" si="188"/>
        <v>15</v>
      </c>
      <c r="W26" s="49">
        <v>33927</v>
      </c>
      <c r="X26" s="17">
        <f t="shared" si="189"/>
        <v>231</v>
      </c>
      <c r="Y26" s="17">
        <f t="shared" si="190"/>
        <v>115.5</v>
      </c>
      <c r="Z26" s="49">
        <v>827575</v>
      </c>
      <c r="AA26" s="17">
        <f t="shared" si="176"/>
        <v>829</v>
      </c>
      <c r="AB26" s="49">
        <v>221668</v>
      </c>
      <c r="AC26" s="17">
        <f t="shared" si="177"/>
        <v>2208</v>
      </c>
      <c r="AD26" s="49">
        <v>891435</v>
      </c>
      <c r="AE26" s="17">
        <f t="shared" si="178"/>
        <v>3777</v>
      </c>
      <c r="AF26" s="49">
        <v>102154</v>
      </c>
      <c r="AG26" s="17">
        <f t="shared" si="179"/>
        <v>1897</v>
      </c>
      <c r="AH26" s="49">
        <v>580903</v>
      </c>
      <c r="AI26" s="17">
        <f t="shared" si="180"/>
        <v>9455</v>
      </c>
      <c r="AK26" s="97">
        <f t="shared" si="191"/>
        <v>226205.5</v>
      </c>
      <c r="AL26" s="98">
        <f t="shared" si="192"/>
        <v>25356.5</v>
      </c>
    </row>
    <row r="27" spans="1:38" ht="39.950000000000003" customHeight="1">
      <c r="A27" s="145">
        <v>43971</v>
      </c>
      <c r="B27" s="16"/>
      <c r="C27" s="49">
        <v>123764</v>
      </c>
      <c r="D27" s="17">
        <f t="shared" si="193"/>
        <v>31730</v>
      </c>
      <c r="E27" s="49">
        <v>665428</v>
      </c>
      <c r="F27" s="17">
        <f t="shared" si="194"/>
        <v>51130</v>
      </c>
      <c r="G27" s="49">
        <v>641778</v>
      </c>
      <c r="H27" s="17">
        <f t="shared" si="181"/>
        <v>13490</v>
      </c>
      <c r="I27" s="17">
        <f t="shared" si="182"/>
        <v>6745</v>
      </c>
      <c r="J27" s="49">
        <v>266426</v>
      </c>
      <c r="K27" s="17">
        <f t="shared" si="172"/>
        <v>51140</v>
      </c>
      <c r="L27" s="49">
        <v>533261</v>
      </c>
      <c r="M27" s="17">
        <f t="shared" si="173"/>
        <v>84300</v>
      </c>
      <c r="N27" s="49">
        <v>584059</v>
      </c>
      <c r="O27" s="17">
        <f t="shared" si="183"/>
        <v>13750</v>
      </c>
      <c r="P27" s="17">
        <f t="shared" si="184"/>
        <v>6875</v>
      </c>
      <c r="Q27" s="49">
        <v>43387</v>
      </c>
      <c r="R27" s="17">
        <f t="shared" si="185"/>
        <v>20</v>
      </c>
      <c r="S27" s="17">
        <f t="shared" si="186"/>
        <v>10</v>
      </c>
      <c r="T27" s="49">
        <v>758</v>
      </c>
      <c r="U27" s="17">
        <f t="shared" si="187"/>
        <v>20</v>
      </c>
      <c r="V27" s="17">
        <f t="shared" si="188"/>
        <v>10</v>
      </c>
      <c r="W27" s="49">
        <v>34483</v>
      </c>
      <c r="X27" s="17">
        <f t="shared" si="189"/>
        <v>556</v>
      </c>
      <c r="Y27" s="17">
        <f t="shared" si="190"/>
        <v>278</v>
      </c>
      <c r="Z27" s="49">
        <v>828388</v>
      </c>
      <c r="AA27" s="17">
        <f t="shared" si="176"/>
        <v>813</v>
      </c>
      <c r="AB27" s="49">
        <v>223834</v>
      </c>
      <c r="AC27" s="17">
        <f t="shared" si="177"/>
        <v>2166</v>
      </c>
      <c r="AD27" s="49">
        <v>895250</v>
      </c>
      <c r="AE27" s="17">
        <f t="shared" si="178"/>
        <v>3815</v>
      </c>
      <c r="AF27" s="49">
        <v>104072</v>
      </c>
      <c r="AG27" s="17">
        <f t="shared" si="179"/>
        <v>1918</v>
      </c>
      <c r="AH27" s="49">
        <v>590475</v>
      </c>
      <c r="AI27" s="17">
        <f t="shared" si="180"/>
        <v>9572</v>
      </c>
      <c r="AK27" s="97">
        <f t="shared" si="191"/>
        <v>232218</v>
      </c>
      <c r="AL27" s="98">
        <f t="shared" si="192"/>
        <v>25457</v>
      </c>
    </row>
    <row r="28" spans="1:38" ht="39.950000000000003" customHeight="1">
      <c r="A28" s="145">
        <v>43972</v>
      </c>
      <c r="B28" s="16"/>
      <c r="C28" s="49">
        <v>127850</v>
      </c>
      <c r="D28" s="17">
        <f t="shared" si="193"/>
        <v>40860</v>
      </c>
      <c r="E28" s="49">
        <v>672104</v>
      </c>
      <c r="F28" s="17">
        <f t="shared" si="194"/>
        <v>66760</v>
      </c>
      <c r="G28" s="49">
        <v>643412</v>
      </c>
      <c r="H28" s="17">
        <f t="shared" si="181"/>
        <v>16340</v>
      </c>
      <c r="I28" s="17">
        <f t="shared" si="182"/>
        <v>8170</v>
      </c>
      <c r="J28" s="49">
        <v>273491</v>
      </c>
      <c r="K28" s="17">
        <f t="shared" si="172"/>
        <v>70650</v>
      </c>
      <c r="L28" s="49">
        <v>544559</v>
      </c>
      <c r="M28" s="17">
        <f t="shared" si="173"/>
        <v>112980</v>
      </c>
      <c r="N28" s="49">
        <v>585768</v>
      </c>
      <c r="O28" s="17">
        <f t="shared" si="183"/>
        <v>17090</v>
      </c>
      <c r="P28" s="17">
        <f t="shared" si="184"/>
        <v>8545</v>
      </c>
      <c r="Q28" s="49">
        <v>43390</v>
      </c>
      <c r="R28" s="17">
        <f t="shared" si="185"/>
        <v>30</v>
      </c>
      <c r="S28" s="17">
        <f t="shared" si="186"/>
        <v>15</v>
      </c>
      <c r="T28" s="49">
        <v>760</v>
      </c>
      <c r="U28" s="17">
        <f t="shared" si="187"/>
        <v>20</v>
      </c>
      <c r="V28" s="17">
        <f t="shared" si="188"/>
        <v>10</v>
      </c>
      <c r="W28" s="49">
        <v>34345</v>
      </c>
      <c r="X28" s="17">
        <f t="shared" si="189"/>
        <v>-138</v>
      </c>
      <c r="Y28" s="17">
        <f t="shared" si="190"/>
        <v>-69</v>
      </c>
      <c r="Z28" s="49">
        <v>829399</v>
      </c>
      <c r="AA28" s="17">
        <f t="shared" si="176"/>
        <v>1011</v>
      </c>
      <c r="AB28" s="49">
        <v>226591</v>
      </c>
      <c r="AC28" s="17">
        <f t="shared" si="177"/>
        <v>2757</v>
      </c>
      <c r="AD28" s="49">
        <v>899902</v>
      </c>
      <c r="AE28" s="17">
        <f t="shared" si="178"/>
        <v>4652</v>
      </c>
      <c r="AF28" s="49">
        <v>106523</v>
      </c>
      <c r="AG28" s="17">
        <f t="shared" si="179"/>
        <v>2451</v>
      </c>
      <c r="AH28" s="49">
        <v>602012</v>
      </c>
      <c r="AI28" s="17">
        <f t="shared" si="180"/>
        <v>11537</v>
      </c>
      <c r="AK28" s="97">
        <f t="shared" si="191"/>
        <v>307921</v>
      </c>
      <c r="AL28" s="98">
        <f t="shared" si="192"/>
        <v>30909</v>
      </c>
    </row>
    <row r="29" spans="1:38" ht="39.950000000000003" customHeight="1">
      <c r="A29" s="145">
        <v>43973</v>
      </c>
      <c r="B29" s="16"/>
      <c r="C29" s="49">
        <v>130369</v>
      </c>
      <c r="D29" s="17">
        <f t="shared" si="193"/>
        <v>25190</v>
      </c>
      <c r="E29" s="49">
        <v>675951</v>
      </c>
      <c r="F29" s="17">
        <f t="shared" si="194"/>
        <v>38470</v>
      </c>
      <c r="G29" s="49">
        <v>644585</v>
      </c>
      <c r="H29" s="17">
        <f t="shared" si="181"/>
        <v>11730</v>
      </c>
      <c r="I29" s="17">
        <f t="shared" si="182"/>
        <v>5865</v>
      </c>
      <c r="J29" s="49">
        <v>277343</v>
      </c>
      <c r="K29" s="17">
        <f t="shared" si="172"/>
        <v>38520</v>
      </c>
      <c r="L29" s="49">
        <v>550345</v>
      </c>
      <c r="M29" s="17">
        <f t="shared" si="173"/>
        <v>57860</v>
      </c>
      <c r="N29" s="49">
        <v>586981</v>
      </c>
      <c r="O29" s="17">
        <f t="shared" si="183"/>
        <v>12130</v>
      </c>
      <c r="P29" s="17">
        <f t="shared" si="184"/>
        <v>6065</v>
      </c>
      <c r="Q29" s="49">
        <v>43392</v>
      </c>
      <c r="R29" s="17">
        <f t="shared" si="185"/>
        <v>20</v>
      </c>
      <c r="S29" s="17">
        <f t="shared" si="186"/>
        <v>10</v>
      </c>
      <c r="T29" s="49">
        <v>761</v>
      </c>
      <c r="U29" s="17">
        <f t="shared" si="187"/>
        <v>10</v>
      </c>
      <c r="V29" s="17">
        <f t="shared" si="188"/>
        <v>5</v>
      </c>
      <c r="W29" s="49">
        <v>35847</v>
      </c>
      <c r="X29" s="17">
        <f t="shared" si="189"/>
        <v>1502</v>
      </c>
      <c r="Y29" s="17">
        <f t="shared" si="190"/>
        <v>751</v>
      </c>
      <c r="Z29" s="49">
        <v>830027</v>
      </c>
      <c r="AA29" s="17">
        <f t="shared" si="176"/>
        <v>628</v>
      </c>
      <c r="AB29" s="49">
        <v>228172</v>
      </c>
      <c r="AC29" s="17">
        <f t="shared" si="177"/>
        <v>1581</v>
      </c>
      <c r="AD29" s="49">
        <v>902648</v>
      </c>
      <c r="AE29" s="17">
        <f t="shared" si="178"/>
        <v>2746</v>
      </c>
      <c r="AF29" s="49">
        <v>107968</v>
      </c>
      <c r="AG29" s="17">
        <f t="shared" si="179"/>
        <v>1445</v>
      </c>
      <c r="AH29" s="49">
        <v>608993</v>
      </c>
      <c r="AI29" s="17">
        <f t="shared" si="180"/>
        <v>6981</v>
      </c>
      <c r="AK29" s="97">
        <f t="shared" si="191"/>
        <v>172736</v>
      </c>
      <c r="AL29" s="98">
        <f t="shared" si="192"/>
        <v>20212</v>
      </c>
    </row>
    <row r="30" spans="1:38" ht="39.950000000000003" customHeight="1">
      <c r="A30" s="145">
        <v>43974</v>
      </c>
      <c r="B30" s="16"/>
      <c r="C30" s="49">
        <v>133656</v>
      </c>
      <c r="D30" s="17">
        <f t="shared" si="193"/>
        <v>32870</v>
      </c>
      <c r="E30" s="49">
        <v>681073</v>
      </c>
      <c r="F30" s="17">
        <f t="shared" si="194"/>
        <v>51220</v>
      </c>
      <c r="G30" s="49">
        <v>645984</v>
      </c>
      <c r="H30" s="17">
        <f t="shared" si="181"/>
        <v>13990</v>
      </c>
      <c r="I30" s="17">
        <f t="shared" si="182"/>
        <v>6995</v>
      </c>
      <c r="J30" s="49">
        <v>282599</v>
      </c>
      <c r="K30" s="17">
        <f t="shared" si="172"/>
        <v>52560</v>
      </c>
      <c r="L30" s="49">
        <v>556671</v>
      </c>
      <c r="M30" s="17">
        <f t="shared" si="173"/>
        <v>63260</v>
      </c>
      <c r="N30" s="49">
        <v>588261</v>
      </c>
      <c r="O30" s="17">
        <f t="shared" si="183"/>
        <v>12800</v>
      </c>
      <c r="P30" s="17">
        <f t="shared" si="184"/>
        <v>6400</v>
      </c>
      <c r="Q30" s="49">
        <v>43394</v>
      </c>
      <c r="R30" s="17">
        <f t="shared" si="185"/>
        <v>20</v>
      </c>
      <c r="S30" s="17">
        <f t="shared" si="186"/>
        <v>10</v>
      </c>
      <c r="T30" s="49">
        <v>764</v>
      </c>
      <c r="U30" s="17">
        <f t="shared" si="187"/>
        <v>30</v>
      </c>
      <c r="V30" s="17">
        <f t="shared" si="188"/>
        <v>15</v>
      </c>
      <c r="W30" s="49">
        <v>36402</v>
      </c>
      <c r="X30" s="17">
        <f t="shared" si="189"/>
        <v>555</v>
      </c>
      <c r="Y30" s="17">
        <f t="shared" si="190"/>
        <v>277.5</v>
      </c>
      <c r="Z30" s="49">
        <v>830660</v>
      </c>
      <c r="AA30" s="17">
        <f t="shared" si="176"/>
        <v>633</v>
      </c>
      <c r="AB30" s="49">
        <v>230273</v>
      </c>
      <c r="AC30" s="17">
        <f t="shared" si="177"/>
        <v>2101</v>
      </c>
      <c r="AD30" s="49">
        <v>906299</v>
      </c>
      <c r="AE30" s="17">
        <f t="shared" si="178"/>
        <v>3651</v>
      </c>
      <c r="AF30" s="49">
        <v>109845</v>
      </c>
      <c r="AG30" s="17">
        <f t="shared" si="179"/>
        <v>1877</v>
      </c>
      <c r="AH30" s="49">
        <v>618103</v>
      </c>
      <c r="AI30" s="17">
        <f t="shared" si="180"/>
        <v>9110</v>
      </c>
      <c r="AK30" s="97">
        <f t="shared" si="191"/>
        <v>213607.5</v>
      </c>
      <c r="AL30" s="98">
        <f t="shared" si="192"/>
        <v>24074.5</v>
      </c>
    </row>
    <row r="31" spans="1:38" ht="39.950000000000003" customHeight="1">
      <c r="A31" s="145">
        <v>43975</v>
      </c>
      <c r="B31" s="16"/>
      <c r="C31" s="49">
        <v>136906</v>
      </c>
      <c r="D31" s="17">
        <f t="shared" si="193"/>
        <v>32500</v>
      </c>
      <c r="E31" s="49">
        <v>686277</v>
      </c>
      <c r="F31" s="17">
        <f t="shared" si="194"/>
        <v>52040</v>
      </c>
      <c r="G31" s="49">
        <f>(G30+G32)/2</f>
        <v>647391.5</v>
      </c>
      <c r="H31" s="17">
        <f t="shared" si="181"/>
        <v>14075</v>
      </c>
      <c r="I31" s="17">
        <f t="shared" si="182"/>
        <v>7037.5</v>
      </c>
      <c r="J31" s="49">
        <v>287847</v>
      </c>
      <c r="K31" s="17">
        <f t="shared" si="172"/>
        <v>52480</v>
      </c>
      <c r="L31" s="49">
        <v>566948</v>
      </c>
      <c r="M31" s="17">
        <f t="shared" si="173"/>
        <v>102770</v>
      </c>
      <c r="N31" s="49">
        <v>589366</v>
      </c>
      <c r="O31" s="17">
        <f t="shared" si="183"/>
        <v>11050</v>
      </c>
      <c r="P31" s="17">
        <f t="shared" si="184"/>
        <v>5525</v>
      </c>
      <c r="Q31" s="49">
        <v>43396</v>
      </c>
      <c r="R31" s="17">
        <f t="shared" si="185"/>
        <v>20</v>
      </c>
      <c r="S31" s="17">
        <f t="shared" si="186"/>
        <v>10</v>
      </c>
      <c r="T31" s="49">
        <v>766</v>
      </c>
      <c r="U31" s="17">
        <f t="shared" si="187"/>
        <v>20</v>
      </c>
      <c r="V31" s="17">
        <f t="shared" si="188"/>
        <v>10</v>
      </c>
      <c r="W31" s="49">
        <v>36788</v>
      </c>
      <c r="X31" s="17">
        <f t="shared" si="189"/>
        <v>386</v>
      </c>
      <c r="Y31" s="17">
        <f t="shared" si="190"/>
        <v>193</v>
      </c>
      <c r="Z31" s="49">
        <v>831684</v>
      </c>
      <c r="AA31" s="17">
        <f t="shared" si="176"/>
        <v>1024</v>
      </c>
      <c r="AB31" s="49">
        <v>232275</v>
      </c>
      <c r="AC31" s="17">
        <f t="shared" si="177"/>
        <v>2002</v>
      </c>
      <c r="AD31" s="49">
        <v>909881</v>
      </c>
      <c r="AE31" s="17">
        <f t="shared" si="178"/>
        <v>3582</v>
      </c>
      <c r="AF31" s="49">
        <v>111758</v>
      </c>
      <c r="AG31" s="17">
        <f t="shared" si="179"/>
        <v>1913</v>
      </c>
      <c r="AH31" s="49">
        <v>627062</v>
      </c>
      <c r="AI31" s="17">
        <f t="shared" si="180"/>
        <v>8959</v>
      </c>
      <c r="AK31" s="97">
        <f t="shared" si="191"/>
        <v>252565.5</v>
      </c>
      <c r="AL31" s="98">
        <f t="shared" si="192"/>
        <v>23218</v>
      </c>
    </row>
    <row r="32" spans="1:38" ht="39.950000000000003" customHeight="1">
      <c r="A32" s="145">
        <v>43976</v>
      </c>
      <c r="B32" s="16"/>
      <c r="C32" s="74">
        <v>136706</v>
      </c>
      <c r="D32" s="17">
        <f t="shared" si="193"/>
        <v>-2000</v>
      </c>
      <c r="E32" s="74">
        <v>691299</v>
      </c>
      <c r="F32" s="17">
        <f t="shared" si="194"/>
        <v>50220</v>
      </c>
      <c r="G32" s="74">
        <v>648799</v>
      </c>
      <c r="H32" s="17">
        <f t="shared" si="181"/>
        <v>14075</v>
      </c>
      <c r="I32" s="17">
        <f t="shared" si="182"/>
        <v>7037.5</v>
      </c>
      <c r="J32" s="74">
        <v>293343</v>
      </c>
      <c r="K32" s="17">
        <f t="shared" si="172"/>
        <v>54960</v>
      </c>
      <c r="L32" s="74">
        <v>574140</v>
      </c>
      <c r="M32" s="17">
        <f t="shared" si="173"/>
        <v>71920</v>
      </c>
      <c r="N32" s="74">
        <v>590668</v>
      </c>
      <c r="O32" s="17">
        <f t="shared" si="183"/>
        <v>13020</v>
      </c>
      <c r="P32" s="17">
        <f t="shared" si="184"/>
        <v>6510</v>
      </c>
      <c r="Q32" s="74">
        <v>43398</v>
      </c>
      <c r="R32" s="17">
        <f t="shared" si="185"/>
        <v>20</v>
      </c>
      <c r="S32" s="17">
        <f t="shared" si="186"/>
        <v>10</v>
      </c>
      <c r="T32" s="74">
        <v>768</v>
      </c>
      <c r="U32" s="17">
        <f t="shared" si="187"/>
        <v>20</v>
      </c>
      <c r="V32" s="17">
        <f t="shared" si="188"/>
        <v>10</v>
      </c>
      <c r="W32" s="74">
        <v>36983</v>
      </c>
      <c r="X32" s="17">
        <f t="shared" si="189"/>
        <v>195</v>
      </c>
      <c r="Y32" s="17">
        <f t="shared" si="190"/>
        <v>97.5</v>
      </c>
      <c r="Z32" s="74">
        <v>832534</v>
      </c>
      <c r="AA32" s="17">
        <f t="shared" si="176"/>
        <v>850</v>
      </c>
      <c r="AB32" s="74">
        <v>234374</v>
      </c>
      <c r="AC32" s="17">
        <f t="shared" si="177"/>
        <v>2099</v>
      </c>
      <c r="AD32" s="74">
        <v>913492</v>
      </c>
      <c r="AE32" s="17">
        <f t="shared" si="178"/>
        <v>3611</v>
      </c>
      <c r="AF32" s="74">
        <v>113657</v>
      </c>
      <c r="AG32" s="17">
        <f t="shared" si="179"/>
        <v>1899</v>
      </c>
      <c r="AH32" s="74">
        <v>636403</v>
      </c>
      <c r="AI32" s="17">
        <f t="shared" si="180"/>
        <v>9341</v>
      </c>
      <c r="AK32" s="97">
        <f t="shared" si="191"/>
        <v>188765</v>
      </c>
      <c r="AL32" s="98">
        <f t="shared" si="192"/>
        <v>24427.5</v>
      </c>
    </row>
    <row r="33" spans="1:38" ht="39.950000000000003" customHeight="1">
      <c r="A33" s="145">
        <v>43977</v>
      </c>
      <c r="B33" s="16"/>
      <c r="C33" s="74">
        <v>140274</v>
      </c>
      <c r="D33" s="17">
        <f t="shared" si="193"/>
        <v>35680</v>
      </c>
      <c r="E33" s="74">
        <v>696301</v>
      </c>
      <c r="F33" s="17">
        <f t="shared" si="194"/>
        <v>50020</v>
      </c>
      <c r="G33" s="74">
        <v>649343</v>
      </c>
      <c r="H33" s="17">
        <f t="shared" si="181"/>
        <v>5440</v>
      </c>
      <c r="I33" s="17">
        <f t="shared" si="182"/>
        <v>2720</v>
      </c>
      <c r="J33" s="74">
        <v>298659</v>
      </c>
      <c r="K33" s="17">
        <f t="shared" si="172"/>
        <v>53160</v>
      </c>
      <c r="L33" s="74">
        <v>581550</v>
      </c>
      <c r="M33" s="17">
        <f t="shared" si="173"/>
        <v>74100</v>
      </c>
      <c r="N33" s="74">
        <v>592135</v>
      </c>
      <c r="O33" s="17">
        <f t="shared" si="183"/>
        <v>14670</v>
      </c>
      <c r="P33" s="17">
        <f t="shared" si="184"/>
        <v>7335</v>
      </c>
      <c r="Q33" s="74">
        <v>43400</v>
      </c>
      <c r="R33" s="17">
        <f t="shared" si="185"/>
        <v>20</v>
      </c>
      <c r="S33" s="17">
        <f t="shared" si="186"/>
        <v>10</v>
      </c>
      <c r="T33" s="74">
        <v>770</v>
      </c>
      <c r="U33" s="17">
        <f t="shared" si="187"/>
        <v>20</v>
      </c>
      <c r="V33" s="17">
        <f t="shared" si="188"/>
        <v>10</v>
      </c>
      <c r="W33" s="74">
        <v>38039</v>
      </c>
      <c r="X33" s="17">
        <f t="shared" si="189"/>
        <v>1056</v>
      </c>
      <c r="Y33" s="17">
        <f t="shared" si="190"/>
        <v>528</v>
      </c>
      <c r="Z33" s="74">
        <v>833404</v>
      </c>
      <c r="AA33" s="17">
        <f t="shared" si="176"/>
        <v>870</v>
      </c>
      <c r="AB33" s="74">
        <v>236468</v>
      </c>
      <c r="AC33" s="17">
        <f t="shared" si="177"/>
        <v>2094</v>
      </c>
      <c r="AD33" s="74">
        <v>917136</v>
      </c>
      <c r="AE33" s="17">
        <f t="shared" si="178"/>
        <v>3644</v>
      </c>
      <c r="AF33" s="74">
        <v>115567</v>
      </c>
      <c r="AG33" s="17">
        <f t="shared" si="179"/>
        <v>1910</v>
      </c>
      <c r="AH33" s="74">
        <v>645711</v>
      </c>
      <c r="AI33" s="17">
        <f t="shared" si="180"/>
        <v>9308</v>
      </c>
      <c r="AK33" s="97">
        <f t="shared" si="191"/>
        <v>223563</v>
      </c>
      <c r="AL33" s="98">
        <f t="shared" si="192"/>
        <v>25709</v>
      </c>
    </row>
    <row r="34" spans="1:38" ht="39.950000000000003" customHeight="1">
      <c r="A34" s="145">
        <v>43978</v>
      </c>
      <c r="B34" s="16"/>
      <c r="C34" s="74">
        <v>146772</v>
      </c>
      <c r="D34" s="17">
        <f t="shared" si="193"/>
        <v>64980</v>
      </c>
      <c r="E34" s="74">
        <v>701303</v>
      </c>
      <c r="F34" s="17">
        <f t="shared" si="194"/>
        <v>50020</v>
      </c>
      <c r="G34" s="74">
        <v>650178</v>
      </c>
      <c r="H34" s="17">
        <f t="shared" si="181"/>
        <v>8350</v>
      </c>
      <c r="I34" s="17">
        <f t="shared" si="182"/>
        <v>4175</v>
      </c>
      <c r="J34" s="74">
        <v>303965</v>
      </c>
      <c r="K34" s="17">
        <f t="shared" si="172"/>
        <v>53060</v>
      </c>
      <c r="L34" s="74">
        <v>589948</v>
      </c>
      <c r="M34" s="17">
        <f t="shared" si="173"/>
        <v>83980</v>
      </c>
      <c r="N34" s="74">
        <v>593595</v>
      </c>
      <c r="O34" s="17">
        <f t="shared" si="183"/>
        <v>14600</v>
      </c>
      <c r="P34" s="17">
        <f t="shared" si="184"/>
        <v>7300</v>
      </c>
      <c r="Q34" s="74">
        <v>43402</v>
      </c>
      <c r="R34" s="17">
        <f t="shared" si="185"/>
        <v>20</v>
      </c>
      <c r="S34" s="17">
        <f t="shared" si="186"/>
        <v>10</v>
      </c>
      <c r="T34" s="74">
        <v>772</v>
      </c>
      <c r="U34" s="17">
        <f t="shared" si="187"/>
        <v>20</v>
      </c>
      <c r="V34" s="17">
        <f t="shared" si="188"/>
        <v>10</v>
      </c>
      <c r="W34" s="74">
        <v>39070</v>
      </c>
      <c r="X34" s="17">
        <f t="shared" si="189"/>
        <v>1031</v>
      </c>
      <c r="Y34" s="17">
        <f t="shared" si="190"/>
        <v>515.5</v>
      </c>
      <c r="Z34" s="74">
        <v>834241</v>
      </c>
      <c r="AA34" s="17">
        <f t="shared" si="176"/>
        <v>837</v>
      </c>
      <c r="AB34" s="74">
        <v>235563</v>
      </c>
      <c r="AC34" s="17">
        <f t="shared" si="177"/>
        <v>-905</v>
      </c>
      <c r="AD34" s="74">
        <v>920806</v>
      </c>
      <c r="AE34" s="17">
        <f t="shared" si="178"/>
        <v>3670</v>
      </c>
      <c r="AF34" s="74">
        <v>117684</v>
      </c>
      <c r="AG34" s="17">
        <f t="shared" si="179"/>
        <v>2117</v>
      </c>
      <c r="AH34" s="74">
        <v>655379</v>
      </c>
      <c r="AI34" s="17">
        <f t="shared" si="180"/>
        <v>9668</v>
      </c>
      <c r="AK34" s="97">
        <f t="shared" si="191"/>
        <v>264050.5</v>
      </c>
      <c r="AL34" s="98">
        <f t="shared" si="192"/>
        <v>23222.5</v>
      </c>
    </row>
    <row r="35" spans="1:38" ht="39.950000000000003" customHeight="1">
      <c r="A35" s="145">
        <v>43979</v>
      </c>
      <c r="B35" s="16"/>
      <c r="C35" s="74">
        <v>150082</v>
      </c>
      <c r="D35" s="17">
        <f t="shared" si="193"/>
        <v>33100</v>
      </c>
      <c r="E35" s="74">
        <v>706333</v>
      </c>
      <c r="F35" s="17">
        <f t="shared" si="194"/>
        <v>50300</v>
      </c>
      <c r="G35" s="74">
        <v>651537</v>
      </c>
      <c r="H35" s="17">
        <f t="shared" si="181"/>
        <v>13590</v>
      </c>
      <c r="I35" s="17">
        <f t="shared" si="182"/>
        <v>6795</v>
      </c>
      <c r="J35" s="74">
        <v>309225</v>
      </c>
      <c r="K35" s="17">
        <f t="shared" si="172"/>
        <v>52600</v>
      </c>
      <c r="L35" s="74">
        <v>598254</v>
      </c>
      <c r="M35" s="17">
        <f t="shared" si="173"/>
        <v>83060</v>
      </c>
      <c r="N35" s="74">
        <v>594953</v>
      </c>
      <c r="O35" s="17">
        <f t="shared" si="183"/>
        <v>13580</v>
      </c>
      <c r="P35" s="17">
        <f t="shared" si="184"/>
        <v>6790</v>
      </c>
      <c r="Q35" s="74">
        <v>43404</v>
      </c>
      <c r="R35" s="17">
        <f t="shared" si="185"/>
        <v>20</v>
      </c>
      <c r="S35" s="17">
        <f t="shared" si="186"/>
        <v>10</v>
      </c>
      <c r="T35" s="74">
        <v>774</v>
      </c>
      <c r="U35" s="17">
        <f t="shared" si="187"/>
        <v>20</v>
      </c>
      <c r="V35" s="17">
        <f t="shared" si="188"/>
        <v>10</v>
      </c>
      <c r="W35" s="74">
        <v>39708</v>
      </c>
      <c r="X35" s="17">
        <f t="shared" si="189"/>
        <v>638</v>
      </c>
      <c r="Y35" s="17">
        <f t="shared" si="190"/>
        <v>319</v>
      </c>
      <c r="Z35" s="74">
        <v>835124</v>
      </c>
      <c r="AA35" s="17">
        <f t="shared" si="176"/>
        <v>883</v>
      </c>
      <c r="AB35" s="74">
        <v>240674</v>
      </c>
      <c r="AC35" s="17">
        <f t="shared" si="177"/>
        <v>5111</v>
      </c>
      <c r="AD35" s="74">
        <v>924474</v>
      </c>
      <c r="AE35" s="17">
        <f t="shared" si="178"/>
        <v>3668</v>
      </c>
      <c r="AF35" s="74">
        <v>119804</v>
      </c>
      <c r="AG35" s="17">
        <f t="shared" si="179"/>
        <v>2120</v>
      </c>
      <c r="AH35" s="74">
        <v>665013</v>
      </c>
      <c r="AI35" s="17">
        <f t="shared" si="180"/>
        <v>9634</v>
      </c>
      <c r="AK35" s="97">
        <f t="shared" si="191"/>
        <v>232984</v>
      </c>
      <c r="AL35" s="98">
        <f t="shared" si="192"/>
        <v>28545</v>
      </c>
    </row>
    <row r="36" spans="1:38" ht="39.950000000000003" customHeight="1">
      <c r="A36" s="145">
        <v>43980</v>
      </c>
      <c r="B36" s="16"/>
      <c r="C36" s="74">
        <v>153290</v>
      </c>
      <c r="D36" s="17">
        <f t="shared" si="193"/>
        <v>32080</v>
      </c>
      <c r="E36" s="74">
        <v>711382</v>
      </c>
      <c r="F36" s="17">
        <f t="shared" si="194"/>
        <v>50490</v>
      </c>
      <c r="G36" s="74">
        <v>652868</v>
      </c>
      <c r="H36" s="17">
        <f t="shared" ref="H36:H37" si="195">(G36-G35)*10</f>
        <v>13310</v>
      </c>
      <c r="I36" s="17">
        <f t="shared" ref="I36:I38" si="196">H36*50%</f>
        <v>6655</v>
      </c>
      <c r="J36" s="74">
        <v>314398</v>
      </c>
      <c r="K36" s="17">
        <f t="shared" si="172"/>
        <v>51730</v>
      </c>
      <c r="L36" s="74">
        <v>606432</v>
      </c>
      <c r="M36" s="17">
        <f t="shared" si="173"/>
        <v>81780</v>
      </c>
      <c r="N36" s="74">
        <v>596358</v>
      </c>
      <c r="O36" s="17">
        <f t="shared" ref="O36:O38" si="197">(N36-N35)*10</f>
        <v>14050</v>
      </c>
      <c r="P36" s="17">
        <f t="shared" ref="P36:P38" si="198">O36*50%</f>
        <v>7025</v>
      </c>
      <c r="Q36" s="74">
        <v>43406</v>
      </c>
      <c r="R36" s="17">
        <f t="shared" ref="R36:R38" si="199">(Q36-Q35)*10</f>
        <v>20</v>
      </c>
      <c r="S36" s="17">
        <f t="shared" ref="S36:S38" si="200">R36*50%</f>
        <v>10</v>
      </c>
      <c r="T36" s="74">
        <v>776</v>
      </c>
      <c r="U36" s="17">
        <f t="shared" ref="U36:U38" si="201">(T36-T35)*10</f>
        <v>20</v>
      </c>
      <c r="V36" s="17">
        <f t="shared" ref="V36:V38" si="202">U36*50%</f>
        <v>10</v>
      </c>
      <c r="W36" s="74">
        <v>40220</v>
      </c>
      <c r="X36" s="17">
        <f t="shared" ref="X36:X37" si="203">W36-W35</f>
        <v>512</v>
      </c>
      <c r="Y36" s="17">
        <f t="shared" ref="Y36:Y38" si="204">X36*50%</f>
        <v>256</v>
      </c>
      <c r="Z36" s="74">
        <v>835975</v>
      </c>
      <c r="AA36" s="17">
        <f t="shared" si="176"/>
        <v>851</v>
      </c>
      <c r="AB36" s="74">
        <v>242797</v>
      </c>
      <c r="AC36" s="17">
        <f t="shared" si="177"/>
        <v>2123</v>
      </c>
      <c r="AD36" s="74">
        <v>928040</v>
      </c>
      <c r="AE36" s="17">
        <f t="shared" si="178"/>
        <v>3566</v>
      </c>
      <c r="AF36" s="74">
        <v>121916</v>
      </c>
      <c r="AG36" s="17">
        <f t="shared" si="179"/>
        <v>2112</v>
      </c>
      <c r="AH36" s="74">
        <v>674470</v>
      </c>
      <c r="AI36" s="17">
        <f t="shared" si="180"/>
        <v>9457</v>
      </c>
      <c r="AK36" s="97">
        <f t="shared" ref="AK36:AK37" si="205">SUM(D36,F36,I36,K36,M36,P36,S36,V36,Y36)</f>
        <v>230036</v>
      </c>
      <c r="AL36" s="98">
        <f t="shared" ref="AL36:AL37" si="206">SUM(P36,S36,V36,Y36,AA36,AC36,AE36,AG36,AI36)</f>
        <v>25410</v>
      </c>
    </row>
    <row r="37" spans="1:38" ht="39.950000000000003" customHeight="1">
      <c r="A37" s="145">
        <v>43981</v>
      </c>
      <c r="B37" s="16"/>
      <c r="C37" s="74">
        <v>156701</v>
      </c>
      <c r="D37" s="17">
        <f t="shared" si="193"/>
        <v>34110</v>
      </c>
      <c r="E37" s="74">
        <v>716564</v>
      </c>
      <c r="F37" s="17">
        <f t="shared" si="194"/>
        <v>51820</v>
      </c>
      <c r="G37" s="74">
        <v>654275</v>
      </c>
      <c r="H37" s="17">
        <f t="shared" si="195"/>
        <v>14070</v>
      </c>
      <c r="I37" s="17">
        <f t="shared" si="196"/>
        <v>7035</v>
      </c>
      <c r="J37" s="74">
        <v>319852</v>
      </c>
      <c r="K37" s="17">
        <f t="shared" si="172"/>
        <v>54540</v>
      </c>
      <c r="L37" s="74">
        <v>615014</v>
      </c>
      <c r="M37" s="17">
        <f t="shared" si="173"/>
        <v>85820</v>
      </c>
      <c r="N37" s="74">
        <v>597766</v>
      </c>
      <c r="O37" s="17">
        <f t="shared" si="197"/>
        <v>14080</v>
      </c>
      <c r="P37" s="17">
        <f t="shared" si="198"/>
        <v>7040</v>
      </c>
      <c r="Q37" s="74">
        <v>43408</v>
      </c>
      <c r="R37" s="17">
        <f t="shared" si="199"/>
        <v>20</v>
      </c>
      <c r="S37" s="17">
        <f t="shared" si="200"/>
        <v>10</v>
      </c>
      <c r="T37" s="74">
        <v>778</v>
      </c>
      <c r="U37" s="17">
        <f t="shared" si="201"/>
        <v>20</v>
      </c>
      <c r="V37" s="17">
        <f t="shared" si="202"/>
        <v>10</v>
      </c>
      <c r="W37" s="74">
        <v>40796</v>
      </c>
      <c r="X37" s="17">
        <f t="shared" si="203"/>
        <v>576</v>
      </c>
      <c r="Y37" s="17">
        <f t="shared" si="204"/>
        <v>288</v>
      </c>
      <c r="Z37" s="74">
        <v>836831</v>
      </c>
      <c r="AA37" s="17">
        <f t="shared" si="176"/>
        <v>856</v>
      </c>
      <c r="AB37" s="74">
        <v>244885</v>
      </c>
      <c r="AC37" s="17">
        <f t="shared" si="177"/>
        <v>2088</v>
      </c>
      <c r="AD37" s="74">
        <v>931722</v>
      </c>
      <c r="AE37" s="17">
        <f t="shared" si="178"/>
        <v>3682</v>
      </c>
      <c r="AF37" s="74">
        <v>124047</v>
      </c>
      <c r="AG37" s="17">
        <f t="shared" si="179"/>
        <v>2131</v>
      </c>
      <c r="AH37" s="74">
        <v>683927</v>
      </c>
      <c r="AI37" s="17">
        <f t="shared" si="180"/>
        <v>9457</v>
      </c>
      <c r="AK37" s="97">
        <f t="shared" si="205"/>
        <v>240673</v>
      </c>
      <c r="AL37" s="98">
        <f t="shared" si="206"/>
        <v>25562</v>
      </c>
    </row>
    <row r="38" spans="1:38" s="147" customFormat="1" ht="39.950000000000003" customHeight="1">
      <c r="A38" s="145">
        <v>43982</v>
      </c>
      <c r="B38" s="146"/>
      <c r="C38" s="49">
        <v>160206</v>
      </c>
      <c r="D38" s="17">
        <f t="shared" si="193"/>
        <v>35050</v>
      </c>
      <c r="E38" s="74">
        <v>722176</v>
      </c>
      <c r="F38" s="17">
        <f t="shared" si="193"/>
        <v>56120</v>
      </c>
      <c r="G38" s="49">
        <v>655823</v>
      </c>
      <c r="H38" s="17">
        <f t="shared" si="193"/>
        <v>15480</v>
      </c>
      <c r="I38" s="17">
        <f t="shared" si="196"/>
        <v>7740</v>
      </c>
      <c r="J38" s="49">
        <v>325152</v>
      </c>
      <c r="K38" s="17">
        <f t="shared" si="172"/>
        <v>53000</v>
      </c>
      <c r="L38" s="49">
        <v>623390</v>
      </c>
      <c r="M38" s="17">
        <f t="shared" si="173"/>
        <v>83760</v>
      </c>
      <c r="N38" s="49">
        <v>599352</v>
      </c>
      <c r="O38" s="17">
        <f t="shared" si="197"/>
        <v>15860</v>
      </c>
      <c r="P38" s="17">
        <f t="shared" si="198"/>
        <v>7930</v>
      </c>
      <c r="Q38" s="49">
        <v>43410</v>
      </c>
      <c r="R38" s="17">
        <f t="shared" si="199"/>
        <v>20</v>
      </c>
      <c r="S38" s="17">
        <f t="shared" si="200"/>
        <v>10</v>
      </c>
      <c r="T38" s="49">
        <v>780</v>
      </c>
      <c r="U38" s="17">
        <f t="shared" si="201"/>
        <v>20</v>
      </c>
      <c r="V38" s="17">
        <f t="shared" si="202"/>
        <v>10</v>
      </c>
      <c r="W38" s="49">
        <v>41056</v>
      </c>
      <c r="X38" s="17">
        <f>(W38-W37)</f>
        <v>260</v>
      </c>
      <c r="Y38" s="17">
        <f t="shared" si="204"/>
        <v>130</v>
      </c>
      <c r="Z38" s="49">
        <v>837726</v>
      </c>
      <c r="AA38" s="17">
        <f>(Z38-Z37)</f>
        <v>895</v>
      </c>
      <c r="AB38" s="49">
        <v>246897</v>
      </c>
      <c r="AC38" s="17">
        <f>(AB38-AB37)</f>
        <v>2012</v>
      </c>
      <c r="AD38" s="49">
        <v>935316</v>
      </c>
      <c r="AE38" s="17">
        <f>(AD38-AD37)</f>
        <v>3594</v>
      </c>
      <c r="AF38" s="49">
        <v>126198</v>
      </c>
      <c r="AG38" s="17">
        <f>(AF38-AF37)</f>
        <v>2151</v>
      </c>
      <c r="AH38" s="49">
        <v>693143</v>
      </c>
      <c r="AI38" s="17">
        <f>(AH38-AH37)</f>
        <v>9216</v>
      </c>
      <c r="AK38" s="97">
        <f t="shared" ref="AK38" si="207">SUM(D38,F38,I38,K38,M38,P38,S38,V38,Y38)</f>
        <v>243750</v>
      </c>
      <c r="AL38" s="98">
        <f>SUM(P38,S38,V38,Y38,AA38,AC38,AE38,AG38,AI38)</f>
        <v>25948</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6" activePane="bottomRight" state="frozen"/>
      <selection pane="topRight" activeCell="C1" sqref="C1"/>
      <selection pane="bottomLeft" activeCell="A5" sqref="A5"/>
      <selection pane="bottomRight" activeCell="C35" sqref="C3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02" t="s">
        <v>64</v>
      </c>
      <c r="D1" s="202"/>
      <c r="E1" s="202" t="s">
        <v>64</v>
      </c>
      <c r="F1" s="202"/>
      <c r="G1" s="202" t="s">
        <v>64</v>
      </c>
      <c r="H1" s="202"/>
      <c r="I1" s="202" t="s">
        <v>64</v>
      </c>
      <c r="J1" s="202"/>
      <c r="K1" s="215" t="s">
        <v>65</v>
      </c>
      <c r="L1" s="216"/>
      <c r="M1" s="216"/>
      <c r="N1" s="217"/>
      <c r="O1" s="202" t="s">
        <v>66</v>
      </c>
      <c r="P1" s="202"/>
    </row>
    <row r="2" spans="1:19" s="27" customFormat="1" ht="113.25" customHeight="1">
      <c r="A2" s="26"/>
      <c r="B2" s="26"/>
      <c r="C2" s="218" t="s">
        <v>102</v>
      </c>
      <c r="D2" s="219"/>
      <c r="E2" s="218" t="s">
        <v>103</v>
      </c>
      <c r="F2" s="219"/>
      <c r="G2" s="218" t="s">
        <v>104</v>
      </c>
      <c r="H2" s="219"/>
      <c r="I2" s="218" t="s">
        <v>105</v>
      </c>
      <c r="J2" s="219"/>
      <c r="K2" s="227" t="s">
        <v>106</v>
      </c>
      <c r="L2" s="228"/>
      <c r="M2" s="228"/>
      <c r="N2" s="229"/>
      <c r="O2" s="218" t="s">
        <v>107</v>
      </c>
      <c r="P2" s="219"/>
    </row>
    <row r="3" spans="1:19" s="32" customFormat="1" ht="50.1" customHeight="1">
      <c r="A3" s="41"/>
      <c r="B3" s="41"/>
      <c r="C3" s="222" t="s">
        <v>108</v>
      </c>
      <c r="D3" s="223"/>
      <c r="E3" s="220" t="s">
        <v>109</v>
      </c>
      <c r="F3" s="221"/>
      <c r="G3" s="220" t="s">
        <v>110</v>
      </c>
      <c r="H3" s="221"/>
      <c r="I3" s="220" t="s">
        <v>111</v>
      </c>
      <c r="J3" s="221"/>
      <c r="K3" s="224" t="s">
        <v>112</v>
      </c>
      <c r="L3" s="225"/>
      <c r="M3" s="225"/>
      <c r="N3" s="226"/>
      <c r="O3" s="222" t="s">
        <v>113</v>
      </c>
      <c r="P3" s="223"/>
      <c r="R3" s="200" t="s">
        <v>80</v>
      </c>
      <c r="S3" s="200"/>
    </row>
    <row r="4" spans="1:19" s="8" customFormat="1" ht="30" customHeight="1">
      <c r="A4" s="107" t="s">
        <v>95</v>
      </c>
      <c r="B4" s="51"/>
      <c r="C4" s="209"/>
      <c r="D4" s="210"/>
      <c r="E4" s="209"/>
      <c r="F4" s="210"/>
      <c r="G4" s="209"/>
      <c r="H4" s="210"/>
      <c r="I4" s="209"/>
      <c r="J4" s="210"/>
      <c r="K4" s="209"/>
      <c r="L4" s="214"/>
      <c r="M4" s="214"/>
      <c r="N4" s="210"/>
      <c r="O4" s="51"/>
      <c r="P4" s="51"/>
      <c r="R4" s="200"/>
      <c r="S4" s="200"/>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43951</v>
      </c>
      <c r="B6" s="16"/>
      <c r="C6" s="84">
        <v>152341</v>
      </c>
      <c r="D6" s="182"/>
      <c r="E6" s="84">
        <v>122477</v>
      </c>
      <c r="F6" s="182"/>
      <c r="G6" s="84">
        <v>4910</v>
      </c>
      <c r="H6" s="182"/>
      <c r="I6" s="84">
        <v>8465</v>
      </c>
      <c r="J6" s="182"/>
      <c r="K6" s="84">
        <v>102544</v>
      </c>
      <c r="L6" s="76"/>
      <c r="M6" s="182"/>
      <c r="N6" s="182"/>
      <c r="O6" s="84">
        <v>74568</v>
      </c>
      <c r="P6" s="182"/>
      <c r="R6" s="97"/>
      <c r="S6" s="98"/>
    </row>
    <row r="7" spans="1:19" s="2" customFormat="1" ht="39.950000000000003" customHeight="1">
      <c r="A7" s="145">
        <v>43952</v>
      </c>
      <c r="B7" s="15"/>
      <c r="C7" s="84">
        <v>152439</v>
      </c>
      <c r="D7" s="182">
        <f>(C7-C6)</f>
        <v>98</v>
      </c>
      <c r="E7" s="84">
        <v>122683</v>
      </c>
      <c r="F7" s="182">
        <f>(E7-E6)</f>
        <v>206</v>
      </c>
      <c r="G7" s="84">
        <f>(G11-G6)/5+G6</f>
        <v>4916.8050599999997</v>
      </c>
      <c r="H7" s="182">
        <f>(G7-G6)</f>
        <v>6.8050599999996848</v>
      </c>
      <c r="I7" s="84">
        <f>(I11-I6)/5+I6</f>
        <v>8475.7999999999993</v>
      </c>
      <c r="J7" s="182">
        <f>(I7-I6)</f>
        <v>10.799999999999272</v>
      </c>
      <c r="K7" s="84">
        <v>102580</v>
      </c>
      <c r="L7" s="76">
        <f>(K7-K6)</f>
        <v>36</v>
      </c>
      <c r="M7" s="182">
        <f>L7*55%</f>
        <v>19.8</v>
      </c>
      <c r="N7" s="182">
        <f>L7*45%</f>
        <v>16.2</v>
      </c>
      <c r="O7" s="84">
        <v>74643</v>
      </c>
      <c r="P7" s="182">
        <f>(O7-O6)</f>
        <v>75</v>
      </c>
      <c r="R7" s="106">
        <f t="shared" ref="R7:R34" si="0">SUM(D7,F7,M71,H7)</f>
        <v>310.80505999999968</v>
      </c>
      <c r="S7" s="98">
        <f>SUM(N7,P7)</f>
        <v>91.2</v>
      </c>
    </row>
    <row r="8" spans="1:19" ht="39.950000000000003" customHeight="1">
      <c r="A8" s="145">
        <v>43953</v>
      </c>
      <c r="B8" s="16"/>
      <c r="C8" s="84">
        <f>(C12-C7)/5+C7</f>
        <v>152567.6</v>
      </c>
      <c r="D8" s="182">
        <f t="shared" ref="D8:F35" si="1">(C8-C7)</f>
        <v>128.60000000000582</v>
      </c>
      <c r="E8" s="84">
        <f>(E12-E7)/5+E7</f>
        <v>122877.6</v>
      </c>
      <c r="F8" s="182">
        <f t="shared" si="1"/>
        <v>194.60000000000582</v>
      </c>
      <c r="G8" s="84">
        <f>(G11-G6)/5+G7</f>
        <v>4923.6101199999994</v>
      </c>
      <c r="H8" s="182">
        <f t="shared" ref="H8" si="2">(G8-G7)</f>
        <v>6.8050599999996848</v>
      </c>
      <c r="I8" s="84">
        <f>(I11-I6)/5+I7</f>
        <v>8486.5999999999985</v>
      </c>
      <c r="J8" s="182">
        <f t="shared" ref="J8" si="3">(I8-I7)</f>
        <v>10.799999999999272</v>
      </c>
      <c r="K8" s="84">
        <f>(K12-K7)/5+K7</f>
        <v>102657.4</v>
      </c>
      <c r="L8" s="182">
        <f t="shared" ref="L8" si="4">(K8-K7)</f>
        <v>77.399999999994179</v>
      </c>
      <c r="M8" s="182">
        <f t="shared" ref="M8:M34" si="5">L8*55%</f>
        <v>42.569999999996803</v>
      </c>
      <c r="N8" s="182">
        <f t="shared" ref="N8:N34" si="6">L8*45%</f>
        <v>34.829999999997383</v>
      </c>
      <c r="O8" s="84">
        <f>(O12-O7)/5+O7</f>
        <v>74715.8</v>
      </c>
      <c r="P8" s="182">
        <f t="shared" ref="P8" si="7">(O8-O7)</f>
        <v>72.80000000000291</v>
      </c>
      <c r="R8" s="106">
        <f t="shared" si="0"/>
        <v>330.00506000001133</v>
      </c>
      <c r="S8" s="98">
        <f t="shared" ref="S8:S34" si="8">SUM(N8,P8)</f>
        <v>107.63000000000029</v>
      </c>
    </row>
    <row r="9" spans="1:19" ht="39.950000000000003" customHeight="1">
      <c r="A9" s="145">
        <v>43954</v>
      </c>
      <c r="B9" s="16"/>
      <c r="C9" s="84">
        <f>(C12-C7)/5+C8</f>
        <v>152696.20000000001</v>
      </c>
      <c r="D9" s="182">
        <f t="shared" si="1"/>
        <v>128.60000000000582</v>
      </c>
      <c r="E9" s="84">
        <f>(E12-E7)/5+E8</f>
        <v>123072.20000000001</v>
      </c>
      <c r="F9" s="182">
        <f t="shared" si="1"/>
        <v>194.60000000000582</v>
      </c>
      <c r="G9" s="84">
        <f>(G11-G6)/5+G8</f>
        <v>4930.4151799999991</v>
      </c>
      <c r="H9" s="182">
        <f t="shared" ref="H9" si="9">(G9-G8)</f>
        <v>6.8050599999996848</v>
      </c>
      <c r="I9" s="84">
        <f>(I11-I6)/5+I8</f>
        <v>8497.3999999999978</v>
      </c>
      <c r="J9" s="182">
        <f t="shared" ref="J9" si="10">(I9-I8)</f>
        <v>10.799999999999272</v>
      </c>
      <c r="K9" s="84">
        <f>(K12-K7)/5+K8</f>
        <v>102734.79999999999</v>
      </c>
      <c r="L9" s="182">
        <f t="shared" ref="L9" si="11">(K9-K8)</f>
        <v>77.399999999994179</v>
      </c>
      <c r="M9" s="182">
        <f t="shared" si="5"/>
        <v>42.569999999996803</v>
      </c>
      <c r="N9" s="182">
        <f t="shared" si="6"/>
        <v>34.829999999997383</v>
      </c>
      <c r="O9" s="84">
        <f>(O12-O7)/5+O8</f>
        <v>74788.600000000006</v>
      </c>
      <c r="P9" s="182">
        <f t="shared" ref="P9" si="12">(O9-O8)</f>
        <v>72.80000000000291</v>
      </c>
      <c r="R9" s="106">
        <f t="shared" si="0"/>
        <v>330.00506000001133</v>
      </c>
      <c r="S9" s="98">
        <f t="shared" si="8"/>
        <v>107.63000000000029</v>
      </c>
    </row>
    <row r="10" spans="1:19" ht="39.950000000000003" customHeight="1">
      <c r="A10" s="145">
        <v>43955</v>
      </c>
      <c r="B10" s="16"/>
      <c r="C10" s="84">
        <f>(C12-C7)/5+C9</f>
        <v>152824.80000000002</v>
      </c>
      <c r="D10" s="182">
        <f t="shared" si="1"/>
        <v>128.60000000000582</v>
      </c>
      <c r="E10" s="84">
        <f>(E12-E7)/5+E9</f>
        <v>123266.80000000002</v>
      </c>
      <c r="F10" s="182">
        <f t="shared" si="1"/>
        <v>194.60000000000582</v>
      </c>
      <c r="G10" s="84">
        <f>(G11-G6)/5+G9</f>
        <v>4937.2202399999987</v>
      </c>
      <c r="H10" s="182">
        <f t="shared" ref="H10" si="13">(G10-G9)</f>
        <v>6.8050599999996848</v>
      </c>
      <c r="I10" s="84">
        <f>(I11-I6)/5+I9</f>
        <v>8508.1999999999971</v>
      </c>
      <c r="J10" s="182">
        <f t="shared" ref="J10" si="14">(I10-I9)</f>
        <v>10.799999999999272</v>
      </c>
      <c r="K10" s="84">
        <f>(K12-K7)/5+K9</f>
        <v>102812.19999999998</v>
      </c>
      <c r="L10" s="182">
        <f t="shared" ref="L10" si="15">(K10-K9)</f>
        <v>77.399999999994179</v>
      </c>
      <c r="M10" s="182">
        <f t="shared" si="5"/>
        <v>42.569999999996803</v>
      </c>
      <c r="N10" s="182">
        <f t="shared" si="6"/>
        <v>34.829999999997383</v>
      </c>
      <c r="O10" s="84">
        <f>(O12-O7)/5+O9</f>
        <v>74861.400000000009</v>
      </c>
      <c r="P10" s="182">
        <f t="shared" ref="P10" si="16">(O10-O9)</f>
        <v>72.80000000000291</v>
      </c>
      <c r="R10" s="106">
        <f t="shared" si="0"/>
        <v>330.00506000001133</v>
      </c>
      <c r="S10" s="98">
        <f t="shared" si="8"/>
        <v>107.63000000000029</v>
      </c>
    </row>
    <row r="11" spans="1:19" ht="39.950000000000003" customHeight="1">
      <c r="A11" s="145">
        <v>43956</v>
      </c>
      <c r="B11" s="16"/>
      <c r="C11" s="84">
        <f>(C12-C7)/5+C10</f>
        <v>152953.40000000002</v>
      </c>
      <c r="D11" s="182">
        <f t="shared" si="1"/>
        <v>128.60000000000582</v>
      </c>
      <c r="E11" s="84">
        <f>(E12-E7)/5+E10</f>
        <v>123461.40000000002</v>
      </c>
      <c r="F11" s="182">
        <f t="shared" si="1"/>
        <v>194.60000000000582</v>
      </c>
      <c r="G11" s="84">
        <v>4944.0253000000002</v>
      </c>
      <c r="H11" s="182">
        <f t="shared" ref="H11" si="17">(G11-G10)</f>
        <v>6.8050600000015038</v>
      </c>
      <c r="I11" s="84">
        <v>8519</v>
      </c>
      <c r="J11" s="182">
        <f t="shared" ref="J11" si="18">(I11-I10)</f>
        <v>10.80000000000291</v>
      </c>
      <c r="K11" s="84">
        <f>(K12-K7)/5+K10</f>
        <v>102889.59999999998</v>
      </c>
      <c r="L11" s="182">
        <f t="shared" ref="L11" si="19">(K11-K10)</f>
        <v>77.399999999994179</v>
      </c>
      <c r="M11" s="182">
        <f t="shared" si="5"/>
        <v>42.569999999996803</v>
      </c>
      <c r="N11" s="182">
        <f t="shared" si="6"/>
        <v>34.829999999997383</v>
      </c>
      <c r="O11" s="84">
        <f>(O12-O7)/5+O10</f>
        <v>74934.200000000012</v>
      </c>
      <c r="P11" s="182">
        <f t="shared" ref="P11" si="20">(O11-O10)</f>
        <v>72.80000000000291</v>
      </c>
      <c r="R11" s="106">
        <f t="shared" si="0"/>
        <v>330.00506000001315</v>
      </c>
      <c r="S11" s="98">
        <f t="shared" si="8"/>
        <v>107.63000000000029</v>
      </c>
    </row>
    <row r="12" spans="1:19" ht="39.950000000000003" customHeight="1">
      <c r="A12" s="145">
        <v>43957</v>
      </c>
      <c r="B12" s="16"/>
      <c r="C12" s="84">
        <v>153082</v>
      </c>
      <c r="D12" s="182">
        <f t="shared" si="1"/>
        <v>128.59999999997672</v>
      </c>
      <c r="E12" s="84">
        <v>123656</v>
      </c>
      <c r="F12" s="182">
        <f t="shared" si="1"/>
        <v>194.59999999997672</v>
      </c>
      <c r="G12" s="84">
        <v>4949.0472</v>
      </c>
      <c r="H12" s="182">
        <f t="shared" ref="H12" si="21">(G12-G11)</f>
        <v>5.0218999999997322</v>
      </c>
      <c r="I12" s="84">
        <v>8530</v>
      </c>
      <c r="J12" s="182">
        <f t="shared" ref="J12" si="22">(I12-I11)</f>
        <v>11</v>
      </c>
      <c r="K12" s="84">
        <v>102967</v>
      </c>
      <c r="L12" s="182">
        <f t="shared" ref="L12" si="23">(K12-K11)</f>
        <v>77.400000000023283</v>
      </c>
      <c r="M12" s="182">
        <f t="shared" si="5"/>
        <v>42.570000000012811</v>
      </c>
      <c r="N12" s="182">
        <f t="shared" si="6"/>
        <v>34.830000000010479</v>
      </c>
      <c r="O12" s="84">
        <v>75007</v>
      </c>
      <c r="P12" s="182">
        <f t="shared" ref="P12" si="24">(O12-O11)</f>
        <v>72.799999999988358</v>
      </c>
      <c r="R12" s="106">
        <f t="shared" si="0"/>
        <v>328.22189999995317</v>
      </c>
      <c r="S12" s="98">
        <f t="shared" si="8"/>
        <v>107.62999999999883</v>
      </c>
    </row>
    <row r="13" spans="1:19" ht="39.950000000000003" customHeight="1">
      <c r="A13" s="145">
        <v>43958</v>
      </c>
      <c r="B13" s="16"/>
      <c r="C13" s="84">
        <v>153167</v>
      </c>
      <c r="D13" s="182">
        <f t="shared" si="1"/>
        <v>85</v>
      </c>
      <c r="E13" s="84">
        <v>123898</v>
      </c>
      <c r="F13" s="182">
        <f t="shared" si="1"/>
        <v>242</v>
      </c>
      <c r="G13" s="84">
        <v>4954.7529000000004</v>
      </c>
      <c r="H13" s="182">
        <f t="shared" ref="H13" si="25">(G13-G12)</f>
        <v>5.7057000000004336</v>
      </c>
      <c r="I13" s="84">
        <v>8544</v>
      </c>
      <c r="J13" s="182">
        <f t="shared" ref="J13" si="26">(I13-I12)</f>
        <v>14</v>
      </c>
      <c r="K13" s="84">
        <v>103060</v>
      </c>
      <c r="L13" s="76">
        <f t="shared" ref="L13" si="27">(K13-K12)</f>
        <v>93</v>
      </c>
      <c r="M13" s="182">
        <f t="shared" si="5"/>
        <v>51.150000000000006</v>
      </c>
      <c r="N13" s="182">
        <f t="shared" si="6"/>
        <v>41.85</v>
      </c>
      <c r="O13" s="84">
        <v>75085</v>
      </c>
      <c r="P13" s="182">
        <f t="shared" ref="P13" si="28">(O13-O12)</f>
        <v>78</v>
      </c>
      <c r="R13" s="106">
        <f t="shared" si="0"/>
        <v>332.70570000000043</v>
      </c>
      <c r="S13" s="98">
        <f t="shared" si="8"/>
        <v>119.85</v>
      </c>
    </row>
    <row r="14" spans="1:19" ht="39.950000000000003" customHeight="1">
      <c r="A14" s="145">
        <v>43959</v>
      </c>
      <c r="B14" s="16"/>
      <c r="C14" s="84">
        <v>153258</v>
      </c>
      <c r="D14" s="182">
        <f t="shared" si="1"/>
        <v>91</v>
      </c>
      <c r="E14" s="84">
        <v>124095</v>
      </c>
      <c r="F14" s="182">
        <f t="shared" si="1"/>
        <v>197</v>
      </c>
      <c r="G14" s="84">
        <v>4961.5841</v>
      </c>
      <c r="H14" s="182">
        <f t="shared" ref="H14" si="29">(G14-G13)</f>
        <v>6.831199999999626</v>
      </c>
      <c r="I14" s="84">
        <v>8554</v>
      </c>
      <c r="J14" s="182">
        <f t="shared" ref="J14" si="30">(I14-I13)</f>
        <v>10</v>
      </c>
      <c r="K14" s="84">
        <v>103122</v>
      </c>
      <c r="L14" s="76">
        <f t="shared" ref="L14" si="31">(K14-K13)</f>
        <v>62</v>
      </c>
      <c r="M14" s="182">
        <f t="shared" si="5"/>
        <v>34.1</v>
      </c>
      <c r="N14" s="182">
        <f t="shared" si="6"/>
        <v>27.900000000000002</v>
      </c>
      <c r="O14" s="84">
        <v>75161</v>
      </c>
      <c r="P14" s="182">
        <f t="shared" ref="P14" si="32">(O14-O13)</f>
        <v>76</v>
      </c>
      <c r="R14" s="106">
        <f t="shared" si="0"/>
        <v>294.83119999999963</v>
      </c>
      <c r="S14" s="98">
        <f t="shared" si="8"/>
        <v>103.9</v>
      </c>
    </row>
    <row r="15" spans="1:19" ht="39.950000000000003" customHeight="1">
      <c r="A15" s="145">
        <v>43960</v>
      </c>
      <c r="B15" s="16"/>
      <c r="C15" s="84">
        <v>153363</v>
      </c>
      <c r="D15" s="182">
        <f t="shared" si="1"/>
        <v>105</v>
      </c>
      <c r="E15" s="84">
        <v>124291</v>
      </c>
      <c r="F15" s="182">
        <f t="shared" si="1"/>
        <v>196</v>
      </c>
      <c r="G15" s="84">
        <v>4965.6412</v>
      </c>
      <c r="H15" s="182">
        <f t="shared" ref="H15" si="33">(G15-G14)</f>
        <v>4.0570999999999913</v>
      </c>
      <c r="I15" s="84">
        <v>8566</v>
      </c>
      <c r="J15" s="182">
        <f t="shared" ref="J15" si="34">(I15-I14)</f>
        <v>12</v>
      </c>
      <c r="K15" s="84">
        <v>103223</v>
      </c>
      <c r="L15" s="76">
        <f t="shared" ref="L15" si="35">(K15-K14)</f>
        <v>101</v>
      </c>
      <c r="M15" s="182">
        <f t="shared" si="5"/>
        <v>55.550000000000004</v>
      </c>
      <c r="N15" s="182">
        <f t="shared" si="6"/>
        <v>45.45</v>
      </c>
      <c r="O15" s="84">
        <v>75240</v>
      </c>
      <c r="P15" s="182">
        <f t="shared" ref="P15" si="36">(O15-O14)</f>
        <v>79</v>
      </c>
      <c r="R15" s="106">
        <f t="shared" si="0"/>
        <v>305.05709999999999</v>
      </c>
      <c r="S15" s="98">
        <f t="shared" si="8"/>
        <v>124.45</v>
      </c>
    </row>
    <row r="16" spans="1:19" ht="39.950000000000003" customHeight="1">
      <c r="A16" s="145">
        <v>43961</v>
      </c>
      <c r="B16" s="16"/>
      <c r="C16" s="84">
        <v>153487</v>
      </c>
      <c r="D16" s="182">
        <f t="shared" si="1"/>
        <v>124</v>
      </c>
      <c r="E16" s="84">
        <v>124498</v>
      </c>
      <c r="F16" s="182">
        <f t="shared" si="1"/>
        <v>207</v>
      </c>
      <c r="G16" s="84">
        <v>4969.3410999999996</v>
      </c>
      <c r="H16" s="182">
        <f t="shared" ref="H16" si="37">(G16-G15)</f>
        <v>3.6998999999996158</v>
      </c>
      <c r="I16" s="84">
        <v>8579</v>
      </c>
      <c r="J16" s="182">
        <f t="shared" ref="J16" si="38">(I16-I15)</f>
        <v>13</v>
      </c>
      <c r="K16" s="84">
        <v>103300</v>
      </c>
      <c r="L16" s="76">
        <f t="shared" ref="L16" si="39">(K16-K15)</f>
        <v>77</v>
      </c>
      <c r="M16" s="182">
        <f t="shared" si="5"/>
        <v>42.35</v>
      </c>
      <c r="N16" s="182">
        <f t="shared" si="6"/>
        <v>34.65</v>
      </c>
      <c r="O16" s="84">
        <v>75316</v>
      </c>
      <c r="P16" s="182">
        <f t="shared" ref="P16" si="40">(O16-O15)</f>
        <v>76</v>
      </c>
      <c r="R16" s="106">
        <f t="shared" si="0"/>
        <v>334.69989999999962</v>
      </c>
      <c r="S16" s="98">
        <f t="shared" si="8"/>
        <v>110.65</v>
      </c>
    </row>
    <row r="17" spans="1:19" ht="39.950000000000003" customHeight="1">
      <c r="A17" s="145">
        <v>43962</v>
      </c>
      <c r="B17" s="16"/>
      <c r="C17" s="83">
        <v>153645</v>
      </c>
      <c r="D17" s="182">
        <f t="shared" si="1"/>
        <v>158</v>
      </c>
      <c r="E17" s="83">
        <v>124727</v>
      </c>
      <c r="F17" s="182">
        <f t="shared" si="1"/>
        <v>229</v>
      </c>
      <c r="G17" s="83">
        <v>4974.6196</v>
      </c>
      <c r="H17" s="182">
        <f t="shared" ref="H17" si="41">(G17-G16)</f>
        <v>5.2785000000003492</v>
      </c>
      <c r="I17" s="83">
        <v>8600</v>
      </c>
      <c r="J17" s="182">
        <f t="shared" ref="J17" si="42">(I17-I16)</f>
        <v>21</v>
      </c>
      <c r="K17" s="83">
        <v>103391</v>
      </c>
      <c r="L17" s="76">
        <f t="shared" ref="L17" si="43">(K17-K16)</f>
        <v>91</v>
      </c>
      <c r="M17" s="182">
        <f t="shared" si="5"/>
        <v>50.050000000000004</v>
      </c>
      <c r="N17" s="182">
        <f t="shared" si="6"/>
        <v>40.950000000000003</v>
      </c>
      <c r="O17" s="83">
        <v>75391</v>
      </c>
      <c r="P17" s="182">
        <f t="shared" ref="P17" si="44">(O17-O16)</f>
        <v>75</v>
      </c>
      <c r="R17" s="106">
        <f t="shared" si="0"/>
        <v>392.27850000000035</v>
      </c>
      <c r="S17" s="98">
        <f t="shared" si="8"/>
        <v>115.95</v>
      </c>
    </row>
    <row r="18" spans="1:19" ht="39.950000000000003" customHeight="1">
      <c r="A18" s="145">
        <v>43963</v>
      </c>
      <c r="B18" s="16"/>
      <c r="C18" s="83">
        <v>153752</v>
      </c>
      <c r="D18" s="182">
        <f t="shared" si="1"/>
        <v>107</v>
      </c>
      <c r="E18" s="83">
        <v>124882</v>
      </c>
      <c r="F18" s="182">
        <f t="shared" si="1"/>
        <v>155</v>
      </c>
      <c r="G18" s="83">
        <v>4978.2991000000002</v>
      </c>
      <c r="H18" s="182">
        <f t="shared" ref="H18" si="45">(G18-G17)</f>
        <v>3.6795000000001892</v>
      </c>
      <c r="I18" s="83">
        <v>8610</v>
      </c>
      <c r="J18" s="182">
        <f t="shared" ref="J18" si="46">(I18-I17)</f>
        <v>10</v>
      </c>
      <c r="K18" s="83">
        <v>103498</v>
      </c>
      <c r="L18" s="76">
        <f t="shared" ref="L18" si="47">(K18-K17)</f>
        <v>107</v>
      </c>
      <c r="M18" s="182">
        <f t="shared" si="5"/>
        <v>58.85</v>
      </c>
      <c r="N18" s="182">
        <f t="shared" si="6"/>
        <v>48.15</v>
      </c>
      <c r="O18" s="83">
        <v>75456</v>
      </c>
      <c r="P18" s="182">
        <f t="shared" ref="P18" si="48">(O18-O17)</f>
        <v>65</v>
      </c>
      <c r="R18" s="106">
        <f t="shared" si="0"/>
        <v>265.67950000000019</v>
      </c>
      <c r="S18" s="98">
        <f t="shared" si="8"/>
        <v>113.15</v>
      </c>
    </row>
    <row r="19" spans="1:19" s="79" customFormat="1" ht="39.950000000000003" customHeight="1">
      <c r="A19" s="145">
        <v>43964</v>
      </c>
      <c r="B19" s="82"/>
      <c r="C19" s="84">
        <v>153905</v>
      </c>
      <c r="D19" s="182">
        <f t="shared" si="1"/>
        <v>153</v>
      </c>
      <c r="E19" s="84">
        <v>125117</v>
      </c>
      <c r="F19" s="182">
        <f t="shared" si="1"/>
        <v>235</v>
      </c>
      <c r="G19" s="84">
        <v>4984.0253000000002</v>
      </c>
      <c r="H19" s="182">
        <f t="shared" ref="H19" si="49">(G19-G18)</f>
        <v>5.7262000000000626</v>
      </c>
      <c r="I19" s="84">
        <v>8616</v>
      </c>
      <c r="J19" s="182">
        <f t="shared" ref="J19" si="50">(I19-I18)</f>
        <v>6</v>
      </c>
      <c r="K19" s="84">
        <v>103597</v>
      </c>
      <c r="L19" s="76">
        <f t="shared" ref="L19" si="51">(K19-K18)</f>
        <v>99</v>
      </c>
      <c r="M19" s="182">
        <f t="shared" si="5"/>
        <v>54.45</v>
      </c>
      <c r="N19" s="182">
        <f t="shared" si="6"/>
        <v>44.550000000000004</v>
      </c>
      <c r="O19" s="84">
        <v>75532</v>
      </c>
      <c r="P19" s="182">
        <f t="shared" ref="P19" si="52">(O19-O18)</f>
        <v>76</v>
      </c>
      <c r="R19" s="168">
        <f t="shared" si="0"/>
        <v>393.72620000000006</v>
      </c>
      <c r="S19" s="105">
        <f t="shared" si="8"/>
        <v>120.55000000000001</v>
      </c>
    </row>
    <row r="20" spans="1:19" s="79" customFormat="1" ht="39.950000000000003" customHeight="1">
      <c r="A20" s="145">
        <v>43965</v>
      </c>
      <c r="B20" s="82"/>
      <c r="C20" s="84">
        <v>154050</v>
      </c>
      <c r="D20" s="182">
        <f t="shared" si="1"/>
        <v>145</v>
      </c>
      <c r="E20" s="84">
        <v>125339</v>
      </c>
      <c r="F20" s="182">
        <f t="shared" si="1"/>
        <v>222</v>
      </c>
      <c r="G20" s="84">
        <v>4987.9089000000004</v>
      </c>
      <c r="H20" s="182">
        <f t="shared" ref="H20" si="53">(G20-G19)</f>
        <v>3.883600000000115</v>
      </c>
      <c r="I20" s="84">
        <v>8627</v>
      </c>
      <c r="J20" s="182">
        <f t="shared" ref="J20" si="54">(I20-I19)</f>
        <v>11</v>
      </c>
      <c r="K20" s="84">
        <v>103694</v>
      </c>
      <c r="L20" s="76">
        <f t="shared" ref="L20" si="55">(K20-K19)</f>
        <v>97</v>
      </c>
      <c r="M20" s="182">
        <f t="shared" si="5"/>
        <v>53.35</v>
      </c>
      <c r="N20" s="182">
        <f t="shared" si="6"/>
        <v>43.65</v>
      </c>
      <c r="O20" s="84">
        <v>75606</v>
      </c>
      <c r="P20" s="182">
        <f t="shared" ref="P20" si="56">(O20-O19)</f>
        <v>74</v>
      </c>
      <c r="R20" s="168">
        <f t="shared" si="0"/>
        <v>370.88360000000011</v>
      </c>
      <c r="S20" s="105">
        <f t="shared" si="8"/>
        <v>117.65</v>
      </c>
    </row>
    <row r="21" spans="1:19" s="79" customFormat="1" ht="39.950000000000003" customHeight="1">
      <c r="A21" s="145">
        <v>43966</v>
      </c>
      <c r="B21" s="82"/>
      <c r="C21" s="84">
        <v>154181</v>
      </c>
      <c r="D21" s="182">
        <f t="shared" si="1"/>
        <v>131</v>
      </c>
      <c r="E21" s="84">
        <v>125566</v>
      </c>
      <c r="F21" s="182">
        <f>(E21-E20)</f>
        <v>227</v>
      </c>
      <c r="G21" s="84">
        <v>4994.6839</v>
      </c>
      <c r="H21" s="182">
        <f t="shared" ref="H21" si="57">(G21-G20)</f>
        <v>6.7749999999996362</v>
      </c>
      <c r="I21" s="84">
        <v>8638</v>
      </c>
      <c r="J21" s="182">
        <f t="shared" ref="J21" si="58">(I21-I20)</f>
        <v>11</v>
      </c>
      <c r="K21" s="84">
        <v>103780</v>
      </c>
      <c r="L21" s="76">
        <f t="shared" ref="L21" si="59">(K21-K20)</f>
        <v>86</v>
      </c>
      <c r="M21" s="182">
        <f t="shared" si="5"/>
        <v>47.300000000000004</v>
      </c>
      <c r="N21" s="182">
        <f t="shared" si="6"/>
        <v>38.700000000000003</v>
      </c>
      <c r="O21" s="84">
        <v>75681</v>
      </c>
      <c r="P21" s="182">
        <f t="shared" ref="P21" si="60">(O21-O20)</f>
        <v>75</v>
      </c>
      <c r="R21" s="168">
        <f t="shared" si="0"/>
        <v>364.77499999999964</v>
      </c>
      <c r="S21" s="105">
        <f t="shared" si="8"/>
        <v>113.7</v>
      </c>
    </row>
    <row r="22" spans="1:19" s="79" customFormat="1" ht="39.950000000000003" customHeight="1">
      <c r="A22" s="145">
        <v>43967</v>
      </c>
      <c r="B22" s="82"/>
      <c r="C22" s="83">
        <v>154320</v>
      </c>
      <c r="D22" s="182">
        <f t="shared" si="1"/>
        <v>139</v>
      </c>
      <c r="E22" s="83">
        <v>125777</v>
      </c>
      <c r="F22" s="182">
        <f>(E22-E21)</f>
        <v>211</v>
      </c>
      <c r="G22" s="83">
        <v>4997.6207999999997</v>
      </c>
      <c r="H22" s="182">
        <f t="shared" ref="H22" si="61">(G22-G21)</f>
        <v>2.9368999999996959</v>
      </c>
      <c r="I22" s="83">
        <v>8650</v>
      </c>
      <c r="J22" s="182">
        <f t="shared" ref="J22" si="62">(I22-I21)</f>
        <v>12</v>
      </c>
      <c r="K22" s="83">
        <v>103884</v>
      </c>
      <c r="L22" s="76">
        <f t="shared" ref="L22" si="63">(K22-K21)</f>
        <v>104</v>
      </c>
      <c r="M22" s="182">
        <f t="shared" si="5"/>
        <v>57.2</v>
      </c>
      <c r="N22" s="182">
        <f t="shared" si="6"/>
        <v>46.800000000000004</v>
      </c>
      <c r="O22" s="83">
        <v>75748</v>
      </c>
      <c r="P22" s="182">
        <f t="shared" ref="P22" si="64">(O22-O21)</f>
        <v>67</v>
      </c>
      <c r="R22" s="168">
        <f t="shared" si="0"/>
        <v>352.9368999999997</v>
      </c>
      <c r="S22" s="105">
        <f t="shared" si="8"/>
        <v>113.80000000000001</v>
      </c>
    </row>
    <row r="23" spans="1:19" s="79" customFormat="1" ht="39.950000000000003" customHeight="1">
      <c r="A23" s="145">
        <v>43968</v>
      </c>
      <c r="B23" s="82"/>
      <c r="C23" s="83">
        <v>154477</v>
      </c>
      <c r="D23" s="182">
        <f t="shared" si="1"/>
        <v>157</v>
      </c>
      <c r="E23" s="83">
        <v>126007</v>
      </c>
      <c r="F23" s="182">
        <f>(E23-E22)</f>
        <v>230</v>
      </c>
      <c r="G23" s="83">
        <v>5001.2003999999997</v>
      </c>
      <c r="H23" s="182">
        <f t="shared" ref="H23" si="65">(G23-G22)</f>
        <v>3.5796000000000276</v>
      </c>
      <c r="I23" s="83">
        <v>8661</v>
      </c>
      <c r="J23" s="182">
        <f t="shared" ref="J23" si="66">(I23-I22)</f>
        <v>11</v>
      </c>
      <c r="K23" s="83">
        <v>103976</v>
      </c>
      <c r="L23" s="76">
        <f t="shared" ref="L23" si="67">(K23-K22)</f>
        <v>92</v>
      </c>
      <c r="M23" s="182">
        <f t="shared" si="5"/>
        <v>50.6</v>
      </c>
      <c r="N23" s="182">
        <f t="shared" si="6"/>
        <v>41.4</v>
      </c>
      <c r="O23" s="83">
        <v>75838</v>
      </c>
      <c r="P23" s="182">
        <f t="shared" ref="P23" si="68">(O23-O22)</f>
        <v>90</v>
      </c>
      <c r="R23" s="168">
        <f t="shared" si="0"/>
        <v>390.57960000000003</v>
      </c>
      <c r="S23" s="105">
        <f t="shared" si="8"/>
        <v>131.4</v>
      </c>
    </row>
    <row r="24" spans="1:19" s="79" customFormat="1" ht="39.950000000000003" customHeight="1">
      <c r="A24" s="145">
        <v>43969</v>
      </c>
      <c r="B24" s="82"/>
      <c r="C24" s="83">
        <v>154587</v>
      </c>
      <c r="D24" s="182">
        <f t="shared" si="1"/>
        <v>110</v>
      </c>
      <c r="E24" s="83">
        <v>126167</v>
      </c>
      <c r="F24" s="182">
        <f t="shared" si="1"/>
        <v>160</v>
      </c>
      <c r="G24" s="83">
        <v>5003.8397999999997</v>
      </c>
      <c r="H24" s="182">
        <f t="shared" ref="H24" si="69">(G24-G23)</f>
        <v>2.6394000000000233</v>
      </c>
      <c r="I24" s="83">
        <v>8672</v>
      </c>
      <c r="J24" s="182">
        <f t="shared" ref="J24" si="70">(I24-I23)</f>
        <v>11</v>
      </c>
      <c r="K24" s="83">
        <v>104071</v>
      </c>
      <c r="L24" s="76">
        <f t="shared" ref="L24" si="71">(K24-K23)</f>
        <v>95</v>
      </c>
      <c r="M24" s="182">
        <f t="shared" si="5"/>
        <v>52.250000000000007</v>
      </c>
      <c r="N24" s="182">
        <f t="shared" si="6"/>
        <v>42.75</v>
      </c>
      <c r="O24" s="83">
        <v>75906</v>
      </c>
      <c r="P24" s="182">
        <f t="shared" ref="P24" si="72">(O24-O23)</f>
        <v>68</v>
      </c>
      <c r="R24" s="168">
        <f t="shared" si="0"/>
        <v>272.63940000000002</v>
      </c>
      <c r="S24" s="105">
        <f t="shared" si="8"/>
        <v>110.75</v>
      </c>
    </row>
    <row r="25" spans="1:19" s="79" customFormat="1" ht="39.950000000000003" customHeight="1">
      <c r="A25" s="145">
        <v>43970</v>
      </c>
      <c r="B25" s="82"/>
      <c r="C25" s="83">
        <v>154672</v>
      </c>
      <c r="D25" s="182">
        <f t="shared" si="1"/>
        <v>85</v>
      </c>
      <c r="E25" s="83">
        <v>126317</v>
      </c>
      <c r="F25" s="182">
        <f t="shared" si="1"/>
        <v>150</v>
      </c>
      <c r="G25" s="83">
        <v>5005.0190000000002</v>
      </c>
      <c r="H25" s="182">
        <f t="shared" ref="H25" si="73">(G25-G24)</f>
        <v>1.1792000000004919</v>
      </c>
      <c r="I25" s="83">
        <v>8680</v>
      </c>
      <c r="J25" s="182">
        <f t="shared" ref="J25" si="74">(I25-I24)</f>
        <v>8</v>
      </c>
      <c r="K25" s="83">
        <v>104177</v>
      </c>
      <c r="L25" s="76">
        <f t="shared" ref="L25" si="75">(K25-K24)</f>
        <v>106</v>
      </c>
      <c r="M25" s="182">
        <f t="shared" si="5"/>
        <v>58.300000000000004</v>
      </c>
      <c r="N25" s="182">
        <f t="shared" si="6"/>
        <v>47.7</v>
      </c>
      <c r="O25" s="83">
        <v>75983</v>
      </c>
      <c r="P25" s="182">
        <f t="shared" ref="P25" si="76">(O25-O24)</f>
        <v>77</v>
      </c>
      <c r="R25" s="168">
        <f t="shared" si="0"/>
        <v>236.17920000000049</v>
      </c>
      <c r="S25" s="105">
        <f t="shared" si="8"/>
        <v>124.7</v>
      </c>
    </row>
    <row r="26" spans="1:19" ht="39.950000000000003" customHeight="1">
      <c r="A26" s="145">
        <v>43971</v>
      </c>
      <c r="B26" s="82"/>
      <c r="C26" s="83">
        <v>154740</v>
      </c>
      <c r="D26" s="182">
        <f t="shared" si="1"/>
        <v>68</v>
      </c>
      <c r="E26" s="83">
        <v>126522</v>
      </c>
      <c r="F26" s="182">
        <f t="shared" si="1"/>
        <v>205</v>
      </c>
      <c r="G26" s="83">
        <v>5009.7570999999998</v>
      </c>
      <c r="H26" s="182">
        <f t="shared" ref="H26" si="77">(G26-G25)</f>
        <v>4.7380999999995765</v>
      </c>
      <c r="I26" s="83">
        <v>8687</v>
      </c>
      <c r="J26" s="182">
        <f t="shared" ref="J26" si="78">(I26-I25)</f>
        <v>7</v>
      </c>
      <c r="K26" s="83">
        <v>104251</v>
      </c>
      <c r="L26" s="76">
        <f t="shared" ref="L26" si="79">(K26-K25)</f>
        <v>74</v>
      </c>
      <c r="M26" s="182">
        <f t="shared" si="5"/>
        <v>40.700000000000003</v>
      </c>
      <c r="N26" s="182">
        <f t="shared" si="6"/>
        <v>33.300000000000004</v>
      </c>
      <c r="O26" s="83">
        <v>76056</v>
      </c>
      <c r="P26" s="182">
        <f t="shared" ref="P26" si="80">(O26-O25)</f>
        <v>73</v>
      </c>
      <c r="R26" s="106">
        <f t="shared" si="0"/>
        <v>277.73809999999958</v>
      </c>
      <c r="S26" s="98">
        <f t="shared" si="8"/>
        <v>106.30000000000001</v>
      </c>
    </row>
    <row r="27" spans="1:19" ht="39.950000000000003" customHeight="1">
      <c r="A27" s="145">
        <v>43972</v>
      </c>
      <c r="B27" s="82"/>
      <c r="C27" s="84">
        <v>154899</v>
      </c>
      <c r="D27" s="182">
        <f t="shared" si="1"/>
        <v>159</v>
      </c>
      <c r="E27" s="84">
        <v>126722</v>
      </c>
      <c r="F27" s="182">
        <f t="shared" si="1"/>
        <v>200</v>
      </c>
      <c r="G27" s="84">
        <v>5010.1630999999998</v>
      </c>
      <c r="H27" s="182">
        <f t="shared" ref="H27" si="81">(G27-G26)</f>
        <v>0.40599999999994907</v>
      </c>
      <c r="I27" s="84">
        <v>8694</v>
      </c>
      <c r="J27" s="182">
        <f t="shared" ref="J27" si="82">(I27-I26)</f>
        <v>7</v>
      </c>
      <c r="K27" s="84">
        <v>104356</v>
      </c>
      <c r="L27" s="76">
        <f t="shared" ref="L27" si="83">(K27-K26)</f>
        <v>105</v>
      </c>
      <c r="M27" s="182">
        <f t="shared" si="5"/>
        <v>57.750000000000007</v>
      </c>
      <c r="N27" s="182">
        <f t="shared" si="6"/>
        <v>47.25</v>
      </c>
      <c r="O27" s="84">
        <v>76144</v>
      </c>
      <c r="P27" s="182">
        <f t="shared" ref="P27" si="84">(O27-O26)</f>
        <v>88</v>
      </c>
      <c r="R27" s="106">
        <f t="shared" si="0"/>
        <v>359.40599999999995</v>
      </c>
      <c r="S27" s="98">
        <f t="shared" si="8"/>
        <v>135.25</v>
      </c>
    </row>
    <row r="28" spans="1:19" ht="39.950000000000003" customHeight="1">
      <c r="A28" s="145">
        <v>43973</v>
      </c>
      <c r="B28" s="82"/>
      <c r="C28" s="83">
        <v>155010</v>
      </c>
      <c r="D28" s="182">
        <f t="shared" si="1"/>
        <v>111</v>
      </c>
      <c r="E28" s="83">
        <v>126914</v>
      </c>
      <c r="F28" s="182">
        <f t="shared" si="1"/>
        <v>192</v>
      </c>
      <c r="G28" s="83">
        <v>5011.9960000000001</v>
      </c>
      <c r="H28" s="182">
        <f t="shared" ref="H28" si="85">(G28-G27)</f>
        <v>1.8329000000003361</v>
      </c>
      <c r="I28" s="83">
        <v>8699</v>
      </c>
      <c r="J28" s="182">
        <f t="shared" ref="J28" si="86">(I28-I27)</f>
        <v>5</v>
      </c>
      <c r="K28" s="83">
        <v>104432</v>
      </c>
      <c r="L28" s="76">
        <f t="shared" ref="L28" si="87">(K28-K27)</f>
        <v>76</v>
      </c>
      <c r="M28" s="182">
        <f t="shared" si="5"/>
        <v>41.800000000000004</v>
      </c>
      <c r="N28" s="182">
        <f t="shared" si="6"/>
        <v>34.200000000000003</v>
      </c>
      <c r="O28" s="83">
        <v>76211</v>
      </c>
      <c r="P28" s="182">
        <f t="shared" ref="P28" si="88">(O28-O27)</f>
        <v>67</v>
      </c>
      <c r="R28" s="106">
        <f t="shared" si="0"/>
        <v>304.83290000000034</v>
      </c>
      <c r="S28" s="98">
        <f t="shared" si="8"/>
        <v>101.2</v>
      </c>
    </row>
    <row r="29" spans="1:19" ht="39.950000000000003" customHeight="1">
      <c r="A29" s="145">
        <v>43974</v>
      </c>
      <c r="B29" s="82"/>
      <c r="C29" s="83">
        <v>155145</v>
      </c>
      <c r="D29" s="182">
        <f t="shared" si="1"/>
        <v>135</v>
      </c>
      <c r="E29" s="83">
        <v>127137</v>
      </c>
      <c r="F29" s="182">
        <f t="shared" si="1"/>
        <v>223</v>
      </c>
      <c r="G29" s="83">
        <v>5014.2250000000004</v>
      </c>
      <c r="H29" s="182">
        <f t="shared" ref="H29" si="89">(G29-G28)</f>
        <v>2.2290000000002692</v>
      </c>
      <c r="I29" s="83">
        <v>8707</v>
      </c>
      <c r="J29" s="182">
        <f t="shared" ref="J29" si="90">(I29-I28)</f>
        <v>8</v>
      </c>
      <c r="K29" s="83">
        <v>104535</v>
      </c>
      <c r="L29" s="76">
        <f t="shared" ref="L29" si="91">(K29-K28)</f>
        <v>103</v>
      </c>
      <c r="M29" s="182">
        <f t="shared" si="5"/>
        <v>56.650000000000006</v>
      </c>
      <c r="N29" s="182">
        <f t="shared" si="6"/>
        <v>46.35</v>
      </c>
      <c r="O29" s="83">
        <v>76292</v>
      </c>
      <c r="P29" s="182">
        <f t="shared" ref="P29" si="92">(O29-O28)</f>
        <v>81</v>
      </c>
      <c r="R29" s="106">
        <f t="shared" si="0"/>
        <v>360.22900000000027</v>
      </c>
      <c r="S29" s="98">
        <f t="shared" si="8"/>
        <v>127.35</v>
      </c>
    </row>
    <row r="30" spans="1:19" ht="39.950000000000003" customHeight="1">
      <c r="A30" s="145">
        <v>43975</v>
      </c>
      <c r="B30" s="82"/>
      <c r="C30" s="83">
        <v>155279</v>
      </c>
      <c r="D30" s="182">
        <f t="shared" si="1"/>
        <v>134</v>
      </c>
      <c r="E30" s="83">
        <v>127361</v>
      </c>
      <c r="F30" s="182">
        <f t="shared" si="1"/>
        <v>224</v>
      </c>
      <c r="G30" s="83">
        <v>5015.5778</v>
      </c>
      <c r="H30" s="182">
        <f t="shared" ref="H30" si="93">(G30-G29)</f>
        <v>1.3527999999996609</v>
      </c>
      <c r="I30" s="83">
        <v>8715</v>
      </c>
      <c r="J30" s="182">
        <f t="shared" ref="J30" si="94">(I30-I29)</f>
        <v>8</v>
      </c>
      <c r="K30" s="83">
        <v>104610</v>
      </c>
      <c r="L30" s="76">
        <f t="shared" ref="L30" si="95">(K30-K29)</f>
        <v>75</v>
      </c>
      <c r="M30" s="182">
        <f t="shared" si="5"/>
        <v>41.25</v>
      </c>
      <c r="N30" s="182">
        <f t="shared" si="6"/>
        <v>33.75</v>
      </c>
      <c r="O30" s="83">
        <v>76370</v>
      </c>
      <c r="P30" s="182">
        <f t="shared" ref="P30" si="96">(O30-O29)</f>
        <v>78</v>
      </c>
      <c r="R30" s="106">
        <f t="shared" si="0"/>
        <v>359.35279999999966</v>
      </c>
      <c r="S30" s="98">
        <f t="shared" si="8"/>
        <v>111.75</v>
      </c>
    </row>
    <row r="31" spans="1:19" ht="39.950000000000003" customHeight="1">
      <c r="A31" s="145">
        <v>43976</v>
      </c>
      <c r="B31" s="82"/>
      <c r="C31" s="83">
        <v>155394</v>
      </c>
      <c r="D31" s="182">
        <f t="shared" si="1"/>
        <v>115</v>
      </c>
      <c r="E31" s="83">
        <v>127517</v>
      </c>
      <c r="F31" s="182">
        <f t="shared" si="1"/>
        <v>156</v>
      </c>
      <c r="G31" s="83">
        <v>5017.3552</v>
      </c>
      <c r="H31" s="182">
        <f t="shared" ref="H31" si="97">(G31-G30)</f>
        <v>1.7773999999999432</v>
      </c>
      <c r="I31" s="83">
        <v>8721</v>
      </c>
      <c r="J31" s="182">
        <f t="shared" ref="J31" si="98">(I31-I30)</f>
        <v>6</v>
      </c>
      <c r="K31" s="83">
        <v>104698</v>
      </c>
      <c r="L31" s="76">
        <f t="shared" ref="L31" si="99">(K31-K30)</f>
        <v>88</v>
      </c>
      <c r="M31" s="182">
        <f t="shared" si="5"/>
        <v>48.400000000000006</v>
      </c>
      <c r="N31" s="182">
        <f t="shared" si="6"/>
        <v>39.6</v>
      </c>
      <c r="O31" s="83">
        <v>76438</v>
      </c>
      <c r="P31" s="182">
        <f t="shared" ref="P31" si="100">(O31-O30)</f>
        <v>68</v>
      </c>
      <c r="R31" s="106">
        <f t="shared" si="0"/>
        <v>272.77739999999994</v>
      </c>
      <c r="S31" s="98">
        <f t="shared" si="8"/>
        <v>107.6</v>
      </c>
    </row>
    <row r="32" spans="1:19" ht="39.950000000000003" customHeight="1">
      <c r="A32" s="145">
        <v>43977</v>
      </c>
      <c r="B32" s="82"/>
      <c r="C32" s="83">
        <v>155521</v>
      </c>
      <c r="D32" s="182">
        <f t="shared" si="1"/>
        <v>127</v>
      </c>
      <c r="E32" s="83">
        <v>127662</v>
      </c>
      <c r="F32" s="182">
        <f t="shared" si="1"/>
        <v>145</v>
      </c>
      <c r="G32" s="83">
        <v>5018.5538999999999</v>
      </c>
      <c r="H32" s="182">
        <f t="shared" ref="H32" si="101">(G32-G31)</f>
        <v>1.1986999999999171</v>
      </c>
      <c r="I32" s="83">
        <v>8734</v>
      </c>
      <c r="J32" s="182">
        <f t="shared" ref="J32" si="102">(I32-I31)</f>
        <v>13</v>
      </c>
      <c r="K32" s="83">
        <v>104795</v>
      </c>
      <c r="L32" s="76">
        <f t="shared" ref="L32" si="103">(K32-K31)</f>
        <v>97</v>
      </c>
      <c r="M32" s="182">
        <f t="shared" si="5"/>
        <v>53.35</v>
      </c>
      <c r="N32" s="182">
        <f t="shared" si="6"/>
        <v>43.65</v>
      </c>
      <c r="O32" s="83">
        <v>76530</v>
      </c>
      <c r="P32" s="182">
        <f t="shared" ref="P32" si="104">(O32-O31)</f>
        <v>92</v>
      </c>
      <c r="R32" s="106">
        <f t="shared" si="0"/>
        <v>273.19869999999992</v>
      </c>
      <c r="S32" s="98">
        <f t="shared" si="8"/>
        <v>135.65</v>
      </c>
    </row>
    <row r="33" spans="1:19" ht="39.950000000000003" customHeight="1">
      <c r="A33" s="145">
        <v>43978</v>
      </c>
      <c r="B33" s="82"/>
      <c r="C33" s="83">
        <v>155648</v>
      </c>
      <c r="D33" s="182">
        <f t="shared" si="1"/>
        <v>127</v>
      </c>
      <c r="E33" s="83">
        <v>127854</v>
      </c>
      <c r="F33" s="182">
        <f t="shared" si="1"/>
        <v>192</v>
      </c>
      <c r="G33" s="83">
        <v>5019.9679999999998</v>
      </c>
      <c r="H33" s="182">
        <f t="shared" ref="H33" si="105">(G33-G32)</f>
        <v>1.4140999999999622</v>
      </c>
      <c r="I33" s="83">
        <v>8740</v>
      </c>
      <c r="J33" s="182">
        <f t="shared" ref="J33" si="106">(I33-I32)</f>
        <v>6</v>
      </c>
      <c r="K33" s="83">
        <v>104874</v>
      </c>
      <c r="L33" s="76">
        <f t="shared" ref="L33" si="107">(K33-K32)</f>
        <v>79</v>
      </c>
      <c r="M33" s="182">
        <f t="shared" si="5"/>
        <v>43.45</v>
      </c>
      <c r="N33" s="182">
        <f t="shared" si="6"/>
        <v>35.550000000000004</v>
      </c>
      <c r="O33" s="83">
        <v>76599</v>
      </c>
      <c r="P33" s="182">
        <f t="shared" ref="P33" si="108">(O33-O32)</f>
        <v>69</v>
      </c>
      <c r="R33" s="106">
        <f t="shared" si="0"/>
        <v>320.41409999999996</v>
      </c>
      <c r="S33" s="98">
        <f t="shared" si="8"/>
        <v>104.55000000000001</v>
      </c>
    </row>
    <row r="34" spans="1:19" ht="39.950000000000003" customHeight="1">
      <c r="A34" s="145">
        <v>43979</v>
      </c>
      <c r="B34" s="82"/>
      <c r="C34" s="83">
        <v>155775</v>
      </c>
      <c r="D34" s="182">
        <f t="shared" si="1"/>
        <v>127</v>
      </c>
      <c r="E34" s="83">
        <v>128083</v>
      </c>
      <c r="F34" s="182">
        <f t="shared" si="1"/>
        <v>229</v>
      </c>
      <c r="G34" s="83">
        <v>5022.1634000000004</v>
      </c>
      <c r="H34" s="182">
        <f t="shared" ref="H34:H37" si="109">(G34-G33)</f>
        <v>2.195400000000518</v>
      </c>
      <c r="I34" s="83">
        <v>8748</v>
      </c>
      <c r="J34" s="182">
        <f t="shared" ref="J34:J37" si="110">(I34-I33)</f>
        <v>8</v>
      </c>
      <c r="K34" s="83">
        <v>104987</v>
      </c>
      <c r="L34" s="76">
        <f t="shared" ref="L34" si="111">(K34-K33)</f>
        <v>113</v>
      </c>
      <c r="M34" s="182">
        <f t="shared" si="5"/>
        <v>62.150000000000006</v>
      </c>
      <c r="N34" s="182">
        <f t="shared" si="6"/>
        <v>50.85</v>
      </c>
      <c r="O34" s="83">
        <v>76682</v>
      </c>
      <c r="P34" s="182">
        <f t="shared" ref="P34:P37" si="112">(O34-O33)</f>
        <v>83</v>
      </c>
      <c r="R34" s="106">
        <f t="shared" si="0"/>
        <v>358.19540000000052</v>
      </c>
      <c r="S34" s="98">
        <f t="shared" si="8"/>
        <v>133.85</v>
      </c>
    </row>
    <row r="35" spans="1:19" ht="39.950000000000003" customHeight="1">
      <c r="A35" s="145">
        <v>43980</v>
      </c>
      <c r="B35" s="82"/>
      <c r="C35" s="83">
        <v>155908</v>
      </c>
      <c r="D35" s="182">
        <f t="shared" si="1"/>
        <v>133</v>
      </c>
      <c r="E35" s="83">
        <v>128220</v>
      </c>
      <c r="F35" s="182">
        <f t="shared" si="1"/>
        <v>137</v>
      </c>
      <c r="G35" s="83">
        <v>5023</v>
      </c>
      <c r="H35" s="182">
        <f t="shared" si="109"/>
        <v>0.83659999999963475</v>
      </c>
      <c r="I35" s="83">
        <v>8755</v>
      </c>
      <c r="J35" s="182">
        <f t="shared" si="110"/>
        <v>7</v>
      </c>
      <c r="K35" s="83">
        <v>105058</v>
      </c>
      <c r="L35" s="76">
        <f t="shared" ref="L35:L36" si="113">(K35-K34)</f>
        <v>71</v>
      </c>
      <c r="M35" s="182">
        <f t="shared" ref="M35:M36" si="114">L35*55%</f>
        <v>39.050000000000004</v>
      </c>
      <c r="N35" s="182">
        <f t="shared" ref="N35:N36" si="115">L35*45%</f>
        <v>31.95</v>
      </c>
      <c r="O35" s="83">
        <v>76759</v>
      </c>
      <c r="P35" s="182">
        <f t="shared" si="112"/>
        <v>77</v>
      </c>
      <c r="R35" s="106">
        <f t="shared" ref="R35:R36" si="116">SUM(D35,F35,M99,H35)</f>
        <v>270.83659999999963</v>
      </c>
      <c r="S35" s="98">
        <f t="shared" ref="S35:S36" si="117">SUM(N35,P35)</f>
        <v>108.95</v>
      </c>
    </row>
    <row r="36" spans="1:19" ht="39.950000000000003" customHeight="1">
      <c r="A36" s="145">
        <v>43981</v>
      </c>
      <c r="B36" s="82"/>
      <c r="C36" s="83">
        <v>156072</v>
      </c>
      <c r="D36" s="182">
        <f t="shared" ref="D36:D37" si="118">(C36-C35)</f>
        <v>164</v>
      </c>
      <c r="E36" s="83">
        <v>128412</v>
      </c>
      <c r="F36" s="182">
        <f t="shared" ref="F36:F37" si="119">(E36-E35)</f>
        <v>192</v>
      </c>
      <c r="G36" s="83">
        <v>5024</v>
      </c>
      <c r="H36" s="182">
        <f t="shared" si="109"/>
        <v>1</v>
      </c>
      <c r="I36" s="83">
        <v>8763</v>
      </c>
      <c r="J36" s="182">
        <f t="shared" si="110"/>
        <v>8</v>
      </c>
      <c r="K36" s="83">
        <v>105147</v>
      </c>
      <c r="L36" s="76">
        <f t="shared" si="113"/>
        <v>89</v>
      </c>
      <c r="M36" s="182">
        <f t="shared" si="114"/>
        <v>48.95</v>
      </c>
      <c r="N36" s="182">
        <f t="shared" si="115"/>
        <v>40.050000000000004</v>
      </c>
      <c r="O36" s="83">
        <v>76836</v>
      </c>
      <c r="P36" s="182">
        <f t="shared" si="112"/>
        <v>77</v>
      </c>
      <c r="R36" s="106">
        <f t="shared" si="116"/>
        <v>357</v>
      </c>
      <c r="S36" s="98">
        <f t="shared" si="117"/>
        <v>117.05000000000001</v>
      </c>
    </row>
    <row r="37" spans="1:19" ht="39.950000000000003" customHeight="1">
      <c r="A37" s="145">
        <v>43982</v>
      </c>
      <c r="B37" s="16"/>
      <c r="C37" s="83">
        <v>156232</v>
      </c>
      <c r="D37" s="182">
        <f t="shared" si="118"/>
        <v>160</v>
      </c>
      <c r="E37" s="83">
        <v>128603</v>
      </c>
      <c r="F37" s="182">
        <f t="shared" si="119"/>
        <v>191</v>
      </c>
      <c r="G37" s="84">
        <v>5024.7186000000002</v>
      </c>
      <c r="H37" s="182">
        <f t="shared" si="109"/>
        <v>0.71860000000015134</v>
      </c>
      <c r="I37" s="84">
        <v>8770</v>
      </c>
      <c r="J37" s="182">
        <f t="shared" si="110"/>
        <v>7</v>
      </c>
      <c r="K37" s="83">
        <v>105236</v>
      </c>
      <c r="L37" s="76">
        <f t="shared" ref="L37" si="120">(K37-K36)</f>
        <v>89</v>
      </c>
      <c r="M37" s="182">
        <f t="shared" ref="M37" si="121">L37*55%</f>
        <v>48.95</v>
      </c>
      <c r="N37" s="182">
        <f t="shared" ref="N37" si="122">L37*45%</f>
        <v>40.050000000000004</v>
      </c>
      <c r="O37" s="83">
        <v>76913</v>
      </c>
      <c r="P37" s="182">
        <f t="shared" si="112"/>
        <v>77</v>
      </c>
      <c r="R37" s="106">
        <f t="shared" ref="R37" si="123">SUM(D37,F37,M101,H37)</f>
        <v>351.71860000000015</v>
      </c>
      <c r="S37" s="98">
        <f t="shared" ref="S37" si="124">SUM(N37,P37)</f>
        <v>117.05000000000001</v>
      </c>
    </row>
    <row r="38" spans="1:19" s="22" customFormat="1" ht="39.950000000000003" customHeight="1">
      <c r="A38" s="21"/>
      <c r="D38" s="23">
        <f>SUM(D7:D37)</f>
        <v>3891</v>
      </c>
      <c r="F38" s="23">
        <f>SUM(F7:F37)</f>
        <v>6126</v>
      </c>
      <c r="H38" s="23">
        <f>SUM(H7:H37)</f>
        <v>114.71860000000015</v>
      </c>
      <c r="J38" s="23">
        <f>SUM(J7:J37)</f>
        <v>305</v>
      </c>
      <c r="L38" s="23">
        <f>SUM(L7:L37)</f>
        <v>2692</v>
      </c>
      <c r="M38" s="23"/>
      <c r="N38" s="23"/>
      <c r="P38" s="23">
        <f>SUM(P7:P37)</f>
        <v>2345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0" activePane="bottomRight" state="frozen"/>
      <selection pane="topRight" activeCell="C1" sqref="C1"/>
      <selection pane="bottomLeft" activeCell="A8" sqref="A8"/>
      <selection pane="bottomRight" activeCell="BE37" sqref="BE37"/>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02" t="s">
        <v>65</v>
      </c>
      <c r="D1" s="202"/>
      <c r="E1" s="202"/>
      <c r="F1" s="202"/>
      <c r="G1" s="202" t="s">
        <v>64</v>
      </c>
      <c r="H1" s="202"/>
      <c r="I1" s="202" t="s">
        <v>64</v>
      </c>
      <c r="J1" s="202"/>
      <c r="K1" s="202" t="s">
        <v>64</v>
      </c>
      <c r="L1" s="202"/>
      <c r="M1" s="202" t="s">
        <v>64</v>
      </c>
      <c r="N1" s="202"/>
      <c r="O1" s="202" t="s">
        <v>64</v>
      </c>
      <c r="P1" s="202"/>
      <c r="Q1" s="215" t="s">
        <v>64</v>
      </c>
      <c r="R1" s="216"/>
      <c r="S1" s="215" t="s">
        <v>64</v>
      </c>
      <c r="T1" s="216"/>
      <c r="U1" s="215" t="s">
        <v>64</v>
      </c>
      <c r="V1" s="216"/>
      <c r="W1" s="215" t="s">
        <v>64</v>
      </c>
      <c r="X1" s="217"/>
      <c r="Y1" s="202" t="s">
        <v>64</v>
      </c>
      <c r="Z1" s="202"/>
      <c r="AA1" s="215" t="s">
        <v>64</v>
      </c>
      <c r="AB1" s="216"/>
      <c r="AC1" s="202" t="s">
        <v>64</v>
      </c>
      <c r="AD1" s="202"/>
      <c r="AE1" s="202" t="s">
        <v>64</v>
      </c>
      <c r="AF1" s="202"/>
      <c r="AG1" s="202" t="s">
        <v>64</v>
      </c>
      <c r="AH1" s="202"/>
      <c r="AI1" s="202" t="s">
        <v>64</v>
      </c>
      <c r="AJ1" s="202"/>
      <c r="AK1" s="202" t="s">
        <v>64</v>
      </c>
      <c r="AL1" s="202"/>
      <c r="AM1" s="202" t="s">
        <v>66</v>
      </c>
      <c r="AN1" s="202"/>
      <c r="AO1" s="202" t="s">
        <v>66</v>
      </c>
      <c r="AP1" s="202"/>
      <c r="AQ1" s="202" t="s">
        <v>66</v>
      </c>
      <c r="AR1" s="202"/>
      <c r="AS1" s="202" t="s">
        <v>66</v>
      </c>
      <c r="AT1" s="202"/>
      <c r="AU1" s="202" t="s">
        <v>66</v>
      </c>
      <c r="AV1" s="202"/>
      <c r="AW1" s="202" t="s">
        <v>66</v>
      </c>
      <c r="AX1" s="202"/>
      <c r="AY1" s="202" t="s">
        <v>66</v>
      </c>
      <c r="AZ1" s="202"/>
      <c r="BA1" s="202" t="s">
        <v>66</v>
      </c>
      <c r="BB1" s="202"/>
      <c r="BC1" s="202" t="s">
        <v>66</v>
      </c>
      <c r="BD1" s="202"/>
      <c r="BE1" s="202" t="s">
        <v>66</v>
      </c>
      <c r="BF1" s="202"/>
      <c r="BH1" s="33"/>
      <c r="BI1" s="33"/>
    </row>
    <row r="2" spans="1:61" s="25" customFormat="1" ht="75.75" customHeight="1">
      <c r="A2" s="50"/>
      <c r="B2" s="50"/>
      <c r="C2" s="237" t="s">
        <v>116</v>
      </c>
      <c r="D2" s="237"/>
      <c r="E2" s="237"/>
      <c r="F2" s="237"/>
      <c r="G2" s="237" t="s">
        <v>117</v>
      </c>
      <c r="H2" s="237"/>
      <c r="I2" s="237" t="s">
        <v>118</v>
      </c>
      <c r="J2" s="237"/>
      <c r="K2" s="237" t="s">
        <v>119</v>
      </c>
      <c r="L2" s="237"/>
      <c r="M2" s="237" t="s">
        <v>120</v>
      </c>
      <c r="N2" s="237"/>
      <c r="O2" s="242" t="s">
        <v>121</v>
      </c>
      <c r="P2" s="244"/>
      <c r="Q2" s="242" t="s">
        <v>122</v>
      </c>
      <c r="R2" s="244"/>
      <c r="S2" s="242" t="s">
        <v>123</v>
      </c>
      <c r="T2" s="244"/>
      <c r="U2" s="242" t="s">
        <v>124</v>
      </c>
      <c r="V2" s="244"/>
      <c r="W2" s="242" t="s">
        <v>125</v>
      </c>
      <c r="X2" s="243"/>
      <c r="Y2" s="237" t="s">
        <v>126</v>
      </c>
      <c r="Z2" s="237"/>
      <c r="AA2" s="242" t="s">
        <v>127</v>
      </c>
      <c r="AB2" s="244"/>
      <c r="AC2" s="237" t="s">
        <v>128</v>
      </c>
      <c r="AD2" s="237"/>
      <c r="AE2" s="237" t="s">
        <v>129</v>
      </c>
      <c r="AF2" s="237"/>
      <c r="AG2" s="237" t="s">
        <v>129</v>
      </c>
      <c r="AH2" s="237"/>
      <c r="AI2" s="237" t="s">
        <v>129</v>
      </c>
      <c r="AJ2" s="237"/>
      <c r="AK2" s="237" t="s">
        <v>129</v>
      </c>
      <c r="AL2" s="237"/>
      <c r="AM2" s="237" t="s">
        <v>130</v>
      </c>
      <c r="AN2" s="237"/>
      <c r="AO2" s="237" t="s">
        <v>131</v>
      </c>
      <c r="AP2" s="237"/>
      <c r="AQ2" s="237" t="s">
        <v>132</v>
      </c>
      <c r="AR2" s="237"/>
      <c r="AS2" s="237" t="s">
        <v>132</v>
      </c>
      <c r="AT2" s="237"/>
      <c r="AU2" s="237" t="s">
        <v>133</v>
      </c>
      <c r="AV2" s="237"/>
      <c r="AW2" s="237" t="s">
        <v>134</v>
      </c>
      <c r="AX2" s="237"/>
      <c r="AY2" s="237" t="s">
        <v>135</v>
      </c>
      <c r="AZ2" s="237"/>
      <c r="BA2" s="237" t="s">
        <v>135</v>
      </c>
      <c r="BB2" s="237"/>
      <c r="BC2" s="237" t="s">
        <v>136</v>
      </c>
      <c r="BD2" s="237"/>
      <c r="BE2" s="237" t="s">
        <v>136</v>
      </c>
      <c r="BF2" s="237"/>
      <c r="BH2" s="33"/>
      <c r="BI2" s="33"/>
    </row>
    <row r="3" spans="1:61" s="10" customFormat="1" ht="87.75" customHeight="1">
      <c r="A3" s="107"/>
      <c r="B3" s="107"/>
      <c r="C3" s="230" t="s">
        <v>137</v>
      </c>
      <c r="D3" s="231"/>
      <c r="E3" s="107" t="s">
        <v>64</v>
      </c>
      <c r="F3" s="109" t="s">
        <v>66</v>
      </c>
      <c r="G3" s="234" t="s">
        <v>138</v>
      </c>
      <c r="H3" s="235"/>
      <c r="I3" s="234" t="s">
        <v>138</v>
      </c>
      <c r="J3" s="235"/>
      <c r="K3" s="234" t="s">
        <v>138</v>
      </c>
      <c r="L3" s="235"/>
      <c r="M3" s="232" t="s">
        <v>139</v>
      </c>
      <c r="N3" s="233"/>
      <c r="O3" s="234" t="s">
        <v>138</v>
      </c>
      <c r="P3" s="235"/>
      <c r="Q3" s="234" t="s">
        <v>138</v>
      </c>
      <c r="R3" s="235"/>
      <c r="S3" s="240" t="s">
        <v>138</v>
      </c>
      <c r="T3" s="241"/>
      <c r="U3" s="234" t="s">
        <v>138</v>
      </c>
      <c r="V3" s="235"/>
      <c r="W3" s="234" t="s">
        <v>138</v>
      </c>
      <c r="X3" s="235"/>
      <c r="Y3" s="236" t="s">
        <v>140</v>
      </c>
      <c r="Z3" s="235"/>
      <c r="AA3" s="234" t="s">
        <v>141</v>
      </c>
      <c r="AB3" s="235"/>
      <c r="AC3" s="234" t="s">
        <v>142</v>
      </c>
      <c r="AD3" s="235"/>
      <c r="AE3" s="234" t="s">
        <v>142</v>
      </c>
      <c r="AF3" s="235"/>
      <c r="AG3" s="236" t="s">
        <v>143</v>
      </c>
      <c r="AH3" s="235"/>
      <c r="AI3" s="234" t="s">
        <v>144</v>
      </c>
      <c r="AJ3" s="235"/>
      <c r="AK3" s="236" t="s">
        <v>145</v>
      </c>
      <c r="AL3" s="235"/>
      <c r="AM3" s="234" t="s">
        <v>146</v>
      </c>
      <c r="AN3" s="235"/>
      <c r="AO3" s="234" t="s">
        <v>146</v>
      </c>
      <c r="AP3" s="235"/>
      <c r="AQ3" s="236" t="s">
        <v>147</v>
      </c>
      <c r="AR3" s="235"/>
      <c r="AS3" s="234" t="s">
        <v>148</v>
      </c>
      <c r="AT3" s="235"/>
      <c r="AU3" s="236" t="s">
        <v>149</v>
      </c>
      <c r="AV3" s="235"/>
      <c r="AW3" s="236" t="s">
        <v>149</v>
      </c>
      <c r="AX3" s="235"/>
      <c r="AY3" s="234" t="s">
        <v>144</v>
      </c>
      <c r="AZ3" s="235"/>
      <c r="BA3" s="236" t="s">
        <v>145</v>
      </c>
      <c r="BB3" s="235"/>
      <c r="BC3" s="234" t="s">
        <v>144</v>
      </c>
      <c r="BD3" s="235"/>
      <c r="BE3" s="236" t="s">
        <v>145</v>
      </c>
      <c r="BF3" s="235"/>
      <c r="BH3" s="33"/>
      <c r="BI3" s="33"/>
    </row>
    <row r="4" spans="1:61" s="25" customFormat="1" ht="50.1" hidden="1" customHeight="1">
      <c r="A4" s="107"/>
      <c r="B4" s="50"/>
      <c r="C4" s="203" t="s">
        <v>150</v>
      </c>
      <c r="D4" s="205"/>
      <c r="E4" s="238" t="s">
        <v>151</v>
      </c>
      <c r="F4" s="239"/>
      <c r="G4" s="203" t="s">
        <v>152</v>
      </c>
      <c r="H4" s="205"/>
      <c r="I4" s="203" t="s">
        <v>153</v>
      </c>
      <c r="J4" s="205"/>
      <c r="K4" s="203" t="s">
        <v>154</v>
      </c>
      <c r="L4" s="205"/>
      <c r="M4" s="203">
        <v>7092801222</v>
      </c>
      <c r="N4" s="205"/>
      <c r="O4" s="203" t="s">
        <v>155</v>
      </c>
      <c r="P4" s="204"/>
      <c r="Q4" s="203" t="s">
        <v>156</v>
      </c>
      <c r="R4" s="204"/>
      <c r="S4" s="203" t="s">
        <v>157</v>
      </c>
      <c r="T4" s="204"/>
      <c r="U4" s="203" t="s">
        <v>158</v>
      </c>
      <c r="V4" s="204"/>
      <c r="W4" s="203" t="s">
        <v>159</v>
      </c>
      <c r="X4" s="205"/>
      <c r="Y4" s="203" t="s">
        <v>160</v>
      </c>
      <c r="Z4" s="205"/>
      <c r="AA4" s="203" t="s">
        <v>161</v>
      </c>
      <c r="AB4" s="204"/>
      <c r="AC4" s="203" t="s">
        <v>162</v>
      </c>
      <c r="AD4" s="205"/>
      <c r="AE4" s="203" t="s">
        <v>163</v>
      </c>
      <c r="AF4" s="205"/>
      <c r="AG4" s="203" t="s">
        <v>164</v>
      </c>
      <c r="AH4" s="205"/>
      <c r="AI4" s="203">
        <v>7105826734</v>
      </c>
      <c r="AJ4" s="205"/>
      <c r="AK4" s="203">
        <v>7105825932</v>
      </c>
      <c r="AL4" s="205"/>
      <c r="AM4" s="203" t="s">
        <v>165</v>
      </c>
      <c r="AN4" s="205"/>
      <c r="AO4" s="203" t="s">
        <v>166</v>
      </c>
      <c r="AP4" s="205"/>
      <c r="AQ4" s="203" t="s">
        <v>167</v>
      </c>
      <c r="AR4" s="205"/>
      <c r="AS4" s="203" t="s">
        <v>168</v>
      </c>
      <c r="AT4" s="205"/>
      <c r="AU4" s="203" t="s">
        <v>169</v>
      </c>
      <c r="AV4" s="205"/>
      <c r="AW4" s="203" t="s">
        <v>170</v>
      </c>
      <c r="AX4" s="205"/>
      <c r="AY4" s="203">
        <v>7111912486</v>
      </c>
      <c r="AZ4" s="205"/>
      <c r="BA4" s="203">
        <v>7111911842</v>
      </c>
      <c r="BB4" s="205"/>
      <c r="BC4" s="203">
        <v>7111913281</v>
      </c>
      <c r="BD4" s="205"/>
      <c r="BE4" s="203">
        <v>7111912723</v>
      </c>
      <c r="BF4" s="205"/>
      <c r="BH4" s="200" t="s">
        <v>80</v>
      </c>
      <c r="BI4" s="200"/>
    </row>
    <row r="5" spans="1:61" s="25" customFormat="1" ht="50.1" hidden="1" customHeight="1">
      <c r="A5" s="50" t="s">
        <v>171</v>
      </c>
      <c r="B5" s="50"/>
      <c r="C5" s="203" t="s">
        <v>172</v>
      </c>
      <c r="D5" s="205"/>
      <c r="E5" s="80">
        <v>0.6</v>
      </c>
      <c r="F5" s="31">
        <v>0.4</v>
      </c>
      <c r="G5" s="203" t="s">
        <v>173</v>
      </c>
      <c r="H5" s="205"/>
      <c r="I5" s="203" t="s">
        <v>174</v>
      </c>
      <c r="J5" s="205"/>
      <c r="K5" s="203" t="s">
        <v>175</v>
      </c>
      <c r="L5" s="205"/>
      <c r="M5" s="203" t="s">
        <v>176</v>
      </c>
      <c r="N5" s="205"/>
      <c r="O5" s="203" t="s">
        <v>177</v>
      </c>
      <c r="P5" s="204"/>
      <c r="Q5" s="203" t="s">
        <v>178</v>
      </c>
      <c r="R5" s="204"/>
      <c r="S5" s="203" t="s">
        <v>179</v>
      </c>
      <c r="T5" s="204"/>
      <c r="U5" s="203" t="s">
        <v>180</v>
      </c>
      <c r="V5" s="204"/>
      <c r="W5" s="203" t="s">
        <v>181</v>
      </c>
      <c r="X5" s="205"/>
      <c r="Y5" s="203" t="s">
        <v>182</v>
      </c>
      <c r="Z5" s="205"/>
      <c r="AA5" s="203" t="s">
        <v>183</v>
      </c>
      <c r="AB5" s="204"/>
      <c r="AC5" s="203" t="s">
        <v>184</v>
      </c>
      <c r="AD5" s="205"/>
      <c r="AE5" s="203" t="s">
        <v>185</v>
      </c>
      <c r="AF5" s="205"/>
      <c r="AG5" s="203" t="s">
        <v>186</v>
      </c>
      <c r="AH5" s="205"/>
      <c r="AI5" s="203" t="s">
        <v>187</v>
      </c>
      <c r="AJ5" s="205"/>
      <c r="AK5" s="203" t="s">
        <v>188</v>
      </c>
      <c r="AL5" s="205"/>
      <c r="AM5" s="203" t="s">
        <v>189</v>
      </c>
      <c r="AN5" s="205"/>
      <c r="AO5" s="203" t="s">
        <v>190</v>
      </c>
      <c r="AP5" s="205"/>
      <c r="AQ5" s="203" t="s">
        <v>191</v>
      </c>
      <c r="AR5" s="205"/>
      <c r="AS5" s="203" t="s">
        <v>192</v>
      </c>
      <c r="AT5" s="205"/>
      <c r="AU5" s="203" t="s">
        <v>193</v>
      </c>
      <c r="AV5" s="205"/>
      <c r="AW5" s="203" t="s">
        <v>194</v>
      </c>
      <c r="AX5" s="205"/>
      <c r="AY5" s="203">
        <v>744483</v>
      </c>
      <c r="AZ5" s="205"/>
      <c r="BA5" s="203">
        <v>119314</v>
      </c>
      <c r="BB5" s="205"/>
      <c r="BC5" s="203">
        <v>1053229</v>
      </c>
      <c r="BD5" s="205"/>
      <c r="BE5" s="203">
        <v>1053215</v>
      </c>
      <c r="BF5" s="205"/>
      <c r="BH5" s="200"/>
      <c r="BI5" s="200"/>
    </row>
    <row r="6" spans="1:61" s="8" customFormat="1" ht="30" customHeight="1">
      <c r="A6" s="107" t="s">
        <v>95</v>
      </c>
      <c r="B6" s="51"/>
      <c r="C6" s="209"/>
      <c r="D6" s="210"/>
      <c r="E6" s="81"/>
      <c r="F6" s="112"/>
      <c r="G6" s="107"/>
      <c r="H6" s="51"/>
      <c r="I6" s="209"/>
      <c r="J6" s="210"/>
      <c r="K6" s="209"/>
      <c r="L6" s="210"/>
      <c r="M6" s="209"/>
      <c r="N6" s="210"/>
      <c r="O6" s="209"/>
      <c r="P6" s="214"/>
      <c r="Q6" s="209"/>
      <c r="R6" s="214"/>
      <c r="S6" s="209"/>
      <c r="T6" s="214"/>
      <c r="U6" s="209"/>
      <c r="V6" s="214"/>
      <c r="W6" s="209"/>
      <c r="X6" s="210"/>
      <c r="Y6" s="209"/>
      <c r="Z6" s="210"/>
      <c r="AA6" s="209"/>
      <c r="AB6" s="214"/>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43951</v>
      </c>
      <c r="B8" s="35"/>
      <c r="C8" s="77">
        <v>5229966</v>
      </c>
      <c r="D8" s="104"/>
      <c r="E8" s="38"/>
      <c r="F8" s="104"/>
      <c r="G8" s="78">
        <v>270932</v>
      </c>
      <c r="H8" s="104"/>
      <c r="I8" s="78">
        <v>60113</v>
      </c>
      <c r="J8" s="104"/>
      <c r="K8" s="78">
        <v>254139</v>
      </c>
      <c r="L8" s="104"/>
      <c r="M8" s="78">
        <v>24362</v>
      </c>
      <c r="N8" s="104"/>
      <c r="O8" s="77">
        <v>195396</v>
      </c>
      <c r="P8" s="104"/>
      <c r="Q8" s="77">
        <v>428529</v>
      </c>
      <c r="R8" s="104"/>
      <c r="S8" s="77">
        <v>675760</v>
      </c>
      <c r="T8" s="104"/>
      <c r="U8" s="77">
        <v>91865.775999999998</v>
      </c>
      <c r="V8" s="104"/>
      <c r="W8" s="77">
        <v>76214</v>
      </c>
      <c r="X8" s="104"/>
      <c r="Y8" s="77">
        <v>1464050</v>
      </c>
      <c r="Z8" s="104"/>
      <c r="AA8" s="77">
        <v>13166</v>
      </c>
      <c r="AB8" s="104"/>
      <c r="AC8" s="77">
        <v>418180</v>
      </c>
      <c r="AD8" s="104"/>
      <c r="AE8" s="77">
        <v>493216</v>
      </c>
      <c r="AF8" s="104"/>
      <c r="AG8" s="77">
        <v>48272</v>
      </c>
      <c r="AH8" s="104"/>
      <c r="AI8" s="77">
        <v>380750</v>
      </c>
      <c r="AJ8" s="104"/>
      <c r="AK8" s="78">
        <v>102371</v>
      </c>
      <c r="AL8" s="104"/>
      <c r="AM8" s="77">
        <v>538820</v>
      </c>
      <c r="AN8" s="104"/>
      <c r="AO8" s="77">
        <v>864780</v>
      </c>
      <c r="AP8" s="104"/>
      <c r="AQ8" s="77">
        <v>61871</v>
      </c>
      <c r="AR8" s="104"/>
      <c r="AS8" s="78">
        <v>2204</v>
      </c>
      <c r="AT8" s="104"/>
      <c r="AU8" s="78">
        <v>918</v>
      </c>
      <c r="AV8" s="104"/>
      <c r="AW8" s="78">
        <v>3075</v>
      </c>
      <c r="AX8" s="104"/>
      <c r="AY8" s="77">
        <v>288723</v>
      </c>
      <c r="AZ8" s="104"/>
      <c r="BA8" s="78">
        <v>160167</v>
      </c>
      <c r="BB8" s="104"/>
      <c r="BC8" s="77">
        <v>197592</v>
      </c>
      <c r="BD8" s="104"/>
      <c r="BE8" s="78">
        <v>5335</v>
      </c>
      <c r="BF8" s="104"/>
      <c r="BH8" s="105"/>
      <c r="BI8" s="105"/>
    </row>
    <row r="9" spans="1:61" s="29" customFormat="1" ht="39.950000000000003" customHeight="1">
      <c r="A9" s="145">
        <v>43952</v>
      </c>
      <c r="B9" s="28"/>
      <c r="C9" s="78">
        <v>5231164</v>
      </c>
      <c r="D9" s="38">
        <f>(+C9-+C8)*48</f>
        <v>57504</v>
      </c>
      <c r="E9" s="38">
        <f>D9*0.6</f>
        <v>34502.400000000001</v>
      </c>
      <c r="F9" s="38">
        <f>D9*0.4</f>
        <v>23001.600000000002</v>
      </c>
      <c r="G9" s="78">
        <v>270956</v>
      </c>
      <c r="H9" s="38">
        <f>(+G9-+G8)*48</f>
        <v>1152</v>
      </c>
      <c r="I9" s="78">
        <v>60272</v>
      </c>
      <c r="J9" s="104">
        <f>(+I9-+I8)*48</f>
        <v>7632</v>
      </c>
      <c r="K9" s="78">
        <v>254139</v>
      </c>
      <c r="L9" s="104">
        <f>(+K9-+K8)*48</f>
        <v>0</v>
      </c>
      <c r="M9" s="78">
        <v>24362</v>
      </c>
      <c r="N9" s="104">
        <f>(+M9-+M8)*48</f>
        <v>0</v>
      </c>
      <c r="O9" s="78">
        <v>195546</v>
      </c>
      <c r="P9" s="104">
        <f>(+O9-+O8)*48</f>
        <v>7200</v>
      </c>
      <c r="Q9" s="78">
        <v>428529</v>
      </c>
      <c r="R9" s="104">
        <f>(+Q9-+Q8)*48</f>
        <v>0</v>
      </c>
      <c r="S9" s="78">
        <v>675875</v>
      </c>
      <c r="T9" s="104">
        <f>(+S9-+S8)*48</f>
        <v>5520</v>
      </c>
      <c r="U9" s="78">
        <v>91883.660999999993</v>
      </c>
      <c r="V9" s="104">
        <f>(+U9-+U8)*48</f>
        <v>858.47999999974854</v>
      </c>
      <c r="W9" s="78">
        <v>76221</v>
      </c>
      <c r="X9" s="104">
        <f>(+W9-+W8)*48</f>
        <v>336</v>
      </c>
      <c r="Y9" s="78">
        <v>1464145</v>
      </c>
      <c r="Z9" s="104">
        <f>(+Y9-+Y8)*48</f>
        <v>4560</v>
      </c>
      <c r="AA9" s="78">
        <v>13166</v>
      </c>
      <c r="AB9" s="104">
        <f>(+AA9-+AA8)*48</f>
        <v>0</v>
      </c>
      <c r="AC9" s="78">
        <v>418287</v>
      </c>
      <c r="AD9" s="38">
        <f>(+AC9-+AC8)*48</f>
        <v>5136</v>
      </c>
      <c r="AE9" s="78">
        <v>493356</v>
      </c>
      <c r="AF9" s="38">
        <f>(+AE9-+AE8)*48</f>
        <v>6720</v>
      </c>
      <c r="AG9" s="78">
        <v>48276</v>
      </c>
      <c r="AH9" s="38">
        <f>(+AG9-+AG8)*48</f>
        <v>192</v>
      </c>
      <c r="AI9" s="78">
        <v>380803</v>
      </c>
      <c r="AJ9" s="38">
        <f>(+AI9-+AI8)*48</f>
        <v>2544</v>
      </c>
      <c r="AK9" s="78">
        <v>102371</v>
      </c>
      <c r="AL9" s="38">
        <f>(+AK9-+AK8)*48</f>
        <v>0</v>
      </c>
      <c r="AM9" s="84">
        <f>(AM14-AM8)/6+AM8</f>
        <v>538951</v>
      </c>
      <c r="AN9" s="38">
        <f>(+AM9-+AM8)*48</f>
        <v>6288</v>
      </c>
      <c r="AO9" s="78">
        <v>864979</v>
      </c>
      <c r="AP9" s="38">
        <f>(+AO9-+AO8)*48</f>
        <v>9552</v>
      </c>
      <c r="AQ9" s="78">
        <v>62004</v>
      </c>
      <c r="AR9" s="38">
        <f>(+AQ9-+AQ8)*48</f>
        <v>6384</v>
      </c>
      <c r="AS9" s="78">
        <v>2204</v>
      </c>
      <c r="AT9" s="38">
        <f>(+AS9-+AS8)*48</f>
        <v>0</v>
      </c>
      <c r="AU9" s="78">
        <v>918</v>
      </c>
      <c r="AV9" s="38">
        <f>(+AU9-+AU8)*48</f>
        <v>0</v>
      </c>
      <c r="AW9" s="78">
        <v>3075</v>
      </c>
      <c r="AX9" s="38">
        <f>(+AW9-+AW8)*48</f>
        <v>0</v>
      </c>
      <c r="AY9" s="78">
        <v>288791</v>
      </c>
      <c r="AZ9" s="104">
        <f>(+AY9-+AY8)*48</f>
        <v>3264</v>
      </c>
      <c r="BA9" s="78">
        <v>160167</v>
      </c>
      <c r="BB9" s="38">
        <f>(+BA9-+BA8)*48</f>
        <v>0</v>
      </c>
      <c r="BC9" s="78">
        <v>197639</v>
      </c>
      <c r="BD9" s="38">
        <f>(+BC9-+BC8)*48</f>
        <v>2256</v>
      </c>
      <c r="BE9" s="78">
        <v>5335</v>
      </c>
      <c r="BF9" s="38">
        <f>(+BE9-+BE8)*48</f>
        <v>0</v>
      </c>
      <c r="BH9" s="105">
        <f t="shared" ref="BH9:BH36" si="0">SUM(E9,J9,P9,H9,L9,R9,T9,V9,X9,N9,AB9,Z9,AD9,AF9,AH9,AL9,AJ9)</f>
        <v>76352.879999999743</v>
      </c>
      <c r="BI9" s="105">
        <f t="shared" ref="BI9:BI36" si="1">SUM(F9,AN9,AP9,AT9,AV9,AX9,AR9,AZ9,BB9,BD9,BF9)</f>
        <v>50745.600000000006</v>
      </c>
    </row>
    <row r="10" spans="1:61" s="36" customFormat="1" ht="39.950000000000003" customHeight="1">
      <c r="A10" s="145">
        <v>43953</v>
      </c>
      <c r="B10" s="35"/>
      <c r="C10" s="84">
        <f>(C14-C9)/5+C9</f>
        <v>5232767.8</v>
      </c>
      <c r="D10" s="38">
        <f t="shared" ref="D10" si="2">(+C10-+C9)*48</f>
        <v>76982.399999991059</v>
      </c>
      <c r="E10" s="38">
        <f t="shared" ref="E10:E38" si="3">D10*0.6</f>
        <v>46189.439999994633</v>
      </c>
      <c r="F10" s="104">
        <f t="shared" ref="F10:F36" si="4">D10*0.4</f>
        <v>30792.959999996427</v>
      </c>
      <c r="G10" s="84">
        <f>(G14-G9)/5+G9</f>
        <v>270981.59999999998</v>
      </c>
      <c r="H10" s="38">
        <f t="shared" ref="H10:J39" si="5">(+G10-+G9)*48</f>
        <v>1228.7999999988824</v>
      </c>
      <c r="I10" s="84">
        <f>(I14-I9)/5+I9</f>
        <v>60430</v>
      </c>
      <c r="J10" s="104">
        <f t="shared" si="5"/>
        <v>7584</v>
      </c>
      <c r="K10" s="84">
        <f>(K14-K9)/5+K9</f>
        <v>254139</v>
      </c>
      <c r="L10" s="104">
        <f t="shared" ref="L10" si="6">(+K10-+K9)*48</f>
        <v>0</v>
      </c>
      <c r="M10" s="84">
        <f>(M14-M9)/5+M9</f>
        <v>24362</v>
      </c>
      <c r="N10" s="104">
        <f t="shared" ref="N10" si="7">(+M10-+M9)*48</f>
        <v>0</v>
      </c>
      <c r="O10" s="84">
        <f>(O14-O9)/5+O9</f>
        <v>195703.2</v>
      </c>
      <c r="P10" s="104">
        <f t="shared" ref="P10" si="8">(+O10-+O9)*48</f>
        <v>7545.6000000005588</v>
      </c>
      <c r="Q10" s="84">
        <f>(Q14-Q9)/5+Q9</f>
        <v>428534.2</v>
      </c>
      <c r="R10" s="104">
        <f t="shared" ref="R10" si="9">(+Q10-+Q9)*48</f>
        <v>249.60000000055879</v>
      </c>
      <c r="S10" s="84">
        <f>(S14-S9)/5+S9</f>
        <v>676008.8</v>
      </c>
      <c r="T10" s="104">
        <f t="shared" ref="T10" si="10">(+S10-+S9)*48</f>
        <v>6422.4000000022352</v>
      </c>
      <c r="U10" s="84">
        <f>(U14-U9)/5+U9</f>
        <v>91902.786199999988</v>
      </c>
      <c r="V10" s="104">
        <f t="shared" ref="V10" si="11">(+U10-+U9)*48</f>
        <v>918.00959999975748</v>
      </c>
      <c r="W10" s="84">
        <f>(W14-W9)/5+W9</f>
        <v>76224</v>
      </c>
      <c r="X10" s="104">
        <f t="shared" ref="X10" si="12">(+W10-+W9)*48</f>
        <v>144</v>
      </c>
      <c r="Y10" s="84">
        <f>(Y14-Y9)/5+Y9</f>
        <v>1464220.2</v>
      </c>
      <c r="Z10" s="104">
        <f t="shared" ref="Z10" si="13">(+Y10-+Y9)*48</f>
        <v>3609.5999999977648</v>
      </c>
      <c r="AA10" s="84">
        <v>13166</v>
      </c>
      <c r="AB10" s="104">
        <f t="shared" ref="AB10" si="14">(+AA10-+AA9)*48</f>
        <v>0</v>
      </c>
      <c r="AC10" s="84">
        <f>(AC14-AC9)/5+AC9</f>
        <v>418379.4</v>
      </c>
      <c r="AD10" s="38">
        <f t="shared" ref="AD10:AF37" si="15">(+AC10-+AC9)*48</f>
        <v>4435.2000000011176</v>
      </c>
      <c r="AE10" s="84">
        <f>(AE14-AE9)/5+AE9</f>
        <v>493495.2</v>
      </c>
      <c r="AF10" s="38">
        <f t="shared" si="15"/>
        <v>6681.6000000005588</v>
      </c>
      <c r="AG10" s="84">
        <f>(AG14-AG9)/5+AG9</f>
        <v>48280</v>
      </c>
      <c r="AH10" s="38">
        <f t="shared" ref="AH10" si="16">(+AG10-+AG9)*48</f>
        <v>192</v>
      </c>
      <c r="AI10" s="84">
        <f>(AI14-AI9)/5+AI9</f>
        <v>380863.4</v>
      </c>
      <c r="AJ10" s="38">
        <f t="shared" ref="AJ10" si="17">(+AI10-+AI9)*48</f>
        <v>2899.2000000011176</v>
      </c>
      <c r="AK10" s="84">
        <v>102371</v>
      </c>
      <c r="AL10" s="38">
        <f t="shared" ref="AL10" si="18">(+AK10-+AK9)*48</f>
        <v>0</v>
      </c>
      <c r="AM10" s="84">
        <f>(AM14-AM8)/6+AM9</f>
        <v>539082</v>
      </c>
      <c r="AN10" s="38">
        <f t="shared" ref="AN10" si="19">(+AM10-+AM9)*48</f>
        <v>6288</v>
      </c>
      <c r="AO10" s="84">
        <f>(AO14-AO9)/5+AO9</f>
        <v>865174.2</v>
      </c>
      <c r="AP10" s="38">
        <f t="shared" ref="AP10" si="20">(+AO10-+AO9)*48</f>
        <v>9369.5999999977648</v>
      </c>
      <c r="AQ10" s="84">
        <f>(AQ14-AQ9)/5+AQ9</f>
        <v>62071.4</v>
      </c>
      <c r="AR10" s="38">
        <f t="shared" ref="AR10" si="21">(+AQ10-+AQ9)*48</f>
        <v>3235.2000000000698</v>
      </c>
      <c r="AS10" s="84">
        <v>2204</v>
      </c>
      <c r="AT10" s="38">
        <f t="shared" ref="AT10" si="22">(+AS10-+AS9)*48</f>
        <v>0</v>
      </c>
      <c r="AU10" s="78">
        <v>918</v>
      </c>
      <c r="AV10" s="38">
        <f t="shared" ref="AV10" si="23">(+AU10-+AU9)*48</f>
        <v>0</v>
      </c>
      <c r="AW10" s="78">
        <v>3075</v>
      </c>
      <c r="AX10" s="38">
        <f t="shared" ref="AX10" si="24">(+AW10-+AW9)*48</f>
        <v>0</v>
      </c>
      <c r="AY10" s="84">
        <f>(AY14-AY9)/5+AY9</f>
        <v>288856.2</v>
      </c>
      <c r="AZ10" s="104">
        <f t="shared" ref="AZ10" si="25">(+AY10-+AY9)*48</f>
        <v>3129.6000000005588</v>
      </c>
      <c r="BA10" s="78">
        <v>160167</v>
      </c>
      <c r="BB10" s="38">
        <f t="shared" ref="BB10" si="26">(+BA10-+BA9)*48</f>
        <v>0</v>
      </c>
      <c r="BC10" s="84">
        <f>(BC14-BC9)/5+BC9</f>
        <v>197684.4</v>
      </c>
      <c r="BD10" s="104">
        <f t="shared" ref="BD10" si="27">(+BC10-+BC9)*48</f>
        <v>2179.1999999997206</v>
      </c>
      <c r="BE10" s="78">
        <v>5335</v>
      </c>
      <c r="BF10" s="38">
        <f t="shared" ref="BF10" si="28">(+BE10-+BE9)*48</f>
        <v>0</v>
      </c>
      <c r="BH10" s="105">
        <f t="shared" si="0"/>
        <v>88099.449599997184</v>
      </c>
      <c r="BI10" s="105">
        <f t="shared" si="1"/>
        <v>54994.559999994541</v>
      </c>
    </row>
    <row r="11" spans="1:61" s="36" customFormat="1" ht="39.950000000000003" customHeight="1">
      <c r="A11" s="145">
        <v>43954</v>
      </c>
      <c r="B11" s="35"/>
      <c r="C11" s="84">
        <f>(C14-C9)/5+C10</f>
        <v>5234371.5999999996</v>
      </c>
      <c r="D11" s="38">
        <f t="shared" ref="D11" si="29">(+C11-+C10)*48</f>
        <v>76982.399999991059</v>
      </c>
      <c r="E11" s="38">
        <f t="shared" si="3"/>
        <v>46189.439999994633</v>
      </c>
      <c r="F11" s="104">
        <f t="shared" si="4"/>
        <v>30792.959999996427</v>
      </c>
      <c r="G11" s="84">
        <f>(G14-G9)/5+G10</f>
        <v>271007.19999999995</v>
      </c>
      <c r="H11" s="38">
        <f t="shared" si="5"/>
        <v>1228.7999999988824</v>
      </c>
      <c r="I11" s="84">
        <f>(I14-I9)/5+I10</f>
        <v>60588</v>
      </c>
      <c r="J11" s="104">
        <f t="shared" si="5"/>
        <v>7584</v>
      </c>
      <c r="K11" s="84">
        <f>(K14-K9)/5+K10</f>
        <v>254139</v>
      </c>
      <c r="L11" s="104">
        <f t="shared" ref="L11" si="30">(+K11-+K10)*48</f>
        <v>0</v>
      </c>
      <c r="M11" s="84">
        <f>(M14-M9)/5+M10</f>
        <v>24362</v>
      </c>
      <c r="N11" s="104">
        <f t="shared" ref="N11" si="31">(+M11-+M10)*48</f>
        <v>0</v>
      </c>
      <c r="O11" s="84">
        <f>(O14-O9)/5+O10</f>
        <v>195860.40000000002</v>
      </c>
      <c r="P11" s="104">
        <f t="shared" ref="P11" si="32">(+O11-+O10)*48</f>
        <v>7545.6000000005588</v>
      </c>
      <c r="Q11" s="84">
        <f>(Q14-Q9)/5+Q10</f>
        <v>428539.4</v>
      </c>
      <c r="R11" s="104">
        <f t="shared" ref="R11" si="33">(+Q11-+Q10)*48</f>
        <v>249.60000000055879</v>
      </c>
      <c r="S11" s="84">
        <f>(S14-S9)/5+S10</f>
        <v>676142.60000000009</v>
      </c>
      <c r="T11" s="104">
        <f t="shared" ref="T11" si="34">(+S11-+S10)*48</f>
        <v>6422.4000000022352</v>
      </c>
      <c r="U11" s="84">
        <f>(U14-U9)/5+U10</f>
        <v>91921.911399999983</v>
      </c>
      <c r="V11" s="104">
        <f t="shared" ref="V11" si="35">(+U11-+U10)*48</f>
        <v>918.00959999975748</v>
      </c>
      <c r="W11" s="84">
        <f>(W14-W9)/5+W10</f>
        <v>76227</v>
      </c>
      <c r="X11" s="104">
        <f t="shared" ref="X11" si="36">(+W11-+W10)*48</f>
        <v>144</v>
      </c>
      <c r="Y11" s="84">
        <f>(Y14-Y9)/5+Y10</f>
        <v>1464295.4</v>
      </c>
      <c r="Z11" s="104">
        <f t="shared" ref="Z11" si="37">(+Y11-+Y10)*48</f>
        <v>3609.5999999977648</v>
      </c>
      <c r="AA11" s="84">
        <v>13166</v>
      </c>
      <c r="AB11" s="104">
        <f t="shared" ref="AB11" si="38">(+AA11-+AA10)*48</f>
        <v>0</v>
      </c>
      <c r="AC11" s="84">
        <f>(AC14-AC9)/5+AC10</f>
        <v>418471.80000000005</v>
      </c>
      <c r="AD11" s="38">
        <f t="shared" si="15"/>
        <v>4435.2000000011176</v>
      </c>
      <c r="AE11" s="84">
        <f>(AE14-AE9)/5+AE10</f>
        <v>493634.4</v>
      </c>
      <c r="AF11" s="38">
        <f t="shared" si="15"/>
        <v>6681.6000000005588</v>
      </c>
      <c r="AG11" s="84">
        <f>(AG14-AG9)/5+AG10</f>
        <v>48284</v>
      </c>
      <c r="AH11" s="38">
        <f t="shared" ref="AH11" si="39">(+AG11-+AG10)*48</f>
        <v>192</v>
      </c>
      <c r="AI11" s="84">
        <f>(AI14-AI9)/5+AI10</f>
        <v>380923.80000000005</v>
      </c>
      <c r="AJ11" s="38">
        <f t="shared" ref="AJ11" si="40">(+AI11-+AI10)*48</f>
        <v>2899.2000000011176</v>
      </c>
      <c r="AK11" s="84">
        <v>102371</v>
      </c>
      <c r="AL11" s="38">
        <f t="shared" ref="AL11" si="41">(+AK11-+AK10)*48</f>
        <v>0</v>
      </c>
      <c r="AM11" s="84">
        <f>(AM14-AM8)/6+AM10</f>
        <v>539213</v>
      </c>
      <c r="AN11" s="38">
        <f t="shared" ref="AN11" si="42">(+AM11-+AM10)*48</f>
        <v>6288</v>
      </c>
      <c r="AO11" s="84">
        <f>(AO14-AO9)/5+AO10</f>
        <v>865369.39999999991</v>
      </c>
      <c r="AP11" s="38">
        <f t="shared" ref="AP11" si="43">(+AO11-+AO10)*48</f>
        <v>9369.5999999977648</v>
      </c>
      <c r="AQ11" s="84">
        <f>(AQ14-AQ9)/5+AQ10</f>
        <v>62138.8</v>
      </c>
      <c r="AR11" s="38">
        <f t="shared" ref="AR11" si="44">(+AQ11-+AQ10)*48</f>
        <v>3235.2000000000698</v>
      </c>
      <c r="AS11" s="84">
        <v>2204</v>
      </c>
      <c r="AT11" s="38">
        <f t="shared" ref="AT11" si="45">(+AS11-+AS10)*48</f>
        <v>0</v>
      </c>
      <c r="AU11" s="78">
        <v>918</v>
      </c>
      <c r="AV11" s="38">
        <f t="shared" ref="AV11" si="46">(+AU11-+AU10)*48</f>
        <v>0</v>
      </c>
      <c r="AW11" s="78">
        <v>3075</v>
      </c>
      <c r="AX11" s="38">
        <f t="shared" ref="AX11" si="47">(+AW11-+AW10)*48</f>
        <v>0</v>
      </c>
      <c r="AY11" s="84">
        <f>(AY14-AY9)/5+AY10</f>
        <v>288921.40000000002</v>
      </c>
      <c r="AZ11" s="104">
        <f t="shared" ref="AZ11" si="48">(+AY11-+AY10)*48</f>
        <v>3129.6000000005588</v>
      </c>
      <c r="BA11" s="78">
        <v>160167</v>
      </c>
      <c r="BB11" s="38">
        <f t="shared" ref="BB11" si="49">(+BA11-+BA10)*48</f>
        <v>0</v>
      </c>
      <c r="BC11" s="84">
        <f>(BC14-BC9)/5+BC10</f>
        <v>197729.8</v>
      </c>
      <c r="BD11" s="104">
        <f t="shared" ref="BD11" si="50">(+BC11-+BC10)*48</f>
        <v>2179.1999999997206</v>
      </c>
      <c r="BE11" s="78">
        <v>5335</v>
      </c>
      <c r="BF11" s="38">
        <f t="shared" ref="BF11" si="51">(+BE11-+BE10)*48</f>
        <v>0</v>
      </c>
      <c r="BH11" s="105">
        <f t="shared" si="0"/>
        <v>88099.449599997184</v>
      </c>
      <c r="BI11" s="105">
        <f t="shared" si="1"/>
        <v>54994.559999994541</v>
      </c>
    </row>
    <row r="12" spans="1:61" s="36" customFormat="1" ht="39.950000000000003" customHeight="1">
      <c r="A12" s="145">
        <v>43955</v>
      </c>
      <c r="B12" s="35"/>
      <c r="C12" s="84">
        <f>(C14-C9)/5+C11</f>
        <v>5235975.3999999994</v>
      </c>
      <c r="D12" s="38">
        <f t="shared" ref="D12" si="52">(+C12-+C11)*48</f>
        <v>76982.399999991059</v>
      </c>
      <c r="E12" s="38">
        <f t="shared" si="3"/>
        <v>46189.439999994633</v>
      </c>
      <c r="F12" s="104">
        <f t="shared" si="4"/>
        <v>30792.959999996427</v>
      </c>
      <c r="G12" s="84">
        <f>(G14-G9)/5+G11</f>
        <v>271032.79999999993</v>
      </c>
      <c r="H12" s="38">
        <f t="shared" si="5"/>
        <v>1228.7999999988824</v>
      </c>
      <c r="I12" s="84">
        <f>(I14-I9)/5+I11</f>
        <v>60746</v>
      </c>
      <c r="J12" s="104">
        <f t="shared" si="5"/>
        <v>7584</v>
      </c>
      <c r="K12" s="84">
        <f>(K14-K9)/5+K11</f>
        <v>254139</v>
      </c>
      <c r="L12" s="104">
        <f t="shared" ref="L12" si="53">(+K12-+K11)*48</f>
        <v>0</v>
      </c>
      <c r="M12" s="84">
        <f>(M14-M9)/5+M11</f>
        <v>24362</v>
      </c>
      <c r="N12" s="104">
        <f t="shared" ref="N12" si="54">(+M12-+M11)*48</f>
        <v>0</v>
      </c>
      <c r="O12" s="84">
        <f>(O14-O9)/5+O11</f>
        <v>196017.60000000003</v>
      </c>
      <c r="P12" s="104">
        <f t="shared" ref="P12" si="55">(+O12-+O11)*48</f>
        <v>7545.6000000005588</v>
      </c>
      <c r="Q12" s="84">
        <f>(Q14-Q9)/5+Q11</f>
        <v>428544.60000000003</v>
      </c>
      <c r="R12" s="104">
        <f t="shared" ref="R12" si="56">(+Q12-+Q11)*48</f>
        <v>249.60000000055879</v>
      </c>
      <c r="S12" s="84">
        <f>(S14-S9)/5+S11</f>
        <v>676276.40000000014</v>
      </c>
      <c r="T12" s="104">
        <f t="shared" ref="T12" si="57">(+S12-+S11)*48</f>
        <v>6422.4000000022352</v>
      </c>
      <c r="U12" s="84">
        <f>(U14-U9)/5+U11</f>
        <v>91941.036599999978</v>
      </c>
      <c r="V12" s="104">
        <f t="shared" ref="V12" si="58">(+U12-+U11)*48</f>
        <v>918.00959999975748</v>
      </c>
      <c r="W12" s="84">
        <f>(W14-W9)/5+W11</f>
        <v>76230</v>
      </c>
      <c r="X12" s="104">
        <f t="shared" ref="X12" si="59">(+W12-+W11)*48</f>
        <v>144</v>
      </c>
      <c r="Y12" s="84">
        <f>(Y14-Y9)/5+Y11</f>
        <v>1464370.5999999999</v>
      </c>
      <c r="Z12" s="104">
        <f t="shared" ref="Z12" si="60">(+Y12-+Y11)*48</f>
        <v>3609.5999999977648</v>
      </c>
      <c r="AA12" s="84">
        <v>13166</v>
      </c>
      <c r="AB12" s="104">
        <f t="shared" ref="AB12" si="61">(+AA12-+AA11)*48</f>
        <v>0</v>
      </c>
      <c r="AC12" s="84">
        <f>(AC14-AC9)/5+AC11</f>
        <v>418564.20000000007</v>
      </c>
      <c r="AD12" s="38">
        <f t="shared" si="15"/>
        <v>4435.2000000011176</v>
      </c>
      <c r="AE12" s="84">
        <f>(AE14-AE9)/5+AE11</f>
        <v>493773.60000000003</v>
      </c>
      <c r="AF12" s="38">
        <f t="shared" si="15"/>
        <v>6681.6000000005588</v>
      </c>
      <c r="AG12" s="84">
        <f>(AG14-AG9)/5+AG11</f>
        <v>48288</v>
      </c>
      <c r="AH12" s="38">
        <f t="shared" ref="AH12" si="62">(+AG12-+AG11)*48</f>
        <v>192</v>
      </c>
      <c r="AI12" s="84">
        <f>(AI14-AI9)/5+AI11</f>
        <v>380984.20000000007</v>
      </c>
      <c r="AJ12" s="38">
        <f t="shared" ref="AJ12" si="63">(+AI12-+AI11)*48</f>
        <v>2899.2000000011176</v>
      </c>
      <c r="AK12" s="84">
        <v>102371</v>
      </c>
      <c r="AL12" s="38">
        <f t="shared" ref="AL12" si="64">(+AK12-+AK11)*48</f>
        <v>0</v>
      </c>
      <c r="AM12" s="84">
        <f>(AM14-AM8)/6+AM11</f>
        <v>539344</v>
      </c>
      <c r="AN12" s="38">
        <f t="shared" ref="AN12" si="65">(+AM12-+AM11)*48</f>
        <v>6288</v>
      </c>
      <c r="AO12" s="84">
        <f>(AO14-AO9)/5+AO11</f>
        <v>865564.59999999986</v>
      </c>
      <c r="AP12" s="38">
        <f t="shared" ref="AP12" si="66">(+AO12-+AO11)*48</f>
        <v>9369.5999999977648</v>
      </c>
      <c r="AQ12" s="84">
        <f>(AQ14-AQ9)/5+AQ11</f>
        <v>62206.200000000004</v>
      </c>
      <c r="AR12" s="38">
        <f t="shared" ref="AR12" si="67">(+AQ12-+AQ11)*48</f>
        <v>3235.2000000000698</v>
      </c>
      <c r="AS12" s="84">
        <v>2204</v>
      </c>
      <c r="AT12" s="38">
        <f t="shared" ref="AT12" si="68">(+AS12-+AS11)*48</f>
        <v>0</v>
      </c>
      <c r="AU12" s="78">
        <v>918</v>
      </c>
      <c r="AV12" s="38">
        <f t="shared" ref="AV12" si="69">(+AU12-+AU11)*48</f>
        <v>0</v>
      </c>
      <c r="AW12" s="78">
        <v>3075</v>
      </c>
      <c r="AX12" s="38">
        <f t="shared" ref="AX12" si="70">(+AW12-+AW11)*48</f>
        <v>0</v>
      </c>
      <c r="AY12" s="84">
        <f>(AY14-AY9)/5+AY11</f>
        <v>288986.60000000003</v>
      </c>
      <c r="AZ12" s="104">
        <f t="shared" ref="AZ12" si="71">(+AY12-+AY11)*48</f>
        <v>3129.6000000005588</v>
      </c>
      <c r="BA12" s="78">
        <v>160167</v>
      </c>
      <c r="BB12" s="38">
        <f t="shared" ref="BB12" si="72">(+BA12-+BA11)*48</f>
        <v>0</v>
      </c>
      <c r="BC12" s="84">
        <f>(BC14-BC9)/5+BC11</f>
        <v>197775.19999999998</v>
      </c>
      <c r="BD12" s="104">
        <f t="shared" ref="BD12" si="73">(+BC12-+BC11)*48</f>
        <v>2179.1999999997206</v>
      </c>
      <c r="BE12" s="78">
        <v>5335</v>
      </c>
      <c r="BF12" s="38">
        <f t="shared" ref="BF12" si="74">(+BE12-+BE11)*48</f>
        <v>0</v>
      </c>
      <c r="BH12" s="105">
        <f t="shared" si="0"/>
        <v>88099.449599997184</v>
      </c>
      <c r="BI12" s="105">
        <f t="shared" si="1"/>
        <v>54994.559999994541</v>
      </c>
    </row>
    <row r="13" spans="1:61" s="36" customFormat="1" ht="39.950000000000003" customHeight="1">
      <c r="A13" s="145">
        <v>43956</v>
      </c>
      <c r="B13" s="35"/>
      <c r="C13" s="84">
        <f>(C14-C9)/5+C12</f>
        <v>5237579.1999999993</v>
      </c>
      <c r="D13" s="38">
        <f t="shared" ref="D13" si="75">(+C13-+C12)*48</f>
        <v>76982.399999991059</v>
      </c>
      <c r="E13" s="38">
        <f t="shared" si="3"/>
        <v>46189.439999994633</v>
      </c>
      <c r="F13" s="104">
        <f t="shared" si="4"/>
        <v>30792.959999996427</v>
      </c>
      <c r="G13" s="84">
        <f>(G14-G9)/5+G12</f>
        <v>271058.39999999991</v>
      </c>
      <c r="H13" s="38">
        <f t="shared" si="5"/>
        <v>1228.7999999988824</v>
      </c>
      <c r="I13" s="84">
        <f>(I14-I9)/5+I12</f>
        <v>60904</v>
      </c>
      <c r="J13" s="104">
        <f t="shared" si="5"/>
        <v>7584</v>
      </c>
      <c r="K13" s="84">
        <f>(K14-K9)/5+K12</f>
        <v>254139</v>
      </c>
      <c r="L13" s="104">
        <f t="shared" ref="L13" si="76">(+K13-+K12)*48</f>
        <v>0</v>
      </c>
      <c r="M13" s="84">
        <f>(M14-M9)/5+M12</f>
        <v>24362</v>
      </c>
      <c r="N13" s="104">
        <f t="shared" ref="N13" si="77">(+M13-+M12)*48</f>
        <v>0</v>
      </c>
      <c r="O13" s="84">
        <f>(O14-O9)/5+O12</f>
        <v>196174.80000000005</v>
      </c>
      <c r="P13" s="104">
        <f t="shared" ref="P13" si="78">(+O13-+O12)*48</f>
        <v>7545.6000000005588</v>
      </c>
      <c r="Q13" s="84">
        <f>(Q14-Q9)/5+Q12</f>
        <v>428549.80000000005</v>
      </c>
      <c r="R13" s="104">
        <f t="shared" ref="R13" si="79">(+Q13-+Q12)*48</f>
        <v>249.60000000055879</v>
      </c>
      <c r="S13" s="84">
        <f>(S14-S9)/5+S12</f>
        <v>676410.20000000019</v>
      </c>
      <c r="T13" s="104">
        <f t="shared" ref="T13" si="80">(+S13-+S12)*48</f>
        <v>6422.4000000022352</v>
      </c>
      <c r="U13" s="84">
        <f>(U14-U9)/5+U12</f>
        <v>91960.161799999973</v>
      </c>
      <c r="V13" s="104">
        <f t="shared" ref="V13" si="81">(+U13-+U12)*48</f>
        <v>918.00959999975748</v>
      </c>
      <c r="W13" s="84">
        <f>(W14-W9)/5+W12</f>
        <v>76233</v>
      </c>
      <c r="X13" s="104">
        <f t="shared" ref="X13" si="82">(+W13-+W12)*48</f>
        <v>144</v>
      </c>
      <c r="Y13" s="84">
        <f>(Y14-Y9)/5+Y12</f>
        <v>1464445.7999999998</v>
      </c>
      <c r="Z13" s="104">
        <f t="shared" ref="Z13" si="83">(+Y13-+Y12)*48</f>
        <v>3609.5999999977648</v>
      </c>
      <c r="AA13" s="84">
        <v>13166</v>
      </c>
      <c r="AB13" s="104">
        <f t="shared" ref="AB13" si="84">(+AA13-+AA12)*48</f>
        <v>0</v>
      </c>
      <c r="AC13" s="84">
        <f>(AC14-AC9)/5+AC12</f>
        <v>418656.60000000009</v>
      </c>
      <c r="AD13" s="38">
        <f t="shared" si="15"/>
        <v>4435.2000000011176</v>
      </c>
      <c r="AE13" s="84">
        <f>(AE14-AE9)/5+AE12</f>
        <v>493912.80000000005</v>
      </c>
      <c r="AF13" s="38">
        <f t="shared" si="15"/>
        <v>6681.6000000005588</v>
      </c>
      <c r="AG13" s="84">
        <f>(AG14-AG9)/5+AG12</f>
        <v>48292</v>
      </c>
      <c r="AH13" s="38">
        <f t="shared" ref="AH13" si="85">(+AG13-+AG12)*48</f>
        <v>192</v>
      </c>
      <c r="AI13" s="84">
        <f>(AI14-AI9)/5+AI12</f>
        <v>381044.60000000009</v>
      </c>
      <c r="AJ13" s="38">
        <f t="shared" ref="AJ13:AJ14" si="86">(+AI13-+AI12)*48</f>
        <v>2899.2000000011176</v>
      </c>
      <c r="AK13" s="84">
        <v>102371</v>
      </c>
      <c r="AL13" s="38">
        <f t="shared" ref="AL13" si="87">(+AK13-+AK12)*48</f>
        <v>0</v>
      </c>
      <c r="AM13" s="84">
        <f>(AM14-AM8)/6+AM12</f>
        <v>539475</v>
      </c>
      <c r="AN13" s="38">
        <f t="shared" ref="AN13" si="88">(+AM13-+AM12)*48</f>
        <v>6288</v>
      </c>
      <c r="AO13" s="84">
        <f>(AO14-AO9)/5+AO12</f>
        <v>865759.79999999981</v>
      </c>
      <c r="AP13" s="38">
        <f t="shared" ref="AP13" si="89">(+AO13-+AO12)*48</f>
        <v>9369.5999999977648</v>
      </c>
      <c r="AQ13" s="84">
        <f>(AQ14-AQ9)/5+AQ12</f>
        <v>62273.600000000006</v>
      </c>
      <c r="AR13" s="38">
        <f t="shared" ref="AR13" si="90">(+AQ13-+AQ12)*48</f>
        <v>3235.2000000000698</v>
      </c>
      <c r="AS13" s="84">
        <v>2204</v>
      </c>
      <c r="AT13" s="38">
        <f t="shared" ref="AT13" si="91">(+AS13-+AS12)*48</f>
        <v>0</v>
      </c>
      <c r="AU13" s="78">
        <v>918</v>
      </c>
      <c r="AV13" s="38">
        <f t="shared" ref="AV13" si="92">(+AU13-+AU12)*48</f>
        <v>0</v>
      </c>
      <c r="AW13" s="78">
        <v>3075</v>
      </c>
      <c r="AX13" s="38">
        <f t="shared" ref="AX13" si="93">(+AW13-+AW12)*48</f>
        <v>0</v>
      </c>
      <c r="AY13" s="84">
        <f>(AY14-AY9)/5+AY12</f>
        <v>289051.80000000005</v>
      </c>
      <c r="AZ13" s="104">
        <f t="shared" ref="AZ13" si="94">(+AY13-+AY12)*48</f>
        <v>3129.6000000005588</v>
      </c>
      <c r="BA13" s="78">
        <v>160167</v>
      </c>
      <c r="BB13" s="38">
        <f t="shared" ref="BB13" si="95">(+BA13-+BA12)*48</f>
        <v>0</v>
      </c>
      <c r="BC13" s="84">
        <f>(BC14-BC9)/5+BC12</f>
        <v>197820.59999999998</v>
      </c>
      <c r="BD13" s="104">
        <f t="shared" ref="BD13" si="96">(+BC13-+BC12)*48</f>
        <v>2179.1999999997206</v>
      </c>
      <c r="BE13" s="78">
        <v>5335</v>
      </c>
      <c r="BF13" s="38">
        <f t="shared" ref="BF13" si="97">(+BE13-+BE12)*48</f>
        <v>0</v>
      </c>
      <c r="BH13" s="105">
        <f t="shared" si="0"/>
        <v>88099.449599997184</v>
      </c>
      <c r="BI13" s="105">
        <f t="shared" si="1"/>
        <v>54994.559999994541</v>
      </c>
    </row>
    <row r="14" spans="1:61" s="36" customFormat="1" ht="39.950000000000003" customHeight="1">
      <c r="A14" s="145">
        <v>43957</v>
      </c>
      <c r="B14" s="35"/>
      <c r="C14" s="84">
        <v>5239183</v>
      </c>
      <c r="D14" s="38">
        <f t="shared" ref="D14" si="98">(+C14-+C13)*48</f>
        <v>76982.400000035763</v>
      </c>
      <c r="E14" s="38">
        <f t="shared" si="3"/>
        <v>46189.440000021459</v>
      </c>
      <c r="F14" s="104">
        <f t="shared" si="4"/>
        <v>30792.960000014307</v>
      </c>
      <c r="G14" s="84">
        <v>271084</v>
      </c>
      <c r="H14" s="38">
        <f t="shared" si="5"/>
        <v>1228.8000000044703</v>
      </c>
      <c r="I14" s="84">
        <v>61062</v>
      </c>
      <c r="J14" s="104">
        <f t="shared" si="5"/>
        <v>7584</v>
      </c>
      <c r="K14" s="84">
        <v>254139</v>
      </c>
      <c r="L14" s="104">
        <f t="shared" ref="L14" si="99">(+K14-+K13)*48</f>
        <v>0</v>
      </c>
      <c r="M14" s="84">
        <v>24362</v>
      </c>
      <c r="N14" s="104">
        <f t="shared" ref="N14" si="100">(+M14-+M13)*48</f>
        <v>0</v>
      </c>
      <c r="O14" s="84">
        <v>196332</v>
      </c>
      <c r="P14" s="104">
        <f t="shared" ref="P14" si="101">(+O14-+O13)*48</f>
        <v>7545.5999999977648</v>
      </c>
      <c r="Q14" s="84">
        <v>428555</v>
      </c>
      <c r="R14" s="104">
        <f t="shared" ref="R14" si="102">(+Q14-+Q13)*48</f>
        <v>249.59999999776483</v>
      </c>
      <c r="S14" s="84">
        <v>676544</v>
      </c>
      <c r="T14" s="104">
        <f t="shared" ref="T14" si="103">(+S14-+S13)*48</f>
        <v>6422.3999999910593</v>
      </c>
      <c r="U14" s="84">
        <v>91979.286999999997</v>
      </c>
      <c r="V14" s="104">
        <f t="shared" ref="V14" si="104">(+U14-+U13)*48</f>
        <v>918.00960000115447</v>
      </c>
      <c r="W14" s="84">
        <v>76236</v>
      </c>
      <c r="X14" s="104">
        <f t="shared" ref="X14" si="105">(+W14-+W13)*48</f>
        <v>144</v>
      </c>
      <c r="Y14" s="84">
        <v>1464521</v>
      </c>
      <c r="Z14" s="104">
        <f t="shared" ref="Z14" si="106">(+Y14-+Y13)*48</f>
        <v>3609.6000000089407</v>
      </c>
      <c r="AA14" s="84">
        <v>13166</v>
      </c>
      <c r="AB14" s="104">
        <f t="shared" ref="AB14" si="107">(+AA14-+AA13)*48</f>
        <v>0</v>
      </c>
      <c r="AC14" s="84">
        <v>418749</v>
      </c>
      <c r="AD14" s="38">
        <f t="shared" si="15"/>
        <v>4435.1999999955297</v>
      </c>
      <c r="AE14" s="84">
        <v>494052</v>
      </c>
      <c r="AF14" s="38">
        <f t="shared" si="15"/>
        <v>6681.5999999977648</v>
      </c>
      <c r="AG14" s="84">
        <v>48296</v>
      </c>
      <c r="AH14" s="38">
        <f t="shared" ref="AH14" si="108">(+AG14-+AG13)*48</f>
        <v>192</v>
      </c>
      <c r="AI14" s="84">
        <v>381105</v>
      </c>
      <c r="AJ14" s="38">
        <f t="shared" si="86"/>
        <v>2899.1999999955297</v>
      </c>
      <c r="AK14" s="84">
        <v>102371</v>
      </c>
      <c r="AL14" s="38">
        <f t="shared" ref="AL14" si="109">(+AK14-+AK13)*48</f>
        <v>0</v>
      </c>
      <c r="AM14" s="84">
        <v>539606</v>
      </c>
      <c r="AN14" s="38">
        <f t="shared" ref="AN14" si="110">(+AM14-+AM13)*48</f>
        <v>6288</v>
      </c>
      <c r="AO14" s="84">
        <v>865955</v>
      </c>
      <c r="AP14" s="38">
        <f t="shared" ref="AP14" si="111">(+AO14-+AO13)*48</f>
        <v>9369.6000000089407</v>
      </c>
      <c r="AQ14" s="84">
        <v>62341</v>
      </c>
      <c r="AR14" s="38">
        <f t="shared" ref="AR14" si="112">(+AQ14-+AQ13)*48</f>
        <v>3235.1999999997206</v>
      </c>
      <c r="AS14" s="84">
        <v>2204</v>
      </c>
      <c r="AT14" s="38">
        <f t="shared" ref="AT14" si="113">(+AS14-+AS13)*48</f>
        <v>0</v>
      </c>
      <c r="AU14" s="78">
        <v>918</v>
      </c>
      <c r="AV14" s="38">
        <f t="shared" ref="AV14" si="114">(+AU14-+AU13)*48</f>
        <v>0</v>
      </c>
      <c r="AW14" s="78">
        <v>3075</v>
      </c>
      <c r="AX14" s="38">
        <f t="shared" ref="AX14" si="115">(+AW14-+AW13)*48</f>
        <v>0</v>
      </c>
      <c r="AY14" s="84">
        <v>289117</v>
      </c>
      <c r="AZ14" s="104">
        <f t="shared" ref="AZ14" si="116">(+AY14-+AY13)*48</f>
        <v>3129.5999999977648</v>
      </c>
      <c r="BA14" s="78">
        <v>160167</v>
      </c>
      <c r="BB14" s="38">
        <f t="shared" ref="BB14" si="117">(+BA14-+BA13)*48</f>
        <v>0</v>
      </c>
      <c r="BC14" s="84">
        <v>197866</v>
      </c>
      <c r="BD14" s="104">
        <f t="shared" ref="BD14" si="118">(+BC14-+BC13)*48</f>
        <v>2179.2000000011176</v>
      </c>
      <c r="BE14" s="78">
        <v>5335</v>
      </c>
      <c r="BF14" s="38">
        <f t="shared" ref="BF14" si="119">(+BE14-+BE13)*48</f>
        <v>0</v>
      </c>
      <c r="BH14" s="105">
        <f t="shared" si="0"/>
        <v>88099.44960001143</v>
      </c>
      <c r="BI14" s="105">
        <f t="shared" si="1"/>
        <v>54994.560000021855</v>
      </c>
    </row>
    <row r="15" spans="1:61" s="36" customFormat="1" ht="39.950000000000003" customHeight="1">
      <c r="A15" s="145">
        <v>43958</v>
      </c>
      <c r="B15" s="35"/>
      <c r="C15" s="78">
        <v>5241047</v>
      </c>
      <c r="D15" s="38">
        <f t="shared" ref="D15" si="120">(+C15-+C14)*48</f>
        <v>89472</v>
      </c>
      <c r="E15" s="38">
        <f t="shared" si="3"/>
        <v>53683.199999999997</v>
      </c>
      <c r="F15" s="104">
        <f t="shared" si="4"/>
        <v>35788.800000000003</v>
      </c>
      <c r="G15" s="78">
        <v>271108</v>
      </c>
      <c r="H15" s="38">
        <f t="shared" si="5"/>
        <v>1152</v>
      </c>
      <c r="I15" s="78">
        <v>61211</v>
      </c>
      <c r="J15" s="104">
        <f t="shared" si="5"/>
        <v>7152</v>
      </c>
      <c r="K15" s="78">
        <v>254139</v>
      </c>
      <c r="L15" s="104">
        <f t="shared" ref="L15" si="121">(+K15-+K14)*48</f>
        <v>0</v>
      </c>
      <c r="M15" s="78">
        <v>24362</v>
      </c>
      <c r="N15" s="104">
        <f t="shared" ref="N15" si="122">(+M15-+M14)*48</f>
        <v>0</v>
      </c>
      <c r="O15" s="78">
        <v>196486</v>
      </c>
      <c r="P15" s="104">
        <f t="shared" ref="P15" si="123">(+O15-+O14)*48</f>
        <v>7392</v>
      </c>
      <c r="Q15" s="78">
        <v>428576</v>
      </c>
      <c r="R15" s="104">
        <f t="shared" ref="R15" si="124">(+Q15-+Q14)*48</f>
        <v>1008</v>
      </c>
      <c r="S15" s="78">
        <v>676691</v>
      </c>
      <c r="T15" s="104">
        <f t="shared" ref="T15" si="125">(+S15-+S14)*48</f>
        <v>7056</v>
      </c>
      <c r="U15" s="78">
        <v>91997.455000000002</v>
      </c>
      <c r="V15" s="104">
        <f t="shared" ref="V15" si="126">(+U15-+U14)*48</f>
        <v>872.06400000024587</v>
      </c>
      <c r="W15" s="78">
        <v>76245</v>
      </c>
      <c r="X15" s="104">
        <f t="shared" ref="X15" si="127">(+W15-+W14)*48</f>
        <v>432</v>
      </c>
      <c r="Y15" s="78">
        <v>1464671</v>
      </c>
      <c r="Z15" s="104">
        <f t="shared" ref="Z15" si="128">(+Y15-+Y14)*48</f>
        <v>7200</v>
      </c>
      <c r="AA15" s="78">
        <v>13166</v>
      </c>
      <c r="AB15" s="104">
        <f t="shared" ref="AB15" si="129">(+AA15-+AA14)*48</f>
        <v>0</v>
      </c>
      <c r="AC15" s="78">
        <v>418821</v>
      </c>
      <c r="AD15" s="38">
        <f t="shared" si="15"/>
        <v>3456</v>
      </c>
      <c r="AE15" s="78">
        <v>494186</v>
      </c>
      <c r="AF15" s="38">
        <f t="shared" si="15"/>
        <v>6432</v>
      </c>
      <c r="AG15" s="78">
        <v>48300</v>
      </c>
      <c r="AH15" s="38">
        <f t="shared" ref="AH15" si="130">(+AG15-+AG14)*48</f>
        <v>192</v>
      </c>
      <c r="AI15" s="78">
        <v>381160</v>
      </c>
      <c r="AJ15" s="38">
        <f t="shared" ref="AJ15" si="131">(+AI15-+AI14)*48</f>
        <v>2640</v>
      </c>
      <c r="AK15" s="78">
        <v>102371</v>
      </c>
      <c r="AL15" s="38">
        <f t="shared" ref="AL15" si="132">(+AK15-+AK14)*48</f>
        <v>0</v>
      </c>
      <c r="AM15" s="78">
        <v>539725</v>
      </c>
      <c r="AN15" s="38">
        <f t="shared" ref="AN15" si="133">(+AM15-+AM14)*48</f>
        <v>5712</v>
      </c>
      <c r="AO15" s="78">
        <v>866144</v>
      </c>
      <c r="AP15" s="38">
        <f t="shared" ref="AP15" si="134">(+AO15-+AO14)*48</f>
        <v>9072</v>
      </c>
      <c r="AQ15" s="78">
        <v>62385</v>
      </c>
      <c r="AR15" s="38">
        <f t="shared" ref="AR15" si="135">(+AQ15-+AQ14)*48</f>
        <v>2112</v>
      </c>
      <c r="AS15" s="78">
        <v>2204</v>
      </c>
      <c r="AT15" s="38">
        <f t="shared" ref="AT15" si="136">(+AS15-+AS14)*48</f>
        <v>0</v>
      </c>
      <c r="AU15" s="78">
        <v>918</v>
      </c>
      <c r="AV15" s="38">
        <f t="shared" ref="AV15" si="137">(+AU15-+AU14)*48</f>
        <v>0</v>
      </c>
      <c r="AW15" s="78">
        <v>3075</v>
      </c>
      <c r="AX15" s="38">
        <f t="shared" ref="AX15" si="138">(+AW15-+AW14)*48</f>
        <v>0</v>
      </c>
      <c r="AY15" s="78">
        <v>289180</v>
      </c>
      <c r="AZ15" s="104">
        <f t="shared" ref="AZ15" si="139">(+AY15-+AY14)*48</f>
        <v>3024</v>
      </c>
      <c r="BA15" s="78">
        <v>160167</v>
      </c>
      <c r="BB15" s="38">
        <f t="shared" ref="BB15" si="140">(+BA15-+BA14)*48</f>
        <v>0</v>
      </c>
      <c r="BC15" s="78">
        <v>197912</v>
      </c>
      <c r="BD15" s="38">
        <f t="shared" ref="BD15" si="141">(+BC15-+BC14)*48</f>
        <v>2208</v>
      </c>
      <c r="BE15" s="78">
        <v>5335</v>
      </c>
      <c r="BF15" s="38">
        <f t="shared" ref="BF15" si="142">(+BE15-+BE14)*48</f>
        <v>0</v>
      </c>
      <c r="BH15" s="105">
        <f t="shared" si="0"/>
        <v>98667.264000000243</v>
      </c>
      <c r="BI15" s="105">
        <f t="shared" si="1"/>
        <v>57916.800000000003</v>
      </c>
    </row>
    <row r="16" spans="1:61" s="36" customFormat="1" ht="39.950000000000003" customHeight="1">
      <c r="A16" s="145">
        <v>43959</v>
      </c>
      <c r="B16" s="35"/>
      <c r="C16" s="78">
        <v>5242496</v>
      </c>
      <c r="D16" s="38">
        <f t="shared" ref="D16" si="143">(+C16-+C15)*48</f>
        <v>69552</v>
      </c>
      <c r="E16" s="38">
        <f t="shared" si="3"/>
        <v>41731.199999999997</v>
      </c>
      <c r="F16" s="104">
        <f t="shared" si="4"/>
        <v>27820.800000000003</v>
      </c>
      <c r="G16" s="78">
        <v>271132</v>
      </c>
      <c r="H16" s="38">
        <f t="shared" si="5"/>
        <v>1152</v>
      </c>
      <c r="I16" s="78">
        <v>61371</v>
      </c>
      <c r="J16" s="104">
        <f t="shared" si="5"/>
        <v>7680</v>
      </c>
      <c r="K16" s="78">
        <v>254139</v>
      </c>
      <c r="L16" s="104">
        <f t="shared" ref="L16" si="144">(+K16-+K15)*48</f>
        <v>0</v>
      </c>
      <c r="M16" s="78">
        <v>24362</v>
      </c>
      <c r="N16" s="104">
        <f t="shared" ref="N16" si="145">(+M16-+M15)*48</f>
        <v>0</v>
      </c>
      <c r="O16" s="78">
        <v>196611</v>
      </c>
      <c r="P16" s="104">
        <f t="shared" ref="P16" si="146">(+O16-+O15)*48</f>
        <v>6000</v>
      </c>
      <c r="Q16" s="78">
        <v>428576</v>
      </c>
      <c r="R16" s="104">
        <f t="shared" ref="R16" si="147">(+Q16-+Q15)*48</f>
        <v>0</v>
      </c>
      <c r="S16" s="78">
        <v>676827</v>
      </c>
      <c r="T16" s="104">
        <f t="shared" ref="T16" si="148">(+S16-+S15)*48</f>
        <v>6528</v>
      </c>
      <c r="U16" s="78">
        <v>92017.305999999997</v>
      </c>
      <c r="V16" s="104">
        <f t="shared" ref="V16" si="149">(+U16-+U15)*48</f>
        <v>952.84799999976531</v>
      </c>
      <c r="W16" s="78">
        <v>76251</v>
      </c>
      <c r="X16" s="104">
        <f t="shared" ref="X16" si="150">(+W16-+W15)*48</f>
        <v>288</v>
      </c>
      <c r="Y16" s="78">
        <v>1464818</v>
      </c>
      <c r="Z16" s="104">
        <f t="shared" ref="Z16" si="151">(+Y16-+Y15)*48</f>
        <v>7056</v>
      </c>
      <c r="AA16" s="78">
        <v>13166</v>
      </c>
      <c r="AB16" s="104">
        <f t="shared" ref="AB16" si="152">(+AA16-+AA15)*48</f>
        <v>0</v>
      </c>
      <c r="AC16" s="78">
        <v>418897</v>
      </c>
      <c r="AD16" s="38">
        <f t="shared" si="15"/>
        <v>3648</v>
      </c>
      <c r="AE16" s="78">
        <v>494328</v>
      </c>
      <c r="AF16" s="38">
        <f t="shared" si="15"/>
        <v>6816</v>
      </c>
      <c r="AG16" s="78">
        <v>48304</v>
      </c>
      <c r="AH16" s="38">
        <f t="shared" ref="AH16" si="153">(+AG16-+AG15)*48</f>
        <v>192</v>
      </c>
      <c r="AI16" s="78">
        <v>381217</v>
      </c>
      <c r="AJ16" s="38">
        <f t="shared" ref="AJ16" si="154">(+AI16-+AI15)*48</f>
        <v>2736</v>
      </c>
      <c r="AK16" s="78">
        <v>102371</v>
      </c>
      <c r="AL16" s="38">
        <f t="shared" ref="AL16" si="155">(+AK16-+AK15)*48</f>
        <v>0</v>
      </c>
      <c r="AM16" s="78">
        <v>539853</v>
      </c>
      <c r="AN16" s="38">
        <f t="shared" ref="AN16" si="156">(+AM16-+AM15)*48</f>
        <v>6144</v>
      </c>
      <c r="AO16" s="78">
        <v>866343</v>
      </c>
      <c r="AP16" s="38">
        <f t="shared" ref="AP16" si="157">(+AO16-+AO15)*48</f>
        <v>9552</v>
      </c>
      <c r="AQ16" s="78">
        <v>62422</v>
      </c>
      <c r="AR16" s="38">
        <f t="shared" ref="AR16" si="158">(+AQ16-+AQ15)*48</f>
        <v>1776</v>
      </c>
      <c r="AS16" s="78">
        <v>2204</v>
      </c>
      <c r="AT16" s="38">
        <f t="shared" ref="AT16" si="159">(+AS16-+AS15)*48</f>
        <v>0</v>
      </c>
      <c r="AU16" s="78">
        <v>918</v>
      </c>
      <c r="AV16" s="38">
        <f t="shared" ref="AV16" si="160">(+AU16-+AU15)*48</f>
        <v>0</v>
      </c>
      <c r="AW16" s="78">
        <v>3075</v>
      </c>
      <c r="AX16" s="38">
        <f t="shared" ref="AX16" si="161">(+AW16-+AW15)*48</f>
        <v>0</v>
      </c>
      <c r="AY16" s="78">
        <v>289248</v>
      </c>
      <c r="AZ16" s="104">
        <f t="shared" ref="AZ16" si="162">(+AY16-+AY15)*48</f>
        <v>3264</v>
      </c>
      <c r="BA16" s="78">
        <v>160167</v>
      </c>
      <c r="BB16" s="38">
        <f t="shared" ref="BB16" si="163">(+BA16-+BA15)*48</f>
        <v>0</v>
      </c>
      <c r="BC16" s="78">
        <v>197962</v>
      </c>
      <c r="BD16" s="38">
        <f t="shared" ref="BD16" si="164">(+BC16-+BC15)*48</f>
        <v>2400</v>
      </c>
      <c r="BE16" s="78">
        <v>5335</v>
      </c>
      <c r="BF16" s="38">
        <f t="shared" ref="BF16" si="165">(+BE16-+BE15)*48</f>
        <v>0</v>
      </c>
      <c r="BH16" s="105">
        <f t="shared" si="0"/>
        <v>84780.047999999762</v>
      </c>
      <c r="BI16" s="105">
        <f t="shared" si="1"/>
        <v>50956.800000000003</v>
      </c>
    </row>
    <row r="17" spans="1:61" s="36" customFormat="1" ht="39.950000000000003" customHeight="1">
      <c r="A17" s="145">
        <v>43960</v>
      </c>
      <c r="B17" s="35"/>
      <c r="C17" s="78">
        <v>5244329</v>
      </c>
      <c r="D17" s="38">
        <f t="shared" ref="D17" si="166">(+C17-+C16)*48</f>
        <v>87984</v>
      </c>
      <c r="E17" s="38">
        <f t="shared" si="3"/>
        <v>52790.400000000001</v>
      </c>
      <c r="F17" s="104">
        <f t="shared" si="4"/>
        <v>35193.599999999999</v>
      </c>
      <c r="G17" s="78">
        <v>271161</v>
      </c>
      <c r="H17" s="38">
        <f t="shared" si="5"/>
        <v>1392</v>
      </c>
      <c r="I17" s="78">
        <v>61541</v>
      </c>
      <c r="J17" s="104">
        <f t="shared" si="5"/>
        <v>8160</v>
      </c>
      <c r="K17" s="78">
        <v>254139</v>
      </c>
      <c r="L17" s="104">
        <f t="shared" ref="L17" si="167">(+K17-+K16)*48</f>
        <v>0</v>
      </c>
      <c r="M17" s="78">
        <v>24362</v>
      </c>
      <c r="N17" s="104">
        <f t="shared" ref="N17" si="168">(+M17-+M16)*48</f>
        <v>0</v>
      </c>
      <c r="O17" s="78">
        <v>196777</v>
      </c>
      <c r="P17" s="104">
        <f t="shared" ref="P17" si="169">(+O17-+O16)*48</f>
        <v>7968</v>
      </c>
      <c r="Q17" s="78">
        <v>428576</v>
      </c>
      <c r="R17" s="104">
        <f t="shared" ref="R17" si="170">(+Q17-+Q16)*48</f>
        <v>0</v>
      </c>
      <c r="S17" s="78">
        <v>676983</v>
      </c>
      <c r="T17" s="104">
        <f t="shared" ref="T17" si="171">(+S17-+S16)*48</f>
        <v>7488</v>
      </c>
      <c r="U17" s="78">
        <v>92038.48</v>
      </c>
      <c r="V17" s="104">
        <f t="shared" ref="V17" si="172">(+U17-+U16)*48</f>
        <v>1016.3519999999553</v>
      </c>
      <c r="W17" s="78">
        <v>76262</v>
      </c>
      <c r="X17" s="104">
        <f t="shared" ref="X17" si="173">(+W17-+W16)*48</f>
        <v>528</v>
      </c>
      <c r="Y17" s="78">
        <v>1464955</v>
      </c>
      <c r="Z17" s="104">
        <f t="shared" ref="Z17" si="174">(+Y17-+Y16)*48</f>
        <v>6576</v>
      </c>
      <c r="AA17" s="78">
        <v>13166</v>
      </c>
      <c r="AB17" s="104">
        <f t="shared" ref="AB17" si="175">(+AA17-+AA16)*48</f>
        <v>0</v>
      </c>
      <c r="AC17" s="78">
        <v>418967</v>
      </c>
      <c r="AD17" s="38">
        <f t="shared" si="15"/>
        <v>3360</v>
      </c>
      <c r="AE17" s="78">
        <v>494463</v>
      </c>
      <c r="AF17" s="38">
        <f t="shared" si="15"/>
        <v>6480</v>
      </c>
      <c r="AG17" s="78">
        <v>48307</v>
      </c>
      <c r="AH17" s="38">
        <f t="shared" ref="AH17" si="176">(+AG17-+AG16)*48</f>
        <v>144</v>
      </c>
      <c r="AI17" s="78">
        <v>381276</v>
      </c>
      <c r="AJ17" s="38">
        <f t="shared" ref="AJ17" si="177">(+AI17-+AI16)*48</f>
        <v>2832</v>
      </c>
      <c r="AK17" s="78">
        <v>102371</v>
      </c>
      <c r="AL17" s="38">
        <f t="shared" ref="AL17" si="178">(+AK17-+AK16)*48</f>
        <v>0</v>
      </c>
      <c r="AM17" s="78">
        <v>539970</v>
      </c>
      <c r="AN17" s="38">
        <f t="shared" ref="AN17" si="179">(+AM17-+AM16)*48</f>
        <v>5616</v>
      </c>
      <c r="AO17" s="78">
        <v>866526</v>
      </c>
      <c r="AP17" s="38">
        <f t="shared" ref="AP17" si="180">(+AO17-+AO16)*48</f>
        <v>8784</v>
      </c>
      <c r="AQ17" s="78">
        <v>62463</v>
      </c>
      <c r="AR17" s="38">
        <f t="shared" ref="AR17" si="181">(+AQ17-+AQ16)*48</f>
        <v>1968</v>
      </c>
      <c r="AS17" s="78">
        <v>2204</v>
      </c>
      <c r="AT17" s="38">
        <f t="shared" ref="AT17" si="182">(+AS17-+AS16)*48</f>
        <v>0</v>
      </c>
      <c r="AU17" s="78">
        <v>918</v>
      </c>
      <c r="AV17" s="38">
        <f t="shared" ref="AV17" si="183">(+AU17-+AU16)*48</f>
        <v>0</v>
      </c>
      <c r="AW17" s="78">
        <v>3075</v>
      </c>
      <c r="AX17" s="38">
        <f t="shared" ref="AX17" si="184">(+AW17-+AW16)*48</f>
        <v>0</v>
      </c>
      <c r="AY17" s="78">
        <v>289308</v>
      </c>
      <c r="AZ17" s="38">
        <f t="shared" ref="AZ17" si="185">(+AY17-+AY16)*48</f>
        <v>2880</v>
      </c>
      <c r="BA17" s="78">
        <v>160167</v>
      </c>
      <c r="BB17" s="38">
        <f t="shared" ref="BB17" si="186">(+BA17-+BA16)*48</f>
        <v>0</v>
      </c>
      <c r="BC17" s="78">
        <v>198007</v>
      </c>
      <c r="BD17" s="38">
        <f t="shared" ref="BD17" si="187">(+BC17-+BC16)*48</f>
        <v>2160</v>
      </c>
      <c r="BE17" s="78">
        <v>5335</v>
      </c>
      <c r="BF17" s="38">
        <f t="shared" ref="BF17" si="188">(+BE17-+BE16)*48</f>
        <v>0</v>
      </c>
      <c r="BH17" s="105">
        <f t="shared" si="0"/>
        <v>98734.751999999949</v>
      </c>
      <c r="BI17" s="105">
        <f t="shared" si="1"/>
        <v>56601.599999999999</v>
      </c>
    </row>
    <row r="18" spans="1:61" s="36" customFormat="1" ht="39.950000000000003" customHeight="1">
      <c r="A18" s="145">
        <v>43961</v>
      </c>
      <c r="B18" s="35"/>
      <c r="C18" s="78">
        <v>5245842</v>
      </c>
      <c r="D18" s="38">
        <f t="shared" ref="D18" si="189">(+C18-+C17)*48</f>
        <v>72624</v>
      </c>
      <c r="E18" s="38">
        <f t="shared" si="3"/>
        <v>43574.400000000001</v>
      </c>
      <c r="F18" s="104">
        <f t="shared" si="4"/>
        <v>29049.600000000002</v>
      </c>
      <c r="G18" s="78">
        <v>271191</v>
      </c>
      <c r="H18" s="38">
        <f t="shared" si="5"/>
        <v>1440</v>
      </c>
      <c r="I18" s="78">
        <v>61708</v>
      </c>
      <c r="J18" s="104">
        <f t="shared" si="5"/>
        <v>8016</v>
      </c>
      <c r="K18" s="78">
        <v>254139</v>
      </c>
      <c r="L18" s="104">
        <f t="shared" ref="L18" si="190">(+K18-+K17)*48</f>
        <v>0</v>
      </c>
      <c r="M18" s="78">
        <v>24362</v>
      </c>
      <c r="N18" s="104">
        <f t="shared" ref="N18" si="191">(+M18-+M17)*48</f>
        <v>0</v>
      </c>
      <c r="O18" s="78">
        <v>196986</v>
      </c>
      <c r="P18" s="104">
        <f t="shared" ref="P18" si="192">(+O18-+O17)*48</f>
        <v>10032</v>
      </c>
      <c r="Q18" s="78">
        <v>428588</v>
      </c>
      <c r="R18" s="104">
        <f t="shared" ref="R18" si="193">(+Q18-+Q17)*48</f>
        <v>576</v>
      </c>
      <c r="S18" s="78">
        <v>677098</v>
      </c>
      <c r="T18" s="104">
        <f t="shared" ref="T18" si="194">(+S18-+S17)*48</f>
        <v>5520</v>
      </c>
      <c r="U18" s="78">
        <v>92063.331999999995</v>
      </c>
      <c r="V18" s="104">
        <f t="shared" ref="V18" si="195">(+U18-+U17)*48</f>
        <v>1192.8959999999497</v>
      </c>
      <c r="W18" s="78">
        <v>76274</v>
      </c>
      <c r="X18" s="104">
        <f t="shared" ref="X18" si="196">(+W18-+W17)*48</f>
        <v>576</v>
      </c>
      <c r="Y18" s="78">
        <v>1465090</v>
      </c>
      <c r="Z18" s="104">
        <f t="shared" ref="Z18" si="197">(+Y18-+Y17)*48</f>
        <v>6480</v>
      </c>
      <c r="AA18" s="78">
        <v>13166</v>
      </c>
      <c r="AB18" s="104">
        <f t="shared" ref="AB18" si="198">(+AA18-+AA17)*48</f>
        <v>0</v>
      </c>
      <c r="AC18" s="78">
        <v>419039</v>
      </c>
      <c r="AD18" s="38">
        <f t="shared" si="15"/>
        <v>3456</v>
      </c>
      <c r="AE18" s="78">
        <v>494565</v>
      </c>
      <c r="AF18" s="38">
        <f t="shared" si="15"/>
        <v>4896</v>
      </c>
      <c r="AG18" s="78">
        <v>48311</v>
      </c>
      <c r="AH18" s="38">
        <f t="shared" ref="AH18" si="199">(+AG18-+AG17)*48</f>
        <v>192</v>
      </c>
      <c r="AI18" s="78">
        <v>381353</v>
      </c>
      <c r="AJ18" s="38">
        <f t="shared" ref="AJ18" si="200">(+AI18-+AI17)*48</f>
        <v>3696</v>
      </c>
      <c r="AK18" s="78">
        <v>102371</v>
      </c>
      <c r="AL18" s="38">
        <f t="shared" ref="AL18" si="201">(+AK18-+AK17)*48</f>
        <v>0</v>
      </c>
      <c r="AM18" s="78">
        <v>540087</v>
      </c>
      <c r="AN18" s="38">
        <f t="shared" ref="AN18" si="202">(+AM18-+AM17)*48</f>
        <v>5616</v>
      </c>
      <c r="AO18" s="78">
        <v>866709</v>
      </c>
      <c r="AP18" s="38">
        <f t="shared" ref="AP18" si="203">(+AO18-+AO17)*48</f>
        <v>8784</v>
      </c>
      <c r="AQ18" s="78">
        <v>62502</v>
      </c>
      <c r="AR18" s="38">
        <f t="shared" ref="AR18" si="204">(+AQ18-+AQ17)*48</f>
        <v>1872</v>
      </c>
      <c r="AS18" s="78">
        <v>2204</v>
      </c>
      <c r="AT18" s="38">
        <f t="shared" ref="AT18" si="205">(+AS18-+AS17)*48</f>
        <v>0</v>
      </c>
      <c r="AU18" s="78">
        <v>918</v>
      </c>
      <c r="AV18" s="38">
        <f t="shared" ref="AV18" si="206">(+AU18-+AU17)*48</f>
        <v>0</v>
      </c>
      <c r="AW18" s="78">
        <v>3075</v>
      </c>
      <c r="AX18" s="38">
        <f t="shared" ref="AX18" si="207">(+AW18-+AW17)*48</f>
        <v>0</v>
      </c>
      <c r="AY18" s="78">
        <v>289370</v>
      </c>
      <c r="AZ18" s="38">
        <f t="shared" ref="AZ18" si="208">(+AY18-+AY17)*48</f>
        <v>2976</v>
      </c>
      <c r="BA18" s="78">
        <v>160167</v>
      </c>
      <c r="BB18" s="38">
        <f t="shared" ref="BB18" si="209">(+BA18-+BA17)*48</f>
        <v>0</v>
      </c>
      <c r="BC18" s="78">
        <v>198051</v>
      </c>
      <c r="BD18" s="38">
        <f t="shared" ref="BD18" si="210">(+BC18-+BC17)*48</f>
        <v>2112</v>
      </c>
      <c r="BE18" s="78">
        <v>5335</v>
      </c>
      <c r="BF18" s="38">
        <f t="shared" ref="BF18" si="211">(+BE18-+BE17)*48</f>
        <v>0</v>
      </c>
      <c r="BH18" s="105">
        <f t="shared" si="0"/>
        <v>89647.295999999944</v>
      </c>
      <c r="BI18" s="105">
        <f t="shared" si="1"/>
        <v>50409.600000000006</v>
      </c>
    </row>
    <row r="19" spans="1:61" s="36" customFormat="1" ht="39.950000000000003" customHeight="1">
      <c r="A19" s="145">
        <v>43962</v>
      </c>
      <c r="B19" s="35"/>
      <c r="C19" s="83">
        <v>5247607</v>
      </c>
      <c r="D19" s="38">
        <f t="shared" ref="D19" si="212">(+C19-+C18)*48</f>
        <v>84720</v>
      </c>
      <c r="E19" s="38">
        <f t="shared" si="3"/>
        <v>50832</v>
      </c>
      <c r="F19" s="104">
        <f t="shared" si="4"/>
        <v>33888</v>
      </c>
      <c r="G19" s="83">
        <v>271223</v>
      </c>
      <c r="H19" s="38">
        <f t="shared" si="5"/>
        <v>1536</v>
      </c>
      <c r="I19" s="83">
        <v>61881</v>
      </c>
      <c r="J19" s="104">
        <f t="shared" si="5"/>
        <v>8304</v>
      </c>
      <c r="K19" s="83">
        <v>254139</v>
      </c>
      <c r="L19" s="104">
        <f t="shared" ref="L19" si="213">(+K19-+K18)*48</f>
        <v>0</v>
      </c>
      <c r="M19" s="83">
        <v>24362</v>
      </c>
      <c r="N19" s="104">
        <f t="shared" ref="N19" si="214">(+M19-+M18)*48</f>
        <v>0</v>
      </c>
      <c r="O19" s="83">
        <v>197193</v>
      </c>
      <c r="P19" s="104">
        <f t="shared" ref="P19" si="215">(+O19-+O18)*48</f>
        <v>9936</v>
      </c>
      <c r="Q19" s="83">
        <v>428608</v>
      </c>
      <c r="R19" s="104">
        <f t="shared" ref="R19" si="216">(+Q19-+Q18)*48</f>
        <v>960</v>
      </c>
      <c r="S19" s="83">
        <v>677213</v>
      </c>
      <c r="T19" s="104">
        <f t="shared" ref="T19" si="217">(+S19-+S18)*48</f>
        <v>5520</v>
      </c>
      <c r="U19" s="83">
        <v>92088.457999999999</v>
      </c>
      <c r="V19" s="104">
        <f t="shared" ref="V19" si="218">(+U19-+U18)*48</f>
        <v>1206.0480000001844</v>
      </c>
      <c r="W19" s="83">
        <v>76288</v>
      </c>
      <c r="X19" s="104">
        <f t="shared" ref="X19" si="219">(+W19-+W18)*48</f>
        <v>672</v>
      </c>
      <c r="Y19" s="83">
        <v>1465230</v>
      </c>
      <c r="Z19" s="104">
        <f t="shared" ref="Z19" si="220">(+Y19-+Y18)*48</f>
        <v>6720</v>
      </c>
      <c r="AA19" s="83">
        <v>13166</v>
      </c>
      <c r="AB19" s="104">
        <f t="shared" ref="AB19" si="221">(+AA19-+AA18)*48</f>
        <v>0</v>
      </c>
      <c r="AC19" s="83">
        <v>419112</v>
      </c>
      <c r="AD19" s="38">
        <f t="shared" si="15"/>
        <v>3504</v>
      </c>
      <c r="AE19" s="83">
        <v>494649</v>
      </c>
      <c r="AF19" s="38">
        <f t="shared" si="15"/>
        <v>4032</v>
      </c>
      <c r="AG19" s="83">
        <v>48315</v>
      </c>
      <c r="AH19" s="38">
        <f t="shared" ref="AH19" si="222">(+AG19-+AG18)*48</f>
        <v>192</v>
      </c>
      <c r="AI19" s="83">
        <v>381434</v>
      </c>
      <c r="AJ19" s="38">
        <f t="shared" ref="AJ19" si="223">(+AI19-+AI18)*48</f>
        <v>3888</v>
      </c>
      <c r="AK19" s="83">
        <v>102371</v>
      </c>
      <c r="AL19" s="38">
        <f t="shared" ref="AL19" si="224">(+AK19-+AK18)*48</f>
        <v>0</v>
      </c>
      <c r="AM19" s="83">
        <v>540204</v>
      </c>
      <c r="AN19" s="38">
        <f t="shared" ref="AN19" si="225">(+AM19-+AM18)*48</f>
        <v>5616</v>
      </c>
      <c r="AO19" s="83">
        <v>866895</v>
      </c>
      <c r="AP19" s="38">
        <f t="shared" ref="AP19" si="226">(+AO19-+AO18)*48</f>
        <v>8928</v>
      </c>
      <c r="AQ19" s="83">
        <v>62537</v>
      </c>
      <c r="AR19" s="38">
        <f t="shared" ref="AR19" si="227">(+AQ19-+AQ18)*48</f>
        <v>1680</v>
      </c>
      <c r="AS19" s="83">
        <v>2204</v>
      </c>
      <c r="AT19" s="38">
        <f t="shared" ref="AT19" si="228">(+AS19-+AS18)*48</f>
        <v>0</v>
      </c>
      <c r="AU19" s="78">
        <v>918</v>
      </c>
      <c r="AV19" s="38">
        <f t="shared" ref="AV19" si="229">(+AU19-+AU18)*48</f>
        <v>0</v>
      </c>
      <c r="AW19" s="78">
        <v>3075</v>
      </c>
      <c r="AX19" s="38">
        <f t="shared" ref="AX19" si="230">(+AW19-+AW18)*48</f>
        <v>0</v>
      </c>
      <c r="AY19" s="83">
        <v>289453</v>
      </c>
      <c r="AZ19" s="38">
        <f t="shared" ref="AZ19" si="231">(+AY19-+AY18)*48</f>
        <v>3984</v>
      </c>
      <c r="BA19" s="78">
        <v>160167</v>
      </c>
      <c r="BB19" s="38">
        <f t="shared" ref="BB19" si="232">(+BA19-+BA18)*48</f>
        <v>0</v>
      </c>
      <c r="BC19" s="83">
        <v>198097</v>
      </c>
      <c r="BD19" s="38">
        <f t="shared" ref="BD19" si="233">(+BC19-+BC18)*48</f>
        <v>2208</v>
      </c>
      <c r="BE19" s="78">
        <v>5335</v>
      </c>
      <c r="BF19" s="38">
        <f t="shared" ref="BF19" si="234">(+BE19-+BE18)*48</f>
        <v>0</v>
      </c>
      <c r="BH19" s="169">
        <f t="shared" si="0"/>
        <v>97302.048000000184</v>
      </c>
      <c r="BI19" s="169">
        <f t="shared" si="1"/>
        <v>56304</v>
      </c>
    </row>
    <row r="20" spans="1:61" s="36" customFormat="1" ht="39.950000000000003" customHeight="1">
      <c r="A20" s="145">
        <v>43963</v>
      </c>
      <c r="B20" s="35"/>
      <c r="C20" s="83">
        <v>5249385</v>
      </c>
      <c r="D20" s="38">
        <f t="shared" ref="D20" si="235">(+C20-+C19)*48</f>
        <v>85344</v>
      </c>
      <c r="E20" s="38">
        <f t="shared" si="3"/>
        <v>51206.400000000001</v>
      </c>
      <c r="F20" s="104">
        <f t="shared" si="4"/>
        <v>34137.599999999999</v>
      </c>
      <c r="G20" s="83">
        <v>271252</v>
      </c>
      <c r="H20" s="38">
        <f t="shared" si="5"/>
        <v>1392</v>
      </c>
      <c r="I20" s="83">
        <v>62034</v>
      </c>
      <c r="J20" s="104">
        <f t="shared" si="5"/>
        <v>7344</v>
      </c>
      <c r="K20" s="83">
        <v>254139</v>
      </c>
      <c r="L20" s="104">
        <f t="shared" ref="L20" si="236">(+K20-+K19)*48</f>
        <v>0</v>
      </c>
      <c r="M20" s="83">
        <v>24362</v>
      </c>
      <c r="N20" s="104">
        <f t="shared" ref="N20" si="237">(+M20-+M19)*48</f>
        <v>0</v>
      </c>
      <c r="O20" s="83">
        <v>197316</v>
      </c>
      <c r="P20" s="104">
        <f t="shared" ref="P20" si="238">(+O20-+O19)*48</f>
        <v>5904</v>
      </c>
      <c r="Q20" s="83">
        <v>428624</v>
      </c>
      <c r="R20" s="104">
        <f t="shared" ref="R20" si="239">(+Q20-+Q19)*48</f>
        <v>768</v>
      </c>
      <c r="S20" s="83">
        <v>677346</v>
      </c>
      <c r="T20" s="104">
        <f t="shared" ref="T20" si="240">(+S20-+S19)*48</f>
        <v>6384</v>
      </c>
      <c r="U20" s="83">
        <v>92108.180999999997</v>
      </c>
      <c r="V20" s="104">
        <f t="shared" ref="V20" si="241">(+U20-+U19)*48</f>
        <v>946.70399999991059</v>
      </c>
      <c r="W20" s="83">
        <v>76288</v>
      </c>
      <c r="X20" s="104">
        <f t="shared" ref="X20" si="242">(+W20-+W19)*48</f>
        <v>0</v>
      </c>
      <c r="Y20" s="83">
        <v>1465371</v>
      </c>
      <c r="Z20" s="104">
        <f t="shared" ref="Z20" si="243">(+Y20-+Y19)*48</f>
        <v>6768</v>
      </c>
      <c r="AA20" s="83">
        <v>13166</v>
      </c>
      <c r="AB20" s="104">
        <f t="shared" ref="AB20" si="244">(+AA20-+AA19)*48</f>
        <v>0</v>
      </c>
      <c r="AC20" s="83">
        <v>419184</v>
      </c>
      <c r="AD20" s="38">
        <f t="shared" si="15"/>
        <v>3456</v>
      </c>
      <c r="AE20" s="83">
        <v>494728</v>
      </c>
      <c r="AF20" s="38">
        <f t="shared" si="15"/>
        <v>3792</v>
      </c>
      <c r="AG20" s="83">
        <v>48318</v>
      </c>
      <c r="AH20" s="38">
        <f t="shared" ref="AH20" si="245">(+AG20-+AG19)*48</f>
        <v>144</v>
      </c>
      <c r="AI20" s="83">
        <v>381489</v>
      </c>
      <c r="AJ20" s="38">
        <f t="shared" ref="AJ20" si="246">(+AI20-+AI19)*48</f>
        <v>2640</v>
      </c>
      <c r="AK20" s="83">
        <v>102371</v>
      </c>
      <c r="AL20" s="38">
        <f t="shared" ref="AL20" si="247">(+AK20-+AK19)*48</f>
        <v>0</v>
      </c>
      <c r="AM20" s="83">
        <v>540319</v>
      </c>
      <c r="AN20" s="38">
        <f t="shared" ref="AN20" si="248">(+AM20-+AM19)*48</f>
        <v>5520</v>
      </c>
      <c r="AO20" s="83">
        <v>867065</v>
      </c>
      <c r="AP20" s="38">
        <f t="shared" ref="AP20" si="249">(+AO20-+AO19)*48</f>
        <v>8160</v>
      </c>
      <c r="AQ20" s="83">
        <v>62567</v>
      </c>
      <c r="AR20" s="38">
        <f t="shared" ref="AR20" si="250">(+AQ20-+AQ19)*48</f>
        <v>1440</v>
      </c>
      <c r="AS20" s="83">
        <v>2204</v>
      </c>
      <c r="AT20" s="38">
        <f t="shared" ref="AT20" si="251">(+AS20-+AS19)*48</f>
        <v>0</v>
      </c>
      <c r="AU20" s="78">
        <v>918</v>
      </c>
      <c r="AV20" s="38">
        <f t="shared" ref="AV20" si="252">(+AU20-+AU19)*48</f>
        <v>0</v>
      </c>
      <c r="AW20" s="78">
        <v>3075</v>
      </c>
      <c r="AX20" s="38">
        <f t="shared" ref="AX20" si="253">(+AW20-+AW19)*48</f>
        <v>0</v>
      </c>
      <c r="AY20" s="83">
        <v>289491</v>
      </c>
      <c r="AZ20" s="38">
        <f t="shared" ref="AZ20" si="254">(+AY20-+AY19)*48</f>
        <v>1824</v>
      </c>
      <c r="BA20" s="78">
        <v>160167</v>
      </c>
      <c r="BB20" s="38">
        <f t="shared" ref="BB20" si="255">(+BA20-+BA19)*48</f>
        <v>0</v>
      </c>
      <c r="BC20" s="83">
        <v>198143</v>
      </c>
      <c r="BD20" s="38">
        <f t="shared" ref="BD20" si="256">(+BC20-+BC19)*48</f>
        <v>2208</v>
      </c>
      <c r="BE20" s="78">
        <v>5335</v>
      </c>
      <c r="BF20" s="38">
        <f t="shared" ref="BF20" si="257">(+BE20-+BE19)*48</f>
        <v>0</v>
      </c>
      <c r="BH20" s="169">
        <f t="shared" si="0"/>
        <v>90745.103999999905</v>
      </c>
      <c r="BI20" s="169">
        <f t="shared" si="1"/>
        <v>53289.599999999999</v>
      </c>
    </row>
    <row r="21" spans="1:61" s="36" customFormat="1" ht="39.950000000000003" customHeight="1">
      <c r="A21" s="145">
        <v>43964</v>
      </c>
      <c r="B21" s="35"/>
      <c r="C21" s="83">
        <v>5251030</v>
      </c>
      <c r="D21" s="38">
        <f t="shared" ref="D21" si="258">(+C21-+C20)*48</f>
        <v>78960</v>
      </c>
      <c r="E21" s="38">
        <f t="shared" si="3"/>
        <v>47376</v>
      </c>
      <c r="F21" s="104">
        <f t="shared" si="4"/>
        <v>31584</v>
      </c>
      <c r="G21" s="83">
        <v>271283</v>
      </c>
      <c r="H21" s="38">
        <f t="shared" si="5"/>
        <v>1488</v>
      </c>
      <c r="I21" s="83">
        <v>62196</v>
      </c>
      <c r="J21" s="104">
        <f t="shared" si="5"/>
        <v>7776</v>
      </c>
      <c r="K21" s="83">
        <v>254139</v>
      </c>
      <c r="L21" s="104">
        <f t="shared" ref="L21" si="259">(+K21-+K20)*48</f>
        <v>0</v>
      </c>
      <c r="M21" s="83">
        <v>24362</v>
      </c>
      <c r="N21" s="104">
        <f t="shared" ref="N21" si="260">(+M21-+M20)*48</f>
        <v>0</v>
      </c>
      <c r="O21" s="83">
        <v>197453</v>
      </c>
      <c r="P21" s="104">
        <f t="shared" ref="P21" si="261">(+O21-+O20)*48</f>
        <v>6576</v>
      </c>
      <c r="Q21" s="83">
        <v>428651</v>
      </c>
      <c r="R21" s="104">
        <f t="shared" ref="R21" si="262">(+Q21-+Q20)*48</f>
        <v>1296</v>
      </c>
      <c r="S21" s="83">
        <v>677484</v>
      </c>
      <c r="T21" s="104">
        <f t="shared" ref="T21" si="263">(+S21-+S20)*48</f>
        <v>6624</v>
      </c>
      <c r="U21" s="83">
        <v>92128.945999999996</v>
      </c>
      <c r="V21" s="104">
        <f t="shared" ref="V21" si="264">(+U21-+U20)*48</f>
        <v>996.71999999997206</v>
      </c>
      <c r="W21" s="83">
        <v>76301</v>
      </c>
      <c r="X21" s="104">
        <f t="shared" ref="X21" si="265">(+W21-+W20)*48</f>
        <v>624</v>
      </c>
      <c r="Y21" s="83">
        <v>1465510</v>
      </c>
      <c r="Z21" s="104">
        <f t="shared" ref="Z21" si="266">(+Y21-+Y20)*48</f>
        <v>6672</v>
      </c>
      <c r="AA21" s="83">
        <v>13166</v>
      </c>
      <c r="AB21" s="104">
        <f t="shared" ref="AB21" si="267">(+AA21-+AA20)*48</f>
        <v>0</v>
      </c>
      <c r="AC21" s="83">
        <v>419263</v>
      </c>
      <c r="AD21" s="38">
        <f t="shared" si="15"/>
        <v>3792</v>
      </c>
      <c r="AE21" s="83">
        <v>494812</v>
      </c>
      <c r="AF21" s="38">
        <f t="shared" si="15"/>
        <v>4032</v>
      </c>
      <c r="AG21" s="83">
        <v>48322</v>
      </c>
      <c r="AH21" s="38">
        <f t="shared" ref="AH21" si="268">(+AG21-+AG20)*48</f>
        <v>192</v>
      </c>
      <c r="AI21" s="83">
        <v>381540</v>
      </c>
      <c r="AJ21" s="38">
        <f t="shared" ref="AJ21" si="269">(+AI21-+AI20)*48</f>
        <v>2448</v>
      </c>
      <c r="AK21" s="83">
        <v>102371</v>
      </c>
      <c r="AL21" s="38">
        <f t="shared" ref="AL21" si="270">(+AK21-+AK20)*48</f>
        <v>0</v>
      </c>
      <c r="AM21" s="83">
        <v>540440</v>
      </c>
      <c r="AN21" s="38">
        <f t="shared" ref="AN21" si="271">(+AM21-+AM20)*48</f>
        <v>5808</v>
      </c>
      <c r="AO21" s="83">
        <v>867228</v>
      </c>
      <c r="AP21" s="38">
        <f t="shared" ref="AP21" si="272">(+AO21-+AO20)*48</f>
        <v>7824</v>
      </c>
      <c r="AQ21" s="83">
        <v>62604</v>
      </c>
      <c r="AR21" s="38">
        <f t="shared" ref="AR21" si="273">(+AQ21-+AQ20)*48</f>
        <v>1776</v>
      </c>
      <c r="AS21" s="83">
        <v>2204</v>
      </c>
      <c r="AT21" s="38">
        <f t="shared" ref="AT21" si="274">(+AS21-+AS20)*48</f>
        <v>0</v>
      </c>
      <c r="AU21" s="78">
        <v>918</v>
      </c>
      <c r="AV21" s="38">
        <f t="shared" ref="AV21" si="275">(+AU21-+AU20)*48</f>
        <v>0</v>
      </c>
      <c r="AW21" s="78">
        <v>3075</v>
      </c>
      <c r="AX21" s="38">
        <f t="shared" ref="AX21" si="276">(+AW21-+AW20)*48</f>
        <v>0</v>
      </c>
      <c r="AY21" s="83">
        <v>289560</v>
      </c>
      <c r="AZ21" s="38">
        <f t="shared" ref="AZ21" si="277">(+AY21-+AY20)*48</f>
        <v>3312</v>
      </c>
      <c r="BA21" s="78">
        <v>160167</v>
      </c>
      <c r="BB21" s="38">
        <f t="shared" ref="BB21" si="278">(+BA21-+BA20)*48</f>
        <v>0</v>
      </c>
      <c r="BC21" s="83">
        <v>198188</v>
      </c>
      <c r="BD21" s="38">
        <f t="shared" ref="BD21" si="279">(+BC21-+BC20)*48</f>
        <v>2160</v>
      </c>
      <c r="BE21" s="78">
        <v>5335</v>
      </c>
      <c r="BF21" s="38">
        <f t="shared" ref="BF21" si="280">(+BE21-+BE20)*48</f>
        <v>0</v>
      </c>
      <c r="BH21" s="169">
        <f t="shared" si="0"/>
        <v>89892.719999999972</v>
      </c>
      <c r="BI21" s="169">
        <f t="shared" si="1"/>
        <v>52464</v>
      </c>
    </row>
    <row r="22" spans="1:61" s="36" customFormat="1" ht="39.950000000000003" customHeight="1">
      <c r="A22" s="145">
        <v>43965</v>
      </c>
      <c r="B22" s="35"/>
      <c r="C22" s="78">
        <v>5252999</v>
      </c>
      <c r="D22" s="38">
        <f t="shared" ref="D22" si="281">(+C22-+C21)*48</f>
        <v>94512</v>
      </c>
      <c r="E22" s="38">
        <f t="shared" si="3"/>
        <v>56707.199999999997</v>
      </c>
      <c r="F22" s="104">
        <f t="shared" si="4"/>
        <v>37804.800000000003</v>
      </c>
      <c r="G22" s="78">
        <v>271306</v>
      </c>
      <c r="H22" s="38">
        <f t="shared" si="5"/>
        <v>1104</v>
      </c>
      <c r="I22" s="78">
        <v>62349</v>
      </c>
      <c r="J22" s="104">
        <f t="shared" si="5"/>
        <v>7344</v>
      </c>
      <c r="K22" s="78">
        <v>254139</v>
      </c>
      <c r="L22" s="104">
        <f t="shared" ref="L22" si="282">(+K22-+K21)*48</f>
        <v>0</v>
      </c>
      <c r="M22" s="78">
        <v>24362</v>
      </c>
      <c r="N22" s="104">
        <f t="shared" ref="N22" si="283">(+M22-+M21)*48</f>
        <v>0</v>
      </c>
      <c r="O22" s="78">
        <v>197598</v>
      </c>
      <c r="P22" s="104">
        <f t="shared" ref="P22" si="284">(+O22-+O21)*48</f>
        <v>6960</v>
      </c>
      <c r="Q22" s="78">
        <v>428679</v>
      </c>
      <c r="R22" s="104">
        <f t="shared" ref="R22" si="285">(+Q22-+Q21)*48</f>
        <v>1344</v>
      </c>
      <c r="S22" s="78">
        <v>677620</v>
      </c>
      <c r="T22" s="104">
        <f t="shared" ref="T22" si="286">(+S22-+S21)*48</f>
        <v>6528</v>
      </c>
      <c r="U22" s="78">
        <v>92145.381999999998</v>
      </c>
      <c r="V22" s="104">
        <f t="shared" ref="V22" si="287">(+U22-+U21)*48</f>
        <v>788.92800000007264</v>
      </c>
      <c r="W22" s="78">
        <v>76317</v>
      </c>
      <c r="X22" s="104">
        <f t="shared" ref="X22" si="288">(+W22-+W21)*48</f>
        <v>768</v>
      </c>
      <c r="Y22" s="78">
        <v>1465652</v>
      </c>
      <c r="Z22" s="104">
        <f t="shared" ref="Z22" si="289">(+Y22-+Y21)*48</f>
        <v>6816</v>
      </c>
      <c r="AA22" s="78">
        <v>13166</v>
      </c>
      <c r="AB22" s="104">
        <f t="shared" ref="AB22" si="290">(+AA22-+AA21)*48</f>
        <v>0</v>
      </c>
      <c r="AC22" s="78">
        <v>419345</v>
      </c>
      <c r="AD22" s="38">
        <f t="shared" si="15"/>
        <v>3936</v>
      </c>
      <c r="AE22" s="78">
        <v>494897</v>
      </c>
      <c r="AF22" s="38">
        <f t="shared" si="15"/>
        <v>4080</v>
      </c>
      <c r="AG22" s="78">
        <v>48326</v>
      </c>
      <c r="AH22" s="38">
        <f t="shared" ref="AH22" si="291">(+AG22-+AG21)*48</f>
        <v>192</v>
      </c>
      <c r="AI22" s="78">
        <v>381596</v>
      </c>
      <c r="AJ22" s="38">
        <f t="shared" ref="AJ22" si="292">(+AI22-+AI21)*48</f>
        <v>2688</v>
      </c>
      <c r="AK22" s="78">
        <v>102371</v>
      </c>
      <c r="AL22" s="38">
        <f t="shared" ref="AL22" si="293">(+AK22-+AK21)*48</f>
        <v>0</v>
      </c>
      <c r="AM22" s="78">
        <v>540569</v>
      </c>
      <c r="AN22" s="38">
        <f t="shared" ref="AN22" si="294">(+AM22-+AM21)*48</f>
        <v>6192</v>
      </c>
      <c r="AO22" s="78">
        <v>867381</v>
      </c>
      <c r="AP22" s="38">
        <f t="shared" ref="AP22" si="295">(+AO22-+AO21)*48</f>
        <v>7344</v>
      </c>
      <c r="AQ22" s="78">
        <v>62644</v>
      </c>
      <c r="AR22" s="38">
        <f t="shared" ref="AR22" si="296">(+AQ22-+AQ21)*48</f>
        <v>1920</v>
      </c>
      <c r="AS22" s="78">
        <v>2204</v>
      </c>
      <c r="AT22" s="38">
        <f t="shared" ref="AT22" si="297">(+AS22-+AS21)*48</f>
        <v>0</v>
      </c>
      <c r="AU22" s="78">
        <v>918</v>
      </c>
      <c r="AV22" s="38">
        <f t="shared" ref="AV22" si="298">(+AU22-+AU21)*48</f>
        <v>0</v>
      </c>
      <c r="AW22" s="78">
        <v>3075</v>
      </c>
      <c r="AX22" s="38">
        <f t="shared" ref="AX22" si="299">(+AW22-+AW21)*48</f>
        <v>0</v>
      </c>
      <c r="AY22" s="78">
        <v>289625</v>
      </c>
      <c r="AZ22" s="38">
        <f t="shared" ref="AZ22" si="300">(+AY22-+AY21)*48</f>
        <v>3120</v>
      </c>
      <c r="BA22" s="78">
        <v>160167</v>
      </c>
      <c r="BB22" s="38">
        <f>(+BA23-+BA21)*48</f>
        <v>0</v>
      </c>
      <c r="BC22" s="78">
        <v>198231</v>
      </c>
      <c r="BD22" s="38">
        <f t="shared" ref="BD22" si="301">(+BC22-+BC21)*48</f>
        <v>2064</v>
      </c>
      <c r="BE22" s="78">
        <v>5335</v>
      </c>
      <c r="BF22" s="38">
        <f t="shared" ref="BF22" si="302">(+BE22-+BE21)*48</f>
        <v>0</v>
      </c>
      <c r="BH22" s="169">
        <f t="shared" si="0"/>
        <v>99256.12800000007</v>
      </c>
      <c r="BI22" s="169">
        <f t="shared" si="1"/>
        <v>58444.800000000003</v>
      </c>
    </row>
    <row r="23" spans="1:61" s="36" customFormat="1" ht="39.950000000000003" customHeight="1">
      <c r="A23" s="145">
        <v>43966</v>
      </c>
      <c r="B23" s="35"/>
      <c r="C23" s="78">
        <v>5254531</v>
      </c>
      <c r="D23" s="38">
        <f t="shared" ref="D23" si="303">(+C23-+C22)*48</f>
        <v>73536</v>
      </c>
      <c r="E23" s="38">
        <f t="shared" si="3"/>
        <v>44121.599999999999</v>
      </c>
      <c r="F23" s="104">
        <f t="shared" si="4"/>
        <v>29414.400000000001</v>
      </c>
      <c r="G23" s="78">
        <v>271337</v>
      </c>
      <c r="H23" s="38">
        <f t="shared" si="5"/>
        <v>1488</v>
      </c>
      <c r="I23" s="78">
        <v>62494</v>
      </c>
      <c r="J23" s="104">
        <f t="shared" si="5"/>
        <v>6960</v>
      </c>
      <c r="K23" s="78">
        <v>254139</v>
      </c>
      <c r="L23" s="104">
        <f t="shared" ref="L23" si="304">(+K23-+K22)*48</f>
        <v>0</v>
      </c>
      <c r="M23" s="78">
        <v>24362</v>
      </c>
      <c r="N23" s="104">
        <f t="shared" ref="N23" si="305">(+M23-+M22)*48</f>
        <v>0</v>
      </c>
      <c r="O23" s="78">
        <v>197763</v>
      </c>
      <c r="P23" s="104">
        <f t="shared" ref="P23" si="306">(+O23-+O22)*48</f>
        <v>7920</v>
      </c>
      <c r="Q23" s="78">
        <v>428685</v>
      </c>
      <c r="R23" s="104">
        <f t="shared" ref="R23" si="307">(+Q23-+Q22)*48</f>
        <v>288</v>
      </c>
      <c r="S23" s="78">
        <v>677745</v>
      </c>
      <c r="T23" s="104">
        <f t="shared" ref="T23" si="308">(+S23-+S22)*48</f>
        <v>6000</v>
      </c>
      <c r="U23" s="78">
        <v>92161.631999999998</v>
      </c>
      <c r="V23" s="104">
        <f t="shared" ref="V23" si="309">(+U23-+U22)*48</f>
        <v>780</v>
      </c>
      <c r="W23" s="78">
        <v>76332</v>
      </c>
      <c r="X23" s="104">
        <f t="shared" ref="X23" si="310">(+W23-+W22)*48</f>
        <v>720</v>
      </c>
      <c r="Y23" s="78">
        <v>1465792</v>
      </c>
      <c r="Z23" s="104">
        <f t="shared" ref="Z23" si="311">(+Y23-+Y22)*48</f>
        <v>6720</v>
      </c>
      <c r="AA23" s="78">
        <v>13166</v>
      </c>
      <c r="AB23" s="104">
        <f t="shared" ref="AB23" si="312">(+AA23-+AA22)*48</f>
        <v>0</v>
      </c>
      <c r="AC23" s="78">
        <v>419425</v>
      </c>
      <c r="AD23" s="38">
        <f t="shared" si="15"/>
        <v>3840</v>
      </c>
      <c r="AE23" s="78">
        <v>494981</v>
      </c>
      <c r="AF23" s="38">
        <f t="shared" si="15"/>
        <v>4032</v>
      </c>
      <c r="AG23" s="78">
        <v>48330</v>
      </c>
      <c r="AH23" s="38">
        <f t="shared" ref="AH23" si="313">(+AG23-+AG22)*48</f>
        <v>192</v>
      </c>
      <c r="AI23" s="78">
        <v>381653</v>
      </c>
      <c r="AJ23" s="38">
        <f t="shared" ref="AJ23" si="314">(+AI23-+AI22)*48</f>
        <v>2736</v>
      </c>
      <c r="AK23" s="78">
        <v>102371</v>
      </c>
      <c r="AL23" s="38">
        <f t="shared" ref="AL23" si="315">(+AK23-+AK22)*48</f>
        <v>0</v>
      </c>
      <c r="AM23" s="78">
        <v>540696</v>
      </c>
      <c r="AN23" s="38">
        <f t="shared" ref="AN23" si="316">(+AM23-+AM22)*48</f>
        <v>6096</v>
      </c>
      <c r="AO23" s="78">
        <v>867533</v>
      </c>
      <c r="AP23" s="38">
        <f t="shared" ref="AP23" si="317">(+AO23-+AO22)*48</f>
        <v>7296</v>
      </c>
      <c r="AQ23" s="78">
        <v>62685</v>
      </c>
      <c r="AR23" s="38">
        <f t="shared" ref="AR23" si="318">(+AQ23-+AQ22)*48</f>
        <v>1968</v>
      </c>
      <c r="AS23" s="78">
        <v>2204</v>
      </c>
      <c r="AT23" s="38">
        <f t="shared" ref="AT23" si="319">(+AS23-+AS22)*48</f>
        <v>0</v>
      </c>
      <c r="AU23" s="78">
        <v>918</v>
      </c>
      <c r="AV23" s="38">
        <f t="shared" ref="AV23" si="320">(+AU23-+AU22)*48</f>
        <v>0</v>
      </c>
      <c r="AW23" s="78">
        <v>3075</v>
      </c>
      <c r="AX23" s="38">
        <f t="shared" ref="AX23" si="321">(+AW23-+AW22)*48</f>
        <v>0</v>
      </c>
      <c r="AY23" s="78">
        <v>289689</v>
      </c>
      <c r="AZ23" s="38">
        <f t="shared" ref="AZ23" si="322">(+AY23-+AY22)*48</f>
        <v>3072</v>
      </c>
      <c r="BA23" s="78">
        <v>160167</v>
      </c>
      <c r="BB23" s="104">
        <f t="shared" ref="BB23:BB25" si="323">(+BA23-+BA22)*48</f>
        <v>0</v>
      </c>
      <c r="BC23" s="78">
        <v>198280</v>
      </c>
      <c r="BD23" s="38">
        <f t="shared" ref="BD23" si="324">(+BC23-+BC22)*48</f>
        <v>2352</v>
      </c>
      <c r="BE23" s="78">
        <v>5335</v>
      </c>
      <c r="BF23" s="38">
        <f t="shared" ref="BF23" si="325">(+BE23-+BE22)*48</f>
        <v>0</v>
      </c>
      <c r="BH23" s="105">
        <f t="shared" si="0"/>
        <v>85797.6</v>
      </c>
      <c r="BI23" s="105">
        <f t="shared" si="1"/>
        <v>50198.400000000001</v>
      </c>
    </row>
    <row r="24" spans="1:61" s="36" customFormat="1" ht="39.950000000000003" customHeight="1">
      <c r="A24" s="145">
        <v>43967</v>
      </c>
      <c r="B24" s="35"/>
      <c r="C24" s="78">
        <v>5256381</v>
      </c>
      <c r="D24" s="104">
        <f t="shared" ref="D24" si="326">(+C24-+C23)*48</f>
        <v>88800</v>
      </c>
      <c r="E24" s="38">
        <f t="shared" si="3"/>
        <v>53280</v>
      </c>
      <c r="F24" s="104">
        <f t="shared" si="4"/>
        <v>35520</v>
      </c>
      <c r="G24" s="78">
        <v>271362</v>
      </c>
      <c r="H24" s="38">
        <f t="shared" si="5"/>
        <v>1200</v>
      </c>
      <c r="I24" s="78">
        <v>62643</v>
      </c>
      <c r="J24" s="104">
        <f t="shared" si="5"/>
        <v>7152</v>
      </c>
      <c r="K24" s="78">
        <v>254139</v>
      </c>
      <c r="L24" s="104">
        <f t="shared" ref="L24" si="327">(+K24-+K23)*48</f>
        <v>0</v>
      </c>
      <c r="M24" s="78">
        <v>24362</v>
      </c>
      <c r="N24" s="104">
        <f t="shared" ref="N24" si="328">(+M24-+M23)*48</f>
        <v>0</v>
      </c>
      <c r="O24" s="78">
        <v>197937</v>
      </c>
      <c r="P24" s="104">
        <f t="shared" ref="P24" si="329">(+O24-+O23)*48</f>
        <v>8352</v>
      </c>
      <c r="Q24" s="78">
        <v>428691</v>
      </c>
      <c r="R24" s="104">
        <f t="shared" ref="R24" si="330">(+Q24-+Q23)*48</f>
        <v>288</v>
      </c>
      <c r="S24" s="78">
        <v>677873</v>
      </c>
      <c r="T24" s="104">
        <f t="shared" ref="T24" si="331">(+S24-+S23)*48</f>
        <v>6144</v>
      </c>
      <c r="U24" s="78">
        <v>92180.77</v>
      </c>
      <c r="V24" s="104">
        <f t="shared" ref="V24" si="332">(+U24-+U23)*48</f>
        <v>918.62400000030175</v>
      </c>
      <c r="W24" s="78">
        <v>76347</v>
      </c>
      <c r="X24" s="104">
        <f t="shared" ref="X24" si="333">(+W24-+W23)*48</f>
        <v>720</v>
      </c>
      <c r="Y24" s="78">
        <v>1465932</v>
      </c>
      <c r="Z24" s="104">
        <f t="shared" ref="Z24" si="334">(+Y24-+Y23)*48</f>
        <v>6720</v>
      </c>
      <c r="AA24" s="78">
        <v>13166</v>
      </c>
      <c r="AB24" s="104">
        <f t="shared" ref="AB24" si="335">(+AA24-+AA23)*48</f>
        <v>0</v>
      </c>
      <c r="AC24" s="78">
        <v>419499</v>
      </c>
      <c r="AD24" s="104">
        <f t="shared" si="15"/>
        <v>3552</v>
      </c>
      <c r="AE24" s="78">
        <v>495065</v>
      </c>
      <c r="AF24" s="104">
        <f t="shared" si="15"/>
        <v>4032</v>
      </c>
      <c r="AG24" s="78">
        <v>48334</v>
      </c>
      <c r="AH24" s="104">
        <f t="shared" ref="AH24" si="336">(+AG24-+AG23)*48</f>
        <v>192</v>
      </c>
      <c r="AI24" s="78">
        <v>381717</v>
      </c>
      <c r="AJ24" s="104">
        <f t="shared" ref="AJ24" si="337">(+AI24-+AI23)*48</f>
        <v>3072</v>
      </c>
      <c r="AK24" s="78">
        <v>102371</v>
      </c>
      <c r="AL24" s="104">
        <f t="shared" ref="AL24" si="338">(+AK24-+AK23)*48</f>
        <v>0</v>
      </c>
      <c r="AM24" s="78">
        <v>540818</v>
      </c>
      <c r="AN24" s="104">
        <f t="shared" ref="AN24" si="339">(+AM24-+AM23)*48</f>
        <v>5856</v>
      </c>
      <c r="AO24" s="78">
        <v>867679</v>
      </c>
      <c r="AP24" s="104">
        <f t="shared" ref="AP24" si="340">(+AO24-+AO23)*48</f>
        <v>7008</v>
      </c>
      <c r="AQ24" s="78">
        <v>62723</v>
      </c>
      <c r="AR24" s="104">
        <f t="shared" ref="AR24" si="341">(+AQ24-+AQ23)*48</f>
        <v>1824</v>
      </c>
      <c r="AS24" s="78">
        <v>2204</v>
      </c>
      <c r="AT24" s="104">
        <f t="shared" ref="AT24" si="342">(+AS24-+AS23)*48</f>
        <v>0</v>
      </c>
      <c r="AU24" s="78">
        <v>918</v>
      </c>
      <c r="AV24" s="104">
        <f t="shared" ref="AV24" si="343">(+AU24-+AU23)*48</f>
        <v>0</v>
      </c>
      <c r="AW24" s="78">
        <v>3075</v>
      </c>
      <c r="AX24" s="104">
        <f t="shared" ref="AX24" si="344">(+AW24-+AW23)*48</f>
        <v>0</v>
      </c>
      <c r="AY24" s="78">
        <v>289754</v>
      </c>
      <c r="AZ24" s="104">
        <f t="shared" ref="AZ24" si="345">(+AY24-+AY23)*48</f>
        <v>3120</v>
      </c>
      <c r="BA24" s="78">
        <v>160167</v>
      </c>
      <c r="BB24" s="104">
        <f t="shared" si="323"/>
        <v>0</v>
      </c>
      <c r="BC24" s="78">
        <v>198325</v>
      </c>
      <c r="BD24" s="104">
        <f t="shared" ref="BD24" si="346">(+BC24-+BC23)*48</f>
        <v>2160</v>
      </c>
      <c r="BE24" s="78">
        <v>5335</v>
      </c>
      <c r="BF24" s="104">
        <f t="shared" ref="BF24" si="347">(+BE24-+BE23)*48</f>
        <v>0</v>
      </c>
      <c r="BH24" s="105">
        <f t="shared" si="0"/>
        <v>95622.624000000302</v>
      </c>
      <c r="BI24" s="105">
        <f t="shared" si="1"/>
        <v>55488</v>
      </c>
    </row>
    <row r="25" spans="1:61" s="36" customFormat="1" ht="39.950000000000003" customHeight="1">
      <c r="A25" s="145">
        <v>43968</v>
      </c>
      <c r="B25" s="35"/>
      <c r="C25" s="78">
        <v>5258065</v>
      </c>
      <c r="D25" s="104">
        <f t="shared" ref="D25" si="348">(+C25-+C24)*48</f>
        <v>80832</v>
      </c>
      <c r="E25" s="38">
        <f t="shared" si="3"/>
        <v>48499.199999999997</v>
      </c>
      <c r="F25" s="104">
        <f t="shared" si="4"/>
        <v>32332.800000000003</v>
      </c>
      <c r="G25" s="78">
        <v>271387</v>
      </c>
      <c r="H25" s="38">
        <f t="shared" si="5"/>
        <v>1200</v>
      </c>
      <c r="I25" s="78">
        <v>62819</v>
      </c>
      <c r="J25" s="104">
        <f t="shared" si="5"/>
        <v>8448</v>
      </c>
      <c r="K25" s="78">
        <v>254139</v>
      </c>
      <c r="L25" s="104">
        <f t="shared" ref="L25" si="349">(+K25-+K24)*48</f>
        <v>0</v>
      </c>
      <c r="M25" s="78">
        <v>24362</v>
      </c>
      <c r="N25" s="104">
        <f t="shared" ref="N25" si="350">(+M25-+M24)*48</f>
        <v>0</v>
      </c>
      <c r="O25" s="78">
        <v>198118</v>
      </c>
      <c r="P25" s="104">
        <f t="shared" ref="P25" si="351">(+O25-+O24)*48</f>
        <v>8688</v>
      </c>
      <c r="Q25" s="78">
        <v>428692</v>
      </c>
      <c r="R25" s="104">
        <f t="shared" ref="R25" si="352">(+Q25-+Q24)*48</f>
        <v>48</v>
      </c>
      <c r="S25" s="78">
        <v>678003</v>
      </c>
      <c r="T25" s="104">
        <f t="shared" ref="T25" si="353">(+S25-+S24)*48</f>
        <v>6240</v>
      </c>
      <c r="U25" s="78">
        <v>92199.797000000006</v>
      </c>
      <c r="V25" s="104">
        <f t="shared" ref="V25" si="354">(+U25-+U24)*48</f>
        <v>913.29600000008941</v>
      </c>
      <c r="W25" s="78">
        <v>76360</v>
      </c>
      <c r="X25" s="104">
        <f t="shared" ref="X25" si="355">(+W25-+W24)*48</f>
        <v>624</v>
      </c>
      <c r="Y25" s="78">
        <v>1466061</v>
      </c>
      <c r="Z25" s="104">
        <f t="shared" ref="Z25" si="356">(+Y25-+Y24)*48</f>
        <v>6192</v>
      </c>
      <c r="AA25" s="78">
        <v>13166</v>
      </c>
      <c r="AB25" s="104">
        <f t="shared" ref="AB25" si="357">(+AA25-+AA24)*48</f>
        <v>0</v>
      </c>
      <c r="AC25" s="78">
        <v>419574</v>
      </c>
      <c r="AD25" s="104">
        <f t="shared" si="15"/>
        <v>3600</v>
      </c>
      <c r="AE25" s="78">
        <v>495148</v>
      </c>
      <c r="AF25" s="104">
        <f t="shared" si="15"/>
        <v>3984</v>
      </c>
      <c r="AG25" s="78">
        <v>48337</v>
      </c>
      <c r="AH25" s="104">
        <f t="shared" ref="AH25" si="358">(+AG25-+AG24)*48</f>
        <v>144</v>
      </c>
      <c r="AI25" s="78">
        <v>381787</v>
      </c>
      <c r="AJ25" s="104">
        <f t="shared" ref="AJ25" si="359">(+AI25-+AI24)*48</f>
        <v>3360</v>
      </c>
      <c r="AK25" s="78">
        <v>102371</v>
      </c>
      <c r="AL25" s="104">
        <f t="shared" ref="AL25" si="360">(+AK25-+AK24)*48</f>
        <v>0</v>
      </c>
      <c r="AM25" s="78">
        <v>540925</v>
      </c>
      <c r="AN25" s="104">
        <f t="shared" ref="AN25" si="361">(+AM25-+AM24)*48</f>
        <v>5136</v>
      </c>
      <c r="AO25" s="78">
        <v>867821</v>
      </c>
      <c r="AP25" s="104">
        <f t="shared" ref="AP25" si="362">(+AO25-+AO24)*48</f>
        <v>6816</v>
      </c>
      <c r="AQ25" s="78">
        <v>62758</v>
      </c>
      <c r="AR25" s="104">
        <f t="shared" ref="AR25" si="363">(+AQ25-+AQ24)*48</f>
        <v>1680</v>
      </c>
      <c r="AS25" s="78">
        <v>2204</v>
      </c>
      <c r="AT25" s="104">
        <f t="shared" ref="AT25" si="364">(+AS25-+AS24)*48</f>
        <v>0</v>
      </c>
      <c r="AU25" s="78">
        <v>918</v>
      </c>
      <c r="AV25" s="104">
        <f t="shared" ref="AV25" si="365">(+AU25-+AU24)*48</f>
        <v>0</v>
      </c>
      <c r="AW25" s="78">
        <v>3075</v>
      </c>
      <c r="AX25" s="104">
        <f t="shared" ref="AX25" si="366">(+AW25-+AW24)*48</f>
        <v>0</v>
      </c>
      <c r="AY25" s="78">
        <v>289876</v>
      </c>
      <c r="AZ25" s="104">
        <f t="shared" ref="AZ25" si="367">(+AY25-+AY24)*48</f>
        <v>5856</v>
      </c>
      <c r="BA25" s="78">
        <v>160167</v>
      </c>
      <c r="BB25" s="104">
        <f t="shared" si="323"/>
        <v>0</v>
      </c>
      <c r="BC25" s="78">
        <v>198373</v>
      </c>
      <c r="BD25" s="104">
        <f t="shared" ref="BD25" si="368">(+BC25-+BC24)*48</f>
        <v>2304</v>
      </c>
      <c r="BE25" s="78">
        <v>5335</v>
      </c>
      <c r="BF25" s="104">
        <f t="shared" ref="BF25" si="369">(+BE25-+BE24)*48</f>
        <v>0</v>
      </c>
      <c r="BH25" s="105">
        <f t="shared" si="0"/>
        <v>91940.496000000086</v>
      </c>
      <c r="BI25" s="105">
        <f t="shared" si="1"/>
        <v>54124.800000000003</v>
      </c>
    </row>
    <row r="26" spans="1:61" s="36" customFormat="1" ht="39.950000000000003" customHeight="1">
      <c r="A26" s="145">
        <v>43969</v>
      </c>
      <c r="B26" s="35"/>
      <c r="C26" s="78">
        <v>5259624</v>
      </c>
      <c r="D26" s="104">
        <f t="shared" ref="D26" si="370">(+C26-+C25)*48</f>
        <v>74832</v>
      </c>
      <c r="E26" s="38">
        <f t="shared" si="3"/>
        <v>44899.199999999997</v>
      </c>
      <c r="F26" s="104">
        <f t="shared" si="4"/>
        <v>29932.800000000003</v>
      </c>
      <c r="G26" s="78">
        <v>271413</v>
      </c>
      <c r="H26" s="38">
        <f t="shared" si="5"/>
        <v>1248</v>
      </c>
      <c r="I26" s="78">
        <v>62986</v>
      </c>
      <c r="J26" s="104">
        <f t="shared" si="5"/>
        <v>8016</v>
      </c>
      <c r="K26" s="78">
        <v>254139</v>
      </c>
      <c r="L26" s="104">
        <f t="shared" ref="L26" si="371">(+K26-+K25)*48</f>
        <v>0</v>
      </c>
      <c r="M26" s="78">
        <v>24362</v>
      </c>
      <c r="N26" s="104">
        <f t="shared" ref="N26" si="372">(+M26-+M25)*48</f>
        <v>0</v>
      </c>
      <c r="O26" s="78">
        <v>198283</v>
      </c>
      <c r="P26" s="104">
        <f t="shared" ref="P26" si="373">(+O26-+O25)*48</f>
        <v>7920</v>
      </c>
      <c r="Q26" s="78">
        <v>428700</v>
      </c>
      <c r="R26" s="104">
        <f t="shared" ref="R26" si="374">(+Q26-+Q25)*48</f>
        <v>384</v>
      </c>
      <c r="S26" s="78">
        <v>678103</v>
      </c>
      <c r="T26" s="104">
        <f t="shared" ref="T26" si="375">(+S26-+S25)*48</f>
        <v>4800</v>
      </c>
      <c r="U26" s="78">
        <v>92219.055999999997</v>
      </c>
      <c r="V26" s="104">
        <f t="shared" ref="V26" si="376">(+U26-+U25)*48</f>
        <v>924.43199999956414</v>
      </c>
      <c r="W26" s="78">
        <v>76360</v>
      </c>
      <c r="X26" s="104">
        <f t="shared" ref="X26" si="377">(+W26-+W25)*48</f>
        <v>0</v>
      </c>
      <c r="Y26" s="78">
        <v>1466196</v>
      </c>
      <c r="Z26" s="104">
        <f t="shared" ref="Z26" si="378">(+Y26-+Y25)*48</f>
        <v>6480</v>
      </c>
      <c r="AA26" s="78">
        <v>13166</v>
      </c>
      <c r="AB26" s="104">
        <f t="shared" ref="AB26" si="379">(+AA26-+AA25)*48</f>
        <v>0</v>
      </c>
      <c r="AC26" s="78">
        <v>419646</v>
      </c>
      <c r="AD26" s="104">
        <f t="shared" si="15"/>
        <v>3456</v>
      </c>
      <c r="AE26" s="78">
        <v>495231</v>
      </c>
      <c r="AF26" s="104">
        <f t="shared" si="15"/>
        <v>3984</v>
      </c>
      <c r="AG26" s="78">
        <v>48341</v>
      </c>
      <c r="AH26" s="104">
        <f t="shared" ref="AH26" si="380">(+AG26-+AG25)*48</f>
        <v>192</v>
      </c>
      <c r="AI26" s="78">
        <v>381855</v>
      </c>
      <c r="AJ26" s="104">
        <f t="shared" ref="AJ26" si="381">(+AI26-+AI25)*48</f>
        <v>3264</v>
      </c>
      <c r="AK26" s="78">
        <v>102371</v>
      </c>
      <c r="AL26" s="104">
        <f t="shared" ref="AL26" si="382">(+AK26-+AK25)*48</f>
        <v>0</v>
      </c>
      <c r="AM26" s="78">
        <v>541017</v>
      </c>
      <c r="AN26" s="104">
        <f t="shared" ref="AN26" si="383">(+AM26-+AM25)*48</f>
        <v>4416</v>
      </c>
      <c r="AO26" s="78">
        <v>867916</v>
      </c>
      <c r="AP26" s="104">
        <f t="shared" ref="AP26" si="384">(+AO26-+AO25)*48</f>
        <v>4560</v>
      </c>
      <c r="AQ26" s="78">
        <v>62792</v>
      </c>
      <c r="AR26" s="104">
        <f t="shared" ref="AR26" si="385">(+AQ26-+AQ25)*48</f>
        <v>1632</v>
      </c>
      <c r="AS26" s="78">
        <v>2204</v>
      </c>
      <c r="AT26" s="104">
        <f t="shared" ref="AT26" si="386">(+AS26-+AS25)*48</f>
        <v>0</v>
      </c>
      <c r="AU26" s="78">
        <v>918</v>
      </c>
      <c r="AV26" s="104">
        <f t="shared" ref="AV26" si="387">(+AU26-+AU25)*48</f>
        <v>0</v>
      </c>
      <c r="AW26" s="78">
        <v>3075</v>
      </c>
      <c r="AX26" s="104">
        <f t="shared" ref="AX26" si="388">(+AW26-+AW25)*48</f>
        <v>0</v>
      </c>
      <c r="AY26" s="78">
        <v>289896</v>
      </c>
      <c r="AZ26" s="104">
        <f>(+AY26-+AY25)*48</f>
        <v>960</v>
      </c>
      <c r="BA26" s="78">
        <v>160167</v>
      </c>
      <c r="BB26" s="104">
        <f>(+BA26-+BA25)*48</f>
        <v>0</v>
      </c>
      <c r="BC26" s="78">
        <v>198419</v>
      </c>
      <c r="BD26" s="104">
        <f t="shared" ref="BD26" si="389">(+BC26-+BC25)*48</f>
        <v>2208</v>
      </c>
      <c r="BE26" s="78">
        <v>5335</v>
      </c>
      <c r="BF26" s="104">
        <f t="shared" ref="BF26" si="390">(+BE26-+BE25)*48</f>
        <v>0</v>
      </c>
      <c r="BH26" s="105">
        <f t="shared" si="0"/>
        <v>85567.631999999561</v>
      </c>
      <c r="BI26" s="105">
        <f t="shared" si="1"/>
        <v>43708.800000000003</v>
      </c>
    </row>
    <row r="27" spans="1:61" s="36" customFormat="1" ht="39.950000000000003" customHeight="1">
      <c r="A27" s="145">
        <v>43970</v>
      </c>
      <c r="B27" s="35"/>
      <c r="C27" s="78">
        <v>5261562</v>
      </c>
      <c r="D27" s="104">
        <f t="shared" ref="D27" si="391">(+C27-+C26)*48</f>
        <v>93024</v>
      </c>
      <c r="E27" s="38">
        <f t="shared" si="3"/>
        <v>55814.400000000001</v>
      </c>
      <c r="F27" s="104">
        <f t="shared" si="4"/>
        <v>37209.599999999999</v>
      </c>
      <c r="G27" s="78">
        <v>271435</v>
      </c>
      <c r="H27" s="38">
        <f t="shared" si="5"/>
        <v>1056</v>
      </c>
      <c r="I27" s="78">
        <v>63150</v>
      </c>
      <c r="J27" s="104">
        <f t="shared" si="5"/>
        <v>7872</v>
      </c>
      <c r="K27" s="78">
        <v>254139</v>
      </c>
      <c r="L27" s="104">
        <f t="shared" ref="L27" si="392">(+K27-+K26)*48</f>
        <v>0</v>
      </c>
      <c r="M27" s="78">
        <v>24362</v>
      </c>
      <c r="N27" s="104">
        <f t="shared" ref="N27" si="393">(+M27-+M26)*48</f>
        <v>0</v>
      </c>
      <c r="O27" s="78">
        <v>198413</v>
      </c>
      <c r="P27" s="104">
        <f t="shared" ref="P27" si="394">(+O27-+O26)*48</f>
        <v>6240</v>
      </c>
      <c r="Q27" s="78">
        <v>428700</v>
      </c>
      <c r="R27" s="104">
        <f t="shared" ref="R27" si="395">(+Q27-+Q26)*48</f>
        <v>0</v>
      </c>
      <c r="S27" s="78">
        <v>678226</v>
      </c>
      <c r="T27" s="104">
        <f t="shared" ref="T27" si="396">(+S27-+S26)*48</f>
        <v>5904</v>
      </c>
      <c r="U27" s="78">
        <v>92237.606</v>
      </c>
      <c r="V27" s="104">
        <f t="shared" ref="V27" si="397">(+U27-+U26)*48</f>
        <v>890.4000000001397</v>
      </c>
      <c r="W27" s="78">
        <v>76360</v>
      </c>
      <c r="X27" s="104">
        <f t="shared" ref="X27" si="398">(+W27-+W26)*48</f>
        <v>0</v>
      </c>
      <c r="Y27" s="78">
        <v>1466344</v>
      </c>
      <c r="Z27" s="104">
        <f t="shared" ref="Z27" si="399">(+Y27-+Y26)*48</f>
        <v>7104</v>
      </c>
      <c r="AA27" s="78">
        <v>13166</v>
      </c>
      <c r="AB27" s="104">
        <f t="shared" ref="AB27" si="400">(+AA27-+AA26)*48</f>
        <v>0</v>
      </c>
      <c r="AC27" s="78">
        <v>419735</v>
      </c>
      <c r="AD27" s="104">
        <f t="shared" si="15"/>
        <v>4272</v>
      </c>
      <c r="AE27" s="78">
        <v>495340</v>
      </c>
      <c r="AF27" s="104">
        <f t="shared" si="15"/>
        <v>5232</v>
      </c>
      <c r="AG27" s="78">
        <v>48345</v>
      </c>
      <c r="AH27" s="104">
        <f t="shared" ref="AH27" si="401">(+AG27-+AG26)*48</f>
        <v>192</v>
      </c>
      <c r="AI27" s="78">
        <v>381908</v>
      </c>
      <c r="AJ27" s="104">
        <f t="shared" ref="AJ27" si="402">(+AI27-+AI26)*48</f>
        <v>2544</v>
      </c>
      <c r="AK27" s="78">
        <v>102371</v>
      </c>
      <c r="AL27" s="104">
        <f t="shared" ref="AL27" si="403">(+AK27-+AK26)*48</f>
        <v>0</v>
      </c>
      <c r="AM27" s="78">
        <v>541129</v>
      </c>
      <c r="AN27" s="104">
        <f t="shared" ref="AN27" si="404">(+AM27-+AM26)*48</f>
        <v>5376</v>
      </c>
      <c r="AO27" s="78">
        <v>868060</v>
      </c>
      <c r="AP27" s="104">
        <f t="shared" ref="AP27" si="405">(+AO27-+AO26)*48</f>
        <v>6912</v>
      </c>
      <c r="AQ27" s="78">
        <v>62838</v>
      </c>
      <c r="AR27" s="104">
        <f t="shared" ref="AR27" si="406">(+AQ27-+AQ26)*48</f>
        <v>2208</v>
      </c>
      <c r="AS27" s="78">
        <v>2204</v>
      </c>
      <c r="AT27" s="104">
        <f t="shared" ref="AT27" si="407">(+AS27-+AS26)*48</f>
        <v>0</v>
      </c>
      <c r="AU27" s="78">
        <v>918</v>
      </c>
      <c r="AV27" s="104">
        <f t="shared" ref="AV27" si="408">(+AU27-+AU26)*48</f>
        <v>0</v>
      </c>
      <c r="AW27" s="78">
        <v>3075</v>
      </c>
      <c r="AX27" s="104">
        <f t="shared" ref="AX27" si="409">(+AW27-+AW26)*48</f>
        <v>0</v>
      </c>
      <c r="AY27" s="78">
        <v>289938</v>
      </c>
      <c r="AZ27" s="104">
        <f t="shared" ref="AZ27" si="410">(+AY27-+AY26)*48</f>
        <v>2016</v>
      </c>
      <c r="BA27" s="78">
        <v>160167</v>
      </c>
      <c r="BB27" s="104">
        <f>(+BA27-+BA26)*48</f>
        <v>0</v>
      </c>
      <c r="BC27" s="78">
        <v>198464</v>
      </c>
      <c r="BD27" s="104">
        <f t="shared" ref="BD27" si="411">(+BC27-+BC26)*48</f>
        <v>2160</v>
      </c>
      <c r="BE27" s="78">
        <v>5335</v>
      </c>
      <c r="BF27" s="104">
        <f t="shared" ref="BF27" si="412">(+BE27-+BE26)*48</f>
        <v>0</v>
      </c>
      <c r="BH27" s="105">
        <f t="shared" si="0"/>
        <v>97120.800000000134</v>
      </c>
      <c r="BI27" s="105">
        <f t="shared" si="1"/>
        <v>55881.599999999999</v>
      </c>
    </row>
    <row r="28" spans="1:61" s="36" customFormat="1" ht="39.950000000000003" customHeight="1">
      <c r="A28" s="145">
        <v>43971</v>
      </c>
      <c r="B28" s="35"/>
      <c r="C28" s="78">
        <v>5262902</v>
      </c>
      <c r="D28" s="104">
        <f t="shared" ref="D28" si="413">(+C28-+C27)*48</f>
        <v>64320</v>
      </c>
      <c r="E28" s="38">
        <f t="shared" si="3"/>
        <v>38592</v>
      </c>
      <c r="F28" s="104">
        <f t="shared" si="4"/>
        <v>25728</v>
      </c>
      <c r="G28" s="78">
        <v>271461</v>
      </c>
      <c r="H28" s="38">
        <f t="shared" si="5"/>
        <v>1248</v>
      </c>
      <c r="I28" s="78">
        <v>63312</v>
      </c>
      <c r="J28" s="104">
        <f t="shared" si="5"/>
        <v>7776</v>
      </c>
      <c r="K28" s="78">
        <v>254139</v>
      </c>
      <c r="L28" s="104">
        <f t="shared" ref="L28" si="414">(+K28-+K27)*48</f>
        <v>0</v>
      </c>
      <c r="M28" s="78">
        <v>24362</v>
      </c>
      <c r="N28" s="104">
        <f t="shared" ref="N28" si="415">(+M28-+M27)*48</f>
        <v>0</v>
      </c>
      <c r="O28" s="78">
        <v>198570</v>
      </c>
      <c r="P28" s="104">
        <f t="shared" ref="P28" si="416">(+O28-+O27)*48</f>
        <v>7536</v>
      </c>
      <c r="Q28" s="78">
        <v>428700</v>
      </c>
      <c r="R28" s="104">
        <f t="shared" ref="R28" si="417">(+Q28-+Q27)*48</f>
        <v>0</v>
      </c>
      <c r="S28" s="78">
        <v>678345</v>
      </c>
      <c r="T28" s="104">
        <f t="shared" ref="T28" si="418">(+S28-+S27)*48</f>
        <v>5712</v>
      </c>
      <c r="U28" s="78">
        <v>92259.345000000001</v>
      </c>
      <c r="V28" s="104">
        <f t="shared" ref="V28" si="419">(+U28-+U27)*48</f>
        <v>1043.4720000000671</v>
      </c>
      <c r="W28" s="78">
        <v>76373</v>
      </c>
      <c r="X28" s="104">
        <f t="shared" ref="X28" si="420">(+W28-+W27)*48</f>
        <v>624</v>
      </c>
      <c r="Y28" s="78">
        <v>1466481</v>
      </c>
      <c r="Z28" s="104">
        <f t="shared" ref="Z28" si="421">(+Y28-+Y27)*48</f>
        <v>6576</v>
      </c>
      <c r="AA28" s="78">
        <v>13166</v>
      </c>
      <c r="AB28" s="104">
        <f t="shared" ref="AB28" si="422">(+AA28-+AA27)*48</f>
        <v>0</v>
      </c>
      <c r="AC28" s="78">
        <v>419824</v>
      </c>
      <c r="AD28" s="104">
        <f t="shared" si="15"/>
        <v>4272</v>
      </c>
      <c r="AE28" s="78">
        <v>495455</v>
      </c>
      <c r="AF28" s="104">
        <f t="shared" si="15"/>
        <v>5520</v>
      </c>
      <c r="AG28" s="78">
        <v>48349</v>
      </c>
      <c r="AH28" s="104">
        <f t="shared" ref="AH28" si="423">(+AG28-+AG27)*48</f>
        <v>192</v>
      </c>
      <c r="AI28" s="78">
        <v>381955</v>
      </c>
      <c r="AJ28" s="104">
        <f t="shared" ref="AJ28" si="424">(+AI28-+AI27)*48</f>
        <v>2256</v>
      </c>
      <c r="AK28" s="78">
        <v>102371</v>
      </c>
      <c r="AL28" s="104">
        <f t="shared" ref="AL28" si="425">(+AK28-+AK27)*48</f>
        <v>0</v>
      </c>
      <c r="AM28" s="78">
        <v>541232</v>
      </c>
      <c r="AN28" s="104">
        <f t="shared" ref="AN28" si="426">(+AM28-+AM27)*48</f>
        <v>4944</v>
      </c>
      <c r="AO28" s="78">
        <v>868222</v>
      </c>
      <c r="AP28" s="104">
        <f t="shared" ref="AP28" si="427">(+AO28-+AO27)*48</f>
        <v>7776</v>
      </c>
      <c r="AQ28" s="78">
        <v>62874</v>
      </c>
      <c r="AR28" s="104">
        <f t="shared" ref="AR28" si="428">(+AQ28-+AQ27)*48</f>
        <v>1728</v>
      </c>
      <c r="AS28" s="78">
        <v>2204</v>
      </c>
      <c r="AT28" s="104">
        <f t="shared" ref="AT28" si="429">(+AS28-+AS27)*48</f>
        <v>0</v>
      </c>
      <c r="AU28" s="78">
        <v>918</v>
      </c>
      <c r="AV28" s="104">
        <f t="shared" ref="AV28" si="430">(+AU28-+AU27)*48</f>
        <v>0</v>
      </c>
      <c r="AW28" s="78">
        <v>3075</v>
      </c>
      <c r="AX28" s="104">
        <f t="shared" ref="AX28" si="431">(+AW28-+AW27)*48</f>
        <v>0</v>
      </c>
      <c r="AY28" s="78">
        <v>289999</v>
      </c>
      <c r="AZ28" s="104">
        <f t="shared" ref="AZ28" si="432">(+AY28-+AY27)*48</f>
        <v>2928</v>
      </c>
      <c r="BA28" s="78">
        <v>160167</v>
      </c>
      <c r="BB28" s="104">
        <f t="shared" ref="BB28" si="433">(+BA28-+BA27)*48</f>
        <v>0</v>
      </c>
      <c r="BC28" s="78">
        <v>198510</v>
      </c>
      <c r="BD28" s="104">
        <f t="shared" ref="BD28" si="434">(+BC28-+BC27)*48</f>
        <v>2208</v>
      </c>
      <c r="BE28" s="78">
        <v>5335</v>
      </c>
      <c r="BF28" s="104">
        <f t="shared" ref="BF28" si="435">(+BE28-+BE27)*48</f>
        <v>0</v>
      </c>
      <c r="BH28" s="105">
        <f t="shared" si="0"/>
        <v>81347.472000000067</v>
      </c>
      <c r="BI28" s="105">
        <f t="shared" si="1"/>
        <v>45312</v>
      </c>
    </row>
    <row r="29" spans="1:61" s="36" customFormat="1" ht="39.950000000000003" customHeight="1">
      <c r="A29" s="145">
        <v>43972</v>
      </c>
      <c r="B29" s="35"/>
      <c r="C29" s="83">
        <v>5264588</v>
      </c>
      <c r="D29" s="104">
        <f t="shared" ref="D29" si="436">(+C29-+C28)*48</f>
        <v>80928</v>
      </c>
      <c r="E29" s="38">
        <f t="shared" si="3"/>
        <v>48556.799999999996</v>
      </c>
      <c r="F29" s="104">
        <f t="shared" si="4"/>
        <v>32371.200000000001</v>
      </c>
      <c r="G29" s="83">
        <v>271487</v>
      </c>
      <c r="H29" s="38">
        <f t="shared" si="5"/>
        <v>1248</v>
      </c>
      <c r="I29" s="83">
        <v>63466</v>
      </c>
      <c r="J29" s="104">
        <f t="shared" si="5"/>
        <v>7392</v>
      </c>
      <c r="K29" s="83">
        <v>254139</v>
      </c>
      <c r="L29" s="104">
        <f t="shared" ref="L29" si="437">(+K29-+K28)*48</f>
        <v>0</v>
      </c>
      <c r="M29" s="83">
        <v>24362</v>
      </c>
      <c r="N29" s="104">
        <f t="shared" ref="N29" si="438">(+M29-+M28)*48</f>
        <v>0</v>
      </c>
      <c r="O29" s="83">
        <v>198722</v>
      </c>
      <c r="P29" s="104">
        <f t="shared" ref="P29" si="439">(+O29-+O28)*48</f>
        <v>7296</v>
      </c>
      <c r="Q29" s="83">
        <v>428711</v>
      </c>
      <c r="R29" s="104">
        <f t="shared" ref="R29" si="440">(+Q29-+Q28)*48</f>
        <v>528</v>
      </c>
      <c r="S29" s="83">
        <v>678450</v>
      </c>
      <c r="T29" s="104">
        <f t="shared" ref="T29" si="441">(+S29-+S28)*48</f>
        <v>5040</v>
      </c>
      <c r="U29" s="83">
        <v>92278.774999999994</v>
      </c>
      <c r="V29" s="104">
        <f t="shared" ref="V29" si="442">(+U29-+U28)*48</f>
        <v>932.63999999966472</v>
      </c>
      <c r="W29" s="83">
        <v>76387</v>
      </c>
      <c r="X29" s="104">
        <f t="shared" ref="X29" si="443">(+W29-+W28)*48</f>
        <v>672</v>
      </c>
      <c r="Y29" s="83">
        <v>1466623</v>
      </c>
      <c r="Z29" s="104">
        <f t="shared" ref="Z29" si="444">(+Y29-+Y28)*48</f>
        <v>6816</v>
      </c>
      <c r="AA29" s="83">
        <v>13166</v>
      </c>
      <c r="AB29" s="104">
        <f t="shared" ref="AB29" si="445">(+AA29-+AA28)*48</f>
        <v>0</v>
      </c>
      <c r="AC29" s="83">
        <v>419916</v>
      </c>
      <c r="AD29" s="104">
        <f t="shared" si="15"/>
        <v>4416</v>
      </c>
      <c r="AE29" s="83">
        <v>495572</v>
      </c>
      <c r="AF29" s="104">
        <f t="shared" si="15"/>
        <v>5616</v>
      </c>
      <c r="AG29" s="83">
        <v>48353</v>
      </c>
      <c r="AH29" s="104">
        <f t="shared" ref="AH29" si="446">(+AG29-+AG28)*48</f>
        <v>192</v>
      </c>
      <c r="AI29" s="83">
        <v>382004</v>
      </c>
      <c r="AJ29" s="104">
        <f t="shared" ref="AJ29" si="447">(+AI29-+AI28)*48</f>
        <v>2352</v>
      </c>
      <c r="AK29" s="83">
        <v>102371</v>
      </c>
      <c r="AL29" s="104">
        <f t="shared" ref="AL29" si="448">(+AK29-+AK28)*48</f>
        <v>0</v>
      </c>
      <c r="AM29" s="83">
        <v>541343</v>
      </c>
      <c r="AN29" s="104">
        <f t="shared" ref="AN29" si="449">(+AM29-+AM28)*48</f>
        <v>5328</v>
      </c>
      <c r="AO29" s="83">
        <v>868379</v>
      </c>
      <c r="AP29" s="104">
        <f t="shared" ref="AP29" si="450">(+AO29-+AO28)*48</f>
        <v>7536</v>
      </c>
      <c r="AQ29" s="83">
        <v>62913</v>
      </c>
      <c r="AR29" s="104">
        <f t="shared" ref="AR29" si="451">(+AQ29-+AQ28)*48</f>
        <v>1872</v>
      </c>
      <c r="AS29" s="83">
        <v>2204</v>
      </c>
      <c r="AT29" s="104">
        <f t="shared" ref="AT29" si="452">(+AS29-+AS28)*48</f>
        <v>0</v>
      </c>
      <c r="AU29" s="78">
        <v>918</v>
      </c>
      <c r="AV29" s="104">
        <f t="shared" ref="AV29" si="453">(+AU29-+AU28)*48</f>
        <v>0</v>
      </c>
      <c r="AW29" s="78">
        <v>3075</v>
      </c>
      <c r="AX29" s="104">
        <f t="shared" ref="AX29" si="454">(+AW29-+AW28)*48</f>
        <v>0</v>
      </c>
      <c r="AY29" s="83">
        <v>290059</v>
      </c>
      <c r="AZ29" s="104">
        <f t="shared" ref="AZ29" si="455">(+AY29-+AY28)*48</f>
        <v>2880</v>
      </c>
      <c r="BA29" s="78">
        <v>160167</v>
      </c>
      <c r="BB29" s="104">
        <f t="shared" ref="BB29" si="456">(+BA29-+BA28)*48</f>
        <v>0</v>
      </c>
      <c r="BC29" s="83">
        <v>198557</v>
      </c>
      <c r="BD29" s="104">
        <f t="shared" ref="BD29" si="457">(+BC29-+BC28)*48</f>
        <v>2256</v>
      </c>
      <c r="BE29" s="78">
        <v>5335</v>
      </c>
      <c r="BF29" s="104">
        <f t="shared" ref="BF29" si="458">(+BE29-+BE28)*48</f>
        <v>0</v>
      </c>
      <c r="BH29" s="105">
        <f t="shared" si="0"/>
        <v>91057.439999999653</v>
      </c>
      <c r="BI29" s="105">
        <f t="shared" si="1"/>
        <v>52243.199999999997</v>
      </c>
    </row>
    <row r="30" spans="1:61" s="36" customFormat="1" ht="39.950000000000003" customHeight="1">
      <c r="A30" s="145">
        <v>43973</v>
      </c>
      <c r="B30" s="35"/>
      <c r="C30" s="83">
        <v>5266069</v>
      </c>
      <c r="D30" s="104">
        <f t="shared" ref="D30" si="459">(+C30-+C29)*48</f>
        <v>71088</v>
      </c>
      <c r="E30" s="38">
        <f t="shared" si="3"/>
        <v>42652.799999999996</v>
      </c>
      <c r="F30" s="104">
        <f t="shared" si="4"/>
        <v>28435.200000000001</v>
      </c>
      <c r="G30" s="83">
        <v>271515</v>
      </c>
      <c r="H30" s="38">
        <f t="shared" si="5"/>
        <v>1344</v>
      </c>
      <c r="I30" s="83">
        <v>63615</v>
      </c>
      <c r="J30" s="104">
        <f t="shared" si="5"/>
        <v>7152</v>
      </c>
      <c r="K30" s="83">
        <v>254139</v>
      </c>
      <c r="L30" s="104">
        <f t="shared" ref="L30" si="460">(+K30-+K29)*48</f>
        <v>0</v>
      </c>
      <c r="M30" s="83">
        <v>24362</v>
      </c>
      <c r="N30" s="104">
        <f t="shared" ref="N30" si="461">(+M30-+M29)*48</f>
        <v>0</v>
      </c>
      <c r="O30" s="83">
        <v>198873</v>
      </c>
      <c r="P30" s="104">
        <f t="shared" ref="P30" si="462">(+O30-+O29)*48</f>
        <v>7248</v>
      </c>
      <c r="Q30" s="83">
        <v>428717</v>
      </c>
      <c r="R30" s="104">
        <f t="shared" ref="R30" si="463">(+Q30-+Q29)*48</f>
        <v>288</v>
      </c>
      <c r="S30" s="83">
        <v>678567</v>
      </c>
      <c r="T30" s="104">
        <f t="shared" ref="T30" si="464">(+S30-+S29)*48</f>
        <v>5616</v>
      </c>
      <c r="U30" s="83">
        <v>92297.205000000002</v>
      </c>
      <c r="V30" s="104">
        <f t="shared" ref="V30" si="465">(+U30-+U29)*48</f>
        <v>884.64000000036322</v>
      </c>
      <c r="W30" s="83">
        <v>76403</v>
      </c>
      <c r="X30" s="104">
        <f t="shared" ref="X30" si="466">(+W30-+W29)*48</f>
        <v>768</v>
      </c>
      <c r="Y30" s="83">
        <v>1466738</v>
      </c>
      <c r="Z30" s="104">
        <f t="shared" ref="Z30" si="467">(+Y30-+Y29)*48</f>
        <v>5520</v>
      </c>
      <c r="AA30" s="83">
        <v>13166</v>
      </c>
      <c r="AB30" s="104">
        <f t="shared" ref="AB30" si="468">(+AA30-+AA29)*48</f>
        <v>0</v>
      </c>
      <c r="AC30" s="83">
        <v>420007</v>
      </c>
      <c r="AD30" s="104">
        <f t="shared" si="15"/>
        <v>4368</v>
      </c>
      <c r="AE30" s="83">
        <v>495686</v>
      </c>
      <c r="AF30" s="104">
        <f t="shared" si="15"/>
        <v>5472</v>
      </c>
      <c r="AG30" s="83">
        <v>48355</v>
      </c>
      <c r="AH30" s="104">
        <f t="shared" ref="AH30" si="469">(+AG30-+AG29)*48</f>
        <v>96</v>
      </c>
      <c r="AI30" s="83">
        <v>382058</v>
      </c>
      <c r="AJ30" s="104">
        <f t="shared" ref="AJ30" si="470">(+AI30-+AI29)*48</f>
        <v>2592</v>
      </c>
      <c r="AK30" s="83">
        <v>102371</v>
      </c>
      <c r="AL30" s="104">
        <f t="shared" ref="AL30" si="471">(+AK30-+AK29)*48</f>
        <v>0</v>
      </c>
      <c r="AM30" s="83">
        <v>541449</v>
      </c>
      <c r="AN30" s="104">
        <f t="shared" ref="AN30" si="472">(+AM30-+AM29)*48</f>
        <v>5088</v>
      </c>
      <c r="AO30" s="83">
        <v>868530</v>
      </c>
      <c r="AP30" s="104">
        <f t="shared" ref="AP30" si="473">(+AO30-+AO29)*48</f>
        <v>7248</v>
      </c>
      <c r="AQ30" s="83">
        <v>62957</v>
      </c>
      <c r="AR30" s="104">
        <f t="shared" ref="AR30" si="474">(+AQ30-+AQ29)*48</f>
        <v>2112</v>
      </c>
      <c r="AS30" s="83">
        <v>2204</v>
      </c>
      <c r="AT30" s="104">
        <f t="shared" ref="AT30" si="475">(+AS30-+AS29)*48</f>
        <v>0</v>
      </c>
      <c r="AU30" s="78">
        <v>918</v>
      </c>
      <c r="AV30" s="104">
        <f t="shared" ref="AV30" si="476">(+AU30-+AU29)*48</f>
        <v>0</v>
      </c>
      <c r="AW30" s="78">
        <v>3075</v>
      </c>
      <c r="AX30" s="104">
        <f t="shared" ref="AX30" si="477">(+AW30-+AW29)*48</f>
        <v>0</v>
      </c>
      <c r="AY30" s="83">
        <v>290120</v>
      </c>
      <c r="AZ30" s="104">
        <f t="shared" ref="AZ30" si="478">(+AY30-+AY29)*48</f>
        <v>2928</v>
      </c>
      <c r="BA30" s="78">
        <v>160167</v>
      </c>
      <c r="BB30" s="104">
        <f t="shared" ref="BB30" si="479">(+BA30-+BA29)*48</f>
        <v>0</v>
      </c>
      <c r="BC30" s="83">
        <v>198584</v>
      </c>
      <c r="BD30" s="104">
        <f t="shared" ref="BD30" si="480">(+BC30-+BC29)*48</f>
        <v>1296</v>
      </c>
      <c r="BE30" s="78">
        <v>5335</v>
      </c>
      <c r="BF30" s="104">
        <f t="shared" ref="BF30" si="481">(+BE30-+BE29)*48</f>
        <v>0</v>
      </c>
      <c r="BH30" s="105">
        <f t="shared" si="0"/>
        <v>84001.440000000352</v>
      </c>
      <c r="BI30" s="105">
        <f t="shared" si="1"/>
        <v>47107.199999999997</v>
      </c>
    </row>
    <row r="31" spans="1:61" s="36" customFormat="1" ht="39.950000000000003" customHeight="1">
      <c r="A31" s="145">
        <v>43974</v>
      </c>
      <c r="B31" s="35"/>
      <c r="C31" s="83">
        <v>5267970</v>
      </c>
      <c r="D31" s="104">
        <f t="shared" ref="D31" si="482">(+C31-+C30)*48</f>
        <v>91248</v>
      </c>
      <c r="E31" s="38">
        <f t="shared" si="3"/>
        <v>54748.799999999996</v>
      </c>
      <c r="F31" s="104">
        <f t="shared" si="4"/>
        <v>36499.200000000004</v>
      </c>
      <c r="G31" s="83">
        <v>271542</v>
      </c>
      <c r="H31" s="38">
        <f t="shared" si="5"/>
        <v>1296</v>
      </c>
      <c r="I31" s="83">
        <v>63781</v>
      </c>
      <c r="J31" s="104">
        <f t="shared" si="5"/>
        <v>7968</v>
      </c>
      <c r="K31" s="83">
        <v>254139</v>
      </c>
      <c r="L31" s="104">
        <f t="shared" ref="L31" si="483">(+K31-+K30)*48</f>
        <v>0</v>
      </c>
      <c r="M31" s="83">
        <v>24362</v>
      </c>
      <c r="N31" s="104">
        <f t="shared" ref="N31" si="484">(+M31-+M30)*48</f>
        <v>0</v>
      </c>
      <c r="O31" s="83">
        <v>199046</v>
      </c>
      <c r="P31" s="104">
        <f t="shared" ref="P31" si="485">(+O31-+O30)*48</f>
        <v>8304</v>
      </c>
      <c r="Q31" s="83">
        <v>428717</v>
      </c>
      <c r="R31" s="104">
        <f t="shared" ref="R31" si="486">(+Q31-+Q30)*48</f>
        <v>0</v>
      </c>
      <c r="S31" s="83">
        <v>678696</v>
      </c>
      <c r="T31" s="104">
        <f t="shared" ref="T31" si="487">(+S31-+S30)*48</f>
        <v>6192</v>
      </c>
      <c r="U31" s="83">
        <v>92315.001000000004</v>
      </c>
      <c r="V31" s="104">
        <f t="shared" ref="V31" si="488">(+U31-+U30)*48</f>
        <v>854.20800000010058</v>
      </c>
      <c r="W31" s="83">
        <v>76418</v>
      </c>
      <c r="X31" s="104">
        <f t="shared" ref="X31" si="489">(+W31-+W30)*48</f>
        <v>720</v>
      </c>
      <c r="Y31" s="83">
        <v>1466769</v>
      </c>
      <c r="Z31" s="104">
        <f t="shared" ref="Z31" si="490">(+Y31-+Y30)*48</f>
        <v>1488</v>
      </c>
      <c r="AA31" s="83">
        <v>13166</v>
      </c>
      <c r="AB31" s="104">
        <f t="shared" ref="AB31" si="491">(+AA31-+AA30)*48</f>
        <v>0</v>
      </c>
      <c r="AC31" s="83">
        <v>420095</v>
      </c>
      <c r="AD31" s="104">
        <f t="shared" si="15"/>
        <v>4224</v>
      </c>
      <c r="AE31" s="83">
        <v>495801</v>
      </c>
      <c r="AF31" s="104">
        <f t="shared" si="15"/>
        <v>5520</v>
      </c>
      <c r="AG31" s="83">
        <v>48355</v>
      </c>
      <c r="AH31" s="104">
        <f t="shared" ref="AH31" si="492">(+AG31-+AG30)*48</f>
        <v>0</v>
      </c>
      <c r="AI31" s="83">
        <v>382111</v>
      </c>
      <c r="AJ31" s="104">
        <f t="shared" ref="AJ31" si="493">(+AI31-+AI30)*48</f>
        <v>2544</v>
      </c>
      <c r="AK31" s="83">
        <v>102371</v>
      </c>
      <c r="AL31" s="104">
        <f t="shared" ref="AL31" si="494">(+AK31-+AK30)*48</f>
        <v>0</v>
      </c>
      <c r="AM31" s="83">
        <v>541553</v>
      </c>
      <c r="AN31" s="104">
        <f t="shared" ref="AN31" si="495">(+AM31-+AM30)*48</f>
        <v>4992</v>
      </c>
      <c r="AO31" s="83">
        <v>868665</v>
      </c>
      <c r="AP31" s="104">
        <f t="shared" ref="AP31" si="496">(+AO31-+AO30)*48</f>
        <v>6480</v>
      </c>
      <c r="AQ31" s="83">
        <v>62991</v>
      </c>
      <c r="AR31" s="104">
        <f t="shared" ref="AR31" si="497">(+AQ31-+AQ30)*48</f>
        <v>1632</v>
      </c>
      <c r="AS31" s="83">
        <v>2204</v>
      </c>
      <c r="AT31" s="104">
        <f t="shared" ref="AT31" si="498">(+AS31-+AS30)*48</f>
        <v>0</v>
      </c>
      <c r="AU31" s="78">
        <v>918</v>
      </c>
      <c r="AV31" s="104">
        <f t="shared" ref="AV31" si="499">(+AU31-+AU30)*48</f>
        <v>0</v>
      </c>
      <c r="AW31" s="78">
        <v>3075</v>
      </c>
      <c r="AX31" s="104">
        <f t="shared" ref="AX31" si="500">(+AW31-+AW30)*48</f>
        <v>0</v>
      </c>
      <c r="AY31" s="83">
        <v>290180</v>
      </c>
      <c r="AZ31" s="104">
        <f t="shared" ref="AZ31" si="501">(+AY31-+AY30)*48</f>
        <v>2880</v>
      </c>
      <c r="BA31" s="78">
        <v>160167</v>
      </c>
      <c r="BB31" s="104">
        <f t="shared" ref="BB31" si="502">(+BA31-+BA30)*48</f>
        <v>0</v>
      </c>
      <c r="BC31" s="83">
        <v>198637</v>
      </c>
      <c r="BD31" s="104">
        <f t="shared" ref="BD31" si="503">(+BC31-+BC30)*48</f>
        <v>2544</v>
      </c>
      <c r="BE31" s="78">
        <v>5335</v>
      </c>
      <c r="BF31" s="104">
        <f t="shared" ref="BF31" si="504">(+BE31-+BE30)*48</f>
        <v>0</v>
      </c>
      <c r="BH31" s="105">
        <f t="shared" si="0"/>
        <v>93859.008000000089</v>
      </c>
      <c r="BI31" s="105">
        <f t="shared" si="1"/>
        <v>55027.200000000004</v>
      </c>
    </row>
    <row r="32" spans="1:61" s="36" customFormat="1" ht="39.950000000000003" customHeight="1">
      <c r="A32" s="145">
        <v>43975</v>
      </c>
      <c r="B32" s="35"/>
      <c r="C32" s="83">
        <v>5269524</v>
      </c>
      <c r="D32" s="104">
        <f t="shared" ref="D32" si="505">(+C32-+C31)*48</f>
        <v>74592</v>
      </c>
      <c r="E32" s="38">
        <f t="shared" si="3"/>
        <v>44755.199999999997</v>
      </c>
      <c r="F32" s="104">
        <f t="shared" si="4"/>
        <v>29836.800000000003</v>
      </c>
      <c r="G32" s="83">
        <v>271570</v>
      </c>
      <c r="H32" s="38">
        <f t="shared" si="5"/>
        <v>1344</v>
      </c>
      <c r="I32" s="83">
        <v>63942</v>
      </c>
      <c r="J32" s="104">
        <f t="shared" si="5"/>
        <v>7728</v>
      </c>
      <c r="K32" s="83">
        <v>254139</v>
      </c>
      <c r="L32" s="104">
        <f t="shared" ref="L32" si="506">(+K32-+K31)*48</f>
        <v>0</v>
      </c>
      <c r="M32" s="83">
        <v>24362</v>
      </c>
      <c r="N32" s="104">
        <f t="shared" ref="N32" si="507">(+M32-+M31)*48</f>
        <v>0</v>
      </c>
      <c r="O32" s="83">
        <v>199218</v>
      </c>
      <c r="P32" s="104">
        <f t="shared" ref="P32" si="508">(+O32-+O31)*48</f>
        <v>8256</v>
      </c>
      <c r="Q32" s="83">
        <v>428718</v>
      </c>
      <c r="R32" s="104">
        <f t="shared" ref="R32" si="509">(+Q32-+Q31)*48</f>
        <v>48</v>
      </c>
      <c r="S32" s="83">
        <v>678823</v>
      </c>
      <c r="T32" s="104">
        <f t="shared" ref="T32" si="510">(+S32-+S31)*48</f>
        <v>6096</v>
      </c>
      <c r="U32" s="83">
        <v>92332.202000000005</v>
      </c>
      <c r="V32" s="104">
        <f t="shared" ref="V32" si="511">(+U32-+U31)*48</f>
        <v>825.6480000000447</v>
      </c>
      <c r="W32" s="83">
        <v>76434</v>
      </c>
      <c r="X32" s="104">
        <f t="shared" ref="X32" si="512">(+W32-+W31)*48</f>
        <v>768</v>
      </c>
      <c r="Y32" s="83">
        <v>1466798</v>
      </c>
      <c r="Z32" s="104">
        <f t="shared" ref="Z32" si="513">(+Y32-+Y31)*48</f>
        <v>1392</v>
      </c>
      <c r="AA32" s="83">
        <v>13166</v>
      </c>
      <c r="AB32" s="104">
        <f t="shared" ref="AB32" si="514">(+AA32-+AA31)*48</f>
        <v>0</v>
      </c>
      <c r="AC32" s="83">
        <v>420192</v>
      </c>
      <c r="AD32" s="104">
        <f t="shared" si="15"/>
        <v>4656</v>
      </c>
      <c r="AE32" s="83">
        <v>495920</v>
      </c>
      <c r="AF32" s="104">
        <f t="shared" si="15"/>
        <v>5712</v>
      </c>
      <c r="AG32" s="83">
        <v>48355</v>
      </c>
      <c r="AH32" s="104">
        <f t="shared" ref="AH32" si="515">(+AG32-+AG31)*48</f>
        <v>0</v>
      </c>
      <c r="AI32" s="83">
        <v>382171</v>
      </c>
      <c r="AJ32" s="104">
        <f t="shared" ref="AJ32" si="516">(+AI32-+AI31)*48</f>
        <v>2880</v>
      </c>
      <c r="AK32" s="83">
        <v>102371</v>
      </c>
      <c r="AL32" s="104">
        <f t="shared" ref="AL32" si="517">(+AK32-+AK31)*48</f>
        <v>0</v>
      </c>
      <c r="AM32" s="83">
        <v>541668</v>
      </c>
      <c r="AN32" s="104">
        <f t="shared" ref="AN32" si="518">(+AM32-+AM31)*48</f>
        <v>5520</v>
      </c>
      <c r="AO32" s="83">
        <v>868808</v>
      </c>
      <c r="AP32" s="104">
        <f t="shared" ref="AP32" si="519">(+AO32-+AO31)*48</f>
        <v>6864</v>
      </c>
      <c r="AQ32" s="83">
        <v>63038</v>
      </c>
      <c r="AR32" s="104">
        <f t="shared" ref="AR32" si="520">(+AQ32-+AQ31)*48</f>
        <v>2256</v>
      </c>
      <c r="AS32" s="83">
        <v>2204</v>
      </c>
      <c r="AT32" s="104">
        <f t="shared" ref="AT32" si="521">(+AS32-+AS31)*48</f>
        <v>0</v>
      </c>
      <c r="AU32" s="78">
        <v>918</v>
      </c>
      <c r="AV32" s="104">
        <f t="shared" ref="AV32" si="522">(+AU32-+AU31)*48</f>
        <v>0</v>
      </c>
      <c r="AW32" s="78">
        <v>3075</v>
      </c>
      <c r="AX32" s="104">
        <f t="shared" ref="AX32" si="523">(+AW32-+AW31)*48</f>
        <v>0</v>
      </c>
      <c r="AY32" s="83">
        <v>290246</v>
      </c>
      <c r="AZ32" s="104">
        <f t="shared" ref="AZ32" si="524">(+AY32-+AY31)*48</f>
        <v>3168</v>
      </c>
      <c r="BA32" s="78">
        <v>160167</v>
      </c>
      <c r="BB32" s="104">
        <f t="shared" ref="BB32" si="525">(+BA32-+BA31)*48</f>
        <v>0</v>
      </c>
      <c r="BC32" s="83">
        <v>198683</v>
      </c>
      <c r="BD32" s="104">
        <f t="shared" ref="BD32" si="526">(+BC32-+BC31)*48</f>
        <v>2208</v>
      </c>
      <c r="BE32" s="78">
        <v>5335</v>
      </c>
      <c r="BF32" s="104">
        <f t="shared" ref="BF32" si="527">(+BE32-+BE31)*48</f>
        <v>0</v>
      </c>
      <c r="BH32" s="105">
        <f t="shared" si="0"/>
        <v>84460.848000000042</v>
      </c>
      <c r="BI32" s="105">
        <f t="shared" si="1"/>
        <v>49852.800000000003</v>
      </c>
    </row>
    <row r="33" spans="1:61" s="36" customFormat="1" ht="39.950000000000003" customHeight="1">
      <c r="A33" s="145">
        <v>43976</v>
      </c>
      <c r="B33" s="35"/>
      <c r="C33" s="78">
        <v>5270970</v>
      </c>
      <c r="D33" s="104">
        <f t="shared" ref="D33" si="528">(+C33-+C32)*48</f>
        <v>69408</v>
      </c>
      <c r="E33" s="38">
        <f t="shared" si="3"/>
        <v>41644.799999999996</v>
      </c>
      <c r="F33" s="104">
        <f t="shared" si="4"/>
        <v>27763.200000000001</v>
      </c>
      <c r="G33" s="78">
        <v>271590</v>
      </c>
      <c r="H33" s="38">
        <f t="shared" si="5"/>
        <v>960</v>
      </c>
      <c r="I33" s="78">
        <v>64105</v>
      </c>
      <c r="J33" s="104">
        <f t="shared" si="5"/>
        <v>7824</v>
      </c>
      <c r="K33" s="78">
        <v>254139</v>
      </c>
      <c r="L33" s="104">
        <f t="shared" ref="L33" si="529">(+K33-+K32)*48</f>
        <v>0</v>
      </c>
      <c r="M33" s="78">
        <v>24362</v>
      </c>
      <c r="N33" s="104">
        <f t="shared" ref="N33" si="530">(+M33-+M32)*48</f>
        <v>0</v>
      </c>
      <c r="O33" s="78">
        <v>199385</v>
      </c>
      <c r="P33" s="104">
        <f t="shared" ref="P33" si="531">(+O33-+O32)*48</f>
        <v>8016</v>
      </c>
      <c r="Q33" s="78">
        <v>428718</v>
      </c>
      <c r="R33" s="104">
        <f t="shared" ref="R33" si="532">(+Q33-+Q32)*48</f>
        <v>0</v>
      </c>
      <c r="S33" s="78">
        <v>678918</v>
      </c>
      <c r="T33" s="104">
        <f t="shared" ref="T33" si="533">(+S33-+S32)*48</f>
        <v>4560</v>
      </c>
      <c r="U33" s="78">
        <v>92353.096999999994</v>
      </c>
      <c r="V33" s="104">
        <f t="shared" ref="V33" si="534">(+U33-+U32)*48</f>
        <v>1002.9599999994971</v>
      </c>
      <c r="W33" s="78">
        <v>76434</v>
      </c>
      <c r="X33" s="104">
        <f t="shared" ref="X33" si="535">(+W33-+W32)*48</f>
        <v>0</v>
      </c>
      <c r="Y33" s="78">
        <v>1466829</v>
      </c>
      <c r="Z33" s="104">
        <f t="shared" ref="Z33" si="536">(+Y33-+Y32)*48</f>
        <v>1488</v>
      </c>
      <c r="AA33" s="78">
        <v>13166</v>
      </c>
      <c r="AB33" s="104">
        <f t="shared" ref="AB33" si="537">(+AA33-+AA32)*48</f>
        <v>0</v>
      </c>
      <c r="AC33" s="78">
        <v>420285</v>
      </c>
      <c r="AD33" s="104">
        <f t="shared" si="15"/>
        <v>4464</v>
      </c>
      <c r="AE33" s="78">
        <v>496036</v>
      </c>
      <c r="AF33" s="104">
        <f t="shared" si="15"/>
        <v>5568</v>
      </c>
      <c r="AG33" s="78">
        <v>48355</v>
      </c>
      <c r="AH33" s="104">
        <f t="shared" ref="AH33" si="538">(+AG33-+AG32)*48</f>
        <v>0</v>
      </c>
      <c r="AI33" s="78">
        <v>382228</v>
      </c>
      <c r="AJ33" s="104">
        <f t="shared" ref="AJ33" si="539">(+AI33-+AI32)*48</f>
        <v>2736</v>
      </c>
      <c r="AK33" s="78">
        <v>102371</v>
      </c>
      <c r="AL33" s="104">
        <f t="shared" ref="AL33" si="540">(+AK33-+AK32)*48</f>
        <v>0</v>
      </c>
      <c r="AM33" s="78">
        <v>541774</v>
      </c>
      <c r="AN33" s="104">
        <f t="shared" ref="AN33" si="541">(+AM33-+AM32)*48</f>
        <v>5088</v>
      </c>
      <c r="AO33" s="78">
        <v>868948</v>
      </c>
      <c r="AP33" s="104">
        <f t="shared" ref="AP33" si="542">(+AO33-+AO32)*48</f>
        <v>6720</v>
      </c>
      <c r="AQ33" s="78">
        <v>63066</v>
      </c>
      <c r="AR33" s="104">
        <f t="shared" ref="AR33" si="543">(+AQ33-+AQ32)*48</f>
        <v>1344</v>
      </c>
      <c r="AS33" s="78">
        <v>2204</v>
      </c>
      <c r="AT33" s="104">
        <f t="shared" ref="AT33" si="544">(+AS33-+AS32)*48</f>
        <v>0</v>
      </c>
      <c r="AU33" s="78">
        <v>918</v>
      </c>
      <c r="AV33" s="104">
        <f t="shared" ref="AV33" si="545">(+AU33-+AU32)*48</f>
        <v>0</v>
      </c>
      <c r="AW33" s="78">
        <v>3075</v>
      </c>
      <c r="AX33" s="104">
        <f t="shared" ref="AX33" si="546">(+AW33-+AW32)*48</f>
        <v>0</v>
      </c>
      <c r="AY33" s="78">
        <v>290306</v>
      </c>
      <c r="AZ33" s="104">
        <f t="shared" ref="AZ33" si="547">(+AY33-+AY32)*48</f>
        <v>2880</v>
      </c>
      <c r="BA33" s="78">
        <v>160167</v>
      </c>
      <c r="BB33" s="104">
        <f t="shared" ref="BB33" si="548">(+BA33-+BA32)*48</f>
        <v>0</v>
      </c>
      <c r="BC33" s="78">
        <v>198725</v>
      </c>
      <c r="BD33" s="104">
        <f t="shared" ref="BD33" si="549">(+BC33-+BC32)*48</f>
        <v>2016</v>
      </c>
      <c r="BE33" s="78">
        <v>5335</v>
      </c>
      <c r="BF33" s="104">
        <f t="shared" ref="BF33" si="550">(+BE33-+BE32)*48</f>
        <v>0</v>
      </c>
      <c r="BH33" s="105">
        <f t="shared" si="0"/>
        <v>78263.759999999485</v>
      </c>
      <c r="BI33" s="105">
        <f t="shared" si="1"/>
        <v>45811.199999999997</v>
      </c>
    </row>
    <row r="34" spans="1:61" s="36" customFormat="1" ht="39.950000000000003" customHeight="1">
      <c r="A34" s="145">
        <v>43977</v>
      </c>
      <c r="B34" s="35"/>
      <c r="C34" s="78">
        <v>5272802</v>
      </c>
      <c r="D34" s="104">
        <f t="shared" ref="D34" si="551">(+C34-+C33)*48</f>
        <v>87936</v>
      </c>
      <c r="E34" s="38">
        <f t="shared" si="3"/>
        <v>52761.599999999999</v>
      </c>
      <c r="F34" s="104">
        <f t="shared" si="4"/>
        <v>35174.400000000001</v>
      </c>
      <c r="G34" s="78">
        <v>271613</v>
      </c>
      <c r="H34" s="38">
        <f t="shared" si="5"/>
        <v>1104</v>
      </c>
      <c r="I34" s="78">
        <v>64259</v>
      </c>
      <c r="J34" s="104">
        <f t="shared" si="5"/>
        <v>7392</v>
      </c>
      <c r="K34" s="78">
        <v>254139</v>
      </c>
      <c r="L34" s="104">
        <f t="shared" ref="L34" si="552">(+K34-+K33)*48</f>
        <v>0</v>
      </c>
      <c r="M34" s="78">
        <v>24362</v>
      </c>
      <c r="N34" s="104">
        <f t="shared" ref="N34" si="553">(+M34-+M33)*48</f>
        <v>0</v>
      </c>
      <c r="O34" s="78">
        <v>199513</v>
      </c>
      <c r="P34" s="104">
        <f t="shared" ref="P34" si="554">(+O34-+O33)*48</f>
        <v>6144</v>
      </c>
      <c r="Q34" s="78">
        <v>428721</v>
      </c>
      <c r="R34" s="104">
        <f t="shared" ref="R34" si="555">(+Q34-+Q33)*48</f>
        <v>144</v>
      </c>
      <c r="S34" s="78">
        <v>679014</v>
      </c>
      <c r="T34" s="104">
        <f t="shared" ref="T34" si="556">(+S34-+S33)*48</f>
        <v>4608</v>
      </c>
      <c r="U34" s="78">
        <v>92371.024000000005</v>
      </c>
      <c r="V34" s="104">
        <f t="shared" ref="V34" si="557">(+U34-+U33)*48</f>
        <v>860.4960000005085</v>
      </c>
      <c r="W34" s="78">
        <v>76434</v>
      </c>
      <c r="X34" s="104">
        <f t="shared" ref="X34" si="558">(+W34-+W33)*48</f>
        <v>0</v>
      </c>
      <c r="Y34" s="78">
        <v>1466866</v>
      </c>
      <c r="Z34" s="104">
        <f t="shared" ref="Z34" si="559">(+Y34-+Y33)*48</f>
        <v>1776</v>
      </c>
      <c r="AA34" s="78">
        <v>13166</v>
      </c>
      <c r="AB34" s="104">
        <f t="shared" ref="AB34" si="560">(+AA34-+AA33)*48</f>
        <v>0</v>
      </c>
      <c r="AC34" s="78">
        <v>420380</v>
      </c>
      <c r="AD34" s="104">
        <f t="shared" si="15"/>
        <v>4560</v>
      </c>
      <c r="AE34" s="78">
        <v>496152</v>
      </c>
      <c r="AF34" s="104">
        <f t="shared" si="15"/>
        <v>5568</v>
      </c>
      <c r="AG34" s="78">
        <v>48355</v>
      </c>
      <c r="AH34" s="104">
        <f t="shared" ref="AH34" si="561">(+AG34-+AG33)*48</f>
        <v>0</v>
      </c>
      <c r="AI34" s="78">
        <v>382279</v>
      </c>
      <c r="AJ34" s="104">
        <f t="shared" ref="AJ34" si="562">(+AI34-+AI33)*48</f>
        <v>2448</v>
      </c>
      <c r="AK34" s="78">
        <v>102371</v>
      </c>
      <c r="AL34" s="104">
        <f t="shared" ref="AL34" si="563">(+AK34-+AK33)*48</f>
        <v>0</v>
      </c>
      <c r="AM34" s="78">
        <v>541889</v>
      </c>
      <c r="AN34" s="104">
        <f t="shared" ref="AN34" si="564">(+AM34-+AM33)*48</f>
        <v>5520</v>
      </c>
      <c r="AO34" s="78">
        <v>869092</v>
      </c>
      <c r="AP34" s="104">
        <f t="shared" ref="AP34" si="565">(+AO34-+AO33)*48</f>
        <v>6912</v>
      </c>
      <c r="AQ34" s="78">
        <v>63100</v>
      </c>
      <c r="AR34" s="104">
        <f t="shared" ref="AR34" si="566">(+AQ34-+AQ33)*48</f>
        <v>1632</v>
      </c>
      <c r="AS34" s="78">
        <v>2204</v>
      </c>
      <c r="AT34" s="104">
        <f t="shared" ref="AT34" si="567">(+AS34-+AS33)*48</f>
        <v>0</v>
      </c>
      <c r="AU34" s="78">
        <v>918</v>
      </c>
      <c r="AV34" s="104">
        <f t="shared" ref="AV34" si="568">(+AU34-+AU33)*48</f>
        <v>0</v>
      </c>
      <c r="AW34" s="78">
        <v>3075</v>
      </c>
      <c r="AX34" s="104">
        <f t="shared" ref="AX34" si="569">(+AW34-+AW33)*48</f>
        <v>0</v>
      </c>
      <c r="AY34" s="78">
        <v>290371</v>
      </c>
      <c r="AZ34" s="104">
        <f t="shared" ref="AZ34" si="570">(+AY34-+AY33)*48</f>
        <v>3120</v>
      </c>
      <c r="BA34" s="78">
        <v>160167</v>
      </c>
      <c r="BB34" s="104">
        <f t="shared" ref="BB34" si="571">(+BA34-+BA33)*48</f>
        <v>0</v>
      </c>
      <c r="BC34" s="78">
        <v>198769</v>
      </c>
      <c r="BD34" s="104">
        <f t="shared" ref="BD34" si="572">(+BC34-+BC33)*48</f>
        <v>2112</v>
      </c>
      <c r="BE34" s="78">
        <v>5335</v>
      </c>
      <c r="BF34" s="104">
        <f t="shared" ref="BF34" si="573">(+BE34-+BE33)*48</f>
        <v>0</v>
      </c>
      <c r="BH34" s="105">
        <f t="shared" si="0"/>
        <v>87366.096000000514</v>
      </c>
      <c r="BI34" s="105">
        <f t="shared" si="1"/>
        <v>54470.400000000001</v>
      </c>
    </row>
    <row r="35" spans="1:61" s="36" customFormat="1" ht="39.950000000000003" customHeight="1">
      <c r="A35" s="145">
        <v>43978</v>
      </c>
      <c r="B35" s="35"/>
      <c r="C35" s="78">
        <v>5274288</v>
      </c>
      <c r="D35" s="104">
        <f t="shared" ref="D35" si="574">(+C35-+C34)*48</f>
        <v>71328</v>
      </c>
      <c r="E35" s="38">
        <f t="shared" si="3"/>
        <v>42796.799999999996</v>
      </c>
      <c r="F35" s="104">
        <f t="shared" si="4"/>
        <v>28531.200000000001</v>
      </c>
      <c r="G35" s="78">
        <v>271639</v>
      </c>
      <c r="H35" s="38">
        <f t="shared" si="5"/>
        <v>1248</v>
      </c>
      <c r="I35" s="78">
        <v>64414</v>
      </c>
      <c r="J35" s="104">
        <f t="shared" si="5"/>
        <v>7440</v>
      </c>
      <c r="K35" s="78">
        <v>254139</v>
      </c>
      <c r="L35" s="104">
        <f t="shared" ref="L35" si="575">(+K35-+K34)*48</f>
        <v>0</v>
      </c>
      <c r="M35" s="78">
        <v>24362</v>
      </c>
      <c r="N35" s="104">
        <f t="shared" ref="N35" si="576">(+M35-+M34)*48</f>
        <v>0</v>
      </c>
      <c r="O35" s="78">
        <v>199646</v>
      </c>
      <c r="P35" s="104">
        <f t="shared" ref="P35" si="577">(+O35-+O34)*48</f>
        <v>6384</v>
      </c>
      <c r="Q35" s="78">
        <v>428728</v>
      </c>
      <c r="R35" s="104">
        <f t="shared" ref="R35" si="578">(+Q35-+Q34)*48</f>
        <v>336</v>
      </c>
      <c r="S35" s="78">
        <v>679155</v>
      </c>
      <c r="T35" s="104">
        <f t="shared" ref="T35" si="579">(+S35-+S34)*48</f>
        <v>6768</v>
      </c>
      <c r="U35" s="78">
        <v>92390.913</v>
      </c>
      <c r="V35" s="104">
        <f t="shared" ref="V35" si="580">(+U35-+U34)*48</f>
        <v>954.67199999978766</v>
      </c>
      <c r="W35" s="78">
        <v>76453</v>
      </c>
      <c r="X35" s="104">
        <f t="shared" ref="X35" si="581">(+W35-+W34)*48</f>
        <v>912</v>
      </c>
      <c r="Y35" s="78">
        <v>1466958</v>
      </c>
      <c r="Z35" s="104">
        <f t="shared" ref="Z35" si="582">(+Y35-+Y34)*48</f>
        <v>4416</v>
      </c>
      <c r="AA35" s="78">
        <v>13166</v>
      </c>
      <c r="AB35" s="104">
        <f t="shared" ref="AB35" si="583">(+AA35-+AA34)*48</f>
        <v>0</v>
      </c>
      <c r="AC35" s="78">
        <v>420468</v>
      </c>
      <c r="AD35" s="104">
        <f t="shared" si="15"/>
        <v>4224</v>
      </c>
      <c r="AE35" s="78">
        <v>496264</v>
      </c>
      <c r="AF35" s="104">
        <f t="shared" si="15"/>
        <v>5376</v>
      </c>
      <c r="AG35" s="78">
        <v>48355</v>
      </c>
      <c r="AH35" s="104">
        <f t="shared" ref="AH35" si="584">(+AG35-+AG34)*48</f>
        <v>0</v>
      </c>
      <c r="AI35" s="78">
        <v>382331</v>
      </c>
      <c r="AJ35" s="104">
        <f t="shared" ref="AJ35" si="585">(+AI35-+AI34)*48</f>
        <v>2496</v>
      </c>
      <c r="AK35" s="78">
        <v>102371</v>
      </c>
      <c r="AL35" s="104">
        <f t="shared" ref="AL35" si="586">(+AK35-+AK34)*48</f>
        <v>0</v>
      </c>
      <c r="AM35" s="83">
        <f>(AM34+AM36)/2</f>
        <v>541992.5</v>
      </c>
      <c r="AN35" s="104">
        <f t="shared" ref="AN35" si="587">(+AM35-+AM34)*48</f>
        <v>4968</v>
      </c>
      <c r="AO35" s="78">
        <v>869229</v>
      </c>
      <c r="AP35" s="104">
        <f t="shared" ref="AP35" si="588">(+AO35-+AO34)*48</f>
        <v>6576</v>
      </c>
      <c r="AQ35" s="78">
        <v>63136</v>
      </c>
      <c r="AR35" s="104">
        <f t="shared" ref="AR35" si="589">(+AQ35-+AQ34)*48</f>
        <v>1728</v>
      </c>
      <c r="AS35" s="78">
        <v>2204</v>
      </c>
      <c r="AT35" s="104">
        <f t="shared" ref="AT35" si="590">(+AS35-+AS34)*48</f>
        <v>0</v>
      </c>
      <c r="AU35" s="78">
        <v>918</v>
      </c>
      <c r="AV35" s="104">
        <f t="shared" ref="AV35" si="591">(+AU35-+AU34)*48</f>
        <v>0</v>
      </c>
      <c r="AW35" s="78">
        <v>3075</v>
      </c>
      <c r="AX35" s="104">
        <f t="shared" ref="AX35" si="592">(+AW35-+AW34)*48</f>
        <v>0</v>
      </c>
      <c r="AY35" s="78">
        <v>290431</v>
      </c>
      <c r="AZ35" s="104">
        <f t="shared" ref="AZ35" si="593">(+AY35-+AY34)*48</f>
        <v>2880</v>
      </c>
      <c r="BA35" s="78">
        <v>160167</v>
      </c>
      <c r="BB35" s="104">
        <f t="shared" ref="BB35" si="594">(+BA35-+BA34)*48</f>
        <v>0</v>
      </c>
      <c r="BC35" s="78">
        <v>198812</v>
      </c>
      <c r="BD35" s="104">
        <f t="shared" ref="BD35" si="595">(+BC35-+BC34)*48</f>
        <v>2064</v>
      </c>
      <c r="BE35" s="78">
        <v>5335</v>
      </c>
      <c r="BF35" s="104">
        <f t="shared" ref="BF35" si="596">(+BE35-+BE34)*48</f>
        <v>0</v>
      </c>
      <c r="BH35" s="105">
        <f t="shared" si="0"/>
        <v>83351.471999999776</v>
      </c>
      <c r="BI35" s="105">
        <f t="shared" si="1"/>
        <v>46747.199999999997</v>
      </c>
    </row>
    <row r="36" spans="1:61" s="36" customFormat="1" ht="39.950000000000003" customHeight="1">
      <c r="A36" s="145">
        <v>43979</v>
      </c>
      <c r="B36" s="35"/>
      <c r="C36" s="83">
        <v>5276200</v>
      </c>
      <c r="D36" s="104">
        <f t="shared" ref="D36" si="597">(+C36-+C35)*48</f>
        <v>91776</v>
      </c>
      <c r="E36" s="38">
        <f t="shared" si="3"/>
        <v>55065.599999999999</v>
      </c>
      <c r="F36" s="104">
        <f t="shared" si="4"/>
        <v>36710.400000000001</v>
      </c>
      <c r="G36" s="83">
        <v>271665</v>
      </c>
      <c r="H36" s="38">
        <f t="shared" si="5"/>
        <v>1248</v>
      </c>
      <c r="I36" s="83">
        <v>64565</v>
      </c>
      <c r="J36" s="104">
        <f t="shared" si="5"/>
        <v>7248</v>
      </c>
      <c r="K36" s="83">
        <v>254139</v>
      </c>
      <c r="L36" s="104">
        <f t="shared" ref="L36" si="598">(+K36-+K35)*48</f>
        <v>0</v>
      </c>
      <c r="M36" s="83">
        <v>24362</v>
      </c>
      <c r="N36" s="104">
        <f t="shared" ref="N36" si="599">(+M36-+M35)*48</f>
        <v>0</v>
      </c>
      <c r="O36" s="83">
        <v>199776</v>
      </c>
      <c r="P36" s="104">
        <f t="shared" ref="P36" si="600">(+O36-+O35)*48</f>
        <v>6240</v>
      </c>
      <c r="Q36" s="83">
        <v>428742</v>
      </c>
      <c r="R36" s="104">
        <f t="shared" ref="R36" si="601">(+Q36-+Q35)*48</f>
        <v>672</v>
      </c>
      <c r="S36" s="83">
        <v>679279</v>
      </c>
      <c r="T36" s="104">
        <f t="shared" ref="T36" si="602">(+S36-+S35)*48</f>
        <v>5952</v>
      </c>
      <c r="U36" s="83">
        <v>92409.721000000005</v>
      </c>
      <c r="V36" s="104">
        <f t="shared" ref="V36" si="603">(+U36-+U35)*48</f>
        <v>902.78400000021793</v>
      </c>
      <c r="W36" s="83">
        <v>76471</v>
      </c>
      <c r="X36" s="104">
        <f t="shared" ref="X36" si="604">(+W36-+W35)*48</f>
        <v>864</v>
      </c>
      <c r="Y36" s="83">
        <v>1467115</v>
      </c>
      <c r="Z36" s="104">
        <f t="shared" ref="Z36" si="605">(+Y36-+Y35)*48</f>
        <v>7536</v>
      </c>
      <c r="AA36" s="83">
        <v>13166</v>
      </c>
      <c r="AB36" s="104">
        <f t="shared" ref="AB36" si="606">(+AA36-+AA35)*48</f>
        <v>0</v>
      </c>
      <c r="AC36" s="83">
        <v>420554</v>
      </c>
      <c r="AD36" s="104">
        <f t="shared" si="15"/>
        <v>4128</v>
      </c>
      <c r="AE36" s="83">
        <v>496377</v>
      </c>
      <c r="AF36" s="104">
        <f t="shared" si="15"/>
        <v>5424</v>
      </c>
      <c r="AG36" s="83">
        <v>48355</v>
      </c>
      <c r="AH36" s="104">
        <f t="shared" ref="AH36:AH38" si="607">(+AG36-+AG35)*48</f>
        <v>0</v>
      </c>
      <c r="AI36" s="83">
        <v>382376</v>
      </c>
      <c r="AJ36" s="104">
        <f t="shared" ref="AJ36:AJ38" si="608">(+AI36-+AI35)*48</f>
        <v>2160</v>
      </c>
      <c r="AK36" s="83">
        <v>102371</v>
      </c>
      <c r="AL36" s="104">
        <f t="shared" ref="AL36:AL38" si="609">(+AK36-+AK35)*48</f>
        <v>0</v>
      </c>
      <c r="AM36" s="83">
        <v>542096</v>
      </c>
      <c r="AN36" s="104">
        <f t="shared" ref="AN36:AN38" si="610">(+AM36-+AM35)*48</f>
        <v>4968</v>
      </c>
      <c r="AO36" s="83">
        <v>869366</v>
      </c>
      <c r="AP36" s="104">
        <f t="shared" ref="AP36:AP38" si="611">(+AO36-+AO35)*48</f>
        <v>6576</v>
      </c>
      <c r="AQ36" s="83">
        <v>63165</v>
      </c>
      <c r="AR36" s="104">
        <f t="shared" ref="Z36:AR39" si="612">(+AQ36-+AQ35)*48</f>
        <v>1392</v>
      </c>
      <c r="AS36" s="83">
        <v>2204</v>
      </c>
      <c r="AT36" s="104">
        <f t="shared" ref="AT36:AT38" si="613">(+AS36-+AS35)*48</f>
        <v>0</v>
      </c>
      <c r="AU36" s="78">
        <v>918</v>
      </c>
      <c r="AV36" s="104">
        <f t="shared" ref="AV36:AV38" si="614">(+AU36-+AU35)*48</f>
        <v>0</v>
      </c>
      <c r="AW36" s="78">
        <v>3075</v>
      </c>
      <c r="AX36" s="104">
        <f t="shared" ref="AX36:AX38" si="615">(+AW36-+AW35)*48</f>
        <v>0</v>
      </c>
      <c r="AY36" s="83">
        <v>290461</v>
      </c>
      <c r="AZ36" s="104">
        <f t="shared" ref="AZ36:AZ38" si="616">(+AY36-+AY35)*48</f>
        <v>1440</v>
      </c>
      <c r="BA36" s="78">
        <v>160167</v>
      </c>
      <c r="BB36" s="104">
        <f t="shared" ref="BB36:BB38" si="617">(+BA36-+BA35)*48</f>
        <v>0</v>
      </c>
      <c r="BC36" s="83">
        <v>198853</v>
      </c>
      <c r="BD36" s="104">
        <f t="shared" ref="BD36:BD38" si="618">(+BC36-+BC35)*48</f>
        <v>1968</v>
      </c>
      <c r="BE36" s="78">
        <v>5335</v>
      </c>
      <c r="BF36" s="104">
        <f t="shared" ref="AT36:BF39" si="619">(+BE36-+BE35)*48</f>
        <v>0</v>
      </c>
      <c r="BH36" s="105">
        <f t="shared" si="0"/>
        <v>97440.384000000224</v>
      </c>
      <c r="BI36" s="105">
        <f t="shared" si="1"/>
        <v>53054.400000000001</v>
      </c>
    </row>
    <row r="37" spans="1:61" s="36" customFormat="1" ht="39.950000000000003" customHeight="1">
      <c r="A37" s="145">
        <v>43980</v>
      </c>
      <c r="B37" s="35"/>
      <c r="C37" s="83">
        <v>5277634</v>
      </c>
      <c r="D37" s="104">
        <f t="shared" ref="D37:D38" si="620">(+C37-+C36)*48</f>
        <v>68832</v>
      </c>
      <c r="E37" s="38">
        <f t="shared" si="3"/>
        <v>41299.199999999997</v>
      </c>
      <c r="F37" s="104">
        <f t="shared" ref="F37:F38" si="621">D37*0.4</f>
        <v>27532.800000000003</v>
      </c>
      <c r="G37" s="83">
        <v>271690</v>
      </c>
      <c r="H37" s="38">
        <f t="shared" si="5"/>
        <v>1200</v>
      </c>
      <c r="I37" s="83">
        <v>64726</v>
      </c>
      <c r="J37" s="104">
        <f t="shared" si="5"/>
        <v>7728</v>
      </c>
      <c r="K37" s="83">
        <v>254139</v>
      </c>
      <c r="L37" s="104">
        <f t="shared" ref="L37" si="622">(+K37-+K36)*48</f>
        <v>0</v>
      </c>
      <c r="M37" s="83">
        <v>24362</v>
      </c>
      <c r="N37" s="104">
        <f t="shared" ref="N37" si="623">(+M37-+M36)*48</f>
        <v>0</v>
      </c>
      <c r="O37" s="83">
        <v>199902</v>
      </c>
      <c r="P37" s="104">
        <f t="shared" ref="P37" si="624">(+O37-+O36)*48</f>
        <v>6048</v>
      </c>
      <c r="Q37" s="83">
        <v>428742</v>
      </c>
      <c r="R37" s="104">
        <f t="shared" ref="R37" si="625">(+Q37-+Q36)*48</f>
        <v>0</v>
      </c>
      <c r="S37" s="83">
        <v>679393</v>
      </c>
      <c r="T37" s="104">
        <f t="shared" ref="T37" si="626">(+S37-+S36)*48</f>
        <v>5472</v>
      </c>
      <c r="U37" s="83">
        <v>92427.804999999993</v>
      </c>
      <c r="V37" s="104">
        <f t="shared" ref="V37" si="627">(+U37-+U36)*48</f>
        <v>868.03199999942444</v>
      </c>
      <c r="W37" s="83">
        <v>76487</v>
      </c>
      <c r="X37" s="104">
        <f t="shared" ref="X37" si="628">(+W37-+W36)*48</f>
        <v>768</v>
      </c>
      <c r="Y37" s="83">
        <v>1467266</v>
      </c>
      <c r="Z37" s="104">
        <f t="shared" ref="Z37" si="629">(+Y37-+Y36)*48</f>
        <v>7248</v>
      </c>
      <c r="AA37" s="83">
        <v>13166</v>
      </c>
      <c r="AB37" s="104">
        <f t="shared" ref="AB37" si="630">(+AA37-+AA36)*48</f>
        <v>0</v>
      </c>
      <c r="AC37" s="83">
        <v>420645</v>
      </c>
      <c r="AD37" s="104">
        <f t="shared" si="15"/>
        <v>4368</v>
      </c>
      <c r="AE37" s="83">
        <v>496491</v>
      </c>
      <c r="AF37" s="104">
        <f t="shared" si="15"/>
        <v>5472</v>
      </c>
      <c r="AG37" s="83">
        <v>48355</v>
      </c>
      <c r="AH37" s="104">
        <f t="shared" si="607"/>
        <v>0</v>
      </c>
      <c r="AI37" s="83">
        <v>382423</v>
      </c>
      <c r="AJ37" s="104">
        <f t="shared" si="608"/>
        <v>2256</v>
      </c>
      <c r="AK37" s="83">
        <v>102371</v>
      </c>
      <c r="AL37" s="104">
        <f t="shared" si="609"/>
        <v>0</v>
      </c>
      <c r="AM37" s="83">
        <v>542209</v>
      </c>
      <c r="AN37" s="104">
        <f t="shared" si="610"/>
        <v>5424</v>
      </c>
      <c r="AO37" s="83">
        <v>869508</v>
      </c>
      <c r="AP37" s="104">
        <f t="shared" si="611"/>
        <v>6816</v>
      </c>
      <c r="AQ37" s="83">
        <v>63199</v>
      </c>
      <c r="AR37" s="104">
        <f t="shared" si="612"/>
        <v>1632</v>
      </c>
      <c r="AS37" s="83">
        <v>2204</v>
      </c>
      <c r="AT37" s="104">
        <f t="shared" si="613"/>
        <v>0</v>
      </c>
      <c r="AU37" s="78">
        <v>918</v>
      </c>
      <c r="AV37" s="104">
        <f t="shared" si="614"/>
        <v>0</v>
      </c>
      <c r="AW37" s="78">
        <v>3075</v>
      </c>
      <c r="AX37" s="104">
        <f t="shared" si="615"/>
        <v>0</v>
      </c>
      <c r="AY37" s="83">
        <v>290554</v>
      </c>
      <c r="AZ37" s="104">
        <f t="shared" si="616"/>
        <v>4464</v>
      </c>
      <c r="BA37" s="78">
        <v>160167</v>
      </c>
      <c r="BB37" s="104">
        <f t="shared" si="617"/>
        <v>0</v>
      </c>
      <c r="BC37" s="83">
        <v>198897</v>
      </c>
      <c r="BD37" s="104">
        <f t="shared" si="618"/>
        <v>2112</v>
      </c>
      <c r="BE37" s="78">
        <v>5335</v>
      </c>
      <c r="BF37" s="104">
        <f t="shared" si="619"/>
        <v>0</v>
      </c>
      <c r="BH37" s="105">
        <f t="shared" ref="BH37:BH38" si="631">SUM(E37,J37,P37,H37,L37,R37,T37,V37,X37,N37,AB37,Z37,AD37,AF37,AH37,AL37,AJ37)</f>
        <v>82727.231999999422</v>
      </c>
      <c r="BI37" s="105">
        <f t="shared" ref="BI37:BI38" si="632">SUM(F37,AN37,AP37,AT37,AV37,AX37,AR37,AZ37,BB37,BD37,BF37)</f>
        <v>47980.800000000003</v>
      </c>
    </row>
    <row r="38" spans="1:61" s="36" customFormat="1" ht="39.950000000000003" customHeight="1">
      <c r="A38" s="145">
        <v>43981</v>
      </c>
      <c r="B38" s="35"/>
      <c r="C38" s="78">
        <f>(C37+C39)/2</f>
        <v>5279624</v>
      </c>
      <c r="D38" s="104">
        <f t="shared" si="620"/>
        <v>95520</v>
      </c>
      <c r="E38" s="38">
        <f t="shared" si="3"/>
        <v>57312</v>
      </c>
      <c r="F38" s="104">
        <f t="shared" si="621"/>
        <v>38208</v>
      </c>
      <c r="G38" s="78">
        <f>(G37+G39)/2</f>
        <v>271717.5</v>
      </c>
      <c r="H38" s="38">
        <f t="shared" si="5"/>
        <v>1320</v>
      </c>
      <c r="I38" s="78">
        <f>(I37+I39)/2</f>
        <v>64924</v>
      </c>
      <c r="J38" s="104">
        <f t="shared" si="5"/>
        <v>9504</v>
      </c>
      <c r="K38" s="78">
        <f>(K37+K39)/2</f>
        <v>254139</v>
      </c>
      <c r="L38" s="104">
        <f t="shared" ref="L38:L39" si="633">(+K38-+K37)*48</f>
        <v>0</v>
      </c>
      <c r="M38" s="78">
        <f>(M37+M39)/2</f>
        <v>24362</v>
      </c>
      <c r="N38" s="104">
        <f t="shared" ref="N38:N39" si="634">(+M38-+M37)*48</f>
        <v>0</v>
      </c>
      <c r="O38" s="78">
        <f>(O37+O39)/2</f>
        <v>200096</v>
      </c>
      <c r="P38" s="104">
        <f t="shared" ref="P38:P39" si="635">(+O38-+O37)*48</f>
        <v>9312</v>
      </c>
      <c r="Q38" s="78">
        <f>(Q37+Q39)/2</f>
        <v>428752</v>
      </c>
      <c r="R38" s="104">
        <f t="shared" ref="R38:R39" si="636">(+Q38-+Q37)*48</f>
        <v>480</v>
      </c>
      <c r="S38" s="78">
        <f>(S37+S39)/2</f>
        <v>679542</v>
      </c>
      <c r="T38" s="104">
        <f t="shared" ref="T38:T39" si="637">(+S38-+S37)*48</f>
        <v>7152</v>
      </c>
      <c r="U38" s="78">
        <f>(U37+U39)/2</f>
        <v>92452.406499999997</v>
      </c>
      <c r="V38" s="104">
        <f t="shared" ref="V38:V39" si="638">(+U38-+U37)*48</f>
        <v>1180.8720000002068</v>
      </c>
      <c r="W38" s="78">
        <f>(W37+W39)/2</f>
        <v>76501</v>
      </c>
      <c r="X38" s="104">
        <f t="shared" ref="X38:X39" si="639">(+W38-+W37)*48</f>
        <v>672</v>
      </c>
      <c r="Y38" s="78">
        <f>(Y37+Y39)/2</f>
        <v>1467443.5</v>
      </c>
      <c r="Z38" s="104">
        <f t="shared" ref="Z38" si="640">(+Y38-+Y37)*48</f>
        <v>8520</v>
      </c>
      <c r="AA38" s="78">
        <v>13166</v>
      </c>
      <c r="AB38" s="104">
        <f t="shared" ref="AB38" si="641">(+AA38-+AA37)*48</f>
        <v>0</v>
      </c>
      <c r="AC38" s="78">
        <f>(AC37+AC39)/2</f>
        <v>420752.5</v>
      </c>
      <c r="AD38" s="104">
        <f t="shared" ref="AD38" si="642">(+AC38-+AC37)*48</f>
        <v>5160</v>
      </c>
      <c r="AE38" s="78">
        <f>(AE37+AE39)/2</f>
        <v>496626.5</v>
      </c>
      <c r="AF38" s="104">
        <f t="shared" ref="AF38" si="643">(+AE38-+AE37)*48</f>
        <v>6504</v>
      </c>
      <c r="AG38" s="78">
        <f>(AG37+AG39)/2</f>
        <v>48355</v>
      </c>
      <c r="AH38" s="104">
        <f t="shared" si="607"/>
        <v>0</v>
      </c>
      <c r="AI38" s="78">
        <f>(AI37+AI39)/2</f>
        <v>382493.5</v>
      </c>
      <c r="AJ38" s="104">
        <f t="shared" si="608"/>
        <v>3384</v>
      </c>
      <c r="AK38" s="78">
        <v>102371</v>
      </c>
      <c r="AL38" s="104">
        <f t="shared" si="609"/>
        <v>0</v>
      </c>
      <c r="AM38" s="78">
        <f>(AM37+AM39)/2</f>
        <v>542340.5</v>
      </c>
      <c r="AN38" s="104">
        <f t="shared" si="610"/>
        <v>6312</v>
      </c>
      <c r="AO38" s="78">
        <f>(AO37+AO39)/2</f>
        <v>869675.5</v>
      </c>
      <c r="AP38" s="104">
        <f t="shared" si="611"/>
        <v>8040</v>
      </c>
      <c r="AQ38" s="78">
        <f>(AQ37+AQ39)/2</f>
        <v>63249</v>
      </c>
      <c r="AR38" s="104">
        <f t="shared" si="612"/>
        <v>2400</v>
      </c>
      <c r="AS38" s="78">
        <v>2204</v>
      </c>
      <c r="AT38" s="104">
        <f t="shared" si="613"/>
        <v>0</v>
      </c>
      <c r="AU38" s="78">
        <v>918</v>
      </c>
      <c r="AV38" s="104">
        <f t="shared" si="614"/>
        <v>0</v>
      </c>
      <c r="AW38" s="78">
        <v>3075</v>
      </c>
      <c r="AX38" s="104">
        <f t="shared" si="615"/>
        <v>0</v>
      </c>
      <c r="AY38" s="78">
        <f>(AY37+AY39)/2</f>
        <v>290629</v>
      </c>
      <c r="AZ38" s="104">
        <f t="shared" si="616"/>
        <v>3600</v>
      </c>
      <c r="BA38" s="78">
        <v>160167</v>
      </c>
      <c r="BB38" s="104">
        <f t="shared" si="617"/>
        <v>0</v>
      </c>
      <c r="BC38" s="78">
        <f>(BC37+BC39)/2</f>
        <v>198949.5</v>
      </c>
      <c r="BD38" s="104">
        <f t="shared" si="618"/>
        <v>2520</v>
      </c>
      <c r="BE38" s="78">
        <v>5335</v>
      </c>
      <c r="BF38" s="104">
        <f t="shared" si="619"/>
        <v>0</v>
      </c>
      <c r="BH38" s="105">
        <f t="shared" si="631"/>
        <v>110500.87200000021</v>
      </c>
      <c r="BI38" s="105">
        <f t="shared" si="632"/>
        <v>61080</v>
      </c>
    </row>
    <row r="39" spans="1:61" s="36" customFormat="1" ht="39.950000000000003" customHeight="1">
      <c r="A39" s="145">
        <v>43982</v>
      </c>
      <c r="B39" s="35"/>
      <c r="C39" s="77">
        <v>5281614</v>
      </c>
      <c r="D39" s="104">
        <f t="shared" ref="D39" si="644">(+C39-+C38)*48</f>
        <v>95520</v>
      </c>
      <c r="E39" s="38">
        <f t="shared" ref="E39" si="645">D39*0.6</f>
        <v>57312</v>
      </c>
      <c r="F39" s="104">
        <f t="shared" ref="F39" si="646">D39*0.4</f>
        <v>38208</v>
      </c>
      <c r="G39" s="77">
        <v>271745</v>
      </c>
      <c r="H39" s="104">
        <f t="shared" si="5"/>
        <v>1320</v>
      </c>
      <c r="I39" s="77">
        <v>65122</v>
      </c>
      <c r="J39" s="104">
        <f t="shared" si="5"/>
        <v>9504</v>
      </c>
      <c r="K39" s="77">
        <v>254139</v>
      </c>
      <c r="L39" s="104">
        <f t="shared" si="633"/>
        <v>0</v>
      </c>
      <c r="M39" s="77">
        <v>24362</v>
      </c>
      <c r="N39" s="104">
        <f t="shared" si="634"/>
        <v>0</v>
      </c>
      <c r="O39" s="77">
        <v>200290</v>
      </c>
      <c r="P39" s="104">
        <f t="shared" si="635"/>
        <v>9312</v>
      </c>
      <c r="Q39" s="77">
        <v>428762</v>
      </c>
      <c r="R39" s="104">
        <f t="shared" si="636"/>
        <v>480</v>
      </c>
      <c r="S39" s="77">
        <v>679691</v>
      </c>
      <c r="T39" s="104">
        <f t="shared" si="637"/>
        <v>7152</v>
      </c>
      <c r="U39" s="77">
        <v>92477.008000000002</v>
      </c>
      <c r="V39" s="104">
        <f t="shared" si="638"/>
        <v>1180.8720000002068</v>
      </c>
      <c r="W39" s="77">
        <v>76515</v>
      </c>
      <c r="X39" s="104">
        <f t="shared" si="639"/>
        <v>672</v>
      </c>
      <c r="Y39" s="77">
        <v>1467621</v>
      </c>
      <c r="Z39" s="104">
        <f t="shared" si="612"/>
        <v>8520</v>
      </c>
      <c r="AA39" s="77">
        <v>13166</v>
      </c>
      <c r="AB39" s="104">
        <f t="shared" si="612"/>
        <v>0</v>
      </c>
      <c r="AC39" s="77">
        <v>420860</v>
      </c>
      <c r="AD39" s="104">
        <f t="shared" si="612"/>
        <v>5160</v>
      </c>
      <c r="AE39" s="77">
        <v>496762</v>
      </c>
      <c r="AF39" s="104">
        <f t="shared" si="612"/>
        <v>6504</v>
      </c>
      <c r="AG39" s="77">
        <v>48355</v>
      </c>
      <c r="AH39" s="104">
        <f t="shared" si="612"/>
        <v>0</v>
      </c>
      <c r="AI39" s="77">
        <v>382564</v>
      </c>
      <c r="AJ39" s="104">
        <f t="shared" si="612"/>
        <v>3384</v>
      </c>
      <c r="AK39" s="77">
        <v>102371</v>
      </c>
      <c r="AL39" s="104">
        <f t="shared" si="612"/>
        <v>0</v>
      </c>
      <c r="AM39" s="77">
        <v>542472</v>
      </c>
      <c r="AN39" s="104">
        <f t="shared" si="612"/>
        <v>6312</v>
      </c>
      <c r="AO39" s="77">
        <v>869843</v>
      </c>
      <c r="AP39" s="104">
        <f t="shared" si="612"/>
        <v>8040</v>
      </c>
      <c r="AQ39" s="77">
        <v>63299</v>
      </c>
      <c r="AR39" s="104">
        <f t="shared" si="612"/>
        <v>2400</v>
      </c>
      <c r="AS39" s="77">
        <v>2204</v>
      </c>
      <c r="AT39" s="104">
        <f t="shared" si="619"/>
        <v>0</v>
      </c>
      <c r="AU39" s="77">
        <v>918</v>
      </c>
      <c r="AV39" s="104">
        <f t="shared" si="619"/>
        <v>0</v>
      </c>
      <c r="AW39" s="77">
        <v>3108</v>
      </c>
      <c r="AX39" s="104">
        <f t="shared" si="619"/>
        <v>1584</v>
      </c>
      <c r="AY39" s="77">
        <v>290704</v>
      </c>
      <c r="AZ39" s="104">
        <f t="shared" si="619"/>
        <v>3600</v>
      </c>
      <c r="BA39" s="77">
        <v>160167</v>
      </c>
      <c r="BB39" s="104">
        <f t="shared" si="619"/>
        <v>0</v>
      </c>
      <c r="BC39" s="77">
        <v>199002</v>
      </c>
      <c r="BD39" s="104">
        <f t="shared" si="619"/>
        <v>2520</v>
      </c>
      <c r="BE39" s="77">
        <v>5335</v>
      </c>
      <c r="BF39" s="104">
        <f t="shared" si="619"/>
        <v>0</v>
      </c>
      <c r="BH39" s="105">
        <f t="shared" ref="BH39" si="647">SUM(E39,J39,P39,H39,L39,R39,T39,V39,X39,N39,AB39,Z39,AD39,AF39,AH39,AL39,AJ39)</f>
        <v>110500.87200000021</v>
      </c>
      <c r="BI39" s="105">
        <f t="shared" ref="BI39" si="648">SUM(F39,AN39,AP39,AT39,AV39,AX39,AR39,AZ39,BB39,BD39,BF39)</f>
        <v>62664</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2" t="s">
        <v>196</v>
      </c>
      <c r="C1" s="262"/>
      <c r="D1" s="262" t="s">
        <v>196</v>
      </c>
      <c r="E1" s="262"/>
      <c r="F1" s="262" t="s">
        <v>196</v>
      </c>
      <c r="G1" s="262"/>
      <c r="H1" s="262" t="s">
        <v>197</v>
      </c>
      <c r="I1" s="262"/>
      <c r="J1" s="259"/>
      <c r="K1" s="259"/>
      <c r="L1" s="262" t="s">
        <v>198</v>
      </c>
      <c r="M1" s="262"/>
      <c r="N1" s="262" t="s">
        <v>198</v>
      </c>
      <c r="O1" s="262"/>
      <c r="P1" s="262" t="s">
        <v>198</v>
      </c>
      <c r="Q1" s="262"/>
      <c r="R1" s="262" t="s">
        <v>198</v>
      </c>
      <c r="S1" s="262"/>
      <c r="T1" s="262" t="s">
        <v>199</v>
      </c>
      <c r="U1" s="262"/>
      <c r="V1" s="270" t="s">
        <v>199</v>
      </c>
      <c r="W1" s="270"/>
      <c r="X1" s="262" t="s">
        <v>199</v>
      </c>
      <c r="Y1" s="262"/>
      <c r="Z1" s="262" t="s">
        <v>199</v>
      </c>
      <c r="AA1" s="262"/>
      <c r="AB1" s="259"/>
      <c r="AC1" s="259"/>
      <c r="AD1" s="262" t="s">
        <v>199</v>
      </c>
      <c r="AE1" s="262"/>
      <c r="AF1" s="262" t="s">
        <v>199</v>
      </c>
      <c r="AG1" s="262"/>
      <c r="AH1" s="262" t="s">
        <v>200</v>
      </c>
      <c r="AI1" s="262"/>
      <c r="AJ1" s="262" t="s">
        <v>200</v>
      </c>
      <c r="AK1" s="262"/>
      <c r="AL1" s="271" t="s">
        <v>200</v>
      </c>
      <c r="AM1" s="271"/>
      <c r="AN1" s="262" t="s">
        <v>200</v>
      </c>
      <c r="AO1" s="262"/>
      <c r="AP1" s="259" t="s">
        <v>200</v>
      </c>
      <c r="AQ1" s="259"/>
      <c r="AR1" s="271" t="s">
        <v>200</v>
      </c>
      <c r="AS1" s="271"/>
      <c r="AT1" s="262" t="s">
        <v>200</v>
      </c>
      <c r="AU1" s="262"/>
      <c r="AV1" s="259"/>
      <c r="AW1" s="259"/>
      <c r="AX1" s="262" t="s">
        <v>200</v>
      </c>
      <c r="AY1" s="262"/>
      <c r="AZ1" s="262" t="s">
        <v>200</v>
      </c>
      <c r="BA1" s="262"/>
      <c r="BB1" s="262" t="s">
        <v>200</v>
      </c>
      <c r="BC1" s="262"/>
      <c r="BD1" s="262" t="s">
        <v>201</v>
      </c>
      <c r="BE1" s="262"/>
      <c r="BF1" s="262" t="s">
        <v>201</v>
      </c>
      <c r="BG1" s="262"/>
      <c r="BH1" s="262" t="s">
        <v>201</v>
      </c>
      <c r="BI1" s="262"/>
      <c r="BJ1" s="262" t="s">
        <v>201</v>
      </c>
      <c r="BK1" s="262"/>
      <c r="BL1" s="262" t="s">
        <v>201</v>
      </c>
      <c r="BM1" s="262"/>
      <c r="BN1" s="262" t="s">
        <v>201</v>
      </c>
      <c r="BO1" s="262"/>
      <c r="BP1" s="262" t="s">
        <v>201</v>
      </c>
      <c r="BQ1" s="262"/>
      <c r="BR1" s="262" t="s">
        <v>201</v>
      </c>
      <c r="BS1" s="262"/>
      <c r="BT1" s="262" t="s">
        <v>201</v>
      </c>
      <c r="BU1" s="262"/>
      <c r="BV1" s="262" t="s">
        <v>201</v>
      </c>
      <c r="BW1" s="262"/>
      <c r="BX1" s="262" t="s">
        <v>201</v>
      </c>
      <c r="BY1" s="262"/>
      <c r="BZ1" s="262" t="s">
        <v>202</v>
      </c>
      <c r="CA1" s="262"/>
      <c r="CB1" s="270" t="s">
        <v>202</v>
      </c>
      <c r="CC1" s="270"/>
      <c r="CD1" s="262" t="s">
        <v>202</v>
      </c>
      <c r="CE1" s="262"/>
      <c r="CF1" s="262" t="s">
        <v>202</v>
      </c>
      <c r="CG1" s="262"/>
      <c r="CH1" s="262" t="s">
        <v>203</v>
      </c>
      <c r="CI1" s="262"/>
      <c r="CJ1" s="262" t="s">
        <v>203</v>
      </c>
      <c r="CK1" s="262"/>
      <c r="CL1" s="262" t="s">
        <v>203</v>
      </c>
      <c r="CM1" s="262"/>
      <c r="CN1" s="262" t="s">
        <v>204</v>
      </c>
      <c r="CO1" s="262"/>
      <c r="CP1" s="262" t="s">
        <v>204</v>
      </c>
      <c r="CQ1" s="262"/>
      <c r="CR1" s="270" t="s">
        <v>204</v>
      </c>
      <c r="CS1" s="270"/>
      <c r="CT1" s="262" t="s">
        <v>204</v>
      </c>
      <c r="CU1" s="262"/>
      <c r="CV1" s="262" t="s">
        <v>204</v>
      </c>
      <c r="CW1" s="262"/>
      <c r="CX1" s="262" t="s">
        <v>204</v>
      </c>
      <c r="CY1" s="262"/>
      <c r="CZ1" s="262" t="s">
        <v>204</v>
      </c>
      <c r="DA1" s="262"/>
      <c r="DB1" s="262" t="s">
        <v>204</v>
      </c>
      <c r="DC1" s="262"/>
      <c r="DD1" s="262" t="s">
        <v>204</v>
      </c>
      <c r="DE1" s="262"/>
      <c r="DF1" s="262" t="s">
        <v>204</v>
      </c>
      <c r="DG1" s="262"/>
      <c r="DH1" s="262" t="s">
        <v>204</v>
      </c>
      <c r="DI1" s="262"/>
      <c r="DJ1" s="259" t="s">
        <v>204</v>
      </c>
      <c r="DK1" s="259"/>
      <c r="DL1" s="262" t="s">
        <v>205</v>
      </c>
      <c r="DM1" s="262"/>
      <c r="DN1" s="262" t="s">
        <v>205</v>
      </c>
      <c r="DO1" s="262"/>
      <c r="DP1" s="262" t="s">
        <v>205</v>
      </c>
      <c r="DQ1" s="262"/>
      <c r="DR1" s="262" t="s">
        <v>205</v>
      </c>
      <c r="DS1" s="262"/>
      <c r="DT1" s="262" t="s">
        <v>205</v>
      </c>
      <c r="DU1" s="262"/>
      <c r="DV1" s="262" t="s">
        <v>205</v>
      </c>
      <c r="DW1" s="262"/>
      <c r="DX1" s="262" t="s">
        <v>206</v>
      </c>
      <c r="DY1" s="262"/>
      <c r="DZ1" s="262" t="s">
        <v>206</v>
      </c>
      <c r="EA1" s="262"/>
      <c r="EB1" s="262" t="s">
        <v>206</v>
      </c>
      <c r="EC1" s="262"/>
      <c r="ED1" s="262" t="s">
        <v>206</v>
      </c>
      <c r="EE1" s="262"/>
      <c r="EF1" s="262" t="s">
        <v>206</v>
      </c>
      <c r="EG1" s="262"/>
      <c r="EH1" s="262" t="s">
        <v>206</v>
      </c>
      <c r="EI1" s="262"/>
      <c r="EJ1" s="262" t="s">
        <v>206</v>
      </c>
      <c r="EK1" s="262"/>
      <c r="EL1" s="262" t="s">
        <v>207</v>
      </c>
      <c r="EM1" s="262"/>
      <c r="EN1" s="262" t="s">
        <v>207</v>
      </c>
      <c r="EO1" s="262"/>
      <c r="EP1" s="262" t="s">
        <v>207</v>
      </c>
      <c r="EQ1" s="262"/>
      <c r="ER1" s="262" t="s">
        <v>208</v>
      </c>
      <c r="ES1" s="262"/>
      <c r="ET1" s="262" t="s">
        <v>208</v>
      </c>
      <c r="EU1" s="262"/>
      <c r="EV1" s="262" t="s">
        <v>208</v>
      </c>
      <c r="EW1" s="262"/>
      <c r="EX1" s="262" t="s">
        <v>209</v>
      </c>
      <c r="EY1" s="262"/>
      <c r="EZ1" s="262" t="s">
        <v>210</v>
      </c>
      <c r="FA1" s="262"/>
      <c r="FB1" s="262" t="s">
        <v>210</v>
      </c>
      <c r="FC1" s="262"/>
      <c r="FD1" s="262" t="s">
        <v>210</v>
      </c>
      <c r="FE1" s="262"/>
      <c r="FF1" s="262" t="s">
        <v>211</v>
      </c>
      <c r="FG1" s="262"/>
      <c r="FH1" s="262" t="s">
        <v>211</v>
      </c>
      <c r="FI1" s="262"/>
      <c r="FJ1" s="262" t="s">
        <v>211</v>
      </c>
      <c r="FK1" s="262"/>
      <c r="FL1" s="259" t="s">
        <v>211</v>
      </c>
      <c r="FM1" s="259"/>
    </row>
    <row r="2" spans="1:169" s="24" customFormat="1" ht="49.5" customHeight="1">
      <c r="B2" s="262" t="s">
        <v>212</v>
      </c>
      <c r="C2" s="262"/>
      <c r="D2" s="262" t="s">
        <v>213</v>
      </c>
      <c r="E2" s="262"/>
      <c r="F2" s="262" t="s">
        <v>212</v>
      </c>
      <c r="G2" s="262"/>
      <c r="H2" s="262" t="s">
        <v>213</v>
      </c>
      <c r="I2" s="262"/>
      <c r="J2" s="262" t="s">
        <v>213</v>
      </c>
      <c r="K2" s="262"/>
      <c r="L2" s="262" t="s">
        <v>212</v>
      </c>
      <c r="M2" s="262"/>
      <c r="N2" s="262" t="s">
        <v>212</v>
      </c>
      <c r="O2" s="262"/>
      <c r="P2" s="262" t="s">
        <v>213</v>
      </c>
      <c r="Q2" s="262"/>
      <c r="R2" s="262" t="s">
        <v>213</v>
      </c>
      <c r="S2" s="262"/>
      <c r="T2" s="262" t="s">
        <v>212</v>
      </c>
      <c r="U2" s="262"/>
      <c r="V2" s="262" t="s">
        <v>213</v>
      </c>
      <c r="W2" s="262"/>
      <c r="X2" s="262" t="s">
        <v>213</v>
      </c>
      <c r="Y2" s="262"/>
      <c r="Z2" s="262" t="s">
        <v>213</v>
      </c>
      <c r="AA2" s="262"/>
      <c r="AB2" s="259" t="s">
        <v>213</v>
      </c>
      <c r="AC2" s="259"/>
      <c r="AD2" s="262" t="s">
        <v>212</v>
      </c>
      <c r="AE2" s="262"/>
      <c r="AF2" s="262" t="s">
        <v>213</v>
      </c>
      <c r="AG2" s="262"/>
      <c r="AH2" s="262" t="s">
        <v>213</v>
      </c>
      <c r="AI2" s="262"/>
      <c r="AJ2" s="262" t="s">
        <v>213</v>
      </c>
      <c r="AK2" s="262"/>
      <c r="AL2" s="262" t="s">
        <v>213</v>
      </c>
      <c r="AM2" s="262"/>
      <c r="AN2" s="262" t="s">
        <v>213</v>
      </c>
      <c r="AO2" s="262"/>
      <c r="AP2" s="259" t="s">
        <v>213</v>
      </c>
      <c r="AQ2" s="259"/>
      <c r="AR2" s="262" t="s">
        <v>213</v>
      </c>
      <c r="AS2" s="262"/>
      <c r="AT2" s="262" t="s">
        <v>213</v>
      </c>
      <c r="AU2" s="262"/>
      <c r="AV2" s="259" t="s">
        <v>213</v>
      </c>
      <c r="AW2" s="259"/>
      <c r="AX2" s="262" t="s">
        <v>213</v>
      </c>
      <c r="AY2" s="262"/>
      <c r="AZ2" s="262" t="s">
        <v>213</v>
      </c>
      <c r="BA2" s="262"/>
      <c r="BB2" s="262" t="s">
        <v>213</v>
      </c>
      <c r="BC2" s="262"/>
      <c r="BD2" s="262" t="s">
        <v>212</v>
      </c>
      <c r="BE2" s="262"/>
      <c r="BF2" s="262" t="s">
        <v>214</v>
      </c>
      <c r="BG2" s="262"/>
      <c r="BH2" s="262" t="s">
        <v>213</v>
      </c>
      <c r="BI2" s="262"/>
      <c r="BJ2" s="262" t="s">
        <v>213</v>
      </c>
      <c r="BK2" s="262"/>
      <c r="BL2" s="262" t="s">
        <v>213</v>
      </c>
      <c r="BM2" s="262"/>
      <c r="BN2" s="262" t="s">
        <v>213</v>
      </c>
      <c r="BO2" s="262"/>
      <c r="BP2" s="262" t="s">
        <v>213</v>
      </c>
      <c r="BQ2" s="262"/>
      <c r="BR2" s="262" t="s">
        <v>213</v>
      </c>
      <c r="BS2" s="262"/>
      <c r="BT2" s="262" t="s">
        <v>213</v>
      </c>
      <c r="BU2" s="262"/>
      <c r="BV2" s="262" t="s">
        <v>213</v>
      </c>
      <c r="BW2" s="262"/>
      <c r="BX2" s="262" t="s">
        <v>213</v>
      </c>
      <c r="BY2" s="262"/>
      <c r="BZ2" s="262" t="s">
        <v>212</v>
      </c>
      <c r="CA2" s="262"/>
      <c r="CB2" s="262" t="s">
        <v>212</v>
      </c>
      <c r="CC2" s="262"/>
      <c r="CD2" s="262" t="s">
        <v>212</v>
      </c>
      <c r="CE2" s="262"/>
      <c r="CF2" s="262" t="s">
        <v>212</v>
      </c>
      <c r="CG2" s="262"/>
      <c r="CH2" s="262" t="s">
        <v>213</v>
      </c>
      <c r="CI2" s="262"/>
      <c r="CJ2" s="262" t="s">
        <v>213</v>
      </c>
      <c r="CK2" s="262"/>
      <c r="CL2" s="262" t="s">
        <v>213</v>
      </c>
      <c r="CM2" s="262"/>
      <c r="CN2" s="262" t="s">
        <v>212</v>
      </c>
      <c r="CO2" s="262"/>
      <c r="CP2" s="262" t="s">
        <v>213</v>
      </c>
      <c r="CQ2" s="262"/>
      <c r="CR2" s="262" t="s">
        <v>213</v>
      </c>
      <c r="CS2" s="262"/>
      <c r="CT2" s="262" t="s">
        <v>213</v>
      </c>
      <c r="CU2" s="262"/>
      <c r="CV2" s="262" t="s">
        <v>213</v>
      </c>
      <c r="CW2" s="262"/>
      <c r="CX2" s="262" t="s">
        <v>213</v>
      </c>
      <c r="CY2" s="262"/>
      <c r="CZ2" s="262" t="s">
        <v>213</v>
      </c>
      <c r="DA2" s="262"/>
      <c r="DB2" s="262" t="s">
        <v>212</v>
      </c>
      <c r="DC2" s="262"/>
      <c r="DD2" s="262" t="s">
        <v>213</v>
      </c>
      <c r="DE2" s="262"/>
      <c r="DF2" s="262" t="s">
        <v>213</v>
      </c>
      <c r="DG2" s="262"/>
      <c r="DH2" s="262" t="s">
        <v>213</v>
      </c>
      <c r="DI2" s="262"/>
      <c r="DJ2" s="259" t="s">
        <v>213</v>
      </c>
      <c r="DK2" s="259"/>
      <c r="DL2" s="262" t="s">
        <v>213</v>
      </c>
      <c r="DM2" s="262"/>
      <c r="DN2" s="262" t="s">
        <v>213</v>
      </c>
      <c r="DO2" s="262"/>
      <c r="DP2" s="262" t="s">
        <v>213</v>
      </c>
      <c r="DQ2" s="262"/>
      <c r="DR2" s="262" t="s">
        <v>213</v>
      </c>
      <c r="DS2" s="262"/>
      <c r="DT2" s="262" t="s">
        <v>213</v>
      </c>
      <c r="DU2" s="262"/>
      <c r="DV2" s="262" t="s">
        <v>213</v>
      </c>
      <c r="DW2" s="262"/>
      <c r="DX2" s="262" t="s">
        <v>213</v>
      </c>
      <c r="DY2" s="262"/>
      <c r="DZ2" s="262" t="s">
        <v>213</v>
      </c>
      <c r="EA2" s="262"/>
      <c r="EB2" s="262" t="s">
        <v>213</v>
      </c>
      <c r="EC2" s="262"/>
      <c r="ED2" s="262" t="s">
        <v>213</v>
      </c>
      <c r="EE2" s="262"/>
      <c r="EF2" s="262" t="s">
        <v>213</v>
      </c>
      <c r="EG2" s="262"/>
      <c r="EH2" s="262" t="s">
        <v>213</v>
      </c>
      <c r="EI2" s="262"/>
      <c r="EJ2" s="262" t="s">
        <v>213</v>
      </c>
      <c r="EK2" s="262"/>
      <c r="EL2" s="262" t="s">
        <v>213</v>
      </c>
      <c r="EM2" s="262"/>
      <c r="EN2" s="262" t="s">
        <v>213</v>
      </c>
      <c r="EO2" s="262"/>
      <c r="EP2" s="262" t="s">
        <v>213</v>
      </c>
      <c r="EQ2" s="262"/>
      <c r="ER2" s="262" t="s">
        <v>213</v>
      </c>
      <c r="ES2" s="262"/>
      <c r="ET2" s="262" t="s">
        <v>213</v>
      </c>
      <c r="EU2" s="262"/>
      <c r="EV2" s="262" t="s">
        <v>213</v>
      </c>
      <c r="EW2" s="262"/>
      <c r="EX2" s="262" t="s">
        <v>213</v>
      </c>
      <c r="EY2" s="262"/>
      <c r="EZ2" s="262" t="s">
        <v>213</v>
      </c>
      <c r="FA2" s="262"/>
      <c r="FB2" s="262" t="s">
        <v>213</v>
      </c>
      <c r="FC2" s="262"/>
      <c r="FD2" s="262" t="s">
        <v>213</v>
      </c>
      <c r="FE2" s="262"/>
      <c r="FF2" s="262" t="s">
        <v>213</v>
      </c>
      <c r="FG2" s="262"/>
      <c r="FH2" s="262" t="s">
        <v>213</v>
      </c>
      <c r="FI2" s="262"/>
      <c r="FJ2" s="262" t="s">
        <v>213</v>
      </c>
      <c r="FK2" s="262"/>
      <c r="FL2" s="259" t="s">
        <v>213</v>
      </c>
      <c r="FM2" s="259"/>
    </row>
    <row r="3" spans="1:169" s="24" customFormat="1" ht="49.5" customHeight="1">
      <c r="B3" s="211" t="s">
        <v>66</v>
      </c>
      <c r="C3" s="212"/>
      <c r="D3" s="211" t="s">
        <v>215</v>
      </c>
      <c r="E3" s="212"/>
      <c r="F3" s="211"/>
      <c r="G3" s="212"/>
      <c r="H3" s="211" t="s">
        <v>215</v>
      </c>
      <c r="I3" s="212"/>
      <c r="J3" s="211" t="s">
        <v>215</v>
      </c>
      <c r="K3" s="212"/>
      <c r="L3" s="211"/>
      <c r="M3" s="212"/>
      <c r="N3" s="211"/>
      <c r="O3" s="212"/>
      <c r="P3" s="211" t="s">
        <v>215</v>
      </c>
      <c r="Q3" s="212"/>
      <c r="R3" s="211" t="s">
        <v>215</v>
      </c>
      <c r="S3" s="212"/>
      <c r="T3" s="211"/>
      <c r="U3" s="212"/>
      <c r="V3" s="211" t="s">
        <v>216</v>
      </c>
      <c r="W3" s="212"/>
      <c r="X3" s="211" t="s">
        <v>216</v>
      </c>
      <c r="Y3" s="212"/>
      <c r="Z3" s="211" t="s">
        <v>216</v>
      </c>
      <c r="AA3" s="212"/>
      <c r="AB3" s="268" t="s">
        <v>216</v>
      </c>
      <c r="AC3" s="269"/>
      <c r="AD3" s="211"/>
      <c r="AE3" s="212"/>
      <c r="AF3" s="211" t="s">
        <v>216</v>
      </c>
      <c r="AG3" s="212"/>
      <c r="AH3" s="211" t="s">
        <v>215</v>
      </c>
      <c r="AI3" s="212"/>
      <c r="AJ3" s="211" t="s">
        <v>215</v>
      </c>
      <c r="AK3" s="212"/>
      <c r="AL3" s="211" t="s">
        <v>215</v>
      </c>
      <c r="AM3" s="212"/>
      <c r="AN3" s="211" t="s">
        <v>215</v>
      </c>
      <c r="AO3" s="212"/>
      <c r="AP3" s="268" t="s">
        <v>215</v>
      </c>
      <c r="AQ3" s="269"/>
      <c r="AR3" s="211" t="s">
        <v>215</v>
      </c>
      <c r="AS3" s="212"/>
      <c r="AT3" s="211" t="s">
        <v>215</v>
      </c>
      <c r="AU3" s="212"/>
      <c r="AV3" s="268" t="s">
        <v>215</v>
      </c>
      <c r="AW3" s="269"/>
      <c r="AX3" s="211" t="s">
        <v>215</v>
      </c>
      <c r="AY3" s="212"/>
      <c r="AZ3" s="211" t="s">
        <v>215</v>
      </c>
      <c r="BA3" s="212"/>
      <c r="BB3" s="211" t="s">
        <v>215</v>
      </c>
      <c r="BC3" s="212"/>
      <c r="BD3" s="211"/>
      <c r="BE3" s="212"/>
      <c r="BF3" s="211"/>
      <c r="BG3" s="212"/>
      <c r="BH3" s="211" t="s">
        <v>215</v>
      </c>
      <c r="BI3" s="212"/>
      <c r="BJ3" s="211" t="s">
        <v>215</v>
      </c>
      <c r="BK3" s="212"/>
      <c r="BL3" s="211" t="s">
        <v>215</v>
      </c>
      <c r="BM3" s="212"/>
      <c r="BN3" s="211" t="s">
        <v>215</v>
      </c>
      <c r="BO3" s="212"/>
      <c r="BP3" s="211" t="s">
        <v>215</v>
      </c>
      <c r="BQ3" s="212"/>
      <c r="BR3" s="211" t="s">
        <v>215</v>
      </c>
      <c r="BS3" s="212"/>
      <c r="BT3" s="211" t="s">
        <v>215</v>
      </c>
      <c r="BU3" s="212"/>
      <c r="BV3" s="211" t="s">
        <v>215</v>
      </c>
      <c r="BW3" s="212"/>
      <c r="BX3" s="211" t="s">
        <v>215</v>
      </c>
      <c r="BY3" s="212"/>
      <c r="BZ3" s="211" t="s">
        <v>65</v>
      </c>
      <c r="CA3" s="212"/>
      <c r="CB3" s="211" t="s">
        <v>65</v>
      </c>
      <c r="CC3" s="212"/>
      <c r="CD3" s="211" t="s">
        <v>65</v>
      </c>
      <c r="CE3" s="212"/>
      <c r="CF3" s="113"/>
      <c r="CG3" s="113"/>
      <c r="CH3" s="211" t="s">
        <v>66</v>
      </c>
      <c r="CI3" s="212"/>
      <c r="CJ3" s="211" t="s">
        <v>66</v>
      </c>
      <c r="CK3" s="212"/>
      <c r="CL3" s="211" t="s">
        <v>215</v>
      </c>
      <c r="CM3" s="212"/>
      <c r="CN3" s="211"/>
      <c r="CO3" s="212"/>
      <c r="CP3" s="211" t="s">
        <v>215</v>
      </c>
      <c r="CQ3" s="212"/>
      <c r="CR3" s="211" t="s">
        <v>215</v>
      </c>
      <c r="CS3" s="212"/>
      <c r="CT3" s="211" t="s">
        <v>215</v>
      </c>
      <c r="CU3" s="212"/>
      <c r="CV3" s="211" t="s">
        <v>215</v>
      </c>
      <c r="CW3" s="212"/>
      <c r="CX3" s="211" t="s">
        <v>215</v>
      </c>
      <c r="CY3" s="212"/>
      <c r="CZ3" s="211" t="s">
        <v>215</v>
      </c>
      <c r="DA3" s="212"/>
      <c r="DB3" s="211" t="s">
        <v>215</v>
      </c>
      <c r="DC3" s="212"/>
      <c r="DD3" s="211" t="s">
        <v>215</v>
      </c>
      <c r="DE3" s="212"/>
      <c r="DF3" s="211" t="s">
        <v>215</v>
      </c>
      <c r="DG3" s="212"/>
      <c r="DH3" s="211" t="s">
        <v>215</v>
      </c>
      <c r="DI3" s="212"/>
      <c r="DJ3" s="268" t="s">
        <v>215</v>
      </c>
      <c r="DK3" s="269"/>
      <c r="DL3" s="211" t="s">
        <v>64</v>
      </c>
      <c r="DM3" s="212"/>
      <c r="DN3" s="211" t="s">
        <v>64</v>
      </c>
      <c r="DO3" s="212"/>
      <c r="DP3" s="211" t="s">
        <v>64</v>
      </c>
      <c r="DQ3" s="212"/>
      <c r="DR3" s="211" t="s">
        <v>64</v>
      </c>
      <c r="DS3" s="212"/>
      <c r="DT3" s="211" t="s">
        <v>64</v>
      </c>
      <c r="DU3" s="212"/>
      <c r="DV3" s="211" t="s">
        <v>217</v>
      </c>
      <c r="DW3" s="212"/>
      <c r="DX3" s="211" t="s">
        <v>64</v>
      </c>
      <c r="DY3" s="212"/>
      <c r="DZ3" s="211" t="s">
        <v>216</v>
      </c>
      <c r="EA3" s="212"/>
      <c r="EB3" s="211" t="s">
        <v>64</v>
      </c>
      <c r="EC3" s="212"/>
      <c r="ED3" s="211" t="s">
        <v>64</v>
      </c>
      <c r="EE3" s="212"/>
      <c r="EF3" s="211" t="s">
        <v>64</v>
      </c>
      <c r="EG3" s="212"/>
      <c r="EH3" s="211" t="s">
        <v>64</v>
      </c>
      <c r="EI3" s="212"/>
      <c r="EJ3" s="211" t="s">
        <v>64</v>
      </c>
      <c r="EK3" s="212"/>
      <c r="EL3" s="211" t="s">
        <v>66</v>
      </c>
      <c r="EM3" s="212"/>
      <c r="EN3" s="211" t="s">
        <v>66</v>
      </c>
      <c r="EO3" s="212"/>
      <c r="EP3" s="211" t="s">
        <v>66</v>
      </c>
      <c r="EQ3" s="212"/>
      <c r="ER3" s="211" t="s">
        <v>66</v>
      </c>
      <c r="ES3" s="212"/>
      <c r="ET3" s="211" t="s">
        <v>66</v>
      </c>
      <c r="EU3" s="212"/>
      <c r="EV3" s="211" t="s">
        <v>66</v>
      </c>
      <c r="EW3" s="212"/>
      <c r="EX3" s="211" t="s">
        <v>66</v>
      </c>
      <c r="EY3" s="212"/>
      <c r="EZ3" s="211" t="s">
        <v>66</v>
      </c>
      <c r="FA3" s="212"/>
      <c r="FB3" s="211" t="s">
        <v>66</v>
      </c>
      <c r="FC3" s="212"/>
      <c r="FD3" s="211" t="s">
        <v>66</v>
      </c>
      <c r="FE3" s="212"/>
      <c r="FF3" s="211" t="s">
        <v>66</v>
      </c>
      <c r="FG3" s="212"/>
      <c r="FH3" s="211" t="s">
        <v>66</v>
      </c>
      <c r="FI3" s="212"/>
      <c r="FJ3" s="211" t="s">
        <v>66</v>
      </c>
      <c r="FK3" s="212"/>
      <c r="FL3" s="268" t="s">
        <v>215</v>
      </c>
      <c r="FM3" s="269"/>
    </row>
    <row r="4" spans="1:169" s="24" customFormat="1" ht="30" customHeight="1">
      <c r="B4" s="211" t="s">
        <v>218</v>
      </c>
      <c r="C4" s="212"/>
      <c r="D4" s="211" t="s">
        <v>218</v>
      </c>
      <c r="E4" s="212"/>
      <c r="F4" s="110"/>
      <c r="G4" s="111"/>
      <c r="H4" s="211" t="s">
        <v>218</v>
      </c>
      <c r="I4" s="212"/>
      <c r="J4" s="211" t="s">
        <v>219</v>
      </c>
      <c r="K4" s="212"/>
      <c r="L4" s="110"/>
      <c r="M4" s="111"/>
      <c r="N4" s="211"/>
      <c r="O4" s="212"/>
      <c r="P4" s="211" t="s">
        <v>220</v>
      </c>
      <c r="Q4" s="212"/>
      <c r="R4" s="211" t="s">
        <v>220</v>
      </c>
      <c r="S4" s="212"/>
      <c r="T4" s="110"/>
      <c r="U4" s="111"/>
      <c r="V4" s="211" t="s">
        <v>220</v>
      </c>
      <c r="W4" s="212"/>
      <c r="X4" s="211" t="s">
        <v>220</v>
      </c>
      <c r="Y4" s="212"/>
      <c r="Z4" s="211" t="s">
        <v>220</v>
      </c>
      <c r="AA4" s="212"/>
      <c r="AB4" s="268" t="s">
        <v>220</v>
      </c>
      <c r="AC4" s="269"/>
      <c r="AD4" s="110"/>
      <c r="AE4" s="111"/>
      <c r="AF4" s="211" t="s">
        <v>220</v>
      </c>
      <c r="AG4" s="212"/>
      <c r="AH4" s="211" t="s">
        <v>220</v>
      </c>
      <c r="AI4" s="212"/>
      <c r="AJ4" s="211" t="s">
        <v>218</v>
      </c>
      <c r="AK4" s="212"/>
      <c r="AL4" s="211" t="s">
        <v>218</v>
      </c>
      <c r="AM4" s="212"/>
      <c r="AN4" s="211" t="s">
        <v>218</v>
      </c>
      <c r="AO4" s="212"/>
      <c r="AP4" s="268" t="s">
        <v>219</v>
      </c>
      <c r="AQ4" s="269"/>
      <c r="AR4" s="211" t="s">
        <v>218</v>
      </c>
      <c r="AS4" s="212"/>
      <c r="AT4" s="211" t="s">
        <v>218</v>
      </c>
      <c r="AU4" s="212"/>
      <c r="AV4" s="268" t="s">
        <v>218</v>
      </c>
      <c r="AW4" s="269"/>
      <c r="AX4" s="211" t="s">
        <v>220</v>
      </c>
      <c r="AY4" s="212"/>
      <c r="AZ4" s="211" t="s">
        <v>218</v>
      </c>
      <c r="BA4" s="212"/>
      <c r="BB4" s="211" t="s">
        <v>218</v>
      </c>
      <c r="BC4" s="212"/>
      <c r="BD4" s="110"/>
      <c r="BE4" s="111"/>
      <c r="BF4" s="110"/>
      <c r="BG4" s="111"/>
      <c r="BH4" s="211" t="s">
        <v>219</v>
      </c>
      <c r="BI4" s="212"/>
      <c r="BJ4" s="211" t="s">
        <v>220</v>
      </c>
      <c r="BK4" s="212"/>
      <c r="BL4" s="211" t="s">
        <v>218</v>
      </c>
      <c r="BM4" s="212"/>
      <c r="BN4" s="211" t="s">
        <v>218</v>
      </c>
      <c r="BO4" s="212"/>
      <c r="BP4" s="211" t="s">
        <v>218</v>
      </c>
      <c r="BQ4" s="212"/>
      <c r="BR4" s="211" t="s">
        <v>218</v>
      </c>
      <c r="BS4" s="212"/>
      <c r="BT4" s="211" t="s">
        <v>218</v>
      </c>
      <c r="BU4" s="212"/>
      <c r="BV4" s="211" t="s">
        <v>218</v>
      </c>
      <c r="BW4" s="212"/>
      <c r="BX4" s="211" t="s">
        <v>218</v>
      </c>
      <c r="BY4" s="212"/>
      <c r="BZ4" s="211" t="s">
        <v>220</v>
      </c>
      <c r="CA4" s="212"/>
      <c r="CB4" s="211" t="s">
        <v>220</v>
      </c>
      <c r="CC4" s="212"/>
      <c r="CD4" s="211" t="s">
        <v>220</v>
      </c>
      <c r="CE4" s="212"/>
      <c r="CF4" s="211" t="s">
        <v>218</v>
      </c>
      <c r="CG4" s="212"/>
      <c r="CH4" s="211" t="s">
        <v>218</v>
      </c>
      <c r="CI4" s="212"/>
      <c r="CJ4" s="211" t="s">
        <v>218</v>
      </c>
      <c r="CK4" s="212"/>
      <c r="CL4" s="211" t="s">
        <v>218</v>
      </c>
      <c r="CM4" s="212"/>
      <c r="CN4" s="110"/>
      <c r="CO4" s="111"/>
      <c r="CP4" s="211" t="s">
        <v>219</v>
      </c>
      <c r="CQ4" s="212"/>
      <c r="CR4" s="211" t="s">
        <v>221</v>
      </c>
      <c r="CS4" s="212"/>
      <c r="CT4" s="211" t="s">
        <v>219</v>
      </c>
      <c r="CU4" s="212"/>
      <c r="CV4" s="211" t="s">
        <v>220</v>
      </c>
      <c r="CW4" s="212"/>
      <c r="CX4" s="211" t="s">
        <v>218</v>
      </c>
      <c r="CY4" s="212"/>
      <c r="CZ4" s="211" t="s">
        <v>218</v>
      </c>
      <c r="DA4" s="212"/>
      <c r="DB4" s="110"/>
      <c r="DC4" s="111"/>
      <c r="DD4" s="211" t="s">
        <v>219</v>
      </c>
      <c r="DE4" s="212"/>
      <c r="DF4" s="211" t="s">
        <v>220</v>
      </c>
      <c r="DG4" s="212"/>
      <c r="DH4" s="211" t="s">
        <v>220</v>
      </c>
      <c r="DI4" s="212"/>
      <c r="DJ4" s="268" t="s">
        <v>219</v>
      </c>
      <c r="DK4" s="269"/>
      <c r="DL4" s="211" t="s">
        <v>218</v>
      </c>
      <c r="DM4" s="212"/>
      <c r="DN4" s="211" t="s">
        <v>218</v>
      </c>
      <c r="DO4" s="212"/>
      <c r="DP4" s="211" t="s">
        <v>218</v>
      </c>
      <c r="DQ4" s="212"/>
      <c r="DR4" s="211" t="s">
        <v>218</v>
      </c>
      <c r="DS4" s="212"/>
      <c r="DT4" s="211" t="s">
        <v>220</v>
      </c>
      <c r="DU4" s="212"/>
      <c r="DV4" s="211" t="s">
        <v>220</v>
      </c>
      <c r="DW4" s="212"/>
      <c r="DX4" s="211" t="s">
        <v>222</v>
      </c>
      <c r="DY4" s="212"/>
      <c r="DZ4" s="211" t="s">
        <v>223</v>
      </c>
      <c r="EA4" s="212"/>
      <c r="EB4" s="211" t="s">
        <v>222</v>
      </c>
      <c r="EC4" s="212"/>
      <c r="ED4" s="211" t="s">
        <v>218</v>
      </c>
      <c r="EE4" s="212"/>
      <c r="EF4" s="211" t="s">
        <v>218</v>
      </c>
      <c r="EG4" s="212"/>
      <c r="EH4" s="211" t="s">
        <v>220</v>
      </c>
      <c r="EI4" s="212"/>
      <c r="EJ4" s="211" t="s">
        <v>220</v>
      </c>
      <c r="EK4" s="212"/>
      <c r="EL4" s="211" t="s">
        <v>218</v>
      </c>
      <c r="EM4" s="212"/>
      <c r="EN4" s="211" t="s">
        <v>218</v>
      </c>
      <c r="EO4" s="212"/>
      <c r="EP4" s="211" t="s">
        <v>218</v>
      </c>
      <c r="EQ4" s="212"/>
      <c r="ER4" s="211" t="s">
        <v>218</v>
      </c>
      <c r="ES4" s="212"/>
      <c r="ET4" s="211" t="s">
        <v>218</v>
      </c>
      <c r="EU4" s="212"/>
      <c r="EV4" s="211" t="s">
        <v>218</v>
      </c>
      <c r="EW4" s="212"/>
      <c r="EX4" s="211" t="s">
        <v>218</v>
      </c>
      <c r="EY4" s="212"/>
      <c r="EZ4" s="211" t="s">
        <v>220</v>
      </c>
      <c r="FA4" s="212"/>
      <c r="FB4" s="211" t="s">
        <v>218</v>
      </c>
      <c r="FC4" s="212"/>
      <c r="FD4" s="211" t="s">
        <v>218</v>
      </c>
      <c r="FE4" s="212"/>
      <c r="FF4" s="211" t="s">
        <v>222</v>
      </c>
      <c r="FG4" s="212"/>
      <c r="FH4" s="211" t="s">
        <v>218</v>
      </c>
      <c r="FI4" s="212"/>
      <c r="FJ4" s="211" t="s">
        <v>222</v>
      </c>
      <c r="FK4" s="212"/>
      <c r="FL4" s="268" t="s">
        <v>218</v>
      </c>
      <c r="FM4" s="269"/>
    </row>
    <row r="5" spans="1:169" s="85" customFormat="1" ht="138.75" customHeight="1">
      <c r="B5" s="265" t="s">
        <v>77</v>
      </c>
      <c r="C5" s="265"/>
      <c r="D5" s="265" t="s">
        <v>224</v>
      </c>
      <c r="E5" s="265"/>
      <c r="F5" s="265" t="s">
        <v>78</v>
      </c>
      <c r="G5" s="265"/>
      <c r="H5" s="265" t="s">
        <v>225</v>
      </c>
      <c r="I5" s="265"/>
      <c r="J5" s="265" t="s">
        <v>226</v>
      </c>
      <c r="K5" s="265"/>
      <c r="L5" s="265" t="s">
        <v>77</v>
      </c>
      <c r="M5" s="265"/>
      <c r="N5" s="265" t="s">
        <v>79</v>
      </c>
      <c r="O5" s="265"/>
      <c r="P5" s="265" t="s">
        <v>227</v>
      </c>
      <c r="Q5" s="265"/>
      <c r="R5" s="265" t="s">
        <v>227</v>
      </c>
      <c r="S5" s="265"/>
      <c r="T5" s="265" t="s">
        <v>67</v>
      </c>
      <c r="U5" s="265"/>
      <c r="V5" s="265" t="s">
        <v>228</v>
      </c>
      <c r="W5" s="265"/>
      <c r="X5" s="265" t="s">
        <v>229</v>
      </c>
      <c r="Y5" s="265"/>
      <c r="Z5" s="265" t="s">
        <v>230</v>
      </c>
      <c r="AA5" s="265"/>
      <c r="AB5" s="266" t="s">
        <v>227</v>
      </c>
      <c r="AC5" s="266"/>
      <c r="AD5" s="265" t="s">
        <v>68</v>
      </c>
      <c r="AE5" s="265"/>
      <c r="AF5" s="265" t="s">
        <v>231</v>
      </c>
      <c r="AG5" s="265"/>
      <c r="AH5" s="265" t="s">
        <v>232</v>
      </c>
      <c r="AI5" s="265"/>
      <c r="AJ5" s="265" t="s">
        <v>233</v>
      </c>
      <c r="AK5" s="265"/>
      <c r="AL5" s="265" t="s">
        <v>225</v>
      </c>
      <c r="AM5" s="265"/>
      <c r="AN5" s="265" t="s">
        <v>234</v>
      </c>
      <c r="AO5" s="265"/>
      <c r="AP5" s="266" t="s">
        <v>235</v>
      </c>
      <c r="AQ5" s="266"/>
      <c r="AR5" s="265" t="s">
        <v>236</v>
      </c>
      <c r="AS5" s="265"/>
      <c r="AT5" s="265" t="s">
        <v>237</v>
      </c>
      <c r="AU5" s="265"/>
      <c r="AV5" s="266" t="s">
        <v>238</v>
      </c>
      <c r="AW5" s="266"/>
      <c r="AX5" s="265" t="s">
        <v>227</v>
      </c>
      <c r="AY5" s="265"/>
      <c r="AZ5" s="265" t="s">
        <v>225</v>
      </c>
      <c r="BA5" s="265"/>
      <c r="BB5" s="265" t="s">
        <v>239</v>
      </c>
      <c r="BC5" s="265"/>
      <c r="BD5" s="265" t="s">
        <v>70</v>
      </c>
      <c r="BE5" s="265"/>
      <c r="BF5" s="265" t="s">
        <v>71</v>
      </c>
      <c r="BG5" s="265"/>
      <c r="BH5" s="265" t="s">
        <v>240</v>
      </c>
      <c r="BI5" s="265"/>
      <c r="BJ5" s="265" t="s">
        <v>241</v>
      </c>
      <c r="BK5" s="265"/>
      <c r="BL5" s="265" t="s">
        <v>242</v>
      </c>
      <c r="BM5" s="265"/>
      <c r="BN5" s="265" t="s">
        <v>243</v>
      </c>
      <c r="BO5" s="265"/>
      <c r="BP5" s="265" t="s">
        <v>244</v>
      </c>
      <c r="BQ5" s="265"/>
      <c r="BR5" s="265" t="s">
        <v>245</v>
      </c>
      <c r="BS5" s="265"/>
      <c r="BT5" s="265" t="s">
        <v>246</v>
      </c>
      <c r="BU5" s="265"/>
      <c r="BV5" s="265" t="s">
        <v>247</v>
      </c>
      <c r="BW5" s="265"/>
      <c r="BX5" s="265" t="s">
        <v>245</v>
      </c>
      <c r="BY5" s="265"/>
      <c r="BZ5" s="265" t="s">
        <v>73</v>
      </c>
      <c r="CA5" s="265"/>
      <c r="CB5" s="265" t="s">
        <v>74</v>
      </c>
      <c r="CC5" s="265"/>
      <c r="CD5" s="265" t="s">
        <v>75</v>
      </c>
      <c r="CE5" s="265"/>
      <c r="CF5" s="265" t="s">
        <v>76</v>
      </c>
      <c r="CG5" s="265"/>
      <c r="CH5" s="265" t="s">
        <v>248</v>
      </c>
      <c r="CI5" s="265"/>
      <c r="CJ5" s="265" t="s">
        <v>248</v>
      </c>
      <c r="CK5" s="265"/>
      <c r="CL5" s="265" t="s">
        <v>249</v>
      </c>
      <c r="CM5" s="265"/>
      <c r="CN5" s="265" t="s">
        <v>69</v>
      </c>
      <c r="CO5" s="265"/>
      <c r="CP5" s="267" t="s">
        <v>250</v>
      </c>
      <c r="CQ5" s="267"/>
      <c r="CR5" s="267" t="s">
        <v>221</v>
      </c>
      <c r="CS5" s="267"/>
      <c r="CT5" s="267" t="s">
        <v>251</v>
      </c>
      <c r="CU5" s="267"/>
      <c r="CV5" s="267" t="s">
        <v>252</v>
      </c>
      <c r="CW5" s="267"/>
      <c r="CX5" s="267" t="s">
        <v>253</v>
      </c>
      <c r="CY5" s="267"/>
      <c r="CZ5" s="267" t="s">
        <v>254</v>
      </c>
      <c r="DA5" s="267"/>
      <c r="DB5" s="265" t="s">
        <v>72</v>
      </c>
      <c r="DC5" s="265"/>
      <c r="DD5" s="265" t="s">
        <v>255</v>
      </c>
      <c r="DE5" s="265"/>
      <c r="DF5" s="265" t="s">
        <v>256</v>
      </c>
      <c r="DG5" s="265"/>
      <c r="DH5" s="265" t="s">
        <v>257</v>
      </c>
      <c r="DI5" s="265"/>
      <c r="DJ5" s="266" t="s">
        <v>255</v>
      </c>
      <c r="DK5" s="266"/>
      <c r="DL5" s="265" t="s">
        <v>258</v>
      </c>
      <c r="DM5" s="265"/>
      <c r="DN5" s="265" t="s">
        <v>258</v>
      </c>
      <c r="DO5" s="265"/>
      <c r="DP5" s="265" t="s">
        <v>259</v>
      </c>
      <c r="DQ5" s="265"/>
      <c r="DR5" s="265" t="s">
        <v>259</v>
      </c>
      <c r="DS5" s="265"/>
      <c r="DT5" s="265" t="s">
        <v>231</v>
      </c>
      <c r="DU5" s="265"/>
      <c r="DV5" s="265" t="s">
        <v>260</v>
      </c>
      <c r="DW5" s="265"/>
      <c r="DX5" s="267" t="s">
        <v>261</v>
      </c>
      <c r="DY5" s="267"/>
      <c r="DZ5" s="265" t="s">
        <v>225</v>
      </c>
      <c r="EA5" s="265"/>
      <c r="EB5" s="267" t="s">
        <v>262</v>
      </c>
      <c r="EC5" s="267"/>
      <c r="ED5" s="267" t="s">
        <v>263</v>
      </c>
      <c r="EE5" s="267"/>
      <c r="EF5" s="267" t="s">
        <v>264</v>
      </c>
      <c r="EG5" s="267"/>
      <c r="EH5" s="267" t="s">
        <v>227</v>
      </c>
      <c r="EI5" s="267"/>
      <c r="EJ5" s="267" t="s">
        <v>265</v>
      </c>
      <c r="EK5" s="267"/>
      <c r="EL5" s="265" t="s">
        <v>266</v>
      </c>
      <c r="EM5" s="265"/>
      <c r="EN5" s="265" t="s">
        <v>267</v>
      </c>
      <c r="EO5" s="265"/>
      <c r="EP5" s="265" t="s">
        <v>268</v>
      </c>
      <c r="EQ5" s="265"/>
      <c r="ER5" s="265" t="s">
        <v>269</v>
      </c>
      <c r="ES5" s="265"/>
      <c r="ET5" s="265" t="s">
        <v>267</v>
      </c>
      <c r="EU5" s="265"/>
      <c r="EV5" s="265" t="s">
        <v>268</v>
      </c>
      <c r="EW5" s="265"/>
      <c r="EX5" s="265" t="s">
        <v>270</v>
      </c>
      <c r="EY5" s="265"/>
      <c r="EZ5" s="265" t="s">
        <v>265</v>
      </c>
      <c r="FA5" s="265"/>
      <c r="FB5" s="265" t="s">
        <v>271</v>
      </c>
      <c r="FC5" s="265"/>
      <c r="FD5" s="265" t="s">
        <v>272</v>
      </c>
      <c r="FE5" s="265"/>
      <c r="FF5" s="265" t="s">
        <v>273</v>
      </c>
      <c r="FG5" s="265"/>
      <c r="FH5" s="265" t="s">
        <v>274</v>
      </c>
      <c r="FI5" s="265"/>
      <c r="FJ5" s="265" t="s">
        <v>275</v>
      </c>
      <c r="FK5" s="265"/>
      <c r="FL5" s="266" t="s">
        <v>276</v>
      </c>
      <c r="FM5" s="266"/>
    </row>
    <row r="6" spans="1:169" s="24" customFormat="1" ht="30" customHeight="1">
      <c r="B6" s="262">
        <v>5065544</v>
      </c>
      <c r="C6" s="262"/>
      <c r="D6" s="211"/>
      <c r="E6" s="212"/>
      <c r="F6" s="262">
        <v>5065541</v>
      </c>
      <c r="G6" s="262"/>
      <c r="H6" s="211"/>
      <c r="I6" s="212"/>
      <c r="J6" s="211"/>
      <c r="K6" s="212"/>
      <c r="L6" s="262">
        <v>5065542</v>
      </c>
      <c r="M6" s="262"/>
      <c r="N6" s="262">
        <v>5065540</v>
      </c>
      <c r="O6" s="262"/>
      <c r="P6" s="211"/>
      <c r="Q6" s="212"/>
      <c r="R6" s="211"/>
      <c r="S6" s="212"/>
      <c r="T6" s="262">
        <v>5065546</v>
      </c>
      <c r="U6" s="262"/>
      <c r="V6" s="211"/>
      <c r="W6" s="212"/>
      <c r="X6" s="211"/>
      <c r="Y6" s="212"/>
      <c r="Z6" s="211"/>
      <c r="AA6" s="212"/>
      <c r="AB6" s="211"/>
      <c r="AC6" s="212"/>
      <c r="AD6" s="262">
        <v>5065547</v>
      </c>
      <c r="AE6" s="262"/>
      <c r="AF6" s="211"/>
      <c r="AG6" s="212"/>
      <c r="AH6" s="263"/>
      <c r="AI6" s="264"/>
      <c r="AJ6" s="263"/>
      <c r="AK6" s="264"/>
      <c r="AL6" s="263"/>
      <c r="AM6" s="264"/>
      <c r="AN6" s="263"/>
      <c r="AO6" s="264"/>
      <c r="AP6" s="263"/>
      <c r="AQ6" s="264"/>
      <c r="AR6" s="263"/>
      <c r="AS6" s="264"/>
      <c r="AT6" s="263"/>
      <c r="AU6" s="264"/>
      <c r="AV6" s="263"/>
      <c r="AW6" s="264"/>
      <c r="AX6" s="263"/>
      <c r="AY6" s="264"/>
      <c r="AZ6" s="263"/>
      <c r="BA6" s="264"/>
      <c r="BB6" s="263"/>
      <c r="BC6" s="264"/>
      <c r="BD6" s="262">
        <v>5065548</v>
      </c>
      <c r="BE6" s="262"/>
      <c r="BF6" s="262">
        <v>5465545</v>
      </c>
      <c r="BG6" s="262"/>
      <c r="BH6" s="211"/>
      <c r="BI6" s="212"/>
      <c r="BJ6" s="211"/>
      <c r="BK6" s="212"/>
      <c r="BL6" s="211"/>
      <c r="BM6" s="212"/>
      <c r="BN6" s="211"/>
      <c r="BO6" s="212"/>
      <c r="BP6" s="211"/>
      <c r="BQ6" s="212"/>
      <c r="BR6" s="211"/>
      <c r="BS6" s="212"/>
      <c r="BT6" s="211"/>
      <c r="BU6" s="212"/>
      <c r="BV6" s="211"/>
      <c r="BW6" s="212"/>
      <c r="BX6" s="211"/>
      <c r="BY6" s="212"/>
      <c r="BZ6" s="262">
        <v>5018351</v>
      </c>
      <c r="CA6" s="262"/>
      <c r="CB6" s="262">
        <v>5018354</v>
      </c>
      <c r="CC6" s="262"/>
      <c r="CD6" s="262">
        <v>5018350</v>
      </c>
      <c r="CE6" s="262"/>
      <c r="CF6" s="262">
        <v>5065543</v>
      </c>
      <c r="CG6" s="262"/>
      <c r="CH6" s="211"/>
      <c r="CI6" s="212"/>
      <c r="CJ6" s="211"/>
      <c r="CK6" s="212"/>
      <c r="CL6" s="211"/>
      <c r="CM6" s="212"/>
      <c r="CN6" s="262">
        <v>5008272</v>
      </c>
      <c r="CO6" s="262"/>
      <c r="CP6" s="211"/>
      <c r="CQ6" s="212"/>
      <c r="CR6" s="211"/>
      <c r="CS6" s="212"/>
      <c r="CT6" s="211"/>
      <c r="CU6" s="212"/>
      <c r="CV6" s="211"/>
      <c r="CW6" s="212"/>
      <c r="CX6" s="211"/>
      <c r="CY6" s="212"/>
      <c r="CZ6" s="211"/>
      <c r="DA6" s="212"/>
      <c r="DB6" s="262">
        <v>5008273</v>
      </c>
      <c r="DC6" s="262"/>
      <c r="DD6" s="211"/>
      <c r="DE6" s="212"/>
      <c r="DF6" s="211"/>
      <c r="DG6" s="212"/>
      <c r="DH6" s="211"/>
      <c r="DI6" s="212"/>
      <c r="DJ6" s="211"/>
      <c r="DK6" s="212"/>
      <c r="DL6" s="211"/>
      <c r="DM6" s="212"/>
      <c r="DN6" s="211"/>
      <c r="DO6" s="212"/>
      <c r="DP6" s="211"/>
      <c r="DQ6" s="212"/>
      <c r="DR6" s="211"/>
      <c r="DS6" s="212"/>
      <c r="DT6" s="211"/>
      <c r="DU6" s="212"/>
      <c r="DV6" s="211"/>
      <c r="DW6" s="212"/>
      <c r="DX6" s="211"/>
      <c r="DY6" s="212"/>
      <c r="DZ6" s="211"/>
      <c r="EA6" s="212"/>
      <c r="EB6" s="211"/>
      <c r="EC6" s="212"/>
      <c r="ED6" s="211"/>
      <c r="EE6" s="212"/>
      <c r="EF6" s="211"/>
      <c r="EG6" s="212"/>
      <c r="EH6" s="211"/>
      <c r="EI6" s="212"/>
      <c r="EJ6" s="211"/>
      <c r="EK6" s="212"/>
      <c r="EL6" s="211"/>
      <c r="EM6" s="212"/>
      <c r="EN6" s="211"/>
      <c r="EO6" s="212"/>
      <c r="EP6" s="211"/>
      <c r="EQ6" s="212"/>
      <c r="ER6" s="211"/>
      <c r="ES6" s="212"/>
      <c r="ET6" s="211"/>
      <c r="EU6" s="212"/>
      <c r="EV6" s="211"/>
      <c r="EW6" s="212"/>
      <c r="EX6" s="211"/>
      <c r="EY6" s="212"/>
      <c r="EZ6" s="211"/>
      <c r="FA6" s="212"/>
      <c r="FB6" s="211"/>
      <c r="FC6" s="212"/>
      <c r="FD6" s="211"/>
      <c r="FE6" s="212"/>
      <c r="FF6" s="211"/>
      <c r="FG6" s="212"/>
      <c r="FH6" s="211"/>
      <c r="FI6" s="212"/>
      <c r="FJ6" s="211"/>
      <c r="FK6" s="212"/>
      <c r="FL6" s="211"/>
      <c r="FM6" s="212"/>
    </row>
    <row r="7" spans="1:169" s="24" customFormat="1" ht="30" customHeight="1">
      <c r="B7" s="250" t="s">
        <v>91</v>
      </c>
      <c r="C7" s="250"/>
      <c r="D7" s="250" t="s">
        <v>91</v>
      </c>
      <c r="E7" s="250"/>
      <c r="F7" s="248" t="s">
        <v>92</v>
      </c>
      <c r="G7" s="248"/>
      <c r="H7" s="249" t="s">
        <v>93</v>
      </c>
      <c r="I7" s="249"/>
      <c r="J7" s="249" t="s">
        <v>93</v>
      </c>
      <c r="K7" s="249"/>
      <c r="L7" s="249" t="s">
        <v>93</v>
      </c>
      <c r="M7" s="249"/>
      <c r="N7" s="251" t="s">
        <v>94</v>
      </c>
      <c r="O7" s="251"/>
      <c r="P7" s="251" t="s">
        <v>94</v>
      </c>
      <c r="Q7" s="251"/>
      <c r="R7" s="251" t="s">
        <v>94</v>
      </c>
      <c r="S7" s="251"/>
      <c r="T7" s="252" t="s">
        <v>81</v>
      </c>
      <c r="U7" s="252"/>
      <c r="V7" s="252" t="s">
        <v>81</v>
      </c>
      <c r="W7" s="252"/>
      <c r="X7" s="252" t="s">
        <v>81</v>
      </c>
      <c r="Y7" s="252"/>
      <c r="Z7" s="252" t="s">
        <v>81</v>
      </c>
      <c r="AA7" s="252"/>
      <c r="AB7" s="252" t="s">
        <v>81</v>
      </c>
      <c r="AC7" s="252"/>
      <c r="AD7" s="254" t="s">
        <v>82</v>
      </c>
      <c r="AE7" s="254"/>
      <c r="AF7" s="254" t="s">
        <v>82</v>
      </c>
      <c r="AG7" s="254"/>
      <c r="AH7" s="261" t="s">
        <v>84</v>
      </c>
      <c r="AI7" s="261"/>
      <c r="AJ7" s="261" t="s">
        <v>84</v>
      </c>
      <c r="AK7" s="261"/>
      <c r="AL7" s="261" t="s">
        <v>84</v>
      </c>
      <c r="AM7" s="261"/>
      <c r="AN7" s="261" t="s">
        <v>84</v>
      </c>
      <c r="AO7" s="261"/>
      <c r="AP7" s="261" t="s">
        <v>84</v>
      </c>
      <c r="AQ7" s="261"/>
      <c r="AR7" s="261" t="s">
        <v>84</v>
      </c>
      <c r="AS7" s="261"/>
      <c r="AT7" s="261" t="s">
        <v>84</v>
      </c>
      <c r="AU7" s="261"/>
      <c r="AV7" s="261" t="s">
        <v>84</v>
      </c>
      <c r="AW7" s="261"/>
      <c r="AX7" s="261" t="s">
        <v>84</v>
      </c>
      <c r="AY7" s="261"/>
      <c r="AZ7" s="261" t="s">
        <v>84</v>
      </c>
      <c r="BA7" s="261"/>
      <c r="BB7" s="261" t="s">
        <v>84</v>
      </c>
      <c r="BC7" s="261"/>
      <c r="BD7" s="261" t="s">
        <v>84</v>
      </c>
      <c r="BE7" s="261"/>
      <c r="BF7" s="256" t="s">
        <v>85</v>
      </c>
      <c r="BG7" s="256"/>
      <c r="BH7" s="256" t="s">
        <v>85</v>
      </c>
      <c r="BI7" s="256"/>
      <c r="BJ7" s="256" t="s">
        <v>85</v>
      </c>
      <c r="BK7" s="256"/>
      <c r="BL7" s="256" t="s">
        <v>85</v>
      </c>
      <c r="BM7" s="256"/>
      <c r="BN7" s="256" t="s">
        <v>85</v>
      </c>
      <c r="BO7" s="256"/>
      <c r="BP7" s="256" t="s">
        <v>85</v>
      </c>
      <c r="BQ7" s="256"/>
      <c r="BR7" s="256" t="s">
        <v>85</v>
      </c>
      <c r="BS7" s="256"/>
      <c r="BT7" s="256" t="s">
        <v>85</v>
      </c>
      <c r="BU7" s="256"/>
      <c r="BV7" s="256" t="s">
        <v>85</v>
      </c>
      <c r="BW7" s="256"/>
      <c r="BX7" s="256" t="s">
        <v>85</v>
      </c>
      <c r="BY7" s="256"/>
      <c r="BZ7" s="257" t="s">
        <v>87</v>
      </c>
      <c r="CA7" s="257"/>
      <c r="CB7" s="258" t="s">
        <v>88</v>
      </c>
      <c r="CC7" s="258"/>
      <c r="CD7" s="259" t="s">
        <v>89</v>
      </c>
      <c r="CE7" s="259"/>
      <c r="CF7" s="260" t="s">
        <v>90</v>
      </c>
      <c r="CG7" s="260"/>
      <c r="CH7" s="260" t="s">
        <v>90</v>
      </c>
      <c r="CI7" s="260"/>
      <c r="CJ7" s="260" t="s">
        <v>90</v>
      </c>
      <c r="CK7" s="260"/>
      <c r="CL7" s="260" t="s">
        <v>90</v>
      </c>
      <c r="CM7" s="260"/>
      <c r="CN7" s="255" t="s">
        <v>83</v>
      </c>
      <c r="CO7" s="255"/>
      <c r="CP7" s="255" t="s">
        <v>83</v>
      </c>
      <c r="CQ7" s="255"/>
      <c r="CR7" s="255" t="s">
        <v>83</v>
      </c>
      <c r="CS7" s="255"/>
      <c r="CT7" s="255" t="s">
        <v>83</v>
      </c>
      <c r="CU7" s="255"/>
      <c r="CV7" s="255" t="s">
        <v>83</v>
      </c>
      <c r="CW7" s="255"/>
      <c r="CX7" s="255" t="s">
        <v>83</v>
      </c>
      <c r="CY7" s="255"/>
      <c r="CZ7" s="255" t="s">
        <v>83</v>
      </c>
      <c r="DA7" s="255"/>
      <c r="DB7" s="253" t="s">
        <v>86</v>
      </c>
      <c r="DC7" s="253"/>
      <c r="DD7" s="253" t="s">
        <v>86</v>
      </c>
      <c r="DE7" s="253"/>
      <c r="DF7" s="253" t="s">
        <v>86</v>
      </c>
      <c r="DG7" s="253"/>
      <c r="DH7" s="253" t="s">
        <v>86</v>
      </c>
      <c r="DI7" s="253"/>
      <c r="DJ7" s="253" t="s">
        <v>86</v>
      </c>
      <c r="DK7" s="253"/>
      <c r="DL7" s="254" t="s">
        <v>82</v>
      </c>
      <c r="DM7" s="254"/>
      <c r="DN7" s="254" t="s">
        <v>82</v>
      </c>
      <c r="DO7" s="254"/>
      <c r="DP7" s="254" t="s">
        <v>82</v>
      </c>
      <c r="DQ7" s="254"/>
      <c r="DR7" s="254" t="s">
        <v>82</v>
      </c>
      <c r="DS7" s="254"/>
      <c r="DT7" s="254" t="s">
        <v>82</v>
      </c>
      <c r="DU7" s="254"/>
      <c r="DV7" s="254" t="s">
        <v>82</v>
      </c>
      <c r="DW7" s="254"/>
      <c r="DX7" s="252" t="s">
        <v>81</v>
      </c>
      <c r="DY7" s="252"/>
      <c r="DZ7" s="252" t="s">
        <v>81</v>
      </c>
      <c r="EA7" s="252"/>
      <c r="EB7" s="252" t="s">
        <v>81</v>
      </c>
      <c r="EC7" s="252"/>
      <c r="ED7" s="252" t="s">
        <v>81</v>
      </c>
      <c r="EE7" s="252"/>
      <c r="EF7" s="252" t="s">
        <v>81</v>
      </c>
      <c r="EG7" s="252"/>
      <c r="EH7" s="252" t="s">
        <v>81</v>
      </c>
      <c r="EI7" s="252"/>
      <c r="EJ7" s="252" t="s">
        <v>81</v>
      </c>
      <c r="EK7" s="252"/>
      <c r="EL7" s="249" t="s">
        <v>93</v>
      </c>
      <c r="EM7" s="249"/>
      <c r="EN7" s="249" t="s">
        <v>93</v>
      </c>
      <c r="EO7" s="249"/>
      <c r="EP7" s="249" t="s">
        <v>93</v>
      </c>
      <c r="EQ7" s="249"/>
      <c r="ER7" s="250" t="s">
        <v>91</v>
      </c>
      <c r="ES7" s="250"/>
      <c r="ET7" s="250" t="s">
        <v>91</v>
      </c>
      <c r="EU7" s="250"/>
      <c r="EV7" s="250" t="s">
        <v>91</v>
      </c>
      <c r="EW7" s="250"/>
      <c r="EX7" s="248" t="s">
        <v>92</v>
      </c>
      <c r="EY7" s="248"/>
      <c r="EZ7" s="251" t="s">
        <v>94</v>
      </c>
      <c r="FA7" s="251"/>
      <c r="FB7" s="251" t="s">
        <v>94</v>
      </c>
      <c r="FC7" s="251"/>
      <c r="FD7" s="251" t="s">
        <v>94</v>
      </c>
      <c r="FE7" s="251"/>
      <c r="FF7" s="248" t="s">
        <v>92</v>
      </c>
      <c r="FG7" s="248"/>
      <c r="FH7" s="248" t="s">
        <v>92</v>
      </c>
      <c r="FI7" s="248"/>
      <c r="FJ7" s="248" t="s">
        <v>92</v>
      </c>
      <c r="FK7" s="248"/>
      <c r="FL7" s="248" t="s">
        <v>92</v>
      </c>
      <c r="FM7" s="248"/>
    </row>
    <row r="8" spans="1:169" s="24" customFormat="1" ht="30" customHeight="1">
      <c r="B8" s="247"/>
      <c r="C8" s="247"/>
      <c r="D8" s="245" t="s">
        <v>277</v>
      </c>
      <c r="E8" s="246"/>
      <c r="F8" s="247"/>
      <c r="G8" s="247"/>
      <c r="H8" s="245" t="s">
        <v>278</v>
      </c>
      <c r="I8" s="246"/>
      <c r="J8" s="245" t="s">
        <v>279</v>
      </c>
      <c r="K8" s="246"/>
      <c r="L8" s="247"/>
      <c r="M8" s="247"/>
      <c r="N8" s="247"/>
      <c r="O8" s="247"/>
      <c r="P8" s="245" t="s">
        <v>280</v>
      </c>
      <c r="Q8" s="246"/>
      <c r="R8" s="245" t="s">
        <v>281</v>
      </c>
      <c r="S8" s="246"/>
      <c r="T8" s="247"/>
      <c r="U8" s="247"/>
      <c r="V8" s="245" t="s">
        <v>282</v>
      </c>
      <c r="W8" s="246"/>
      <c r="X8" s="245" t="s">
        <v>283</v>
      </c>
      <c r="Y8" s="246"/>
      <c r="Z8" s="245" t="s">
        <v>284</v>
      </c>
      <c r="AA8" s="246"/>
      <c r="AB8" s="245" t="s">
        <v>285</v>
      </c>
      <c r="AC8" s="246"/>
      <c r="AD8" s="247"/>
      <c r="AE8" s="247"/>
      <c r="AF8" s="245" t="s">
        <v>286</v>
      </c>
      <c r="AG8" s="246"/>
      <c r="AH8" s="245" t="s">
        <v>287</v>
      </c>
      <c r="AI8" s="246"/>
      <c r="AJ8" s="245" t="s">
        <v>288</v>
      </c>
      <c r="AK8" s="246"/>
      <c r="AL8" s="245" t="s">
        <v>289</v>
      </c>
      <c r="AM8" s="246"/>
      <c r="AN8" s="245" t="s">
        <v>290</v>
      </c>
      <c r="AO8" s="246"/>
      <c r="AP8" s="245" t="s">
        <v>291</v>
      </c>
      <c r="AQ8" s="246"/>
      <c r="AR8" s="245" t="s">
        <v>292</v>
      </c>
      <c r="AS8" s="246"/>
      <c r="AT8" s="245" t="s">
        <v>293</v>
      </c>
      <c r="AU8" s="246"/>
      <c r="AV8" s="245" t="s">
        <v>294</v>
      </c>
      <c r="AW8" s="246"/>
      <c r="AX8" s="245" t="s">
        <v>295</v>
      </c>
      <c r="AY8" s="246"/>
      <c r="AZ8" s="245" t="s">
        <v>296</v>
      </c>
      <c r="BA8" s="246"/>
      <c r="BB8" s="245" t="s">
        <v>297</v>
      </c>
      <c r="BC8" s="246"/>
      <c r="BD8" s="245"/>
      <c r="BE8" s="246"/>
      <c r="BF8" s="247"/>
      <c r="BG8" s="247"/>
      <c r="BH8" s="245" t="s">
        <v>298</v>
      </c>
      <c r="BI8" s="246"/>
      <c r="BJ8" s="245" t="s">
        <v>299</v>
      </c>
      <c r="BK8" s="246"/>
      <c r="BL8" s="245" t="s">
        <v>300</v>
      </c>
      <c r="BM8" s="246"/>
      <c r="BN8" s="245" t="s">
        <v>301</v>
      </c>
      <c r="BO8" s="246"/>
      <c r="BP8" s="245" t="s">
        <v>302</v>
      </c>
      <c r="BQ8" s="246"/>
      <c r="BR8" s="245" t="s">
        <v>303</v>
      </c>
      <c r="BS8" s="246"/>
      <c r="BT8" s="245" t="s">
        <v>304</v>
      </c>
      <c r="BU8" s="246"/>
      <c r="BV8" s="245" t="s">
        <v>305</v>
      </c>
      <c r="BW8" s="246"/>
      <c r="BX8" s="245" t="s">
        <v>306</v>
      </c>
      <c r="BY8" s="246"/>
      <c r="BZ8" s="247"/>
      <c r="CA8" s="247"/>
      <c r="CB8" s="247"/>
      <c r="CC8" s="247"/>
      <c r="CD8" s="247"/>
      <c r="CE8" s="247"/>
      <c r="CF8" s="247"/>
      <c r="CG8" s="247"/>
      <c r="CH8" s="245" t="s">
        <v>307</v>
      </c>
      <c r="CI8" s="246"/>
      <c r="CJ8" s="245" t="s">
        <v>308</v>
      </c>
      <c r="CK8" s="246"/>
      <c r="CL8" s="245" t="s">
        <v>309</v>
      </c>
      <c r="CM8" s="246"/>
      <c r="CN8" s="247"/>
      <c r="CO8" s="247"/>
      <c r="CP8" s="245" t="s">
        <v>310</v>
      </c>
      <c r="CQ8" s="246"/>
      <c r="CR8" s="245" t="s">
        <v>311</v>
      </c>
      <c r="CS8" s="246"/>
      <c r="CT8" s="245" t="s">
        <v>312</v>
      </c>
      <c r="CU8" s="246"/>
      <c r="CV8" s="245" t="s">
        <v>313</v>
      </c>
      <c r="CW8" s="246"/>
      <c r="CX8" s="245" t="s">
        <v>314</v>
      </c>
      <c r="CY8" s="246"/>
      <c r="CZ8" s="245" t="s">
        <v>315</v>
      </c>
      <c r="DA8" s="246"/>
      <c r="DB8" s="247"/>
      <c r="DC8" s="247"/>
      <c r="DD8" s="245" t="s">
        <v>316</v>
      </c>
      <c r="DE8" s="246"/>
      <c r="DF8" s="245" t="s">
        <v>317</v>
      </c>
      <c r="DG8" s="246"/>
      <c r="DH8" s="245" t="s">
        <v>318</v>
      </c>
      <c r="DI8" s="246"/>
      <c r="DJ8" s="245" t="s">
        <v>319</v>
      </c>
      <c r="DK8" s="246"/>
      <c r="DL8" s="245" t="s">
        <v>320</v>
      </c>
      <c r="DM8" s="246"/>
      <c r="DN8" s="245" t="s">
        <v>321</v>
      </c>
      <c r="DO8" s="246"/>
      <c r="DP8" s="245" t="s">
        <v>322</v>
      </c>
      <c r="DQ8" s="246"/>
      <c r="DR8" s="245" t="s">
        <v>323</v>
      </c>
      <c r="DS8" s="246"/>
      <c r="DT8" s="245" t="s">
        <v>324</v>
      </c>
      <c r="DU8" s="246"/>
      <c r="DV8" s="245" t="s">
        <v>325</v>
      </c>
      <c r="DW8" s="246"/>
      <c r="DX8" s="245" t="s">
        <v>326</v>
      </c>
      <c r="DY8" s="246"/>
      <c r="DZ8" s="245" t="s">
        <v>327</v>
      </c>
      <c r="EA8" s="246"/>
      <c r="EB8" s="245" t="s">
        <v>328</v>
      </c>
      <c r="EC8" s="246"/>
      <c r="ED8" s="245" t="s">
        <v>329</v>
      </c>
      <c r="EE8" s="246"/>
      <c r="EF8" s="245" t="s">
        <v>330</v>
      </c>
      <c r="EG8" s="246"/>
      <c r="EH8" s="245" t="s">
        <v>331</v>
      </c>
      <c r="EI8" s="246"/>
      <c r="EJ8" s="245" t="s">
        <v>332</v>
      </c>
      <c r="EK8" s="246"/>
      <c r="EL8" s="245" t="s">
        <v>333</v>
      </c>
      <c r="EM8" s="246"/>
      <c r="EN8" s="245" t="s">
        <v>334</v>
      </c>
      <c r="EO8" s="246"/>
      <c r="EP8" s="245" t="s">
        <v>335</v>
      </c>
      <c r="EQ8" s="246"/>
      <c r="ER8" s="245" t="s">
        <v>336</v>
      </c>
      <c r="ES8" s="246"/>
      <c r="ET8" s="245" t="s">
        <v>337</v>
      </c>
      <c r="EU8" s="246"/>
      <c r="EV8" s="245" t="s">
        <v>338</v>
      </c>
      <c r="EW8" s="246"/>
      <c r="EX8" s="245" t="s">
        <v>339</v>
      </c>
      <c r="EY8" s="246"/>
      <c r="EZ8" s="245" t="s">
        <v>340</v>
      </c>
      <c r="FA8" s="246"/>
      <c r="FB8" s="245" t="s">
        <v>341</v>
      </c>
      <c r="FC8" s="246"/>
      <c r="FD8" s="245" t="s">
        <v>342</v>
      </c>
      <c r="FE8" s="246"/>
      <c r="FF8" s="245" t="s">
        <v>343</v>
      </c>
      <c r="FG8" s="246"/>
      <c r="FH8" s="245" t="s">
        <v>344</v>
      </c>
      <c r="FI8" s="246"/>
      <c r="FJ8" s="245" t="s">
        <v>345</v>
      </c>
      <c r="FK8" s="246"/>
      <c r="FL8" s="245" t="s">
        <v>346</v>
      </c>
      <c r="FM8" s="246"/>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347</v>
      </c>
      <c r="D2" s="273"/>
      <c r="E2" s="273" t="s">
        <v>348</v>
      </c>
      <c r="F2" s="273"/>
      <c r="G2" s="273" t="s">
        <v>349</v>
      </c>
      <c r="H2" s="273"/>
      <c r="I2" s="273" t="s">
        <v>350</v>
      </c>
      <c r="J2" s="273"/>
      <c r="K2" s="273" t="s">
        <v>351</v>
      </c>
      <c r="L2" s="273"/>
      <c r="M2" s="273" t="s">
        <v>352</v>
      </c>
      <c r="N2" s="273"/>
      <c r="O2" s="273" t="s">
        <v>353</v>
      </c>
      <c r="P2" s="273"/>
      <c r="Q2" s="273" t="s">
        <v>354</v>
      </c>
      <c r="R2" s="273"/>
      <c r="S2" s="273" t="s">
        <v>355</v>
      </c>
      <c r="T2" s="273"/>
      <c r="V2" s="273" t="s">
        <v>356</v>
      </c>
      <c r="W2" s="273"/>
      <c r="X2" s="273" t="s">
        <v>357</v>
      </c>
      <c r="Y2" s="273"/>
      <c r="Z2" s="273" t="s">
        <v>358</v>
      </c>
      <c r="AA2" s="273"/>
      <c r="AB2" s="273" t="s">
        <v>359</v>
      </c>
      <c r="AC2" s="273"/>
      <c r="AD2" s="273" t="s">
        <v>360</v>
      </c>
      <c r="AE2" s="273"/>
      <c r="AF2" s="273" t="s">
        <v>361</v>
      </c>
      <c r="AG2" s="273"/>
      <c r="AH2" s="273" t="s">
        <v>362</v>
      </c>
      <c r="AI2" s="273"/>
      <c r="AJ2" s="273" t="s">
        <v>363</v>
      </c>
      <c r="AK2" s="273"/>
      <c r="AL2" s="273" t="s">
        <v>364</v>
      </c>
      <c r="AM2" s="273"/>
      <c r="AO2" s="273" t="s">
        <v>365</v>
      </c>
      <c r="AP2" s="273"/>
      <c r="AQ2" s="273" t="s">
        <v>366</v>
      </c>
      <c r="AR2" s="273"/>
      <c r="AS2" s="273" t="s">
        <v>367</v>
      </c>
      <c r="AT2" s="273"/>
      <c r="AU2" s="273" t="s">
        <v>368</v>
      </c>
      <c r="AV2" s="273"/>
      <c r="AW2" s="273" t="s">
        <v>369</v>
      </c>
      <c r="AX2" s="273"/>
      <c r="AY2" s="273" t="s">
        <v>370</v>
      </c>
      <c r="AZ2" s="273"/>
      <c r="BA2" s="273" t="s">
        <v>371</v>
      </c>
      <c r="BB2" s="273"/>
      <c r="BC2" s="273" t="s">
        <v>372</v>
      </c>
      <c r="BD2" s="273"/>
      <c r="BE2" s="273" t="s">
        <v>373</v>
      </c>
      <c r="BF2" s="273"/>
      <c r="BH2" s="273" t="s">
        <v>103</v>
      </c>
      <c r="BI2" s="273"/>
      <c r="BJ2" s="273" t="s">
        <v>374</v>
      </c>
      <c r="BK2" s="273"/>
      <c r="BL2" s="273" t="s">
        <v>375</v>
      </c>
      <c r="BM2" s="273"/>
      <c r="BN2" s="273" t="s">
        <v>376</v>
      </c>
      <c r="BO2" s="273"/>
      <c r="BP2" s="273" t="s">
        <v>377</v>
      </c>
      <c r="BQ2" s="273"/>
      <c r="BR2" s="273" t="s">
        <v>378</v>
      </c>
      <c r="BS2" s="273"/>
      <c r="BT2" s="273" t="s">
        <v>379</v>
      </c>
      <c r="BU2" s="273"/>
      <c r="BV2" s="273" t="s">
        <v>380</v>
      </c>
      <c r="BW2" s="273"/>
      <c r="BX2" s="273" t="s">
        <v>381</v>
      </c>
      <c r="BY2" s="273"/>
      <c r="BZ2" s="273" t="s">
        <v>382</v>
      </c>
      <c r="CA2" s="273"/>
      <c r="CB2" s="273" t="s">
        <v>383</v>
      </c>
      <c r="CC2" s="273"/>
      <c r="CD2" s="273" t="s">
        <v>384</v>
      </c>
      <c r="CE2" s="273"/>
      <c r="CF2" s="273" t="s">
        <v>385</v>
      </c>
      <c r="CG2" s="273"/>
      <c r="CH2" s="273" t="s">
        <v>386</v>
      </c>
      <c r="CI2" s="273"/>
      <c r="CJ2" s="273" t="s">
        <v>387</v>
      </c>
      <c r="CK2" s="273"/>
      <c r="CL2" s="273" t="s">
        <v>388</v>
      </c>
      <c r="CM2" s="273"/>
      <c r="CN2" s="273" t="s">
        <v>389</v>
      </c>
      <c r="CO2" s="273"/>
      <c r="CP2" s="273" t="s">
        <v>390</v>
      </c>
      <c r="CQ2" s="273"/>
      <c r="CR2" s="273" t="s">
        <v>391</v>
      </c>
      <c r="CS2" s="273"/>
    </row>
    <row r="3" spans="1:97" s="56" customFormat="1" ht="49.5" customHeight="1">
      <c r="A3" s="115"/>
      <c r="B3" s="70"/>
      <c r="C3" s="272"/>
      <c r="D3" s="272"/>
      <c r="E3" s="275" t="s">
        <v>110</v>
      </c>
      <c r="F3" s="275"/>
      <c r="G3" s="272"/>
      <c r="H3" s="272"/>
      <c r="I3" s="276" t="s">
        <v>112</v>
      </c>
      <c r="J3" s="276"/>
      <c r="K3" s="272"/>
      <c r="L3" s="272"/>
      <c r="M3" s="272"/>
      <c r="N3" s="272"/>
      <c r="O3" s="272"/>
      <c r="P3" s="272"/>
      <c r="Q3" s="274" t="s">
        <v>113</v>
      </c>
      <c r="R3" s="274"/>
      <c r="S3" s="272"/>
      <c r="T3" s="272"/>
      <c r="U3" s="55"/>
      <c r="V3" s="274" t="s">
        <v>108</v>
      </c>
      <c r="W3" s="274"/>
      <c r="X3" s="272"/>
      <c r="Y3" s="272"/>
      <c r="Z3" s="272"/>
      <c r="AA3" s="272"/>
      <c r="AB3" s="272"/>
      <c r="AC3" s="272"/>
      <c r="AD3" s="272"/>
      <c r="AE3" s="272"/>
      <c r="AF3" s="272"/>
      <c r="AG3" s="272"/>
      <c r="AH3" s="272"/>
      <c r="AI3" s="272"/>
      <c r="AJ3" s="272"/>
      <c r="AK3" s="272"/>
      <c r="AL3" s="272"/>
      <c r="AM3" s="272"/>
      <c r="AN3" s="55"/>
      <c r="AO3" s="275" t="s">
        <v>111</v>
      </c>
      <c r="AP3" s="275"/>
      <c r="AQ3" s="272"/>
      <c r="AR3" s="272"/>
      <c r="AS3" s="272"/>
      <c r="AT3" s="272"/>
      <c r="AU3" s="272"/>
      <c r="AV3" s="272"/>
      <c r="AW3" s="272"/>
      <c r="AX3" s="272"/>
      <c r="AY3" s="272"/>
      <c r="AZ3" s="272"/>
      <c r="BA3" s="272"/>
      <c r="BB3" s="272"/>
      <c r="BC3" s="272"/>
      <c r="BD3" s="272"/>
      <c r="BE3" s="272"/>
      <c r="BF3" s="272"/>
      <c r="BG3" s="55"/>
      <c r="BH3" s="275" t="s">
        <v>109</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2022-06-04T12:44:24Z</dcterms:modified>
  <cp:category/>
  <cp:contentStatus/>
</cp:coreProperties>
</file>