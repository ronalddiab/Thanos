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5" i="9" l="1"/>
  <c r="R26" i="9"/>
  <c r="R27" i="9"/>
  <c r="R28" i="9"/>
  <c r="R29" i="9"/>
  <c r="R30" i="9"/>
  <c r="R31" i="9"/>
  <c r="R32" i="9"/>
  <c r="Q25" i="9"/>
  <c r="Q26" i="9"/>
  <c r="Q27" i="9"/>
  <c r="Q28" i="9"/>
  <c r="Q29" i="9"/>
  <c r="Q30" i="9"/>
  <c r="Q31" i="9"/>
  <c r="Q32" i="9"/>
  <c r="P25" i="9"/>
  <c r="P26" i="9"/>
  <c r="P27" i="9"/>
  <c r="P28" i="9"/>
  <c r="P29" i="9"/>
  <c r="P30" i="9"/>
  <c r="P31" i="9"/>
  <c r="P32" i="9"/>
  <c r="O25" i="9"/>
  <c r="O26" i="9"/>
  <c r="O27" i="9"/>
  <c r="O28" i="9"/>
  <c r="O29" i="9"/>
  <c r="O30" i="9"/>
  <c r="O31" i="9"/>
  <c r="O32" i="9"/>
  <c r="N25" i="9"/>
  <c r="N26" i="9"/>
  <c r="N27" i="9"/>
  <c r="N28" i="9"/>
  <c r="N29" i="9"/>
  <c r="N30" i="9"/>
  <c r="N31" i="9"/>
  <c r="M25" i="9"/>
  <c r="M26" i="9"/>
  <c r="M27" i="9"/>
  <c r="M28" i="9"/>
  <c r="M29" i="9"/>
  <c r="M30" i="9"/>
  <c r="M31" i="9"/>
  <c r="M32" i="9"/>
  <c r="L25" i="9"/>
  <c r="L26" i="9"/>
  <c r="L27" i="9"/>
  <c r="L28" i="9"/>
  <c r="L29" i="9"/>
  <c r="L30" i="9"/>
  <c r="L31" i="9"/>
  <c r="L32" i="9"/>
  <c r="K25" i="9"/>
  <c r="K26" i="9"/>
  <c r="K27" i="9"/>
  <c r="K28" i="9"/>
  <c r="K29" i="9"/>
  <c r="K30" i="9"/>
  <c r="K31" i="9"/>
  <c r="K32" i="9"/>
  <c r="J25" i="9"/>
  <c r="J26" i="9"/>
  <c r="J27" i="9"/>
  <c r="J28" i="9"/>
  <c r="J29" i="9"/>
  <c r="J30" i="9"/>
  <c r="J31" i="9"/>
  <c r="J32" i="9"/>
  <c r="I25" i="9"/>
  <c r="I26" i="9"/>
  <c r="I27" i="9"/>
  <c r="I28" i="9"/>
  <c r="I29" i="9"/>
  <c r="I30" i="9"/>
  <c r="I31" i="9"/>
  <c r="I32" i="9"/>
  <c r="H25" i="9"/>
  <c r="H26" i="9"/>
  <c r="H27" i="9"/>
  <c r="H28" i="9"/>
  <c r="H29" i="9"/>
  <c r="H30" i="9"/>
  <c r="H31" i="9"/>
  <c r="H32" i="9"/>
  <c r="G25" i="9"/>
  <c r="G26" i="9"/>
  <c r="G27" i="9"/>
  <c r="G28" i="9"/>
  <c r="G29" i="9"/>
  <c r="G30" i="9"/>
  <c r="G31" i="9"/>
  <c r="G32" i="9"/>
  <c r="F25" i="9"/>
  <c r="F26" i="9"/>
  <c r="F27" i="9"/>
  <c r="F28" i="9"/>
  <c r="F29" i="9"/>
  <c r="F30" i="9"/>
  <c r="F31" i="9"/>
  <c r="F32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4" i="9" l="1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<sst xmlns="http://schemas.openxmlformats.org/spreadsheetml/2006/main" count="128" uniqueCount="49">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</sst>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Submetering!R13</f>
        <v>1046.2873240000001</v>
      </c>
      <c r="H13" s="11">
        <v>0.52800000000000002</v>
      </c>
      <c r="I13" s="12">
        <f>Hotel!B18</f>
        <v>98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Submetering!R14</f>
        <v>1157.1998369999999</v>
      </c>
      <c r="H14" s="11">
        <v>0.52800000000000002</v>
      </c>
      <c r="I14" s="12">
        <f>Hotel!B19</f>
        <v>111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945.59541799999988</v>
      </c>
      <c r="H15" s="11">
        <v>0.52800000000000002</v>
      </c>
      <c r="I15" s="12">
        <f>Hotel!B20</f>
        <v>78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64120</v>
      </c>
      <c r="F16" s="11">
        <v>5.0000000000000001E-3</v>
      </c>
      <c r="G16" s="12">
        <f>Submetering!R16</f>
        <v>929.31815499999993</v>
      </c>
      <c r="H16" s="11">
        <v>0.52800000000000002</v>
      </c>
      <c r="I16" s="12">
        <f>Hotel!B21</f>
        <v>58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63590</v>
      </c>
      <c r="F17" s="11">
        <v>5.0000000000000001E-3</v>
      </c>
      <c r="G17" s="12">
        <f>Submetering!R17</f>
        <v>1003.13365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61660</v>
      </c>
      <c r="F18" s="11">
        <v>5.0000000000000001E-3</v>
      </c>
      <c r="G18" s="12">
        <f>Submetering!R18</f>
        <v>1013.354257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62960</v>
      </c>
      <c r="F19" s="11">
        <v>5.0000000000000001E-3</v>
      </c>
      <c r="G19" s="12">
        <f>Submetering!R19</f>
        <v>890.32843199999991</v>
      </c>
      <c r="H19" s="11">
        <v>0.52800000000000002</v>
      </c>
      <c r="I19" s="12">
        <f>Hotel!B24</f>
        <v>61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62530</v>
      </c>
      <c r="F20" s="11">
        <v>5.0000000000000001E-3</v>
      </c>
      <c r="G20" s="12">
        <f>Submetering!R20</f>
        <v>847.17475800000011</v>
      </c>
      <c r="H20" s="11">
        <v>0.52800000000000002</v>
      </c>
      <c r="I20" s="12">
        <f>Hotel!B25</f>
        <v>102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62550</v>
      </c>
      <c r="F21" s="11">
        <v>5.0000000000000001E-3</v>
      </c>
      <c r="G21" s="12">
        <f>Submetering!R21</f>
        <v>953.54477899999995</v>
      </c>
      <c r="H21" s="11">
        <v>0.52800000000000002</v>
      </c>
      <c r="I21" s="12">
        <f>Hotel!B26</f>
        <v>128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66720</v>
      </c>
      <c r="F22" s="11">
        <v>5.0000000000000001E-3</v>
      </c>
      <c r="G22" s="12">
        <f>Submetering!R22</f>
        <v>965.65809100000001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63910</v>
      </c>
      <c r="F23" s="11">
        <v>5.0000000000000001E-3</v>
      </c>
      <c r="G23" s="12">
        <f>Submetering!R23</f>
        <v>952.78769699999998</v>
      </c>
      <c r="H23" s="11">
        <v>0.52800000000000002</v>
      </c>
      <c r="I23" s="12">
        <f>Hotel!B28</f>
        <v>81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Hotel!AV18*0.00378541*100</f>
        <v>1046.2873240000001</v>
      </c>
      <c r="S13" s="4">
        <f>Hotel!B18</f>
        <v>98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Hotel!AV19*0.00378541*100</f>
        <v>1157.1998369999999</v>
      </c>
      <c r="S14" s="4">
        <f>Hotel!B19</f>
        <v>111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Hotel!AV20*0.00378541*100</f>
        <v>945.59541799999988</v>
      </c>
      <c r="S15" s="4">
        <f>Hotel!B20</f>
        <v>78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1010</v>
      </c>
      <c r="F16" s="4">
        <f>Hotel!R21</f>
        <v>14160</v>
      </c>
      <c r="G16" s="4">
        <f>Hotel!S21</f>
        <v>3840</v>
      </c>
      <c r="H16" s="4">
        <f>Hotel!T21</f>
        <v>1690</v>
      </c>
      <c r="I16" s="4">
        <f>Hotel!U21</f>
        <v>3980</v>
      </c>
      <c r="J16" s="4">
        <f>Hotel!V21</f>
        <v>3360</v>
      </c>
      <c r="K16" s="4">
        <f>Hotel!W21</f>
        <v>2340</v>
      </c>
      <c r="L16" s="4">
        <f>Hotel!X21</f>
        <v>4230</v>
      </c>
      <c r="M16" s="4">
        <f>Hotel!Y21</f>
        <v>5620</v>
      </c>
      <c r="N16" s="4">
        <f>Hotel!Z21</f>
        <v>2520</v>
      </c>
      <c r="O16" s="4">
        <f>Hotel!AA21</f>
        <v>2930</v>
      </c>
      <c r="P16" s="4">
        <f>Hotel!AB21</f>
        <v>7630</v>
      </c>
      <c r="Q16" s="4">
        <f>Hotel!AC21</f>
        <v>10810</v>
      </c>
      <c r="R16" s="4">
        <f>Hotel!AV21*0.00378541*100</f>
        <v>929.31815499999993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1010</v>
      </c>
      <c r="F17" s="4">
        <f>Hotel!R22</f>
        <v>14130</v>
      </c>
      <c r="G17" s="4">
        <f>Hotel!S22</f>
        <v>3800</v>
      </c>
      <c r="H17" s="4">
        <f>Hotel!T22</f>
        <v>1690</v>
      </c>
      <c r="I17" s="4">
        <f>Hotel!U22</f>
        <v>3750</v>
      </c>
      <c r="J17" s="4">
        <f>Hotel!V22</f>
        <v>3360</v>
      </c>
      <c r="K17" s="4">
        <f>Hotel!W22</f>
        <v>2360</v>
      </c>
      <c r="L17" s="4">
        <f>Hotel!X22</f>
        <v>4060</v>
      </c>
      <c r="M17" s="4">
        <f>Hotel!Y22</f>
        <v>5870</v>
      </c>
      <c r="N17" s="4">
        <f>Hotel!Z22</f>
        <v>2270</v>
      </c>
      <c r="O17" s="4">
        <f>Hotel!AA22</f>
        <v>2960</v>
      </c>
      <c r="P17" s="4">
        <f>Hotel!AB22</f>
        <v>7780</v>
      </c>
      <c r="Q17" s="4">
        <f>Hotel!AC22</f>
        <v>10550</v>
      </c>
      <c r="R17" s="4">
        <f>Hotel!AV22*0.00378541*100</f>
        <v>1003.13365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980</v>
      </c>
      <c r="F18" s="4">
        <f>Hotel!R23</f>
        <v>13410</v>
      </c>
      <c r="G18" s="4">
        <f>Hotel!S23</f>
        <v>3630</v>
      </c>
      <c r="H18" s="4">
        <f>Hotel!T23</f>
        <v>1650</v>
      </c>
      <c r="I18" s="4">
        <f>Hotel!U23</f>
        <v>3740</v>
      </c>
      <c r="J18" s="4">
        <f>Hotel!V23</f>
        <v>3250</v>
      </c>
      <c r="K18" s="4">
        <f>Hotel!W23</f>
        <v>2310</v>
      </c>
      <c r="L18" s="4">
        <f>Hotel!X23</f>
        <v>5020</v>
      </c>
      <c r="M18" s="4">
        <f>Hotel!Y23</f>
        <v>5050</v>
      </c>
      <c r="N18" s="4">
        <f>Hotel!Z23</f>
        <v>2240</v>
      </c>
      <c r="O18" s="4">
        <f>Hotel!AA23</f>
        <v>2940</v>
      </c>
      <c r="P18" s="4">
        <f>Hotel!AB23</f>
        <v>7560</v>
      </c>
      <c r="Q18" s="4">
        <f>Hotel!AC23</f>
        <v>9880</v>
      </c>
      <c r="R18" s="4">
        <f>Hotel!AV23*0.00378541*100</f>
        <v>1013.354257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1030</v>
      </c>
      <c r="F19" s="4">
        <f>Hotel!R24</f>
        <v>13780</v>
      </c>
      <c r="G19" s="4">
        <f>Hotel!S24</f>
        <v>3670</v>
      </c>
      <c r="H19" s="4">
        <f>Hotel!T24</f>
        <v>1700</v>
      </c>
      <c r="I19" s="4">
        <f>Hotel!U24</f>
        <v>3890</v>
      </c>
      <c r="J19" s="4">
        <f>Hotel!V24</f>
        <v>3410</v>
      </c>
      <c r="K19" s="4">
        <f>Hotel!W24</f>
        <v>2390</v>
      </c>
      <c r="L19" s="4">
        <f>Hotel!X24</f>
        <v>5200</v>
      </c>
      <c r="M19" s="4">
        <f>Hotel!Y24</f>
        <v>5690</v>
      </c>
      <c r="N19" s="4">
        <f>Hotel!Z24</f>
        <v>2440</v>
      </c>
      <c r="O19" s="4">
        <f>Hotel!AA24</f>
        <v>2920</v>
      </c>
      <c r="P19" s="4">
        <f>Hotel!AB24</f>
        <v>7490</v>
      </c>
      <c r="Q19" s="4">
        <f>Hotel!AC24</f>
        <v>9350</v>
      </c>
      <c r="R19" s="4">
        <f>Hotel!AV24*0.00378541*100</f>
        <v>890.32843199999991</v>
      </c>
      <c r="S19" s="4">
        <f>Hotel!B24</f>
        <v>61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1000</v>
      </c>
      <c r="F20" s="4">
        <f>Hotel!R25</f>
        <v>13430</v>
      </c>
      <c r="G20" s="4">
        <f>Hotel!S25</f>
        <v>3610</v>
      </c>
      <c r="H20" s="4">
        <f>Hotel!T25</f>
        <v>1650</v>
      </c>
      <c r="I20" s="4">
        <f>Hotel!U25</f>
        <v>3880</v>
      </c>
      <c r="J20" s="4">
        <f>Hotel!V25</f>
        <v>3390</v>
      </c>
      <c r="K20" s="4">
        <f>Hotel!W25</f>
        <v>2340</v>
      </c>
      <c r="L20" s="4">
        <f>Hotel!X25</f>
        <v>5020</v>
      </c>
      <c r="M20" s="4">
        <f>Hotel!Y25</f>
        <v>5740</v>
      </c>
      <c r="N20" s="4">
        <f>Hotel!Z25</f>
        <v>2530</v>
      </c>
      <c r="O20" s="4">
        <f>Hotel!AA25</f>
        <v>2940</v>
      </c>
      <c r="P20" s="4">
        <f>Hotel!AB25</f>
        <v>7390</v>
      </c>
      <c r="Q20" s="4">
        <f>Hotel!AC25</f>
        <v>9610</v>
      </c>
      <c r="R20" s="4">
        <f>Hotel!AV25*0.00378541*100</f>
        <v>847.17475800000011</v>
      </c>
      <c r="S20" s="4">
        <f>Hotel!B25</f>
        <v>102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980</v>
      </c>
      <c r="F21" s="4">
        <f>Hotel!R26</f>
        <v>14200</v>
      </c>
      <c r="G21" s="4">
        <f>Hotel!S26</f>
        <v>3940</v>
      </c>
      <c r="H21" s="4">
        <f>Hotel!T26</f>
        <v>1630</v>
      </c>
      <c r="I21" s="4">
        <f>Hotel!U26</f>
        <v>3910</v>
      </c>
      <c r="J21" s="4">
        <f>Hotel!V26</f>
        <v>3410</v>
      </c>
      <c r="K21" s="4">
        <f>Hotel!W26</f>
        <v>2300</v>
      </c>
      <c r="L21" s="4">
        <f>Hotel!X26</f>
        <v>4660</v>
      </c>
      <c r="M21" s="4">
        <f>Hotel!Y26</f>
        <v>5680</v>
      </c>
      <c r="N21" s="4">
        <f>Hotel!Z26</f>
        <v>2600</v>
      </c>
      <c r="O21" s="4">
        <f>Hotel!AA26</f>
        <v>2880</v>
      </c>
      <c r="P21" s="4">
        <f>Hotel!AB26</f>
        <v>7410</v>
      </c>
      <c r="Q21" s="4">
        <f>Hotel!AC26</f>
        <v>8950</v>
      </c>
      <c r="R21" s="4">
        <f>Hotel!AV26*0.00378541*100</f>
        <v>953.54477899999995</v>
      </c>
      <c r="S21" s="4">
        <f>Hotel!B26</f>
        <v>128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1020</v>
      </c>
      <c r="F22" s="4">
        <f>Hotel!R27</f>
        <v>16350</v>
      </c>
      <c r="G22" s="4">
        <f>Hotel!S27</f>
        <v>4670</v>
      </c>
      <c r="H22" s="4">
        <f>Hotel!T27</f>
        <v>1710</v>
      </c>
      <c r="I22" s="4">
        <f>Hotel!U27</f>
        <v>3990</v>
      </c>
      <c r="J22" s="4">
        <f>Hotel!V27</f>
        <v>3550</v>
      </c>
      <c r="K22" s="4">
        <f>Hotel!W27</f>
        <v>2380</v>
      </c>
      <c r="L22" s="4">
        <f>Hotel!X27</f>
        <v>4740</v>
      </c>
      <c r="M22" s="4">
        <f>Hotel!Y27</f>
        <v>6090</v>
      </c>
      <c r="N22" s="4">
        <f>Hotel!Z27</f>
        <v>2700</v>
      </c>
      <c r="O22" s="4">
        <f>Hotel!AA27</f>
        <v>2940</v>
      </c>
      <c r="P22" s="4">
        <f>Hotel!AB27</f>
        <v>7550</v>
      </c>
      <c r="Q22" s="4">
        <f>Hotel!AC27</f>
        <v>9030</v>
      </c>
      <c r="R22" s="4">
        <f>Hotel!AV27*0.00378541*100</f>
        <v>965.65809100000001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1000</v>
      </c>
      <c r="F23" s="4">
        <f>Hotel!R28</f>
        <v>15180</v>
      </c>
      <c r="G23" s="4">
        <f>Hotel!S28</f>
        <v>4280</v>
      </c>
      <c r="H23" s="4">
        <f>Hotel!T28</f>
        <v>1680</v>
      </c>
      <c r="I23" s="4">
        <f>Hotel!U28</f>
        <v>3870</v>
      </c>
      <c r="J23" s="4">
        <f>Hotel!V28</f>
        <v>3430</v>
      </c>
      <c r="K23" s="4">
        <f>Hotel!W28</f>
        <v>2370</v>
      </c>
      <c r="L23" s="4">
        <f>Hotel!X28</f>
        <v>4430</v>
      </c>
      <c r="M23" s="4">
        <f>Hotel!Y28</f>
        <v>5960</v>
      </c>
      <c r="N23" s="4">
        <f>Hotel!Z28</f>
        <v>2620</v>
      </c>
      <c r="O23" s="4">
        <f>Hotel!AA28</f>
        <v>2860</v>
      </c>
      <c r="P23" s="4">
        <f>Hotel!AB28</f>
        <v>7490</v>
      </c>
      <c r="Q23" s="4">
        <f>Hotel!AC28</f>
        <v>8740</v>
      </c>
      <c r="R23" s="4">
        <f>Hotel!AV28*0.00378541*100</f>
        <v>952.78769699999998</v>
      </c>
      <c r="S23" s="4">
        <f>Hotel!B28</f>
        <v>81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H1" zoomScale="93" zoomScaleNormal="93" workbookViewId="0">
      <selection activeCell="AM32" sqref="AM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17"/>
        <v>970</v>
      </c>
      <c r="R18" s="37">
        <f t="shared" si="18"/>
        <v>13630</v>
      </c>
      <c r="S18" s="37">
        <f t="shared" si="16"/>
        <v>3730</v>
      </c>
      <c r="T18" s="37">
        <f t="shared" si="19"/>
        <v>1630</v>
      </c>
      <c r="U18" s="37">
        <f t="shared" si="20"/>
        <v>3980</v>
      </c>
      <c r="V18" s="37">
        <f t="shared" si="21"/>
        <v>3450</v>
      </c>
      <c r="W18" s="37">
        <f t="shared" si="22"/>
        <v>2280</v>
      </c>
      <c r="X18" s="37">
        <f t="shared" si="23"/>
        <v>4230</v>
      </c>
      <c r="Y18" s="37">
        <f t="shared" si="24"/>
        <v>5200</v>
      </c>
      <c r="Z18" s="37">
        <f t="shared" si="25"/>
        <v>2510</v>
      </c>
      <c r="AA18" s="37">
        <f t="shared" si="26"/>
        <v>3130</v>
      </c>
      <c r="AB18" s="37">
        <f t="shared" si="27"/>
        <v>7450</v>
      </c>
      <c r="AC18" s="37">
        <f t="shared" si="28"/>
        <v>8400</v>
      </c>
      <c r="AD18" s="35">
        <f t="shared" si="29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0"/>
        <v>302.95000000000005</v>
      </c>
      <c r="AU18" s="47">
        <v>144311</v>
      </c>
      <c r="AV18" s="37">
        <f t="shared" si="31"/>
        <v>2764</v>
      </c>
      <c r="AW18" s="35">
        <f t="shared" si="14"/>
        <v>5.5280000000000005</v>
      </c>
    </row>
    <row r="19" spans="1:49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17"/>
        <v>1000</v>
      </c>
      <c r="R19" s="37">
        <f t="shared" si="18"/>
        <v>14070</v>
      </c>
      <c r="S19" s="37">
        <f t="shared" si="16"/>
        <v>3830</v>
      </c>
      <c r="T19" s="37">
        <f t="shared" si="19"/>
        <v>1680</v>
      </c>
      <c r="U19" s="37">
        <f t="shared" si="20"/>
        <v>3950</v>
      </c>
      <c r="V19" s="37">
        <f t="shared" si="21"/>
        <v>3540</v>
      </c>
      <c r="W19" s="37">
        <f t="shared" si="22"/>
        <v>2340</v>
      </c>
      <c r="X19" s="37">
        <f t="shared" si="23"/>
        <v>4480</v>
      </c>
      <c r="Y19" s="37">
        <f t="shared" si="24"/>
        <v>5650</v>
      </c>
      <c r="Z19" s="37">
        <f t="shared" si="25"/>
        <v>2630</v>
      </c>
      <c r="AA19" s="37">
        <f t="shared" si="26"/>
        <v>3170</v>
      </c>
      <c r="AB19" s="37">
        <f t="shared" si="27"/>
        <v>7780</v>
      </c>
      <c r="AC19" s="37">
        <f t="shared" si="28"/>
        <v>8590</v>
      </c>
      <c r="AD19" s="35">
        <f t="shared" si="29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0"/>
        <v>313.55</v>
      </c>
      <c r="AU19" s="47">
        <v>147368</v>
      </c>
      <c r="AV19" s="37">
        <f t="shared" si="31"/>
        <v>3057</v>
      </c>
      <c r="AW19" s="35">
        <f t="shared" si="14"/>
        <v>6.1139999999999999</v>
      </c>
    </row>
    <row r="20" spans="1:49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17"/>
        <v>1070</v>
      </c>
      <c r="R20" s="37">
        <f t="shared" si="18"/>
        <v>15280</v>
      </c>
      <c r="S20" s="37">
        <f t="shared" si="16"/>
        <v>4160</v>
      </c>
      <c r="T20" s="37">
        <f t="shared" si="19"/>
        <v>1800</v>
      </c>
      <c r="U20" s="37">
        <f t="shared" si="20"/>
        <v>4260</v>
      </c>
      <c r="V20" s="37">
        <f t="shared" si="21"/>
        <v>3700</v>
      </c>
      <c r="W20" s="37">
        <f t="shared" si="22"/>
        <v>2500</v>
      </c>
      <c r="X20" s="37">
        <f t="shared" si="23"/>
        <v>4530</v>
      </c>
      <c r="Y20" s="37">
        <f t="shared" si="24"/>
        <v>6130</v>
      </c>
      <c r="Z20" s="37">
        <f t="shared" si="25"/>
        <v>2820</v>
      </c>
      <c r="AA20" s="37">
        <f t="shared" si="26"/>
        <v>3260</v>
      </c>
      <c r="AB20" s="37">
        <f t="shared" si="27"/>
        <v>8160</v>
      </c>
      <c r="AC20" s="37">
        <f t="shared" si="28"/>
        <v>10510</v>
      </c>
      <c r="AD20" s="35">
        <f t="shared" si="29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0"/>
        <v>340.90000000000003</v>
      </c>
      <c r="AU20" s="47">
        <v>149866</v>
      </c>
      <c r="AV20" s="37">
        <f t="shared" si="31"/>
        <v>2498</v>
      </c>
      <c r="AW20" s="35">
        <f t="shared" si="14"/>
        <v>4.9960000000000004</v>
      </c>
    </row>
    <row r="21" spans="1:49" x14ac:dyDescent="0.25">
      <c r="A21" s="23">
        <v>44423</v>
      </c>
      <c r="B21" s="40">
        <v>58</v>
      </c>
      <c r="C21" s="24">
        <v>6732420</v>
      </c>
      <c r="D21" s="24">
        <v>16558530</v>
      </c>
      <c r="E21" s="24">
        <v>2980930</v>
      </c>
      <c r="F21" s="24">
        <v>3598310</v>
      </c>
      <c r="G21" s="24">
        <v>10674650</v>
      </c>
      <c r="H21" s="24">
        <v>5743700</v>
      </c>
      <c r="I21" s="24">
        <v>5239010</v>
      </c>
      <c r="J21" s="24">
        <v>6174290</v>
      </c>
      <c r="K21" s="24">
        <v>9523250</v>
      </c>
      <c r="L21" s="24">
        <v>4004680</v>
      </c>
      <c r="M21" s="24">
        <v>8107950</v>
      </c>
      <c r="N21" s="24">
        <v>12507740</v>
      </c>
      <c r="O21" s="24">
        <v>17253560</v>
      </c>
      <c r="Q21" s="37">
        <f t="shared" si="17"/>
        <v>1010</v>
      </c>
      <c r="R21" s="37">
        <f t="shared" si="18"/>
        <v>14160</v>
      </c>
      <c r="S21" s="37">
        <f t="shared" si="16"/>
        <v>3840</v>
      </c>
      <c r="T21" s="37">
        <f t="shared" si="19"/>
        <v>1690</v>
      </c>
      <c r="U21" s="37">
        <f t="shared" si="20"/>
        <v>3980</v>
      </c>
      <c r="V21" s="37">
        <f t="shared" si="21"/>
        <v>3360</v>
      </c>
      <c r="W21" s="37">
        <f t="shared" si="22"/>
        <v>2340</v>
      </c>
      <c r="X21" s="37">
        <f t="shared" si="23"/>
        <v>4230</v>
      </c>
      <c r="Y21" s="37">
        <f t="shared" si="24"/>
        <v>5620</v>
      </c>
      <c r="Z21" s="37">
        <f t="shared" si="25"/>
        <v>2520</v>
      </c>
      <c r="AA21" s="37">
        <f t="shared" si="26"/>
        <v>2930</v>
      </c>
      <c r="AB21" s="37">
        <f t="shared" si="27"/>
        <v>7630</v>
      </c>
      <c r="AC21" s="37">
        <f t="shared" si="28"/>
        <v>10810</v>
      </c>
      <c r="AD21" s="35">
        <f t="shared" si="29"/>
        <v>64120</v>
      </c>
      <c r="AF21" s="20">
        <f t="shared" si="1"/>
        <v>5.05</v>
      </c>
      <c r="AG21" s="20">
        <f t="shared" si="2"/>
        <v>70.8</v>
      </c>
      <c r="AH21" s="20">
        <f t="shared" si="3"/>
        <v>19.2</v>
      </c>
      <c r="AI21" s="20">
        <f t="shared" si="4"/>
        <v>8.4499999999999993</v>
      </c>
      <c r="AJ21" s="20">
        <f t="shared" si="5"/>
        <v>19.900000000000002</v>
      </c>
      <c r="AK21" s="20">
        <f t="shared" si="6"/>
        <v>16.8</v>
      </c>
      <c r="AL21" s="20">
        <f t="shared" si="7"/>
        <v>11.700000000000001</v>
      </c>
      <c r="AM21" s="20">
        <f t="shared" si="8"/>
        <v>21.150000000000002</v>
      </c>
      <c r="AN21" s="20">
        <f t="shared" si="9"/>
        <v>28.1</v>
      </c>
      <c r="AO21" s="20">
        <f t="shared" si="10"/>
        <v>12.6</v>
      </c>
      <c r="AP21" s="20">
        <f t="shared" si="11"/>
        <v>14.65</v>
      </c>
      <c r="AQ21" s="20">
        <f t="shared" si="12"/>
        <v>38.15</v>
      </c>
      <c r="AR21" s="20">
        <f t="shared" si="13"/>
        <v>54.050000000000004</v>
      </c>
      <c r="AS21" s="35">
        <f t="shared" si="30"/>
        <v>320.60000000000002</v>
      </c>
      <c r="AU21" s="47">
        <v>152321</v>
      </c>
      <c r="AV21" s="37">
        <f t="shared" si="31"/>
        <v>2455</v>
      </c>
      <c r="AW21" s="35">
        <f t="shared" si="14"/>
        <v>4.91</v>
      </c>
    </row>
    <row r="22" spans="1:49" x14ac:dyDescent="0.25">
      <c r="A22" s="23">
        <v>44424</v>
      </c>
      <c r="B22" s="40">
        <v>68</v>
      </c>
      <c r="C22" s="24">
        <v>6733430</v>
      </c>
      <c r="D22" s="24">
        <v>16572660</v>
      </c>
      <c r="E22" s="24">
        <v>2984730</v>
      </c>
      <c r="F22" s="24">
        <v>3600000</v>
      </c>
      <c r="G22" s="24">
        <v>10678400</v>
      </c>
      <c r="H22" s="24">
        <v>5747060</v>
      </c>
      <c r="I22" s="24">
        <v>5241370</v>
      </c>
      <c r="J22" s="44">
        <v>6178350</v>
      </c>
      <c r="K22" s="24">
        <v>9529120</v>
      </c>
      <c r="L22" s="24">
        <v>4006950</v>
      </c>
      <c r="M22" s="24">
        <v>8110910</v>
      </c>
      <c r="N22" s="24">
        <v>12515520</v>
      </c>
      <c r="O22" s="44">
        <v>17264110</v>
      </c>
      <c r="Q22" s="37">
        <f t="shared" si="17"/>
        <v>1010</v>
      </c>
      <c r="R22" s="37">
        <f t="shared" si="18"/>
        <v>14130</v>
      </c>
      <c r="S22" s="37">
        <f t="shared" si="16"/>
        <v>3800</v>
      </c>
      <c r="T22" s="37">
        <f t="shared" si="19"/>
        <v>1690</v>
      </c>
      <c r="U22" s="37">
        <f t="shared" si="20"/>
        <v>3750</v>
      </c>
      <c r="V22" s="37">
        <f t="shared" si="21"/>
        <v>3360</v>
      </c>
      <c r="W22" s="37">
        <f t="shared" si="22"/>
        <v>2360</v>
      </c>
      <c r="X22" s="37">
        <f t="shared" si="23"/>
        <v>4060</v>
      </c>
      <c r="Y22" s="37">
        <f t="shared" si="24"/>
        <v>5870</v>
      </c>
      <c r="Z22" s="37">
        <f t="shared" si="25"/>
        <v>2270</v>
      </c>
      <c r="AA22" s="37">
        <f t="shared" si="26"/>
        <v>2960</v>
      </c>
      <c r="AB22" s="37">
        <f t="shared" si="27"/>
        <v>7780</v>
      </c>
      <c r="AC22" s="37">
        <f t="shared" si="28"/>
        <v>10550</v>
      </c>
      <c r="AD22" s="35">
        <f t="shared" si="29"/>
        <v>63590</v>
      </c>
      <c r="AF22" s="20">
        <f t="shared" si="1"/>
        <v>5.05</v>
      </c>
      <c r="AG22" s="20">
        <f t="shared" si="2"/>
        <v>70.650000000000006</v>
      </c>
      <c r="AH22" s="20">
        <f t="shared" si="3"/>
        <v>19</v>
      </c>
      <c r="AI22" s="20">
        <f t="shared" si="4"/>
        <v>8.4499999999999993</v>
      </c>
      <c r="AJ22" s="20">
        <f t="shared" si="5"/>
        <v>18.75</v>
      </c>
      <c r="AK22" s="20">
        <f t="shared" si="6"/>
        <v>16.8</v>
      </c>
      <c r="AL22" s="20">
        <f t="shared" si="7"/>
        <v>11.8</v>
      </c>
      <c r="AM22" s="20">
        <f t="shared" si="8"/>
        <v>20.3</v>
      </c>
      <c r="AN22" s="20">
        <f t="shared" si="9"/>
        <v>29.35</v>
      </c>
      <c r="AO22" s="20">
        <f t="shared" si="10"/>
        <v>11.35</v>
      </c>
      <c r="AP22" s="20">
        <f t="shared" si="11"/>
        <v>14.8</v>
      </c>
      <c r="AQ22" s="20">
        <f t="shared" si="12"/>
        <v>38.9</v>
      </c>
      <c r="AR22" s="20">
        <f t="shared" si="13"/>
        <v>52.75</v>
      </c>
      <c r="AS22" s="35">
        <f t="shared" si="30"/>
        <v>317.95000000000005</v>
      </c>
      <c r="AU22" s="47">
        <v>154971</v>
      </c>
      <c r="AV22" s="37">
        <f t="shared" si="31"/>
        <v>2650</v>
      </c>
      <c r="AW22" s="35">
        <f t="shared" si="14"/>
        <v>5.3</v>
      </c>
    </row>
    <row r="23" spans="1:49" x14ac:dyDescent="0.25">
      <c r="A23" s="23">
        <v>44425</v>
      </c>
      <c r="B23" s="40">
        <v>72</v>
      </c>
      <c r="C23" s="24">
        <v>6734410</v>
      </c>
      <c r="D23" s="24">
        <v>16586070</v>
      </c>
      <c r="E23" s="24">
        <v>2988360</v>
      </c>
      <c r="F23" s="24">
        <v>3601650</v>
      </c>
      <c r="G23" s="24">
        <v>10682140</v>
      </c>
      <c r="H23" s="24">
        <v>5750310</v>
      </c>
      <c r="I23" s="24">
        <v>5243680</v>
      </c>
      <c r="J23" s="24">
        <v>6183370</v>
      </c>
      <c r="K23" s="24">
        <v>9534170</v>
      </c>
      <c r="L23" s="24">
        <v>4009190</v>
      </c>
      <c r="M23" s="24">
        <v>8113850</v>
      </c>
      <c r="N23" s="24">
        <v>12523080</v>
      </c>
      <c r="O23" s="24">
        <v>17273990</v>
      </c>
      <c r="Q23" s="37">
        <f t="shared" si="17"/>
        <v>980</v>
      </c>
      <c r="R23" s="37">
        <f t="shared" si="18"/>
        <v>13410</v>
      </c>
      <c r="S23" s="37">
        <f t="shared" si="16"/>
        <v>3630</v>
      </c>
      <c r="T23" s="37">
        <f t="shared" si="19"/>
        <v>1650</v>
      </c>
      <c r="U23" s="37">
        <f t="shared" si="20"/>
        <v>3740</v>
      </c>
      <c r="V23" s="37">
        <f t="shared" si="21"/>
        <v>3250</v>
      </c>
      <c r="W23" s="37">
        <f t="shared" si="22"/>
        <v>2310</v>
      </c>
      <c r="X23" s="37">
        <f t="shared" si="23"/>
        <v>5020</v>
      </c>
      <c r="Y23" s="37">
        <f t="shared" si="24"/>
        <v>5050</v>
      </c>
      <c r="Z23" s="37">
        <f t="shared" si="25"/>
        <v>2240</v>
      </c>
      <c r="AA23" s="37">
        <f t="shared" si="26"/>
        <v>2940</v>
      </c>
      <c r="AB23" s="37">
        <f t="shared" si="27"/>
        <v>7560</v>
      </c>
      <c r="AC23" s="37">
        <f t="shared" si="28"/>
        <v>9880</v>
      </c>
      <c r="AD23" s="35">
        <f t="shared" si="29"/>
        <v>61660</v>
      </c>
      <c r="AF23" s="20">
        <f t="shared" si="1"/>
        <v>4.9000000000000004</v>
      </c>
      <c r="AG23" s="20">
        <f t="shared" si="2"/>
        <v>67.05</v>
      </c>
      <c r="AH23" s="20">
        <f t="shared" si="3"/>
        <v>18.150000000000002</v>
      </c>
      <c r="AI23" s="20">
        <f t="shared" si="4"/>
        <v>8.25</v>
      </c>
      <c r="AJ23" s="20">
        <f t="shared" si="5"/>
        <v>18.7</v>
      </c>
      <c r="AK23" s="20">
        <f t="shared" si="6"/>
        <v>16.25</v>
      </c>
      <c r="AL23" s="20">
        <f t="shared" si="7"/>
        <v>11.55</v>
      </c>
      <c r="AM23" s="20">
        <f t="shared" si="8"/>
        <v>25.1</v>
      </c>
      <c r="AN23" s="20">
        <f t="shared" si="9"/>
        <v>25.25</v>
      </c>
      <c r="AO23" s="20">
        <f t="shared" si="10"/>
        <v>11.200000000000001</v>
      </c>
      <c r="AP23" s="20">
        <f t="shared" si="11"/>
        <v>14.700000000000001</v>
      </c>
      <c r="AQ23" s="20">
        <f t="shared" si="12"/>
        <v>37.800000000000004</v>
      </c>
      <c r="AR23" s="20">
        <f t="shared" si="13"/>
        <v>49.4</v>
      </c>
      <c r="AS23" s="35">
        <f t="shared" si="30"/>
        <v>308.29999999999995</v>
      </c>
      <c r="AU23" s="47">
        <v>157648</v>
      </c>
      <c r="AV23" s="37">
        <f t="shared" si="31"/>
        <v>2677</v>
      </c>
      <c r="AW23" s="35">
        <f t="shared" si="14"/>
        <v>5.3540000000000001</v>
      </c>
    </row>
    <row r="24" spans="1:49" x14ac:dyDescent="0.25">
      <c r="A24" s="23">
        <v>44426</v>
      </c>
      <c r="B24" s="40">
        <v>61</v>
      </c>
      <c r="C24" s="24">
        <v>6735440</v>
      </c>
      <c r="D24" s="24">
        <v>16599850</v>
      </c>
      <c r="E24" s="24">
        <v>2992030</v>
      </c>
      <c r="F24" s="24">
        <v>3603350</v>
      </c>
      <c r="G24" s="24">
        <v>10686030</v>
      </c>
      <c r="H24" s="24">
        <v>5753720</v>
      </c>
      <c r="I24" s="24">
        <v>5246070</v>
      </c>
      <c r="J24" s="24">
        <v>6188570</v>
      </c>
      <c r="K24" s="24">
        <v>9539860</v>
      </c>
      <c r="L24" s="24">
        <v>4011630</v>
      </c>
      <c r="M24" s="24">
        <v>8116770</v>
      </c>
      <c r="N24" s="24">
        <v>12530570</v>
      </c>
      <c r="O24" s="24">
        <v>17283340</v>
      </c>
      <c r="Q24" s="37">
        <f t="shared" si="17"/>
        <v>1030</v>
      </c>
      <c r="R24" s="37">
        <f t="shared" si="18"/>
        <v>13780</v>
      </c>
      <c r="S24" s="37">
        <f t="shared" si="16"/>
        <v>3670</v>
      </c>
      <c r="T24" s="37">
        <f t="shared" si="19"/>
        <v>1700</v>
      </c>
      <c r="U24" s="37">
        <f t="shared" si="20"/>
        <v>3890</v>
      </c>
      <c r="V24" s="37">
        <f t="shared" si="21"/>
        <v>3410</v>
      </c>
      <c r="W24" s="37">
        <f t="shared" si="22"/>
        <v>2390</v>
      </c>
      <c r="X24" s="37">
        <f t="shared" si="23"/>
        <v>5200</v>
      </c>
      <c r="Y24" s="37">
        <f t="shared" si="24"/>
        <v>5690</v>
      </c>
      <c r="Z24" s="37">
        <f t="shared" si="25"/>
        <v>2440</v>
      </c>
      <c r="AA24" s="37">
        <f t="shared" si="26"/>
        <v>2920</v>
      </c>
      <c r="AB24" s="37">
        <f t="shared" si="27"/>
        <v>7490</v>
      </c>
      <c r="AC24" s="37">
        <f t="shared" si="28"/>
        <v>9350</v>
      </c>
      <c r="AD24" s="35">
        <f t="shared" si="29"/>
        <v>62960</v>
      </c>
      <c r="AF24" s="20">
        <f t="shared" si="1"/>
        <v>5.15</v>
      </c>
      <c r="AG24" s="20">
        <f t="shared" si="2"/>
        <v>68.900000000000006</v>
      </c>
      <c r="AH24" s="20">
        <f t="shared" si="3"/>
        <v>18.350000000000001</v>
      </c>
      <c r="AI24" s="20">
        <f t="shared" si="4"/>
        <v>8.5</v>
      </c>
      <c r="AJ24" s="20">
        <f t="shared" si="5"/>
        <v>19.45</v>
      </c>
      <c r="AK24" s="20">
        <f t="shared" si="6"/>
        <v>17.05</v>
      </c>
      <c r="AL24" s="20">
        <f t="shared" si="7"/>
        <v>11.950000000000001</v>
      </c>
      <c r="AM24" s="20">
        <f t="shared" si="8"/>
        <v>26</v>
      </c>
      <c r="AN24" s="20">
        <f t="shared" si="9"/>
        <v>28.45</v>
      </c>
      <c r="AO24" s="20">
        <f t="shared" si="10"/>
        <v>12.200000000000001</v>
      </c>
      <c r="AP24" s="20">
        <f t="shared" si="11"/>
        <v>14.6</v>
      </c>
      <c r="AQ24" s="20">
        <f t="shared" si="12"/>
        <v>37.450000000000003</v>
      </c>
      <c r="AR24" s="20">
        <f t="shared" si="13"/>
        <v>46.75</v>
      </c>
      <c r="AS24" s="35">
        <f t="shared" si="30"/>
        <v>314.79999999999995</v>
      </c>
      <c r="AU24" s="47">
        <v>160000</v>
      </c>
      <c r="AV24" s="37">
        <f t="shared" si="31"/>
        <v>2352</v>
      </c>
      <c r="AW24" s="35">
        <f t="shared" si="14"/>
        <v>4.7039999999999997</v>
      </c>
    </row>
    <row r="25" spans="1:49" x14ac:dyDescent="0.25">
      <c r="A25" s="23">
        <v>44427</v>
      </c>
      <c r="B25" s="40">
        <v>102</v>
      </c>
      <c r="C25" s="24">
        <v>6736440</v>
      </c>
      <c r="D25" s="24">
        <v>16613280</v>
      </c>
      <c r="E25" s="24">
        <v>2995640</v>
      </c>
      <c r="F25" s="24">
        <v>3605000</v>
      </c>
      <c r="G25" s="24">
        <v>10689910</v>
      </c>
      <c r="H25" s="24">
        <v>5757110</v>
      </c>
      <c r="I25" s="24">
        <v>5248410</v>
      </c>
      <c r="J25" s="24">
        <v>6193590</v>
      </c>
      <c r="K25" s="24">
        <v>9545600</v>
      </c>
      <c r="L25" s="24">
        <v>4014160</v>
      </c>
      <c r="M25" s="24">
        <v>8119710</v>
      </c>
      <c r="N25" s="24">
        <v>12537960</v>
      </c>
      <c r="O25" s="24">
        <v>17292950</v>
      </c>
      <c r="Q25" s="37">
        <f t="shared" ref="Q25:AC27" si="33">IF((C25-C24&lt;0), "0",C25-C24)</f>
        <v>1000</v>
      </c>
      <c r="R25" s="37">
        <f t="shared" si="33"/>
        <v>13430</v>
      </c>
      <c r="S25" s="37">
        <f t="shared" si="33"/>
        <v>3610</v>
      </c>
      <c r="T25" s="37">
        <f t="shared" si="33"/>
        <v>1650</v>
      </c>
      <c r="U25" s="37">
        <f t="shared" si="33"/>
        <v>3880</v>
      </c>
      <c r="V25" s="37">
        <f t="shared" si="33"/>
        <v>3390</v>
      </c>
      <c r="W25" s="37">
        <f t="shared" si="33"/>
        <v>2340</v>
      </c>
      <c r="X25" s="37">
        <f t="shared" si="33"/>
        <v>5020</v>
      </c>
      <c r="Y25" s="37">
        <f t="shared" si="33"/>
        <v>5740</v>
      </c>
      <c r="Z25" s="37">
        <f t="shared" si="33"/>
        <v>2530</v>
      </c>
      <c r="AA25" s="37">
        <f t="shared" si="33"/>
        <v>2940</v>
      </c>
      <c r="AB25" s="37">
        <f t="shared" si="33"/>
        <v>7390</v>
      </c>
      <c r="AC25" s="37">
        <f t="shared" si="33"/>
        <v>9610</v>
      </c>
      <c r="AD25" s="35">
        <f t="shared" si="29"/>
        <v>62530</v>
      </c>
      <c r="AF25" s="20">
        <f t="shared" si="1"/>
        <v>5</v>
      </c>
      <c r="AG25" s="20">
        <f t="shared" si="2"/>
        <v>67.150000000000006</v>
      </c>
      <c r="AH25" s="20">
        <f t="shared" si="3"/>
        <v>18.05</v>
      </c>
      <c r="AI25" s="20">
        <f t="shared" si="4"/>
        <v>8.25</v>
      </c>
      <c r="AJ25" s="20">
        <f t="shared" si="5"/>
        <v>19.400000000000002</v>
      </c>
      <c r="AK25" s="20">
        <f t="shared" si="6"/>
        <v>16.95</v>
      </c>
      <c r="AL25" s="20">
        <f t="shared" si="7"/>
        <v>11.700000000000001</v>
      </c>
      <c r="AM25" s="20">
        <f t="shared" si="8"/>
        <v>25.1</v>
      </c>
      <c r="AN25" s="20">
        <f t="shared" si="9"/>
        <v>28.7</v>
      </c>
      <c r="AO25" s="20">
        <f t="shared" si="10"/>
        <v>12.65</v>
      </c>
      <c r="AP25" s="20">
        <f t="shared" si="11"/>
        <v>14.700000000000001</v>
      </c>
      <c r="AQ25" s="20">
        <f t="shared" si="12"/>
        <v>36.950000000000003</v>
      </c>
      <c r="AR25" s="20">
        <f t="shared" si="13"/>
        <v>48.050000000000004</v>
      </c>
      <c r="AS25" s="35">
        <f t="shared" si="30"/>
        <v>312.64999999999998</v>
      </c>
      <c r="AU25" s="47">
        <v>162238</v>
      </c>
      <c r="AV25" s="37">
        <f t="shared" si="31"/>
        <v>2238</v>
      </c>
      <c r="AW25" s="35">
        <f t="shared" si="14"/>
        <v>4.476</v>
      </c>
    </row>
    <row r="26" spans="1:49" x14ac:dyDescent="0.25">
      <c r="A26" s="23">
        <v>44428</v>
      </c>
      <c r="B26" s="40">
        <v>128</v>
      </c>
      <c r="C26" s="24">
        <v>6737420</v>
      </c>
      <c r="D26" s="24">
        <v>16627480</v>
      </c>
      <c r="E26" s="24">
        <v>2999580</v>
      </c>
      <c r="F26" s="24">
        <v>3606630</v>
      </c>
      <c r="G26" s="24">
        <v>10693820</v>
      </c>
      <c r="H26" s="24">
        <v>5760520</v>
      </c>
      <c r="I26" s="24">
        <v>5250710</v>
      </c>
      <c r="J26" s="24">
        <v>6198250</v>
      </c>
      <c r="K26" s="24">
        <v>9551280</v>
      </c>
      <c r="L26" s="24">
        <v>4016760</v>
      </c>
      <c r="M26" s="24">
        <v>8122590</v>
      </c>
      <c r="N26" s="24">
        <v>12545370</v>
      </c>
      <c r="O26" s="24">
        <v>17301900</v>
      </c>
      <c r="Q26" s="37">
        <f t="shared" si="33"/>
        <v>980</v>
      </c>
      <c r="R26" s="37">
        <f t="shared" si="33"/>
        <v>14200</v>
      </c>
      <c r="S26" s="37">
        <f t="shared" si="33"/>
        <v>3940</v>
      </c>
      <c r="T26" s="37">
        <f t="shared" si="33"/>
        <v>1630</v>
      </c>
      <c r="U26" s="37">
        <f t="shared" si="33"/>
        <v>3910</v>
      </c>
      <c r="V26" s="37">
        <f t="shared" si="33"/>
        <v>3410</v>
      </c>
      <c r="W26" s="37">
        <f t="shared" si="33"/>
        <v>2300</v>
      </c>
      <c r="X26" s="37">
        <f t="shared" si="33"/>
        <v>4660</v>
      </c>
      <c r="Y26" s="37">
        <f t="shared" si="33"/>
        <v>5680</v>
      </c>
      <c r="Z26" s="37">
        <f t="shared" si="33"/>
        <v>2600</v>
      </c>
      <c r="AA26" s="37">
        <f t="shared" si="33"/>
        <v>2880</v>
      </c>
      <c r="AB26" s="37">
        <f t="shared" si="33"/>
        <v>7410</v>
      </c>
      <c r="AC26" s="37">
        <f t="shared" si="33"/>
        <v>8950</v>
      </c>
      <c r="AD26" s="35">
        <f t="shared" si="29"/>
        <v>62550</v>
      </c>
      <c r="AF26" s="20">
        <f t="shared" si="1"/>
        <v>4.9000000000000004</v>
      </c>
      <c r="AG26" s="20">
        <f t="shared" si="2"/>
        <v>71</v>
      </c>
      <c r="AH26" s="20">
        <f t="shared" si="3"/>
        <v>19.7</v>
      </c>
      <c r="AI26" s="20">
        <f t="shared" si="4"/>
        <v>8.15</v>
      </c>
      <c r="AJ26" s="20">
        <f t="shared" si="5"/>
        <v>19.55</v>
      </c>
      <c r="AK26" s="20">
        <f t="shared" si="6"/>
        <v>17.05</v>
      </c>
      <c r="AL26" s="20">
        <f t="shared" si="7"/>
        <v>11.5</v>
      </c>
      <c r="AM26" s="20">
        <f t="shared" si="8"/>
        <v>23.3</v>
      </c>
      <c r="AN26" s="20">
        <f t="shared" si="9"/>
        <v>28.400000000000002</v>
      </c>
      <c r="AO26" s="20">
        <f t="shared" si="10"/>
        <v>13</v>
      </c>
      <c r="AP26" s="20">
        <f t="shared" si="11"/>
        <v>14.4</v>
      </c>
      <c r="AQ26" s="20">
        <f t="shared" si="12"/>
        <v>37.050000000000004</v>
      </c>
      <c r="AR26" s="20">
        <f t="shared" si="13"/>
        <v>44.75</v>
      </c>
      <c r="AS26" s="35">
        <f t="shared" si="30"/>
        <v>312.75000000000006</v>
      </c>
      <c r="AU26" s="47">
        <v>164757</v>
      </c>
      <c r="AV26" s="37">
        <f t="shared" si="31"/>
        <v>2519</v>
      </c>
      <c r="AW26" s="35">
        <f t="shared" si="14"/>
        <v>5.0380000000000003</v>
      </c>
    </row>
    <row r="27" spans="1:49" x14ac:dyDescent="0.25">
      <c r="A27" s="23">
        <v>44429</v>
      </c>
      <c r="B27" s="40">
        <v>70</v>
      </c>
      <c r="C27" s="24">
        <v>6738440</v>
      </c>
      <c r="D27" s="24">
        <v>16643830</v>
      </c>
      <c r="E27" s="24">
        <v>3004250</v>
      </c>
      <c r="F27" s="24">
        <v>3608340</v>
      </c>
      <c r="G27" s="24">
        <v>10697810</v>
      </c>
      <c r="H27" s="24">
        <v>5764070</v>
      </c>
      <c r="I27" s="24">
        <v>5253090</v>
      </c>
      <c r="J27" s="24">
        <v>6202990</v>
      </c>
      <c r="K27" s="24">
        <v>9557370</v>
      </c>
      <c r="L27" s="24">
        <v>4019460</v>
      </c>
      <c r="M27" s="24">
        <v>8125530</v>
      </c>
      <c r="N27" s="24">
        <v>12552920</v>
      </c>
      <c r="O27" s="24">
        <v>17310930</v>
      </c>
      <c r="Q27" s="37">
        <f t="shared" si="33"/>
        <v>1020</v>
      </c>
      <c r="R27" s="37">
        <f t="shared" si="33"/>
        <v>16350</v>
      </c>
      <c r="S27" s="37">
        <f t="shared" si="33"/>
        <v>4670</v>
      </c>
      <c r="T27" s="37">
        <f t="shared" si="33"/>
        <v>1710</v>
      </c>
      <c r="U27" s="37">
        <f t="shared" si="33"/>
        <v>3990</v>
      </c>
      <c r="V27" s="37">
        <f t="shared" si="33"/>
        <v>3550</v>
      </c>
      <c r="W27" s="37">
        <f t="shared" si="33"/>
        <v>2380</v>
      </c>
      <c r="X27" s="37">
        <f t="shared" si="33"/>
        <v>4740</v>
      </c>
      <c r="Y27" s="37">
        <f t="shared" si="33"/>
        <v>6090</v>
      </c>
      <c r="Z27" s="37">
        <f t="shared" si="33"/>
        <v>2700</v>
      </c>
      <c r="AA27" s="37">
        <f t="shared" si="33"/>
        <v>2940</v>
      </c>
      <c r="AB27" s="37">
        <f t="shared" si="33"/>
        <v>7550</v>
      </c>
      <c r="AC27" s="37">
        <f t="shared" si="33"/>
        <v>9030</v>
      </c>
      <c r="AD27" s="35">
        <f t="shared" si="29"/>
        <v>66720</v>
      </c>
      <c r="AF27" s="20">
        <f t="shared" si="1"/>
        <v>5.1000000000000005</v>
      </c>
      <c r="AG27" s="20">
        <f t="shared" si="2"/>
        <v>81.75</v>
      </c>
      <c r="AH27" s="20">
        <f t="shared" si="3"/>
        <v>23.35</v>
      </c>
      <c r="AI27" s="20">
        <f t="shared" si="4"/>
        <v>8.5500000000000007</v>
      </c>
      <c r="AJ27" s="20">
        <f t="shared" si="5"/>
        <v>19.95</v>
      </c>
      <c r="AK27" s="20">
        <f t="shared" si="6"/>
        <v>17.75</v>
      </c>
      <c r="AL27" s="20">
        <f t="shared" si="7"/>
        <v>11.9</v>
      </c>
      <c r="AM27" s="20">
        <f t="shared" si="8"/>
        <v>23.7</v>
      </c>
      <c r="AN27" s="20">
        <f t="shared" si="9"/>
        <v>30.45</v>
      </c>
      <c r="AO27" s="20">
        <f t="shared" si="10"/>
        <v>13.5</v>
      </c>
      <c r="AP27" s="20">
        <f t="shared" si="11"/>
        <v>14.700000000000001</v>
      </c>
      <c r="AQ27" s="20">
        <f t="shared" si="12"/>
        <v>37.75</v>
      </c>
      <c r="AR27" s="20">
        <f t="shared" si="13"/>
        <v>45.15</v>
      </c>
      <c r="AS27" s="35">
        <f t="shared" si="30"/>
        <v>333.59999999999991</v>
      </c>
      <c r="AU27" s="47">
        <v>167308</v>
      </c>
      <c r="AV27" s="37">
        <f>IF((AU27-AU26&lt;0),"0",AU27-AU26)</f>
        <v>2551</v>
      </c>
      <c r="AW27" s="35">
        <f t="shared" si="14"/>
        <v>5.1020000000000003</v>
      </c>
    </row>
    <row r="28" spans="1:49" x14ac:dyDescent="0.25">
      <c r="A28" s="23">
        <v>44430</v>
      </c>
      <c r="B28" s="40">
        <v>81</v>
      </c>
      <c r="C28" s="24">
        <v>6739440</v>
      </c>
      <c r="D28" s="24">
        <v>16659010</v>
      </c>
      <c r="E28" s="24">
        <v>3008530</v>
      </c>
      <c r="F28" s="24">
        <v>3610020</v>
      </c>
      <c r="G28" s="24">
        <v>10701680</v>
      </c>
      <c r="H28" s="24">
        <v>5767500</v>
      </c>
      <c r="I28" s="24">
        <v>5255460</v>
      </c>
      <c r="J28" s="24">
        <v>6207420</v>
      </c>
      <c r="K28" s="24">
        <v>9563330</v>
      </c>
      <c r="L28" s="24">
        <v>4022080</v>
      </c>
      <c r="M28" s="24">
        <v>8128390</v>
      </c>
      <c r="N28" s="24">
        <v>12560410</v>
      </c>
      <c r="O28" s="24">
        <v>17319670</v>
      </c>
      <c r="Q28" s="37">
        <f t="shared" si="17"/>
        <v>1000</v>
      </c>
      <c r="R28" s="37">
        <f t="shared" si="18"/>
        <v>15180</v>
      </c>
      <c r="S28" s="37">
        <f t="shared" si="16"/>
        <v>4280</v>
      </c>
      <c r="T28" s="37">
        <f t="shared" si="19"/>
        <v>1680</v>
      </c>
      <c r="U28" s="37">
        <f t="shared" si="20"/>
        <v>3870</v>
      </c>
      <c r="V28" s="37">
        <f t="shared" si="21"/>
        <v>3430</v>
      </c>
      <c r="W28" s="37">
        <f t="shared" si="22"/>
        <v>2370</v>
      </c>
      <c r="X28" s="37">
        <f t="shared" si="23"/>
        <v>4430</v>
      </c>
      <c r="Y28" s="37">
        <f t="shared" si="24"/>
        <v>5960</v>
      </c>
      <c r="Z28" s="37">
        <f t="shared" si="25"/>
        <v>2620</v>
      </c>
      <c r="AA28" s="37">
        <f t="shared" si="26"/>
        <v>2860</v>
      </c>
      <c r="AB28" s="37">
        <f t="shared" si="27"/>
        <v>7490</v>
      </c>
      <c r="AC28" s="37">
        <f t="shared" si="28"/>
        <v>8740</v>
      </c>
      <c r="AD28" s="35">
        <f t="shared" si="29"/>
        <v>63910</v>
      </c>
      <c r="AF28" s="20">
        <f t="shared" si="1"/>
        <v>5</v>
      </c>
      <c r="AG28" s="20">
        <f t="shared" si="2"/>
        <v>75.900000000000006</v>
      </c>
      <c r="AH28" s="20">
        <f t="shared" si="3"/>
        <v>21.400000000000002</v>
      </c>
      <c r="AI28" s="20">
        <f t="shared" si="4"/>
        <v>8.4</v>
      </c>
      <c r="AJ28" s="20">
        <f t="shared" si="5"/>
        <v>19.350000000000001</v>
      </c>
      <c r="AK28" s="20">
        <f t="shared" si="6"/>
        <v>17.150000000000002</v>
      </c>
      <c r="AL28" s="20">
        <f t="shared" si="7"/>
        <v>11.85</v>
      </c>
      <c r="AM28" s="20">
        <f t="shared" si="8"/>
        <v>22.150000000000002</v>
      </c>
      <c r="AN28" s="20">
        <f t="shared" si="9"/>
        <v>29.8</v>
      </c>
      <c r="AO28" s="20">
        <f t="shared" si="10"/>
        <v>13.1</v>
      </c>
      <c r="AP28" s="20">
        <f t="shared" si="11"/>
        <v>14.3</v>
      </c>
      <c r="AQ28" s="20">
        <f t="shared" si="12"/>
        <v>37.450000000000003</v>
      </c>
      <c r="AR28" s="20">
        <f t="shared" si="13"/>
        <v>43.7</v>
      </c>
      <c r="AS28" s="35">
        <f t="shared" si="30"/>
        <v>319.55</v>
      </c>
      <c r="AU28" s="47">
        <v>169825</v>
      </c>
      <c r="AV28" s="37">
        <f>IF((AU28-AU27&lt;0),"0",AU28-AU27)</f>
        <v>2517</v>
      </c>
      <c r="AW28" s="35">
        <f t="shared" si="14"/>
        <v>5.0339999999999998</v>
      </c>
    </row>
    <row r="29" spans="1:49" x14ac:dyDescent="0.25">
      <c r="A29" s="23">
        <v>44431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 t="str">
        <f t="shared" si="17"/>
        <v>0</v>
      </c>
      <c r="R29" s="37" t="str">
        <f t="shared" si="18"/>
        <v>0</v>
      </c>
      <c r="S29" s="37" t="str">
        <f t="shared" si="16"/>
        <v>0</v>
      </c>
      <c r="T29" s="37" t="str">
        <f t="shared" si="19"/>
        <v>0</v>
      </c>
      <c r="U29" s="37" t="str">
        <f t="shared" si="20"/>
        <v>0</v>
      </c>
      <c r="V29" s="37" t="str">
        <f t="shared" si="21"/>
        <v>0</v>
      </c>
      <c r="W29" s="37" t="str">
        <f t="shared" si="22"/>
        <v>0</v>
      </c>
      <c r="X29" s="37" t="str">
        <f t="shared" si="23"/>
        <v>0</v>
      </c>
      <c r="Y29" s="37" t="str">
        <f t="shared" si="24"/>
        <v>0</v>
      </c>
      <c r="Z29" s="37" t="str">
        <f t="shared" si="25"/>
        <v>0</v>
      </c>
      <c r="AA29" s="37" t="str">
        <f t="shared" si="26"/>
        <v>0</v>
      </c>
      <c r="AB29" s="37" t="str">
        <f t="shared" si="27"/>
        <v>0</v>
      </c>
      <c r="AC29" s="37" t="str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 t="str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44432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44433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44434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44435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44436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21760</v>
      </c>
      <c r="R38" s="38">
        <f t="shared" ref="R38:AD38" si="62">SUM(R7:R37)</f>
        <v>309360</v>
      </c>
      <c r="S38" s="38">
        <f t="shared" si="62"/>
        <v>84650</v>
      </c>
      <c r="T38" s="38">
        <f t="shared" si="62"/>
        <v>36460</v>
      </c>
      <c r="U38" s="38">
        <f t="shared" si="62"/>
        <v>88770</v>
      </c>
      <c r="V38" s="38">
        <f t="shared" si="62"/>
        <v>75030</v>
      </c>
      <c r="W38" s="38">
        <f t="shared" si="62"/>
        <v>51000</v>
      </c>
      <c r="X38" s="38">
        <f t="shared" si="62"/>
        <v>93540</v>
      </c>
      <c r="Y38" s="38">
        <f t="shared" si="62"/>
        <v>121950</v>
      </c>
      <c r="Z38" s="38">
        <f t="shared" si="62"/>
        <v>56310</v>
      </c>
      <c r="AA38" s="38">
        <f t="shared" si="62"/>
        <v>65540</v>
      </c>
      <c r="AB38" s="38">
        <f t="shared" si="62"/>
        <v>166740</v>
      </c>
      <c r="AC38" s="38">
        <f t="shared" si="62"/>
        <v>199130</v>
      </c>
      <c r="AD38" s="38">
        <f t="shared" si="62"/>
        <v>1370240</v>
      </c>
      <c r="AF38" s="35">
        <f>SUM(AF7:AF37)</f>
        <v>108.8</v>
      </c>
      <c r="AG38" s="35">
        <f t="shared" ref="AG38:AS38" si="63">SUM(AG7:AG37)</f>
        <v>1546.8000000000004</v>
      </c>
      <c r="AH38" s="35">
        <f t="shared" si="63"/>
        <v>423.25</v>
      </c>
      <c r="AI38" s="35">
        <f t="shared" si="63"/>
        <v>182.3</v>
      </c>
      <c r="AJ38" s="35">
        <f t="shared" si="63"/>
        <v>443.84999999999997</v>
      </c>
      <c r="AK38" s="35">
        <f t="shared" si="63"/>
        <v>375.15</v>
      </c>
      <c r="AL38" s="35">
        <f t="shared" si="63"/>
        <v>254.99999999999997</v>
      </c>
      <c r="AM38" s="35">
        <f t="shared" si="63"/>
        <v>467.7</v>
      </c>
      <c r="AN38" s="35">
        <f t="shared" si="63"/>
        <v>609.75</v>
      </c>
      <c r="AO38" s="35">
        <f t="shared" si="63"/>
        <v>281.54999999999995</v>
      </c>
      <c r="AP38" s="35">
        <f t="shared" si="63"/>
        <v>327.7</v>
      </c>
      <c r="AQ38" s="35">
        <f t="shared" si="63"/>
        <v>833.69999999999993</v>
      </c>
      <c r="AR38" s="35">
        <f t="shared" si="63"/>
        <v>995.64999999999986</v>
      </c>
      <c r="AS38" s="35">
        <f t="shared" si="63"/>
        <v>6851.2</v>
      </c>
      <c r="AU38" s="48"/>
      <c r="AV38" s="35">
        <f>SUM(AV7:AV34)</f>
        <v>57708</v>
      </c>
      <c r="AW38" s="35">
        <f>SUM(AW7:AW34)</f>
        <v>115.416</v>
      </c>
    </row>
    <row r="39" spans="1:49" x14ac:dyDescent="0.25">
      <c r="D39">
        <v>5.0000000000000001E-3</v>
      </c>
      <c r="AV39" s="36">
        <f>AV38*0.00378541*1000</f>
        <v>218448.44028000001</v>
      </c>
    </row>
    <row r="40" spans="1:49" x14ac:dyDescent="0.25">
      <c r="D40">
        <v>2E-3</v>
      </c>
      <c r="AV40">
        <f>AV39/31</f>
        <v>7046.7238800000005</v>
      </c>
    </row>
    <row r="41" spans="1:49" x14ac:dyDescent="0.25">
      <c r="AV41">
        <f>AV38*0.00378541</f>
        <v>218.44844028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2021-08-23T04:25:03Z</dcterms:modified>
</cp:coreProperties>
</file>