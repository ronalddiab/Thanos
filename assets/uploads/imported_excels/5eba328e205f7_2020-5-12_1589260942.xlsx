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S35" i="18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T28" i="1"/>
  <c r="S21" i="18" s="1"/>
  <c r="T24" i="1"/>
  <c r="S17" i="18" s="1"/>
  <c r="T29" i="1"/>
  <c r="S22" i="18" s="1"/>
  <c r="T30" i="1"/>
  <c r="S23" i="18" s="1"/>
  <c r="T31" i="1"/>
  <c r="S24" i="18" s="1"/>
  <c r="T32" i="1"/>
  <c r="S25" i="18" s="1"/>
  <c r="T33" i="1"/>
  <c r="S26" i="18" s="1"/>
  <c r="T34" i="1"/>
  <c r="S27" i="18" s="1"/>
  <c r="T35" i="1"/>
  <c r="S28" i="18" s="1"/>
  <c r="T36" i="1"/>
  <c r="S29" i="18" s="1"/>
  <c r="T37" i="1"/>
  <c r="S30" i="18" s="1"/>
  <c r="T38" i="1"/>
  <c r="S31" i="18" s="1"/>
  <c r="T39" i="1"/>
  <c r="S32" i="18" s="1"/>
  <c r="T40" i="1"/>
  <c r="S33" i="18" s="1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S34" i="18" s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I9" s="1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J28"/>
  <c r="L28" s="1"/>
  <c r="J7"/>
  <c r="L7" s="1"/>
  <c r="J9"/>
  <c r="L9" s="1"/>
  <c r="J12"/>
  <c r="L12" s="1"/>
  <c r="J15"/>
  <c r="L15" s="1"/>
  <c r="J18"/>
  <c r="L18" s="1"/>
  <c r="L17"/>
  <c r="J21"/>
  <c r="L21" s="1"/>
  <c r="L20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G8" i="23"/>
  <c r="AN9" i="3"/>
  <c r="W5" i="25" s="1"/>
  <c r="AN8" i="3"/>
  <c r="G7" i="23" s="1"/>
  <c r="W2" i="25"/>
  <c r="AN6" i="3"/>
  <c r="G5" i="23"/>
  <c r="AN10" i="3"/>
  <c r="W6" i="25" s="1"/>
  <c r="AN19" i="3"/>
  <c r="W15" i="25" s="1"/>
  <c r="AN16" i="3"/>
  <c r="G15" i="23" s="1"/>
  <c r="G19"/>
  <c r="AN20" i="3"/>
  <c r="W16" i="25" s="1"/>
  <c r="AN17" i="3"/>
  <c r="W13" i="25" s="1"/>
  <c r="AN12" i="3"/>
  <c r="G11" i="23" s="1"/>
  <c r="G17"/>
  <c r="AN18" i="3"/>
  <c r="W14" i="25"/>
  <c r="AN11" i="3"/>
  <c r="W7" i="25" s="1"/>
  <c r="AN15" i="3"/>
  <c r="W11" i="25" s="1"/>
  <c r="U38" i="3"/>
  <c r="AN38" s="1"/>
  <c r="G16" i="23" l="1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<sst xmlns="http://schemas.openxmlformats.org/spreadsheetml/2006/main" count="532" uniqueCount="320">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</sst>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665792"/>
        <c:axId val="1216675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669120"/>
        <c:axId val="121670656"/>
      </c:lineChart>
      <c:catAx>
        <c:axId val="1216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7584"/>
        <c:crosses val="autoZero"/>
        <c:auto val="1"/>
        <c:lblAlgn val="ctr"/>
        <c:lblOffset val="100"/>
      </c:catAx>
      <c:valAx>
        <c:axId val="1216675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5792"/>
        <c:crosses val="autoZero"/>
        <c:crossBetween val="between"/>
        <c:majorUnit val="200"/>
      </c:valAx>
      <c:catAx>
        <c:axId val="121669120"/>
        <c:scaling>
          <c:orientation val="minMax"/>
        </c:scaling>
        <c:delete val="1"/>
        <c:axPos val="b"/>
        <c:tickLblPos val="none"/>
        <c:crossAx val="121670656"/>
        <c:crosses val="autoZero"/>
        <c:auto val="1"/>
        <c:lblAlgn val="ctr"/>
        <c:lblOffset val="100"/>
      </c:catAx>
      <c:valAx>
        <c:axId val="1216706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9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251584"/>
        <c:axId val="832531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254656"/>
        <c:axId val="83256448"/>
      </c:lineChart>
      <c:catAx>
        <c:axId val="8325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53120"/>
        <c:crosses val="autoZero"/>
        <c:auto val="1"/>
        <c:lblAlgn val="ctr"/>
        <c:lblOffset val="100"/>
      </c:catAx>
      <c:valAx>
        <c:axId val="8325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51584"/>
        <c:crosses val="autoZero"/>
        <c:crossBetween val="between"/>
        <c:majorUnit val="200"/>
      </c:valAx>
      <c:catAx>
        <c:axId val="83254656"/>
        <c:scaling>
          <c:orientation val="minMax"/>
        </c:scaling>
        <c:delete val="1"/>
        <c:axPos val="b"/>
        <c:tickLblPos val="none"/>
        <c:crossAx val="83256448"/>
        <c:crosses val="autoZero"/>
        <c:auto val="1"/>
        <c:lblAlgn val="ctr"/>
        <c:lblOffset val="100"/>
      </c:catAx>
      <c:valAx>
        <c:axId val="83256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54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3326464"/>
        <c:axId val="83328000"/>
      </c:lineChart>
      <c:catAx>
        <c:axId val="8332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8000"/>
        <c:crosses val="autoZero"/>
        <c:auto val="1"/>
        <c:lblAlgn val="ctr"/>
        <c:lblOffset val="200"/>
        <c:tickLblSkip val="1"/>
      </c:catAx>
      <c:valAx>
        <c:axId val="83328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3348480"/>
        <c:axId val="83510016"/>
      </c:lineChart>
      <c:catAx>
        <c:axId val="833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10016"/>
        <c:crosses val="autoZero"/>
        <c:auto val="1"/>
        <c:lblAlgn val="ctr"/>
        <c:lblOffset val="100"/>
      </c:catAx>
      <c:valAx>
        <c:axId val="835100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4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3550976"/>
        <c:axId val="83552896"/>
      </c:lineChart>
      <c:catAx>
        <c:axId val="83550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2896"/>
        <c:crosses val="autoZero"/>
        <c:auto val="1"/>
        <c:lblAlgn val="ctr"/>
        <c:lblOffset val="100"/>
      </c:catAx>
      <c:valAx>
        <c:axId val="83552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0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4458496"/>
        <c:axId val="84468864"/>
      </c:lineChart>
      <c:catAx>
        <c:axId val="84458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68864"/>
        <c:crosses val="autoZero"/>
        <c:auto val="1"/>
        <c:lblAlgn val="ctr"/>
        <c:lblOffset val="100"/>
      </c:catAx>
      <c:valAx>
        <c:axId val="84468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8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-313456.44000000006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620800"/>
        <c:axId val="84622336"/>
      </c:lineChart>
      <c:catAx>
        <c:axId val="8462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22336"/>
        <c:crosses val="autoZero"/>
        <c:auto val="1"/>
        <c:lblAlgn val="ctr"/>
        <c:lblOffset val="100"/>
      </c:catAx>
      <c:valAx>
        <c:axId val="84622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2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668416"/>
        <c:axId val="84669952"/>
      </c:lineChart>
      <c:catAx>
        <c:axId val="8466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69952"/>
        <c:crosses val="autoZero"/>
        <c:auto val="1"/>
        <c:lblAlgn val="ctr"/>
        <c:lblOffset val="100"/>
      </c:catAx>
      <c:valAx>
        <c:axId val="8466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6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095552"/>
        <c:axId val="85097088"/>
      </c:lineChart>
      <c:catAx>
        <c:axId val="8509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97088"/>
        <c:crosses val="autoZero"/>
        <c:auto val="1"/>
        <c:lblAlgn val="ctr"/>
        <c:lblOffset val="100"/>
      </c:catAx>
      <c:valAx>
        <c:axId val="8509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9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52"/>
          <c:y val="7.471324705110758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5854848"/>
        <c:axId val="85868928"/>
      </c:lineChart>
      <c:catAx>
        <c:axId val="858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68928"/>
        <c:crosses val="autoZero"/>
        <c:auto val="1"/>
        <c:lblAlgn val="ctr"/>
        <c:lblOffset val="200"/>
        <c:tickLblSkip val="1"/>
      </c:catAx>
      <c:valAx>
        <c:axId val="85868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5897984"/>
        <c:axId val="85899520"/>
      </c:lineChart>
      <c:catAx>
        <c:axId val="858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99520"/>
        <c:crosses val="autoZero"/>
        <c:auto val="1"/>
        <c:lblAlgn val="ctr"/>
        <c:lblOffset val="100"/>
      </c:catAx>
      <c:valAx>
        <c:axId val="8589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5666048"/>
        <c:axId val="85705088"/>
      </c:lineChart>
      <c:catAx>
        <c:axId val="85666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5088"/>
        <c:crosses val="autoZero"/>
        <c:auto val="1"/>
        <c:lblAlgn val="ctr"/>
        <c:lblOffset val="100"/>
      </c:catAx>
      <c:valAx>
        <c:axId val="85705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6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6217472"/>
        <c:axId val="86219392"/>
      </c:lineChart>
      <c:catAx>
        <c:axId val="86217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19392"/>
        <c:crosses val="autoZero"/>
        <c:auto val="1"/>
        <c:lblAlgn val="ctr"/>
        <c:lblOffset val="100"/>
      </c:catAx>
      <c:valAx>
        <c:axId val="862193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17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584320"/>
        <c:axId val="86586112"/>
      </c:lineChart>
      <c:catAx>
        <c:axId val="8658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86112"/>
        <c:crosses val="autoZero"/>
        <c:auto val="1"/>
        <c:lblAlgn val="ctr"/>
        <c:lblOffset val="100"/>
      </c:catAx>
      <c:valAx>
        <c:axId val="8658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8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6623744"/>
        <c:axId val="86625280"/>
      </c:lineChart>
      <c:catAx>
        <c:axId val="8662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5280"/>
        <c:crosses val="autoZero"/>
        <c:auto val="1"/>
        <c:lblAlgn val="ctr"/>
        <c:lblOffset val="100"/>
      </c:catAx>
      <c:valAx>
        <c:axId val="8662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6399616"/>
        <c:axId val="86405504"/>
      </c:lineChart>
      <c:catAx>
        <c:axId val="8639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05504"/>
        <c:crosses val="autoZero"/>
        <c:auto val="1"/>
        <c:lblAlgn val="ctr"/>
        <c:lblOffset val="100"/>
      </c:catAx>
      <c:valAx>
        <c:axId val="8640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9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809"/>
          <c:y val="7.471324705110797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6913792"/>
        <c:axId val="8691532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6925312"/>
        <c:axId val="86926848"/>
      </c:lineChart>
      <c:catAx>
        <c:axId val="869137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15328"/>
        <c:crosses val="autoZero"/>
        <c:lblAlgn val="ctr"/>
        <c:lblOffset val="100"/>
        <c:tickMarkSkip val="1"/>
      </c:catAx>
      <c:valAx>
        <c:axId val="869153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13792"/>
        <c:crosses val="autoZero"/>
        <c:crossBetween val="between"/>
      </c:valAx>
      <c:catAx>
        <c:axId val="86925312"/>
        <c:scaling>
          <c:orientation val="minMax"/>
        </c:scaling>
        <c:delete val="1"/>
        <c:axPos val="b"/>
        <c:numFmt formatCode="[$-409]d\-mmm\-yy;@" sourceLinked="1"/>
        <c:tickLblPos val="none"/>
        <c:crossAx val="86926848"/>
        <c:crosses val="autoZero"/>
        <c:lblAlgn val="ctr"/>
        <c:lblOffset val="100"/>
      </c:catAx>
      <c:valAx>
        <c:axId val="869268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253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8413696"/>
        <c:axId val="88415232"/>
      </c:lineChart>
      <c:catAx>
        <c:axId val="8841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15232"/>
        <c:crosses val="autoZero"/>
        <c:auto val="1"/>
        <c:lblAlgn val="ctr"/>
        <c:lblOffset val="100"/>
      </c:catAx>
      <c:valAx>
        <c:axId val="884152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1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5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8439808"/>
        <c:axId val="88449792"/>
      </c:lineChart>
      <c:catAx>
        <c:axId val="884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9792"/>
        <c:crosses val="autoZero"/>
        <c:auto val="1"/>
        <c:lblAlgn val="ctr"/>
        <c:lblOffset val="100"/>
      </c:catAx>
      <c:valAx>
        <c:axId val="884497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914944"/>
        <c:axId val="889208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922368"/>
        <c:axId val="89329664"/>
      </c:lineChart>
      <c:catAx>
        <c:axId val="889149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20832"/>
        <c:crosses val="autoZero"/>
        <c:lblAlgn val="ctr"/>
        <c:lblOffset val="100"/>
        <c:tickMarkSkip val="1"/>
      </c:catAx>
      <c:valAx>
        <c:axId val="8892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4944"/>
        <c:crosses val="autoZero"/>
        <c:crossBetween val="between"/>
      </c:valAx>
      <c:catAx>
        <c:axId val="88922368"/>
        <c:scaling>
          <c:orientation val="minMax"/>
        </c:scaling>
        <c:delete val="1"/>
        <c:axPos val="b"/>
        <c:numFmt formatCode="General" sourceLinked="1"/>
        <c:tickLblPos val="none"/>
        <c:crossAx val="89329664"/>
        <c:crosses val="autoZero"/>
        <c:lblAlgn val="ctr"/>
        <c:lblOffset val="100"/>
      </c:catAx>
      <c:valAx>
        <c:axId val="89329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22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9365888"/>
        <c:axId val="89367680"/>
      </c:lineChart>
      <c:catAx>
        <c:axId val="893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67680"/>
        <c:crosses val="autoZero"/>
        <c:auto val="1"/>
        <c:lblAlgn val="ctr"/>
        <c:lblOffset val="100"/>
      </c:catAx>
      <c:valAx>
        <c:axId val="8936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0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9531520"/>
        <c:axId val="89533056"/>
      </c:lineChart>
      <c:catAx>
        <c:axId val="8953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33056"/>
        <c:crosses val="autoZero"/>
        <c:auto val="1"/>
        <c:lblAlgn val="ctr"/>
        <c:lblOffset val="100"/>
      </c:catAx>
      <c:valAx>
        <c:axId val="8953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3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2126720"/>
        <c:axId val="821282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2134144"/>
        <c:axId val="82135680"/>
      </c:lineChart>
      <c:catAx>
        <c:axId val="821267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28256"/>
        <c:crosses val="autoZero"/>
        <c:lblAlgn val="ctr"/>
        <c:lblOffset val="100"/>
        <c:tickMarkSkip val="1"/>
      </c:catAx>
      <c:valAx>
        <c:axId val="821282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26720"/>
        <c:crosses val="autoZero"/>
        <c:crossBetween val="between"/>
      </c:valAx>
      <c:catAx>
        <c:axId val="82134144"/>
        <c:scaling>
          <c:orientation val="minMax"/>
        </c:scaling>
        <c:delete val="1"/>
        <c:axPos val="b"/>
        <c:numFmt formatCode="[$-409]d\-mmm\-yy;@" sourceLinked="1"/>
        <c:tickLblPos val="none"/>
        <c:crossAx val="82135680"/>
        <c:crosses val="autoZero"/>
        <c:lblAlgn val="ctr"/>
        <c:lblOffset val="100"/>
      </c:catAx>
      <c:valAx>
        <c:axId val="821356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34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2884480"/>
        <c:axId val="1228860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2887552"/>
        <c:axId val="122901632"/>
      </c:lineChart>
      <c:catAx>
        <c:axId val="1228844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86016"/>
        <c:crosses val="autoZero"/>
        <c:lblAlgn val="ctr"/>
        <c:lblOffset val="100"/>
        <c:tickMarkSkip val="1"/>
      </c:catAx>
      <c:valAx>
        <c:axId val="12288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84480"/>
        <c:crosses val="autoZero"/>
        <c:crossBetween val="between"/>
      </c:valAx>
      <c:catAx>
        <c:axId val="122887552"/>
        <c:scaling>
          <c:orientation val="minMax"/>
        </c:scaling>
        <c:delete val="1"/>
        <c:axPos val="b"/>
        <c:numFmt formatCode="General" sourceLinked="1"/>
        <c:tickLblPos val="none"/>
        <c:crossAx val="122901632"/>
        <c:crosses val="autoZero"/>
        <c:lblAlgn val="ctr"/>
        <c:lblOffset val="100"/>
      </c:catAx>
      <c:valAx>
        <c:axId val="1229016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87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4943744"/>
        <c:axId val="1249496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4951168"/>
        <c:axId val="124952960"/>
      </c:lineChart>
      <c:catAx>
        <c:axId val="1249437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49632"/>
        <c:crosses val="autoZero"/>
        <c:lblAlgn val="ctr"/>
        <c:lblOffset val="100"/>
        <c:tickMarkSkip val="1"/>
      </c:catAx>
      <c:valAx>
        <c:axId val="124949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43744"/>
        <c:crosses val="autoZero"/>
        <c:crossBetween val="between"/>
      </c:valAx>
      <c:catAx>
        <c:axId val="124951168"/>
        <c:scaling>
          <c:orientation val="minMax"/>
        </c:scaling>
        <c:delete val="1"/>
        <c:axPos val="b"/>
        <c:numFmt formatCode="[$-409]d\-mmm\-yy;@" sourceLinked="1"/>
        <c:tickLblPos val="none"/>
        <c:crossAx val="124952960"/>
        <c:crosses val="autoZero"/>
        <c:lblAlgn val="ctr"/>
        <c:lblOffset val="100"/>
      </c:catAx>
      <c:valAx>
        <c:axId val="1249529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1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9448576"/>
        <c:axId val="1494501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9456000"/>
        <c:axId val="149457536"/>
      </c:lineChart>
      <c:catAx>
        <c:axId val="1494485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50112"/>
        <c:crosses val="autoZero"/>
        <c:lblAlgn val="ctr"/>
        <c:lblOffset val="100"/>
        <c:tickMarkSkip val="1"/>
      </c:catAx>
      <c:valAx>
        <c:axId val="14945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48576"/>
        <c:crosses val="autoZero"/>
        <c:crossBetween val="between"/>
      </c:valAx>
      <c:catAx>
        <c:axId val="149456000"/>
        <c:scaling>
          <c:orientation val="minMax"/>
        </c:scaling>
        <c:delete val="1"/>
        <c:axPos val="b"/>
        <c:numFmt formatCode="General" sourceLinked="1"/>
        <c:tickLblPos val="none"/>
        <c:crossAx val="149457536"/>
        <c:crosses val="autoZero"/>
        <c:lblAlgn val="ctr"/>
        <c:lblOffset val="100"/>
      </c:catAx>
      <c:valAx>
        <c:axId val="149457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56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964736"/>
        <c:axId val="158975104"/>
      </c:lineChart>
      <c:catAx>
        <c:axId val="158964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5104"/>
        <c:crosses val="autoZero"/>
        <c:auto val="1"/>
        <c:lblAlgn val="ctr"/>
        <c:lblOffset val="100"/>
      </c:catAx>
      <c:valAx>
        <c:axId val="158975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647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172096"/>
        <c:axId val="159174016"/>
      </c:lineChart>
      <c:catAx>
        <c:axId val="159172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74016"/>
        <c:crosses val="autoZero"/>
        <c:auto val="1"/>
        <c:lblAlgn val="ctr"/>
        <c:lblOffset val="100"/>
      </c:catAx>
      <c:valAx>
        <c:axId val="159174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72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506432"/>
        <c:axId val="159507968"/>
      </c:lineChart>
      <c:catAx>
        <c:axId val="15950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07968"/>
        <c:crosses val="autoZero"/>
        <c:auto val="1"/>
        <c:lblAlgn val="ctr"/>
        <c:lblOffset val="200"/>
        <c:tickLblSkip val="1"/>
      </c:catAx>
      <c:valAx>
        <c:axId val="159507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217152"/>
        <c:axId val="159218688"/>
      </c:lineChart>
      <c:catAx>
        <c:axId val="15921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18688"/>
        <c:crosses val="autoZero"/>
        <c:auto val="1"/>
        <c:lblAlgn val="ctr"/>
        <c:lblOffset val="100"/>
      </c:catAx>
      <c:valAx>
        <c:axId val="159218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1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2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-313456.44000000006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239168"/>
        <c:axId val="159449856"/>
      </c:lineChart>
      <c:catAx>
        <c:axId val="15923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49856"/>
        <c:crosses val="autoZero"/>
        <c:auto val="1"/>
        <c:lblAlgn val="ctr"/>
        <c:lblOffset val="100"/>
      </c:catAx>
      <c:valAx>
        <c:axId val="159449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3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957184"/>
        <c:axId val="160959104"/>
      </c:lineChart>
      <c:catAx>
        <c:axId val="160957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59104"/>
        <c:crosses val="autoZero"/>
        <c:auto val="1"/>
        <c:lblAlgn val="ctr"/>
        <c:lblOffset val="100"/>
      </c:catAx>
      <c:valAx>
        <c:axId val="160959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57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988160"/>
        <c:axId val="161010816"/>
      </c:lineChart>
      <c:catAx>
        <c:axId val="160988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10816"/>
        <c:crosses val="autoZero"/>
        <c:auto val="1"/>
        <c:lblAlgn val="ctr"/>
        <c:lblOffset val="100"/>
      </c:catAx>
      <c:valAx>
        <c:axId val="161010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881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158656"/>
        <c:axId val="161160192"/>
      </c:lineChart>
      <c:catAx>
        <c:axId val="16115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0192"/>
        <c:crosses val="autoZero"/>
        <c:auto val="1"/>
        <c:lblAlgn val="ctr"/>
        <c:lblOffset val="200"/>
        <c:tickLblSkip val="1"/>
      </c:catAx>
      <c:valAx>
        <c:axId val="1611601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205248"/>
        <c:axId val="161207040"/>
      </c:lineChart>
      <c:catAx>
        <c:axId val="16120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07040"/>
        <c:crosses val="autoZero"/>
        <c:auto val="1"/>
        <c:lblAlgn val="ctr"/>
        <c:lblOffset val="100"/>
      </c:catAx>
      <c:valAx>
        <c:axId val="1612070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0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2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-313456.44000000006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633024"/>
        <c:axId val="161634560"/>
      </c:lineChart>
      <c:catAx>
        <c:axId val="16163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4560"/>
        <c:crosses val="autoZero"/>
        <c:auto val="1"/>
        <c:lblAlgn val="ctr"/>
        <c:lblOffset val="100"/>
      </c:catAx>
      <c:valAx>
        <c:axId val="161634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744576"/>
        <c:axId val="162754944"/>
      </c:lineChart>
      <c:catAx>
        <c:axId val="16274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4944"/>
        <c:crosses val="autoZero"/>
        <c:auto val="1"/>
        <c:lblAlgn val="ctr"/>
        <c:lblOffset val="100"/>
      </c:catAx>
      <c:valAx>
        <c:axId val="162754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4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272000"/>
        <c:axId val="162273920"/>
      </c:lineChart>
      <c:catAx>
        <c:axId val="162272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3920"/>
        <c:crosses val="autoZero"/>
        <c:auto val="1"/>
        <c:lblAlgn val="ctr"/>
        <c:lblOffset val="100"/>
      </c:catAx>
      <c:valAx>
        <c:axId val="162273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2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315264"/>
        <c:axId val="162325248"/>
      </c:lineChart>
      <c:catAx>
        <c:axId val="16231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25248"/>
        <c:crosses val="autoZero"/>
        <c:auto val="1"/>
        <c:lblAlgn val="ctr"/>
        <c:lblOffset val="200"/>
        <c:tickLblSkip val="1"/>
      </c:catAx>
      <c:valAx>
        <c:axId val="1623252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1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259136"/>
        <c:axId val="163260672"/>
      </c:lineChart>
      <c:catAx>
        <c:axId val="1632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0672"/>
        <c:crosses val="autoZero"/>
        <c:auto val="1"/>
        <c:lblAlgn val="ctr"/>
        <c:lblOffset val="100"/>
      </c:catAx>
      <c:valAx>
        <c:axId val="16326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4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272960"/>
        <c:axId val="163311616"/>
      </c:lineChart>
      <c:catAx>
        <c:axId val="16327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11616"/>
        <c:crosses val="autoZero"/>
        <c:auto val="1"/>
        <c:lblAlgn val="ctr"/>
        <c:lblOffset val="100"/>
      </c:catAx>
      <c:valAx>
        <c:axId val="16331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7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090432"/>
        <c:axId val="163092352"/>
      </c:lineChart>
      <c:catAx>
        <c:axId val="163090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92352"/>
        <c:crosses val="autoZero"/>
        <c:auto val="1"/>
        <c:lblAlgn val="ctr"/>
        <c:lblOffset val="100"/>
      </c:catAx>
      <c:valAx>
        <c:axId val="163092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90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789056"/>
        <c:axId val="163803520"/>
      </c:lineChart>
      <c:catAx>
        <c:axId val="163789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3520"/>
        <c:crosses val="autoZero"/>
        <c:auto val="1"/>
        <c:lblAlgn val="ctr"/>
        <c:lblOffset val="100"/>
      </c:catAx>
      <c:valAx>
        <c:axId val="163803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9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836672"/>
        <c:axId val="163838208"/>
      </c:lineChart>
      <c:catAx>
        <c:axId val="1638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8208"/>
        <c:crosses val="autoZero"/>
        <c:auto val="1"/>
        <c:lblAlgn val="ctr"/>
        <c:lblOffset val="200"/>
        <c:tickLblSkip val="1"/>
      </c:catAx>
      <c:valAx>
        <c:axId val="163838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612928"/>
        <c:axId val="163622912"/>
      </c:lineChart>
      <c:catAx>
        <c:axId val="16361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2912"/>
        <c:crosses val="autoZero"/>
        <c:auto val="1"/>
        <c:lblAlgn val="ctr"/>
        <c:lblOffset val="100"/>
      </c:catAx>
      <c:valAx>
        <c:axId val="16362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1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4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114432"/>
        <c:axId val="164115968"/>
      </c:lineChart>
      <c:catAx>
        <c:axId val="1641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15968"/>
        <c:crosses val="autoZero"/>
        <c:auto val="1"/>
        <c:lblAlgn val="ctr"/>
        <c:lblOffset val="100"/>
      </c:catAx>
      <c:valAx>
        <c:axId val="16411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0</v>
      </c>
      <c r="F13" s="490" t="e">
        <f>('UTILITY REPORT 1'!E14*'UTILITY REPORT 1'!D14)/'UTILITY REPORT 1'!F14</f>
        <v>#DIV/0!</v>
      </c>
      <c r="G13" s="490" t="str">
        <f>IF('Utility summery'!M17&lt;0,"0",'Utility summery'!M17)</f>
        <v>0</v>
      </c>
      <c r="H13" s="499">
        <v>0</v>
      </c>
      <c r="I13" s="490" t="str">
        <f>IF('UTILITY REPORT 1'!G14&lt;0,"0",'UTILITY REPORT 1'!G14)</f>
        <v>0</v>
      </c>
      <c r="J13" s="499">
        <v>0</v>
      </c>
      <c r="K13" s="489">
        <f>'UTILITY REPORT 1'!C14</f>
        <v>0</v>
      </c>
      <c r="L13" s="491" t="e">
        <f>E13*F13+G13*H13+#REF!*#REF!+I13*J13</f>
        <v>#DIV/0!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0</v>
      </c>
      <c r="F14" s="490" t="e">
        <f>('UTILITY REPORT 1'!E15*'UTILITY REPORT 1'!D15)/'UTILITY REPORT 1'!F15</f>
        <v>#DIV/0!</v>
      </c>
      <c r="G14" s="490">
        <f>IF('Utility summery'!M18&lt;0,"0",'Utility summery'!M18)</f>
        <v>0</v>
      </c>
      <c r="H14" s="499">
        <v>0</v>
      </c>
      <c r="I14" s="490">
        <f>IF('UTILITY REPORT 1'!G15&lt;0,"0",'UTILITY REPORT 1'!G15)</f>
        <v>0</v>
      </c>
      <c r="J14" s="499">
        <v>0</v>
      </c>
      <c r="K14" s="489">
        <f>'UTILITY REPORT 1'!C15</f>
        <v>0</v>
      </c>
      <c r="L14" s="491" t="e">
        <f>E14*F14+G14*H14+#REF!*#REF!+I14*J14</f>
        <v>#DIV/0!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>
        <f>IF('Utility summery'!M19&lt;0,"0",'Utility summery'!M19)</f>
        <v>0</v>
      </c>
      <c r="H15" s="499">
        <v>0</v>
      </c>
      <c r="I15" s="490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 t="str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0</v>
      </c>
      <c r="F13" s="548">
        <f>'UTILITY REPORT 1'!E14</f>
        <v>0</v>
      </c>
      <c r="G13" s="549">
        <f>'UTILITY REPORT 1'!F14</f>
        <v>0</v>
      </c>
      <c r="H13" s="548" t="str">
        <f>IF('Kit report'!F15&lt;0,"0",'Kit report'!F15)</f>
        <v>0</v>
      </c>
      <c r="I13" s="548" t="str">
        <f>IF('Kit report'!X15&lt;0,"0",'Kit report'!X15)</f>
        <v>0</v>
      </c>
      <c r="J13" s="548" t="str">
        <f>IF('Utility summery'!H17&lt;0,"0",'Utility summery'!H17)</f>
        <v>0</v>
      </c>
      <c r="K13" s="549" t="str">
        <f>IF('UTILITY REPORT 1'!H14&lt;0,"0",'UTILITY REPORT 1'!H14)</f>
        <v>0</v>
      </c>
      <c r="L13" s="548" t="str">
        <f>'Water-Meter'!K17</f>
        <v>0</v>
      </c>
      <c r="M13" s="549" t="str">
        <f>'Water-Meter'!H17</f>
        <v>0</v>
      </c>
      <c r="N13" s="549" t="str">
        <f>'Water-Meter'!Q17</f>
        <v>0</v>
      </c>
      <c r="O13" s="548" t="e">
        <f>K13*E13+H13*I13+#REF!*#REF!+J13*L13</f>
        <v>#REF!</v>
      </c>
      <c r="P13" s="555" t="str">
        <f>'Water-Meter'!E17</f>
        <v>0</v>
      </c>
      <c r="Q13" s="291" t="str">
        <f>IF('Water-Meter'!U17&lt;0,"0",'Water-Meter'!U17)</f>
        <v>0</v>
      </c>
      <c r="R13" s="291" t="str">
        <f>IF('Water-Meter'!X17&lt;0,"0",'Water-Meter'!X17)</f>
        <v>0</v>
      </c>
      <c r="S13" s="291" t="str">
        <f>IF('Water-Meter'!AA17&lt;0,"0",'Water-Meter'!AA17)</f>
        <v>0</v>
      </c>
      <c r="T13" s="291" t="str">
        <f>IF('Water-Meter'!AD17&lt;0,"0",'Water-Meter'!AD17)</f>
        <v>0</v>
      </c>
      <c r="U13" s="291" t="str">
        <f>IF('Water-Meter'!AG17&lt;0,"0",'Water-Meter'!AG17)</f>
        <v>0</v>
      </c>
      <c r="V13" s="291" t="str">
        <f>IF('Water-Meter'!AJ17&lt;0,"0",'Water-Meter'!AJ17)</f>
        <v>0</v>
      </c>
      <c r="W13" s="31">
        <f>'Water-Meter'!AN17</f>
        <v>0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0</v>
      </c>
      <c r="G14" s="549">
        <f>'UTILITY REPORT 1'!F15</f>
        <v>0</v>
      </c>
      <c r="H14" s="548">
        <f>IF('Kit report'!F16&lt;0,"0",'Kit report'!F16)</f>
        <v>0</v>
      </c>
      <c r="I14" s="548">
        <f>IF('Kit report'!X16&lt;0,"0",'Kit report'!X16)</f>
        <v>0</v>
      </c>
      <c r="J14" s="548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0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>
        <f>IF('Kit report'!F17&lt;0,"0",'Kit report'!F17)</f>
        <v>0</v>
      </c>
      <c r="I15" s="548">
        <f>IF('Kit report'!X17&lt;0,"0",'Kit report'!X17)</f>
        <v>0</v>
      </c>
      <c r="J15" s="548">
        <f>IF('Utility summery'!H19&lt;0,"0",'Utility summery'!H19)</f>
        <v>0</v>
      </c>
      <c r="K15" s="549">
        <f>IF('UTILITY REPORT 1'!H16&lt;0,"0",'UTILITY REPORT 1'!H16)</f>
        <v>0</v>
      </c>
      <c r="L15" s="548">
        <f>'Water-Meter'!K19</f>
        <v>0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89" t="s">
        <v>305</v>
      </c>
      <c r="B1" s="789"/>
      <c r="C1" s="789"/>
      <c r="D1" s="789"/>
      <c r="E1" s="789"/>
      <c r="F1" s="789"/>
      <c r="G1" s="789"/>
      <c r="H1" s="789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0</v>
      </c>
      <c r="F14" s="477">
        <f>Gen!U22</f>
        <v>0</v>
      </c>
      <c r="G14" s="477" t="str">
        <f>'Water-Meter'!E17</f>
        <v>0</v>
      </c>
      <c r="H14" s="477">
        <f>'Utility report '!AC17</f>
        <v>-31947</v>
      </c>
      <c r="I14" s="477">
        <f>Gen!AK22</f>
        <v>0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0</v>
      </c>
      <c r="F15" s="477">
        <f>Gen!U23</f>
        <v>0</v>
      </c>
      <c r="G15" s="477">
        <f>'Water-Meter'!E18</f>
        <v>0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>
        <f>'Water-Meter'!E19</f>
        <v>0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0" t="s">
        <v>135</v>
      </c>
      <c r="E4" s="790"/>
      <c r="F4" s="790"/>
      <c r="G4" s="791" t="s">
        <v>20</v>
      </c>
      <c r="H4" s="791"/>
      <c r="I4" s="791"/>
      <c r="J4" s="792" t="s">
        <v>54</v>
      </c>
      <c r="K4" s="792"/>
      <c r="L4" s="792"/>
      <c r="M4" s="792"/>
      <c r="N4" s="793" t="s">
        <v>143</v>
      </c>
      <c r="O4" s="793"/>
      <c r="P4" s="793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-31947</v>
      </c>
      <c r="H17" s="182">
        <f>'Utility report '!AE17</f>
        <v>-201236</v>
      </c>
      <c r="I17" s="352" t="str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536">
        <f>'Lpg (2)'!G21</f>
        <v>-313456.44000000006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2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536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2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13489</v>
      </c>
      <c r="D39" s="545">
        <f>SUM(D7:D35)</f>
        <v>6547.170000000001</v>
      </c>
      <c r="E39" s="545">
        <f t="shared" ref="E39:S39" si="3">SUM(E7:E35)</f>
        <v>136.51</v>
      </c>
      <c r="F39" s="545">
        <f t="shared" si="3"/>
        <v>6683.68</v>
      </c>
      <c r="G39" s="545">
        <f t="shared" si="3"/>
        <v>-31574</v>
      </c>
      <c r="H39" s="545">
        <f t="shared" si="3"/>
        <v>-200803</v>
      </c>
      <c r="I39" s="545">
        <f t="shared" si="3"/>
        <v>408</v>
      </c>
      <c r="J39" s="545">
        <f t="shared" si="3"/>
        <v>850</v>
      </c>
      <c r="K39" s="545">
        <f t="shared" si="3"/>
        <v>830</v>
      </c>
      <c r="L39" s="545">
        <f t="shared" si="3"/>
        <v>317</v>
      </c>
      <c r="M39" s="545">
        <f t="shared" si="3"/>
        <v>-313165.51199999999</v>
      </c>
      <c r="N39" s="545">
        <f t="shared" si="3"/>
        <v>9166.0379999999986</v>
      </c>
      <c r="O39" s="545">
        <f t="shared" si="3"/>
        <v>191.11399999999998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F4" zoomScale="85" zoomScalePageLayoutView="85" workbookViewId="0">
      <selection activeCell="AD19" sqref="AD1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2" t="s">
        <v>318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4"/>
    </row>
    <row r="2" spans="1:37" ht="61.5" customHeight="1" thickBot="1">
      <c r="A2" s="150" t="s">
        <v>98</v>
      </c>
      <c r="B2" s="805" t="s">
        <v>99</v>
      </c>
      <c r="C2" s="806"/>
      <c r="D2" s="807"/>
      <c r="E2" s="151"/>
      <c r="F2" s="151"/>
      <c r="G2" s="151"/>
      <c r="H2" s="148" t="s">
        <v>124</v>
      </c>
      <c r="I2" s="338" t="s">
        <v>100</v>
      </c>
      <c r="J2" s="810" t="s">
        <v>122</v>
      </c>
      <c r="K2" s="493"/>
      <c r="L2" s="812" t="s">
        <v>123</v>
      </c>
      <c r="M2" s="492" t="s">
        <v>101</v>
      </c>
      <c r="N2" s="810" t="s">
        <v>102</v>
      </c>
      <c r="O2" s="794" t="s">
        <v>103</v>
      </c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339" t="s">
        <v>104</v>
      </c>
      <c r="AB2" s="805" t="s">
        <v>164</v>
      </c>
      <c r="AC2" s="807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8">
        <f>SUM(D3/B3)</f>
        <v>1.3262195121951219</v>
      </c>
      <c r="G3" s="809"/>
      <c r="H3" s="131">
        <f>Gen!D11</f>
        <v>43367.69</v>
      </c>
      <c r="I3" s="141"/>
      <c r="J3" s="810"/>
      <c r="K3" s="493" t="s">
        <v>165</v>
      </c>
      <c r="L3" s="812"/>
      <c r="M3" s="340" t="s">
        <v>111</v>
      </c>
      <c r="N3" s="810"/>
      <c r="O3" s="794" t="s">
        <v>112</v>
      </c>
      <c r="P3" s="795"/>
      <c r="Q3" s="795"/>
      <c r="R3" s="795"/>
      <c r="S3" s="796" t="s">
        <v>113</v>
      </c>
      <c r="T3" s="797"/>
      <c r="U3" s="797"/>
      <c r="V3" s="798"/>
      <c r="W3" s="799" t="s">
        <v>114</v>
      </c>
      <c r="X3" s="800"/>
      <c r="Y3" s="800"/>
      <c r="Z3" s="801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0"/>
      <c r="K4" s="493"/>
      <c r="L4" s="812"/>
      <c r="M4" s="143"/>
      <c r="N4" s="811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452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452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452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452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41</v>
      </c>
      <c r="O12" s="214"/>
      <c r="P12" s="452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452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452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452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452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452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37333.660000000003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451.94849247329876</v>
      </c>
      <c r="N15" s="203">
        <f>'Water-Meter'!E15</f>
        <v>51</v>
      </c>
      <c r="O15" s="214"/>
      <c r="P15" s="452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452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36681.33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452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452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36005.94</v>
      </c>
      <c r="I17" s="505">
        <f>Gen!F22</f>
        <v>10000</v>
      </c>
      <c r="J17" s="142">
        <f>Gen!T22</f>
        <v>0</v>
      </c>
      <c r="K17" s="142">
        <f>Gen!AK22</f>
        <v>0</v>
      </c>
      <c r="L17" s="142">
        <f t="shared" si="1"/>
        <v>0</v>
      </c>
      <c r="M17" s="535">
        <f>'Water-Meter'!K57</f>
        <v>473.35906902596753</v>
      </c>
      <c r="N17" s="203" t="str">
        <f>'Water-Meter'!E17</f>
        <v>0</v>
      </c>
      <c r="O17" s="214"/>
      <c r="P17" s="452"/>
      <c r="Q17" s="506">
        <f>SUM(P18-P16)</f>
        <v>-19030</v>
      </c>
      <c r="R17" s="507">
        <f t="shared" si="5"/>
        <v>0</v>
      </c>
      <c r="S17" s="452"/>
      <c r="T17" s="575"/>
      <c r="U17" s="506">
        <f t="shared" si="6"/>
        <v>-24499</v>
      </c>
      <c r="V17" s="508">
        <f t="shared" ref="V17:V36" si="18">SUM(U17*S17)</f>
        <v>0</v>
      </c>
      <c r="W17" s="452"/>
      <c r="X17" s="573"/>
      <c r="Y17" s="506">
        <f t="shared" si="8"/>
        <v>-16219</v>
      </c>
      <c r="Z17" s="508">
        <f t="shared" si="9"/>
        <v>0</v>
      </c>
      <c r="AA17" s="508">
        <f t="shared" si="10"/>
        <v>0</v>
      </c>
      <c r="AB17" s="574"/>
      <c r="AC17" s="138">
        <f t="shared" si="11"/>
        <v>-31947</v>
      </c>
      <c r="AD17" s="452"/>
      <c r="AE17" s="221">
        <f t="shared" si="15"/>
        <v>-201236</v>
      </c>
      <c r="AF17" s="317">
        <f>'Lpg (2)'!B21*2000/85</f>
        <v>0</v>
      </c>
      <c r="AG17" s="318">
        <f>'Lpg (2)'!C21*1000/85</f>
        <v>0</v>
      </c>
      <c r="AH17" s="319">
        <f>'Lpg (2)'!D21*1000/85</f>
        <v>0</v>
      </c>
      <c r="AI17" s="511">
        <f t="shared" si="17"/>
        <v>0</v>
      </c>
      <c r="AJ17" s="510">
        <f t="shared" si="4"/>
        <v>5223529.4117647065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36005.94</v>
      </c>
      <c r="I18" s="505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5">
        <f>'Water-Meter'!K58</f>
        <v>0</v>
      </c>
      <c r="N18" s="203">
        <f>'Water-Meter'!E18</f>
        <v>0</v>
      </c>
      <c r="O18" s="214"/>
      <c r="P18" s="452"/>
      <c r="Q18" s="506"/>
      <c r="R18" s="507">
        <f t="shared" si="5"/>
        <v>0</v>
      </c>
      <c r="S18" s="452"/>
      <c r="T18" s="575"/>
      <c r="U18" s="506">
        <f t="shared" si="6"/>
        <v>0</v>
      </c>
      <c r="V18" s="508">
        <f t="shared" si="18"/>
        <v>0</v>
      </c>
      <c r="W18" s="452"/>
      <c r="X18" s="573"/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/>
      <c r="AC18" s="138">
        <f t="shared" si="11"/>
        <v>0</v>
      </c>
      <c r="AD18" s="452"/>
      <c r="AE18" s="221">
        <f t="shared" si="15"/>
        <v>0</v>
      </c>
      <c r="AF18" s="317">
        <f>'Lpg (2)'!B22*2000/85</f>
        <v>0</v>
      </c>
      <c r="AG18" s="318">
        <f>'Lpg (2)'!C22*1000/85</f>
        <v>0</v>
      </c>
      <c r="AH18" s="319">
        <f>'Lpg (2)'!D22*1000/85</f>
        <v>0</v>
      </c>
      <c r="AI18" s="511">
        <f t="shared" si="17"/>
        <v>0</v>
      </c>
      <c r="AJ18" s="510">
        <f t="shared" si="4"/>
        <v>0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36005.94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0</v>
      </c>
      <c r="N19" s="203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0</v>
      </c>
      <c r="V19" s="508">
        <f t="shared" si="18"/>
        <v>0</v>
      </c>
      <c r="W19" s="452"/>
      <c r="X19" s="573"/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0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>
        <f t="shared" si="4"/>
        <v>0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36005.94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36005.94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36005.94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36005.94</v>
      </c>
      <c r="I23" s="505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36005.94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36005.94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36005.94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36005.94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36005.94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36005.94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36005.94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36005.94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36005.94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36005.94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36005.94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36005.94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36005.94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7225.2400000000007</v>
      </c>
      <c r="K37" s="165"/>
      <c r="L37" s="142">
        <f t="shared" si="1"/>
        <v>7225.2400000000007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8" sqref="W1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3" t="s">
        <v>150</v>
      </c>
      <c r="C1" s="814"/>
      <c r="D1" s="814"/>
      <c r="E1" s="814"/>
      <c r="F1" s="815"/>
      <c r="G1" s="189"/>
      <c r="H1" s="813" t="s">
        <v>151</v>
      </c>
      <c r="I1" s="814"/>
      <c r="J1" s="814"/>
      <c r="K1" s="814"/>
      <c r="L1" s="815"/>
      <c r="M1" s="813" t="s">
        <v>170</v>
      </c>
      <c r="N1" s="814"/>
      <c r="O1" s="814"/>
      <c r="P1" s="814"/>
      <c r="Q1" s="815"/>
      <c r="R1" s="189"/>
      <c r="T1" s="813" t="s">
        <v>166</v>
      </c>
      <c r="U1" s="814"/>
      <c r="V1" s="814"/>
      <c r="W1" s="814"/>
      <c r="X1" s="815"/>
      <c r="Y1" s="813" t="s">
        <v>169</v>
      </c>
      <c r="Z1" s="814"/>
      <c r="AA1" s="814"/>
      <c r="AB1" s="814"/>
      <c r="AC1" s="815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16" t="s">
        <v>156</v>
      </c>
      <c r="C3" s="817"/>
      <c r="D3" s="198"/>
      <c r="E3" s="735">
        <v>8666.6</v>
      </c>
      <c r="F3" s="736" t="s">
        <v>157</v>
      </c>
      <c r="G3" s="737"/>
      <c r="H3" s="816" t="s">
        <v>156</v>
      </c>
      <c r="I3" s="817"/>
      <c r="J3" s="290"/>
      <c r="K3" s="738">
        <f>'Water-Meter'!G5</f>
        <v>38000</v>
      </c>
      <c r="L3" s="290"/>
      <c r="M3" s="816" t="s">
        <v>156</v>
      </c>
      <c r="N3" s="817"/>
      <c r="O3" s="198"/>
      <c r="P3" s="739">
        <f>'Water-Meter'!J5</f>
        <v>7903</v>
      </c>
      <c r="Q3" s="197"/>
      <c r="R3" s="724"/>
      <c r="S3" s="725"/>
      <c r="T3" s="816" t="s">
        <v>156</v>
      </c>
      <c r="U3" s="817"/>
      <c r="V3" s="198"/>
      <c r="W3" s="740">
        <v>7804.5</v>
      </c>
      <c r="X3" s="741">
        <f t="shared" ref="X3:X35" si="0">(W3-V3)*200</f>
        <v>1560900</v>
      </c>
      <c r="Y3" s="816" t="s">
        <v>156</v>
      </c>
      <c r="Z3" s="817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637.52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/>
      <c r="F15" s="732">
        <f t="shared" si="2"/>
        <v>-1041095.9999999999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0</v>
      </c>
      <c r="L15" s="758">
        <f t="shared" si="4"/>
        <v>-38000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0</v>
      </c>
      <c r="Q15" s="758">
        <f t="shared" si="6"/>
        <v>-7908</v>
      </c>
      <c r="R15" s="784">
        <f t="shared" si="7"/>
        <v>-4.8965944272445823</v>
      </c>
      <c r="S15" s="785">
        <f>Gen!T22</f>
        <v>0</v>
      </c>
      <c r="T15" s="769">
        <f t="shared" si="12"/>
        <v>43963</v>
      </c>
      <c r="U15" s="726"/>
      <c r="V15" s="732">
        <f t="shared" si="8"/>
        <v>7805.1</v>
      </c>
      <c r="W15" s="728"/>
      <c r="X15" s="772">
        <f t="shared" si="0"/>
        <v>-1561020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0</v>
      </c>
      <c r="AC15" s="763">
        <f t="shared" si="9"/>
        <v>-20137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0</v>
      </c>
      <c r="E16" s="727"/>
      <c r="F16" s="732">
        <f>SUM(E16-D16)*120</f>
        <v>0</v>
      </c>
      <c r="G16" s="726"/>
      <c r="H16" s="752">
        <f t="shared" si="10"/>
        <v>43964</v>
      </c>
      <c r="I16" s="744"/>
      <c r="J16" s="726">
        <f t="shared" si="3"/>
        <v>0</v>
      </c>
      <c r="K16" s="731">
        <f>'Water-Meter'!G18</f>
        <v>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0</v>
      </c>
      <c r="P16" s="730">
        <f>'Water-Meter'!J18</f>
        <v>0</v>
      </c>
      <c r="Q16" s="758">
        <f t="shared" si="6"/>
        <v>0</v>
      </c>
      <c r="R16" s="784">
        <f t="shared" si="7"/>
        <v>0</v>
      </c>
      <c r="S16" s="785">
        <f>Gen!T23</f>
        <v>0</v>
      </c>
      <c r="T16" s="769">
        <f t="shared" si="12"/>
        <v>43964</v>
      </c>
      <c r="U16" s="726"/>
      <c r="V16" s="732">
        <f t="shared" si="8"/>
        <v>0</v>
      </c>
      <c r="W16" s="728"/>
      <c r="X16" s="772">
        <f t="shared" si="0"/>
        <v>0</v>
      </c>
      <c r="Y16" s="762">
        <f t="shared" si="13"/>
        <v>43964</v>
      </c>
      <c r="Z16" s="726"/>
      <c r="AA16" s="726">
        <f t="shared" si="14"/>
        <v>0</v>
      </c>
      <c r="AB16" s="730">
        <f>'Water-Meter'!P18</f>
        <v>0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0</v>
      </c>
      <c r="E17" s="727"/>
      <c r="F17" s="732">
        <f>SUM(E17-D17)*120</f>
        <v>0</v>
      </c>
      <c r="G17" s="726"/>
      <c r="H17" s="752">
        <f t="shared" si="10"/>
        <v>43965</v>
      </c>
      <c r="I17" s="744"/>
      <c r="J17" s="726">
        <f t="shared" si="3"/>
        <v>0</v>
      </c>
      <c r="K17" s="731">
        <f>'Water-Meter'!G19</f>
        <v>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0</v>
      </c>
      <c r="P17" s="730">
        <f>'Water-Meter'!J19</f>
        <v>0</v>
      </c>
      <c r="Q17" s="758">
        <f t="shared" si="6"/>
        <v>0</v>
      </c>
      <c r="R17" s="784">
        <f t="shared" si="7"/>
        <v>0</v>
      </c>
      <c r="S17" s="785">
        <f>Gen!T24</f>
        <v>0</v>
      </c>
      <c r="T17" s="769">
        <f t="shared" si="12"/>
        <v>43965</v>
      </c>
      <c r="U17" s="726"/>
      <c r="V17" s="732">
        <f t="shared" si="8"/>
        <v>0</v>
      </c>
      <c r="W17" s="728"/>
      <c r="X17" s="772">
        <f t="shared" si="0"/>
        <v>0</v>
      </c>
      <c r="Y17" s="762">
        <f t="shared" si="13"/>
        <v>43965</v>
      </c>
      <c r="Z17" s="726"/>
      <c r="AA17" s="726">
        <f t="shared" si="14"/>
        <v>0</v>
      </c>
      <c r="AB17" s="730">
        <f>'Water-Meter'!P19</f>
        <v>0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0</v>
      </c>
      <c r="E18" s="727"/>
      <c r="F18" s="732">
        <f t="shared" ref="F18:F22" si="15">SUM(E18-D18)*120</f>
        <v>0</v>
      </c>
      <c r="G18" s="726"/>
      <c r="H18" s="752">
        <f t="shared" si="10"/>
        <v>43966</v>
      </c>
      <c r="I18" s="744"/>
      <c r="J18" s="726">
        <f t="shared" si="3"/>
        <v>0</v>
      </c>
      <c r="K18" s="731">
        <f>'Water-Meter'!G20</f>
        <v>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0</v>
      </c>
      <c r="P18" s="730">
        <f>'Water-Meter'!J20</f>
        <v>0</v>
      </c>
      <c r="Q18" s="758">
        <f t="shared" si="6"/>
        <v>0</v>
      </c>
      <c r="R18" s="784">
        <f t="shared" si="7"/>
        <v>0</v>
      </c>
      <c r="S18" s="785">
        <f>Gen!T25</f>
        <v>0</v>
      </c>
      <c r="T18" s="769">
        <f t="shared" si="12"/>
        <v>43966</v>
      </c>
      <c r="U18" s="726"/>
      <c r="V18" s="732">
        <f t="shared" si="8"/>
        <v>0</v>
      </c>
      <c r="W18" s="728"/>
      <c r="X18" s="772">
        <f t="shared" si="0"/>
        <v>0</v>
      </c>
      <c r="Y18" s="762">
        <f t="shared" si="13"/>
        <v>43966</v>
      </c>
      <c r="Z18" s="726"/>
      <c r="AA18" s="726">
        <f t="shared" si="14"/>
        <v>0</v>
      </c>
      <c r="AB18" s="730">
        <f>'Water-Meter'!P20</f>
        <v>0</v>
      </c>
      <c r="AC18" s="763">
        <f>SUM(AB18-AA18)</f>
        <v>0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0</v>
      </c>
      <c r="E19" s="727"/>
      <c r="F19" s="732">
        <f t="shared" si="15"/>
        <v>0</v>
      </c>
      <c r="G19" s="726"/>
      <c r="H19" s="752">
        <f t="shared" si="10"/>
        <v>43967</v>
      </c>
      <c r="I19" s="745"/>
      <c r="J19" s="726">
        <f t="shared" si="3"/>
        <v>0</v>
      </c>
      <c r="K19" s="731">
        <f>'Water-Meter'!G21</f>
        <v>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0</v>
      </c>
      <c r="P19" s="730">
        <f>'Water-Meter'!J21</f>
        <v>0</v>
      </c>
      <c r="Q19" s="758">
        <f t="shared" si="6"/>
        <v>0</v>
      </c>
      <c r="R19" s="784">
        <f t="shared" si="7"/>
        <v>0</v>
      </c>
      <c r="S19" s="785">
        <f>Gen!T26</f>
        <v>0</v>
      </c>
      <c r="T19" s="769">
        <f t="shared" si="12"/>
        <v>43967</v>
      </c>
      <c r="U19" s="729"/>
      <c r="V19" s="732">
        <f t="shared" si="8"/>
        <v>0</v>
      </c>
      <c r="W19" s="728"/>
      <c r="X19" s="772">
        <f t="shared" si="0"/>
        <v>0</v>
      </c>
      <c r="Y19" s="762">
        <f t="shared" si="13"/>
        <v>43967</v>
      </c>
      <c r="Z19" s="729"/>
      <c r="AA19" s="726">
        <f t="shared" si="14"/>
        <v>0</v>
      </c>
      <c r="AB19" s="730">
        <f>'Water-Meter'!P21</f>
        <v>0</v>
      </c>
      <c r="AC19" s="763">
        <f t="shared" si="9"/>
        <v>0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0</v>
      </c>
      <c r="E20" s="727"/>
      <c r="F20" s="732">
        <f t="shared" si="15"/>
        <v>0</v>
      </c>
      <c r="G20" s="726"/>
      <c r="H20" s="752">
        <f t="shared" si="10"/>
        <v>43968</v>
      </c>
      <c r="I20" s="745"/>
      <c r="J20" s="726">
        <f t="shared" si="3"/>
        <v>0</v>
      </c>
      <c r="K20" s="731">
        <f>'Water-Meter'!G22</f>
        <v>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0</v>
      </c>
      <c r="P20" s="730">
        <f>'Water-Meter'!J22</f>
        <v>0</v>
      </c>
      <c r="Q20" s="758">
        <f t="shared" si="6"/>
        <v>0</v>
      </c>
      <c r="R20" s="784">
        <f t="shared" si="7"/>
        <v>0</v>
      </c>
      <c r="S20" s="785">
        <f>Gen!T27</f>
        <v>0</v>
      </c>
      <c r="T20" s="769">
        <f t="shared" si="12"/>
        <v>43968</v>
      </c>
      <c r="U20" s="729"/>
      <c r="V20" s="732">
        <f t="shared" si="8"/>
        <v>0</v>
      </c>
      <c r="W20" s="728"/>
      <c r="X20" s="772">
        <f t="shared" si="0"/>
        <v>0</v>
      </c>
      <c r="Y20" s="762">
        <f t="shared" si="13"/>
        <v>43968</v>
      </c>
      <c r="Z20" s="729"/>
      <c r="AA20" s="726">
        <f t="shared" si="14"/>
        <v>0</v>
      </c>
      <c r="AB20" s="730">
        <f>'Water-Meter'!P22</f>
        <v>0</v>
      </c>
      <c r="AC20" s="763">
        <f t="shared" si="9"/>
        <v>0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0</v>
      </c>
      <c r="E21" s="727"/>
      <c r="F21" s="732">
        <f t="shared" si="15"/>
        <v>0</v>
      </c>
      <c r="G21" s="726"/>
      <c r="H21" s="752">
        <f t="shared" si="10"/>
        <v>43969</v>
      </c>
      <c r="I21" s="745"/>
      <c r="J21" s="726">
        <f t="shared" si="3"/>
        <v>0</v>
      </c>
      <c r="K21" s="731">
        <f>'Water-Meter'!G23</f>
        <v>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0</v>
      </c>
      <c r="P21" s="730">
        <f>'Water-Meter'!J23</f>
        <v>0</v>
      </c>
      <c r="Q21" s="758">
        <f t="shared" si="6"/>
        <v>0</v>
      </c>
      <c r="R21" s="784">
        <f t="shared" ref="R21:R35" si="16">SUM(Q21/1615)</f>
        <v>0</v>
      </c>
      <c r="S21" s="785">
        <f>Gen!T28</f>
        <v>0</v>
      </c>
      <c r="T21" s="769">
        <f t="shared" si="12"/>
        <v>43969</v>
      </c>
      <c r="U21" s="729"/>
      <c r="V21" s="732">
        <f t="shared" si="8"/>
        <v>0</v>
      </c>
      <c r="W21" s="728"/>
      <c r="X21" s="772">
        <f t="shared" si="0"/>
        <v>0</v>
      </c>
      <c r="Y21" s="762">
        <f t="shared" si="13"/>
        <v>43969</v>
      </c>
      <c r="Z21" s="729"/>
      <c r="AA21" s="726">
        <f t="shared" si="14"/>
        <v>0</v>
      </c>
      <c r="AB21" s="730">
        <f>'Water-Meter'!P23</f>
        <v>0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0</v>
      </c>
      <c r="E22" s="727"/>
      <c r="F22" s="732">
        <f t="shared" si="15"/>
        <v>0</v>
      </c>
      <c r="G22" s="726"/>
      <c r="H22" s="752">
        <f t="shared" si="10"/>
        <v>43970</v>
      </c>
      <c r="I22" s="744"/>
      <c r="J22" s="726">
        <f t="shared" si="3"/>
        <v>0</v>
      </c>
      <c r="K22" s="731">
        <f>'Water-Meter'!G24</f>
        <v>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0</v>
      </c>
      <c r="P22" s="730">
        <f>'Water-Meter'!J24</f>
        <v>0</v>
      </c>
      <c r="Q22" s="758">
        <f t="shared" si="6"/>
        <v>0</v>
      </c>
      <c r="R22" s="784">
        <f t="shared" si="16"/>
        <v>0</v>
      </c>
      <c r="S22" s="785">
        <f>Gen!T29</f>
        <v>0</v>
      </c>
      <c r="T22" s="769">
        <f t="shared" si="12"/>
        <v>43970</v>
      </c>
      <c r="U22" s="726"/>
      <c r="V22" s="732">
        <f t="shared" si="8"/>
        <v>0</v>
      </c>
      <c r="W22" s="728"/>
      <c r="X22" s="772">
        <f t="shared" si="0"/>
        <v>0</v>
      </c>
      <c r="Y22" s="762">
        <f t="shared" si="13"/>
        <v>43970</v>
      </c>
      <c r="Z22" s="726"/>
      <c r="AA22" s="726">
        <f t="shared" si="14"/>
        <v>0</v>
      </c>
      <c r="AB22" s="730">
        <f>'Water-Meter'!P24</f>
        <v>0</v>
      </c>
      <c r="AC22" s="763">
        <f t="shared" si="9"/>
        <v>0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0</v>
      </c>
      <c r="E23" s="727"/>
      <c r="F23" s="732">
        <f t="shared" ref="F23:F34" si="17">SUM(E23-D23)*120</f>
        <v>0</v>
      </c>
      <c r="G23" s="726"/>
      <c r="H23" s="752">
        <f t="shared" si="10"/>
        <v>43971</v>
      </c>
      <c r="I23" s="745"/>
      <c r="J23" s="726">
        <f t="shared" si="3"/>
        <v>0</v>
      </c>
      <c r="K23" s="731">
        <f>'Water-Meter'!G25</f>
        <v>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0</v>
      </c>
      <c r="P23" s="730">
        <f>'Water-Meter'!J25</f>
        <v>0</v>
      </c>
      <c r="Q23" s="758">
        <f t="shared" si="6"/>
        <v>0</v>
      </c>
      <c r="R23" s="784">
        <f t="shared" si="16"/>
        <v>0</v>
      </c>
      <c r="S23" s="785">
        <f>Gen!T30</f>
        <v>0</v>
      </c>
      <c r="T23" s="769">
        <f t="shared" si="12"/>
        <v>43971</v>
      </c>
      <c r="U23" s="729"/>
      <c r="V23" s="732">
        <f t="shared" si="8"/>
        <v>0</v>
      </c>
      <c r="W23" s="728"/>
      <c r="X23" s="772">
        <f t="shared" si="0"/>
        <v>0</v>
      </c>
      <c r="Y23" s="762">
        <f t="shared" si="13"/>
        <v>43971</v>
      </c>
      <c r="Z23" s="729"/>
      <c r="AA23" s="726">
        <f t="shared" si="14"/>
        <v>0</v>
      </c>
      <c r="AB23" s="730">
        <f>'Water-Meter'!P25</f>
        <v>0</v>
      </c>
      <c r="AC23" s="763">
        <f t="shared" si="9"/>
        <v>0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0</v>
      </c>
      <c r="E24" s="727"/>
      <c r="F24" s="732">
        <f t="shared" si="17"/>
        <v>0</v>
      </c>
      <c r="G24" s="726"/>
      <c r="H24" s="752">
        <f t="shared" si="10"/>
        <v>43972</v>
      </c>
      <c r="I24" s="745"/>
      <c r="J24" s="726">
        <f t="shared" si="3"/>
        <v>0</v>
      </c>
      <c r="K24" s="731">
        <f>'Water-Meter'!G26</f>
        <v>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0</v>
      </c>
      <c r="P24" s="730">
        <f>'Water-Meter'!J26</f>
        <v>0</v>
      </c>
      <c r="Q24" s="758">
        <f t="shared" si="6"/>
        <v>0</v>
      </c>
      <c r="R24" s="784">
        <f t="shared" si="16"/>
        <v>0</v>
      </c>
      <c r="S24" s="785">
        <f>Gen!T31</f>
        <v>0</v>
      </c>
      <c r="T24" s="769">
        <v>5835.7</v>
      </c>
      <c r="U24" s="729"/>
      <c r="V24" s="732">
        <f t="shared" si="8"/>
        <v>0</v>
      </c>
      <c r="W24" s="728"/>
      <c r="X24" s="772">
        <f t="shared" si="0"/>
        <v>0</v>
      </c>
      <c r="Y24" s="762">
        <f t="shared" si="13"/>
        <v>5835.7</v>
      </c>
      <c r="Z24" s="729"/>
      <c r="AA24" s="726">
        <f t="shared" si="14"/>
        <v>0</v>
      </c>
      <c r="AB24" s="730">
        <f>'Water-Meter'!P26</f>
        <v>0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0</v>
      </c>
      <c r="E25" s="727"/>
      <c r="F25" s="732">
        <f t="shared" si="17"/>
        <v>0</v>
      </c>
      <c r="G25" s="726"/>
      <c r="H25" s="752">
        <f t="shared" si="10"/>
        <v>43973</v>
      </c>
      <c r="I25" s="745"/>
      <c r="J25" s="726">
        <f t="shared" si="3"/>
        <v>0</v>
      </c>
      <c r="K25" s="731">
        <f>'Water-Meter'!G27</f>
        <v>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0</v>
      </c>
      <c r="P25" s="730">
        <f>'Water-Meter'!J27</f>
        <v>0</v>
      </c>
      <c r="Q25" s="758">
        <f t="shared" si="6"/>
        <v>0</v>
      </c>
      <c r="R25" s="784">
        <f t="shared" si="16"/>
        <v>0</v>
      </c>
      <c r="S25" s="785">
        <f>Gen!T32</f>
        <v>0</v>
      </c>
      <c r="T25" s="769">
        <f t="shared" si="12"/>
        <v>43973</v>
      </c>
      <c r="U25" s="729"/>
      <c r="V25" s="732">
        <f t="shared" si="8"/>
        <v>0</v>
      </c>
      <c r="W25" s="728"/>
      <c r="X25" s="772">
        <f t="shared" si="0"/>
        <v>0</v>
      </c>
      <c r="Y25" s="762">
        <f t="shared" si="13"/>
        <v>43973</v>
      </c>
      <c r="Z25" s="729"/>
      <c r="AA25" s="726">
        <f t="shared" si="14"/>
        <v>0</v>
      </c>
      <c r="AB25" s="730">
        <f>'Water-Meter'!P27</f>
        <v>0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0</v>
      </c>
      <c r="E26" s="727"/>
      <c r="F26" s="732">
        <f t="shared" si="17"/>
        <v>0</v>
      </c>
      <c r="G26" s="726"/>
      <c r="H26" s="752">
        <f t="shared" si="10"/>
        <v>43974</v>
      </c>
      <c r="I26" s="745"/>
      <c r="J26" s="726">
        <f t="shared" si="3"/>
        <v>0</v>
      </c>
      <c r="K26" s="731">
        <f>'Water-Meter'!G28</f>
        <v>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0</v>
      </c>
      <c r="P26" s="730">
        <f>'Water-Meter'!J28</f>
        <v>0</v>
      </c>
      <c r="Q26" s="758">
        <f t="shared" si="6"/>
        <v>0</v>
      </c>
      <c r="R26" s="784">
        <f t="shared" si="16"/>
        <v>0</v>
      </c>
      <c r="S26" s="785">
        <f>Gen!T33</f>
        <v>0</v>
      </c>
      <c r="T26" s="769">
        <f t="shared" si="12"/>
        <v>43974</v>
      </c>
      <c r="U26" s="729"/>
      <c r="V26" s="732">
        <f t="shared" si="8"/>
        <v>0</v>
      </c>
      <c r="W26" s="728"/>
      <c r="X26" s="772">
        <f t="shared" si="0"/>
        <v>0</v>
      </c>
      <c r="Y26" s="762">
        <f t="shared" si="13"/>
        <v>43974</v>
      </c>
      <c r="Z26" s="729"/>
      <c r="AA26" s="726">
        <f t="shared" si="14"/>
        <v>0</v>
      </c>
      <c r="AB26" s="730">
        <f>'Water-Meter'!P28</f>
        <v>0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0</v>
      </c>
      <c r="E27" s="727"/>
      <c r="F27" s="732">
        <f t="shared" si="17"/>
        <v>0</v>
      </c>
      <c r="G27" s="726"/>
      <c r="H27" s="752">
        <f t="shared" si="10"/>
        <v>43975</v>
      </c>
      <c r="I27" s="745"/>
      <c r="J27" s="726">
        <f t="shared" si="3"/>
        <v>0</v>
      </c>
      <c r="K27" s="731">
        <f>'Water-Meter'!G29</f>
        <v>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0</v>
      </c>
      <c r="P27" s="730">
        <f>'Water-Meter'!J29</f>
        <v>0</v>
      </c>
      <c r="Q27" s="758">
        <f t="shared" si="6"/>
        <v>0</v>
      </c>
      <c r="R27" s="784">
        <f t="shared" si="16"/>
        <v>0</v>
      </c>
      <c r="S27" s="785">
        <f>Gen!T34</f>
        <v>0</v>
      </c>
      <c r="T27" s="769">
        <f t="shared" si="12"/>
        <v>43975</v>
      </c>
      <c r="U27" s="729"/>
      <c r="V27" s="732">
        <f t="shared" si="8"/>
        <v>0</v>
      </c>
      <c r="W27" s="728"/>
      <c r="X27" s="772">
        <f t="shared" si="0"/>
        <v>0</v>
      </c>
      <c r="Y27" s="762">
        <f t="shared" si="13"/>
        <v>43975</v>
      </c>
      <c r="Z27" s="729"/>
      <c r="AA27" s="726">
        <f t="shared" si="14"/>
        <v>0</v>
      </c>
      <c r="AB27" s="730">
        <f>'Water-Meter'!P29</f>
        <v>0</v>
      </c>
      <c r="AC27" s="763">
        <f t="shared" si="9"/>
        <v>0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8" t="s">
        <v>316</v>
      </c>
      <c r="B2" s="819"/>
      <c r="C2" s="819"/>
      <c r="D2" s="819"/>
      <c r="E2" s="82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37333.660000000003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36681.33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-150889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0</v>
      </c>
      <c r="I16" s="87">
        <f t="shared" si="1"/>
        <v>652.33000000000004</v>
      </c>
      <c r="J16" s="533">
        <f>Gen!D22</f>
        <v>36005.94</v>
      </c>
      <c r="K16" s="351" t="str">
        <f>'Water-Meter'!E17</f>
        <v>0</v>
      </c>
      <c r="L16" s="534">
        <f>'Lpg (2)'!G21</f>
        <v>-313456.44000000006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0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36005.94</v>
      </c>
      <c r="K17" s="351">
        <f>'Water-Meter'!E18</f>
        <v>0</v>
      </c>
      <c r="L17" s="534">
        <f>'Lpg (2)'!G22</f>
        <v>0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0</v>
      </c>
      <c r="C18" s="89">
        <f>Gen!C24</f>
        <v>0</v>
      </c>
      <c r="D18" s="519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3">
        <f>Gen!D24</f>
        <v>36005.94</v>
      </c>
      <c r="K18" s="351">
        <f>'Water-Meter'!E19</f>
        <v>0</v>
      </c>
      <c r="L18" s="534">
        <f>'Lpg (2)'!G23</f>
        <v>0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3">
        <f>Gen!D25</f>
        <v>36005.94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36005.94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36005.94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36005.94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36005.94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36005.94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36005.94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36005.94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36005.94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36005.94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36005.94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36005.94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36005.94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36005.94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36005.94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36005.94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36005.94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36005.94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AB19" sqref="AB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1">
        <v>43952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20"/>
    </row>
    <row r="2" spans="1:29" ht="12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3" t="s">
        <v>299</v>
      </c>
      <c r="L3" s="824"/>
      <c r="M3" s="825"/>
      <c r="N3" s="823" t="s">
        <v>300</v>
      </c>
      <c r="O3" s="824"/>
      <c r="P3" s="825"/>
      <c r="Q3" s="823" t="s">
        <v>301</v>
      </c>
      <c r="R3" s="824"/>
      <c r="S3" s="825"/>
      <c r="T3" s="823" t="s">
        <v>302</v>
      </c>
      <c r="U3" s="824"/>
      <c r="V3" s="825"/>
      <c r="W3" s="823" t="s">
        <v>303</v>
      </c>
      <c r="X3" s="824"/>
      <c r="Y3" s="825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/>
      <c r="J17" s="364"/>
      <c r="K17" s="363">
        <f t="shared" si="0"/>
        <v>34378</v>
      </c>
      <c r="L17" s="364"/>
      <c r="M17" s="363">
        <f t="shared" si="1"/>
        <v>-34378</v>
      </c>
      <c r="N17" s="365">
        <f t="shared" si="2"/>
        <v>29499</v>
      </c>
      <c r="O17" s="364"/>
      <c r="P17" s="363">
        <f t="shared" si="3"/>
        <v>-29499</v>
      </c>
      <c r="Q17" s="363">
        <f t="shared" si="4"/>
        <v>34808</v>
      </c>
      <c r="R17" s="364"/>
      <c r="S17" s="363">
        <f t="shared" si="5"/>
        <v>-34808</v>
      </c>
      <c r="T17" s="363">
        <f t="shared" si="6"/>
        <v>32182</v>
      </c>
      <c r="U17" s="364"/>
      <c r="V17" s="363">
        <f t="shared" si="7"/>
        <v>-32182</v>
      </c>
      <c r="W17" s="365">
        <f t="shared" si="8"/>
        <v>20022</v>
      </c>
      <c r="X17" s="364"/>
      <c r="Y17" s="363">
        <f t="shared" si="9"/>
        <v>-20022</v>
      </c>
      <c r="Z17" s="366">
        <f t="shared" si="10"/>
        <v>-150889</v>
      </c>
      <c r="AA17" s="128"/>
      <c r="AB17" s="128"/>
      <c r="AC17" s="315">
        <f>Gen!T22</f>
        <v>0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/>
      <c r="D18" s="364"/>
      <c r="E18" s="364"/>
      <c r="F18" s="364"/>
      <c r="G18" s="364"/>
      <c r="H18" s="364"/>
      <c r="I18" s="364"/>
      <c r="J18" s="364"/>
      <c r="K18" s="363">
        <f t="shared" si="0"/>
        <v>0</v>
      </c>
      <c r="L18" s="364"/>
      <c r="M18" s="363">
        <f t="shared" si="1"/>
        <v>0</v>
      </c>
      <c r="N18" s="365">
        <f t="shared" si="2"/>
        <v>0</v>
      </c>
      <c r="O18" s="364"/>
      <c r="P18" s="363">
        <f t="shared" si="3"/>
        <v>0</v>
      </c>
      <c r="Q18" s="363">
        <f t="shared" si="4"/>
        <v>0</v>
      </c>
      <c r="R18" s="364"/>
      <c r="S18" s="363">
        <f t="shared" si="5"/>
        <v>0</v>
      </c>
      <c r="T18" s="363">
        <f t="shared" si="6"/>
        <v>0</v>
      </c>
      <c r="U18" s="364"/>
      <c r="V18" s="363">
        <f t="shared" si="7"/>
        <v>0</v>
      </c>
      <c r="W18" s="365">
        <f t="shared" si="8"/>
        <v>0</v>
      </c>
      <c r="X18" s="364"/>
      <c r="Y18" s="363">
        <f t="shared" si="9"/>
        <v>0</v>
      </c>
      <c r="Z18" s="366">
        <f t="shared" si="10"/>
        <v>0</v>
      </c>
      <c r="AA18" s="128"/>
      <c r="AB18" s="128"/>
      <c r="AC18" s="315">
        <f>Gen!T23</f>
        <v>0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/>
      <c r="D19" s="364"/>
      <c r="E19" s="364"/>
      <c r="F19" s="364"/>
      <c r="G19" s="364"/>
      <c r="H19" s="364"/>
      <c r="I19" s="364"/>
      <c r="J19" s="364"/>
      <c r="K19" s="363">
        <f t="shared" si="0"/>
        <v>0</v>
      </c>
      <c r="L19" s="364"/>
      <c r="M19" s="363">
        <f t="shared" si="1"/>
        <v>0</v>
      </c>
      <c r="N19" s="365">
        <f t="shared" si="2"/>
        <v>0</v>
      </c>
      <c r="O19" s="364"/>
      <c r="P19" s="363">
        <f t="shared" si="3"/>
        <v>0</v>
      </c>
      <c r="Q19" s="363">
        <f t="shared" si="4"/>
        <v>0</v>
      </c>
      <c r="R19" s="364"/>
      <c r="S19" s="363">
        <f t="shared" si="5"/>
        <v>0</v>
      </c>
      <c r="T19" s="363">
        <f t="shared" si="6"/>
        <v>0</v>
      </c>
      <c r="U19" s="364"/>
      <c r="V19" s="363">
        <f t="shared" si="7"/>
        <v>0</v>
      </c>
      <c r="W19" s="365">
        <f t="shared" si="8"/>
        <v>0</v>
      </c>
      <c r="X19" s="364"/>
      <c r="Y19" s="363">
        <f t="shared" si="9"/>
        <v>0</v>
      </c>
      <c r="Z19" s="366">
        <f t="shared" si="10"/>
        <v>0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abSelected="1" topLeftCell="A16" zoomScale="110" zoomScaleNormal="110" workbookViewId="0">
      <pane xSplit="2" topLeftCell="C1" activePane="topRight" state="frozen"/>
      <selection pane="topRight" activeCell="I38" sqref="I38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9.28515625" style="497" customWidth="1"/>
    <col min="15" max="15" width="14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2"/>
      <c r="C1" s="832"/>
    </row>
    <row r="2" spans="2:47" ht="26.25">
      <c r="B2" s="832"/>
      <c r="C2" s="832"/>
      <c r="E2" s="833" t="s">
        <v>314</v>
      </c>
      <c r="F2" s="833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834"/>
    </row>
    <row r="3" spans="2:47">
      <c r="B3" s="832"/>
      <c r="C3" s="832"/>
      <c r="L3" s="226"/>
      <c r="R3" s="226"/>
    </row>
    <row r="4" spans="2:47">
      <c r="B4" s="832"/>
      <c r="C4" s="832"/>
      <c r="L4" s="226"/>
      <c r="R4" s="226"/>
    </row>
    <row r="5" spans="2:47" ht="12" thickBot="1">
      <c r="B5" s="832"/>
      <c r="C5" s="83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2"/>
      <c r="C6" s="832"/>
      <c r="D6" s="231"/>
      <c r="G6" s="841" t="s">
        <v>57</v>
      </c>
      <c r="H6" s="842"/>
      <c r="I6" s="842"/>
      <c r="J6" s="842"/>
      <c r="K6" s="842"/>
      <c r="L6" s="842"/>
      <c r="M6" s="84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5" t="s">
        <v>201</v>
      </c>
      <c r="H7" s="836"/>
      <c r="I7" s="836"/>
      <c r="J7" s="836"/>
      <c r="K7" s="836"/>
      <c r="L7" s="836"/>
      <c r="M7" s="837"/>
      <c r="N7" s="838" t="s">
        <v>40</v>
      </c>
      <c r="O7" s="839"/>
      <c r="P7" s="839"/>
      <c r="Q7" s="839"/>
      <c r="R7" s="839"/>
      <c r="S7" s="840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354"/>
      <c r="O16" s="254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38768.69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3">
        <v>43960</v>
      </c>
      <c r="C19" s="710"/>
      <c r="D19" s="719">
        <f t="shared" si="6"/>
        <v>37995.760000000002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37995.760000000002</v>
      </c>
    </row>
    <row r="20" spans="2:47" ht="14.25">
      <c r="B20" s="723">
        <v>43961</v>
      </c>
      <c r="C20" s="710"/>
      <c r="D20" s="719">
        <f t="shared" si="6"/>
        <v>37333.660000000003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37333.660000000003</v>
      </c>
    </row>
    <row r="21" spans="2:47" ht="14.25">
      <c r="B21" s="723">
        <v>43962</v>
      </c>
      <c r="C21" s="710"/>
      <c r="D21" s="719">
        <f t="shared" si="6"/>
        <v>36681.33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36681.33</v>
      </c>
    </row>
    <row r="22" spans="2:47" ht="14.25">
      <c r="B22" s="723">
        <v>43963</v>
      </c>
      <c r="C22" s="710"/>
      <c r="D22" s="719">
        <f t="shared" si="6"/>
        <v>36005.94</v>
      </c>
      <c r="E22" s="271"/>
      <c r="F22" s="718">
        <v>10000</v>
      </c>
      <c r="G22" s="788" t="s">
        <v>312</v>
      </c>
      <c r="H22" s="691"/>
      <c r="I22" s="252"/>
      <c r="J22" s="272"/>
      <c r="K22" s="252"/>
      <c r="L22" s="252"/>
      <c r="M22" s="654"/>
      <c r="N22" s="354"/>
      <c r="O22" s="354"/>
      <c r="P22" s="254"/>
      <c r="Q22" s="254"/>
      <c r="R22" s="254"/>
      <c r="S22" s="696"/>
      <c r="T22" s="704">
        <f t="shared" si="0"/>
        <v>0</v>
      </c>
      <c r="U22" s="266">
        <f t="shared" si="1"/>
        <v>0</v>
      </c>
      <c r="V22" s="705" t="e">
        <f t="shared" si="4"/>
        <v>#DIV/0!</v>
      </c>
      <c r="W22" s="259"/>
      <c r="X22" s="267"/>
      <c r="Y22" s="243"/>
      <c r="Z22" s="267"/>
      <c r="AA22" s="252"/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7">
        <f t="shared" si="5"/>
        <v>36005.94</v>
      </c>
    </row>
    <row r="23" spans="2:47" ht="14.25">
      <c r="B23" s="723">
        <v>43964</v>
      </c>
      <c r="C23" s="710"/>
      <c r="D23" s="719">
        <f t="shared" si="6"/>
        <v>36005.94</v>
      </c>
      <c r="E23" s="271"/>
      <c r="F23" s="718"/>
      <c r="G23" s="712"/>
      <c r="H23" s="691"/>
      <c r="I23" s="267"/>
      <c r="J23" s="272"/>
      <c r="K23" s="252"/>
      <c r="L23" s="252"/>
      <c r="M23" s="654"/>
      <c r="N23" s="354"/>
      <c r="O23" s="254"/>
      <c r="P23" s="254"/>
      <c r="Q23" s="254"/>
      <c r="R23" s="254"/>
      <c r="S23" s="696"/>
      <c r="T23" s="704">
        <f t="shared" si="0"/>
        <v>0</v>
      </c>
      <c r="U23" s="266">
        <f t="shared" si="1"/>
        <v>0</v>
      </c>
      <c r="V23" s="705" t="e">
        <f t="shared" si="4"/>
        <v>#DIV/0!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7">
        <f t="shared" si="5"/>
        <v>36005.94</v>
      </c>
    </row>
    <row r="24" spans="2:47" ht="14.25">
      <c r="B24" s="723">
        <v>43965</v>
      </c>
      <c r="C24" s="710"/>
      <c r="D24" s="719">
        <f t="shared" si="6"/>
        <v>36005.94</v>
      </c>
      <c r="E24" s="251"/>
      <c r="F24" s="718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36005.94</v>
      </c>
    </row>
    <row r="25" spans="2:47" ht="14.25">
      <c r="B25" s="723">
        <v>43966</v>
      </c>
      <c r="C25" s="710"/>
      <c r="D25" s="719">
        <f t="shared" si="6"/>
        <v>36005.94</v>
      </c>
      <c r="E25" s="271"/>
      <c r="F25" s="718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36005.94</v>
      </c>
    </row>
    <row r="26" spans="2:47" ht="14.25">
      <c r="B26" s="723">
        <v>43967</v>
      </c>
      <c r="C26" s="710"/>
      <c r="D26" s="719">
        <f t="shared" si="6"/>
        <v>36005.94</v>
      </c>
      <c r="E26" s="271"/>
      <c r="F26" s="718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36005.94</v>
      </c>
    </row>
    <row r="27" spans="2:47" ht="14.25">
      <c r="B27" s="723">
        <v>43968</v>
      </c>
      <c r="C27" s="710"/>
      <c r="D27" s="719">
        <f t="shared" si="6"/>
        <v>36005.94</v>
      </c>
      <c r="E27" s="271"/>
      <c r="F27" s="718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36005.94</v>
      </c>
    </row>
    <row r="28" spans="2:47" ht="14.25">
      <c r="B28" s="723">
        <v>43969</v>
      </c>
      <c r="C28" s="710"/>
      <c r="D28" s="719">
        <f t="shared" si="6"/>
        <v>36005.94</v>
      </c>
      <c r="E28" s="271"/>
      <c r="F28" s="718"/>
      <c r="G28" s="712"/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36005.94</v>
      </c>
    </row>
    <row r="29" spans="2:47" ht="14.25">
      <c r="B29" s="723">
        <v>43970</v>
      </c>
      <c r="C29" s="710"/>
      <c r="D29" s="719">
        <f t="shared" si="6"/>
        <v>36005.94</v>
      </c>
      <c r="E29" s="271"/>
      <c r="F29" s="718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36005.94</v>
      </c>
    </row>
    <row r="30" spans="2:47" ht="14.25">
      <c r="B30" s="723">
        <v>43971</v>
      </c>
      <c r="C30" s="710"/>
      <c r="D30" s="719">
        <f t="shared" si="6"/>
        <v>36005.94</v>
      </c>
      <c r="E30" s="271"/>
      <c r="F30" s="718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36005.94</v>
      </c>
    </row>
    <row r="31" spans="2:47" ht="14.25">
      <c r="B31" s="723">
        <v>43972</v>
      </c>
      <c r="C31" s="710"/>
      <c r="D31" s="719">
        <f t="shared" si="6"/>
        <v>36005.94</v>
      </c>
      <c r="E31" s="271"/>
      <c r="F31" s="718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36005.94</v>
      </c>
    </row>
    <row r="32" spans="2:47" ht="14.25">
      <c r="B32" s="723">
        <v>43973</v>
      </c>
      <c r="C32" s="710"/>
      <c r="D32" s="719">
        <f t="shared" si="6"/>
        <v>36005.94</v>
      </c>
      <c r="E32" s="271"/>
      <c r="F32" s="718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36005.94</v>
      </c>
    </row>
    <row r="33" spans="2:48" ht="14.25">
      <c r="B33" s="723">
        <v>43974</v>
      </c>
      <c r="C33" s="710"/>
      <c r="D33" s="719">
        <f t="shared" si="6"/>
        <v>36005.94</v>
      </c>
      <c r="E33" s="271"/>
      <c r="F33" s="718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36005.94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36005.94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36005.94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36005.94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36005.94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36005.94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36005.94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36005.94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36005.94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36005.94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36005.94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36005.94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36005.94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36005.94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36005.94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36005.94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36005.94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36005.94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36005.94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36005.94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36005.94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0</v>
      </c>
      <c r="F45" s="372">
        <f>SUM(F11:F42)</f>
        <v>25000</v>
      </c>
      <c r="G45" s="373">
        <f t="shared" ref="G45" si="9">SUM(G11:G44)</f>
        <v>0</v>
      </c>
      <c r="H45" s="372">
        <f>SUM(H11:H44)</f>
        <v>2037.4599999999998</v>
      </c>
      <c r="I45" s="367">
        <f t="shared" ref="I45:P45" si="10">SUM(I11:I44)</f>
        <v>3098.71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2089.0700000000002</v>
      </c>
      <c r="N45" s="372">
        <f t="shared" si="10"/>
        <v>5100</v>
      </c>
      <c r="O45" s="684">
        <f t="shared" si="10"/>
        <v>5051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4958</v>
      </c>
      <c r="T45" s="681">
        <f t="shared" si="0"/>
        <v>7225.24</v>
      </c>
      <c r="U45" s="367">
        <f>SUM(N45:S45)</f>
        <v>15109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54.08</v>
      </c>
      <c r="Z45" s="283">
        <f t="shared" si="11"/>
        <v>2.33</v>
      </c>
      <c r="AA45" s="676">
        <f t="shared" si="11"/>
        <v>80.099999999999994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136.51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7361.75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16726430.6</v>
      </c>
      <c r="V47" s="377" t="s">
        <v>244</v>
      </c>
      <c r="AS47" s="644">
        <f>AS45*2143</f>
        <v>15776230.25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7307.309130624727</v>
      </c>
      <c r="V48" s="377" t="s">
        <v>245</v>
      </c>
      <c r="X48" s="236"/>
      <c r="Y48" s="236"/>
      <c r="Z48" s="236"/>
      <c r="AA48" s="236"/>
      <c r="AB48" s="236"/>
      <c r="AS48" s="376">
        <f>AS47/2289</f>
        <v>6892.1932066404543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6" t="s">
        <v>241</v>
      </c>
      <c r="D50" s="827"/>
      <c r="E50" s="827"/>
      <c r="F50" s="827"/>
      <c r="G50" s="828"/>
      <c r="H50" s="655"/>
      <c r="I50" s="829" t="s">
        <v>213</v>
      </c>
      <c r="J50" s="830"/>
      <c r="K50" s="830"/>
      <c r="L50" s="830"/>
      <c r="M50" s="831"/>
      <c r="N50" s="655"/>
      <c r="O50" s="844" t="s">
        <v>311</v>
      </c>
      <c r="P50" s="845"/>
      <c r="Q50" s="845"/>
      <c r="R50" s="845"/>
      <c r="S50" s="846"/>
      <c r="U50" s="847" t="s">
        <v>226</v>
      </c>
      <c r="V50" s="848"/>
      <c r="W50" s="848"/>
      <c r="X50" s="848"/>
      <c r="Y50" s="848"/>
      <c r="Z50" s="849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24" sqref="D24:D2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1"/>
      <c r="D6" s="852"/>
      <c r="E6" s="853"/>
      <c r="F6" s="853"/>
      <c r="G6" s="49" t="s">
        <v>4</v>
      </c>
      <c r="H6" s="47" t="s">
        <v>14</v>
      </c>
      <c r="I6" s="42"/>
      <c r="J6" s="116"/>
    </row>
    <row r="7" spans="1:15" ht="18" customHeight="1">
      <c r="A7" s="85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5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/>
      <c r="C21" s="321"/>
      <c r="D21" s="321"/>
      <c r="E21" s="321"/>
      <c r="F21" s="321"/>
      <c r="G21" s="321">
        <f t="shared" si="0"/>
        <v>-313456.44000000006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/>
      <c r="C22" s="321"/>
      <c r="D22" s="321"/>
      <c r="E22" s="321"/>
      <c r="F22" s="321"/>
      <c r="G22" s="321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0" t="s">
        <v>6</v>
      </c>
      <c r="D42" s="850"/>
      <c r="E42" s="2">
        <f t="shared" ref="E42:F42" si="4">SUM(E10:E40)</f>
        <v>0</v>
      </c>
      <c r="F42" s="2">
        <f t="shared" si="4"/>
        <v>783235.51000000013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W16" sqref="W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315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7" t="s">
        <v>52</v>
      </c>
      <c r="D2" s="857"/>
      <c r="E2" s="857"/>
      <c r="F2" s="857" t="s">
        <v>17</v>
      </c>
      <c r="G2" s="857"/>
      <c r="H2" s="857"/>
      <c r="I2" s="857" t="s">
        <v>131</v>
      </c>
      <c r="J2" s="857"/>
      <c r="K2" s="857"/>
      <c r="L2" s="857" t="s">
        <v>134</v>
      </c>
      <c r="M2" s="857"/>
      <c r="N2" s="857"/>
      <c r="O2" s="857" t="s">
        <v>132</v>
      </c>
      <c r="P2" s="857"/>
      <c r="Q2" s="857"/>
      <c r="R2" s="301"/>
      <c r="S2" s="868" t="s">
        <v>181</v>
      </c>
      <c r="T2" s="869"/>
      <c r="U2" s="870"/>
      <c r="V2" s="868" t="s">
        <v>182</v>
      </c>
      <c r="W2" s="869"/>
      <c r="X2" s="870"/>
      <c r="Y2" s="868" t="s">
        <v>183</v>
      </c>
      <c r="Z2" s="869"/>
      <c r="AA2" s="870"/>
      <c r="AB2" s="868" t="s">
        <v>184</v>
      </c>
      <c r="AC2" s="869"/>
      <c r="AD2" s="870"/>
      <c r="AE2" s="862" t="s">
        <v>239</v>
      </c>
      <c r="AF2" s="863"/>
      <c r="AG2" s="874"/>
      <c r="AH2" s="862" t="s">
        <v>243</v>
      </c>
      <c r="AI2" s="863"/>
      <c r="AJ2" s="874"/>
      <c r="AK2" s="862" t="s">
        <v>240</v>
      </c>
      <c r="AL2" s="863"/>
      <c r="AM2" s="863"/>
      <c r="AN2" s="866" t="s">
        <v>189</v>
      </c>
    </row>
    <row r="3" spans="1:40" ht="21.75" customHeight="1" thickBot="1">
      <c r="A3" s="858" t="s">
        <v>7</v>
      </c>
      <c r="B3" s="30"/>
      <c r="C3" s="857" t="s">
        <v>133</v>
      </c>
      <c r="D3" s="857" t="s">
        <v>15</v>
      </c>
      <c r="E3" s="857" t="s">
        <v>16</v>
      </c>
      <c r="F3" s="857" t="s">
        <v>133</v>
      </c>
      <c r="G3" s="857" t="s">
        <v>15</v>
      </c>
      <c r="H3" s="857" t="s">
        <v>16</v>
      </c>
      <c r="I3" s="857" t="s">
        <v>133</v>
      </c>
      <c r="J3" s="857" t="s">
        <v>15</v>
      </c>
      <c r="K3" s="857" t="s">
        <v>16</v>
      </c>
      <c r="L3" s="857" t="s">
        <v>133</v>
      </c>
      <c r="M3" s="857" t="s">
        <v>15</v>
      </c>
      <c r="N3" s="857" t="s">
        <v>16</v>
      </c>
      <c r="O3" s="857" t="s">
        <v>133</v>
      </c>
      <c r="P3" s="857" t="s">
        <v>15</v>
      </c>
      <c r="Q3" s="857" t="s">
        <v>16</v>
      </c>
      <c r="R3" s="876" t="s">
        <v>185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9"/>
      <c r="B4" s="293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  <c r="R4" s="876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 t="str">
        <f t="shared" si="23"/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/>
      <c r="E17" s="567" t="str">
        <f>IF((D17-D16)&lt;0,"0",(D17-D16))</f>
        <v>0</v>
      </c>
      <c r="F17" s="98">
        <f t="shared" si="2"/>
        <v>38000</v>
      </c>
      <c r="G17" s="458"/>
      <c r="H17" s="567" t="str">
        <f t="shared" si="3"/>
        <v>0</v>
      </c>
      <c r="I17" s="98">
        <f t="shared" si="4"/>
        <v>7908</v>
      </c>
      <c r="J17" s="1"/>
      <c r="K17" s="567" t="str">
        <f t="shared" si="5"/>
        <v>0</v>
      </c>
      <c r="L17" s="98"/>
      <c r="M17" s="1"/>
      <c r="N17" s="567" t="str">
        <f t="shared" si="7"/>
        <v>0</v>
      </c>
      <c r="O17" s="98">
        <f t="shared" si="8"/>
        <v>20137</v>
      </c>
      <c r="P17" s="454"/>
      <c r="Q17" s="567" t="str">
        <f t="shared" si="9"/>
        <v>0</v>
      </c>
      <c r="R17" s="299"/>
      <c r="S17" s="294">
        <f t="shared" si="16"/>
        <v>52647</v>
      </c>
      <c r="T17" s="455"/>
      <c r="U17" s="568" t="str">
        <f t="shared" si="17"/>
        <v>0</v>
      </c>
      <c r="V17" s="294">
        <f t="shared" si="10"/>
        <v>71260</v>
      </c>
      <c r="W17" s="455"/>
      <c r="X17" s="568" t="str">
        <f>IF((W17-W16)&lt;0,"0",(W17-W16))</f>
        <v>0</v>
      </c>
      <c r="Y17" s="294">
        <f t="shared" si="11"/>
        <v>80538</v>
      </c>
      <c r="Z17" s="455"/>
      <c r="AA17" s="568" t="str">
        <f>IF((Z17-Z16)&lt;0,"0",(Z17-Z16))</f>
        <v>0</v>
      </c>
      <c r="AB17" s="294">
        <f t="shared" si="12"/>
        <v>13863</v>
      </c>
      <c r="AC17" s="572"/>
      <c r="AD17" s="568" t="str">
        <f>IF((AC17-AC16)&lt;0,"0",(AC17-AC16))</f>
        <v>0</v>
      </c>
      <c r="AE17" s="294">
        <f t="shared" si="13"/>
        <v>17976</v>
      </c>
      <c r="AF17" s="456"/>
      <c r="AG17" s="568" t="str">
        <f>IF((AF17-AF16)&lt;0,"0",(AF17-AF16))</f>
        <v>0</v>
      </c>
      <c r="AH17" s="294">
        <f t="shared" si="14"/>
        <v>24546</v>
      </c>
      <c r="AI17" s="456"/>
      <c r="AJ17" s="568" t="str">
        <f t="shared" si="23"/>
        <v>0</v>
      </c>
      <c r="AK17" s="375">
        <f t="shared" si="15"/>
        <v>15154</v>
      </c>
      <c r="AL17" s="455"/>
      <c r="AM17" s="568" t="str">
        <f>IF((AL17-AL16)&lt;0,"0",(AL17-AL16))</f>
        <v>0</v>
      </c>
      <c r="AN17" s="460">
        <f t="shared" si="24"/>
        <v>0</v>
      </c>
    </row>
    <row r="18" spans="1:40" ht="23.1" customHeight="1">
      <c r="A18" s="58">
        <f>Gen!B23</f>
        <v>43964</v>
      </c>
      <c r="B18" s="4"/>
      <c r="C18" s="98">
        <f t="shared" si="0"/>
        <v>0</v>
      </c>
      <c r="D18" s="1"/>
      <c r="E18" s="567">
        <f t="shared" ref="E18:E37" si="26">IF((D18-D17)&lt;0,"0",(D18-D17))</f>
        <v>0</v>
      </c>
      <c r="F18" s="98">
        <f t="shared" si="2"/>
        <v>0</v>
      </c>
      <c r="G18" s="458"/>
      <c r="H18" s="567">
        <f t="shared" si="3"/>
        <v>0</v>
      </c>
      <c r="I18" s="98"/>
      <c r="J18" s="1"/>
      <c r="K18" s="567">
        <f t="shared" si="5"/>
        <v>0</v>
      </c>
      <c r="L18" s="98">
        <f t="shared" si="6"/>
        <v>0</v>
      </c>
      <c r="M18" s="1"/>
      <c r="N18" s="567">
        <f t="shared" si="7"/>
        <v>0</v>
      </c>
      <c r="O18" s="98">
        <f t="shared" si="8"/>
        <v>0</v>
      </c>
      <c r="P18" s="454"/>
      <c r="Q18" s="567">
        <f t="shared" si="9"/>
        <v>0</v>
      </c>
      <c r="R18" s="299"/>
      <c r="S18" s="294">
        <f t="shared" si="16"/>
        <v>0</v>
      </c>
      <c r="T18" s="455"/>
      <c r="U18" s="568">
        <f t="shared" si="17"/>
        <v>0</v>
      </c>
      <c r="V18" s="294">
        <f t="shared" si="10"/>
        <v>0</v>
      </c>
      <c r="W18" s="455"/>
      <c r="X18" s="568">
        <f t="shared" si="18"/>
        <v>0</v>
      </c>
      <c r="Y18" s="294">
        <f t="shared" si="11"/>
        <v>0</v>
      </c>
      <c r="Z18" s="455"/>
      <c r="AA18" s="568">
        <f t="shared" si="19"/>
        <v>0</v>
      </c>
      <c r="AB18" s="294">
        <f t="shared" si="12"/>
        <v>0</v>
      </c>
      <c r="AC18" s="572"/>
      <c r="AD18" s="568">
        <f t="shared" si="20"/>
        <v>0</v>
      </c>
      <c r="AE18" s="294">
        <f t="shared" si="13"/>
        <v>0</v>
      </c>
      <c r="AF18" s="456"/>
      <c r="AG18" s="568">
        <f t="shared" si="21"/>
        <v>0</v>
      </c>
      <c r="AH18" s="294">
        <f t="shared" si="14"/>
        <v>0</v>
      </c>
      <c r="AI18" s="456"/>
      <c r="AJ18" s="568">
        <f t="shared" si="23"/>
        <v>0</v>
      </c>
      <c r="AK18" s="375">
        <f t="shared" si="15"/>
        <v>0</v>
      </c>
      <c r="AL18" s="455"/>
      <c r="AM18" s="568">
        <f t="shared" ref="AM18:AM26" si="27">IF((AL18-AL17)&lt;0,"0",(AL18-AL17))</f>
        <v>0</v>
      </c>
      <c r="AN18" s="460">
        <f t="shared" si="24"/>
        <v>0</v>
      </c>
    </row>
    <row r="19" spans="1:40" ht="23.1" customHeight="1">
      <c r="A19" s="58">
        <f>Gen!B24</f>
        <v>43965</v>
      </c>
      <c r="B19" s="4"/>
      <c r="C19" s="98">
        <f t="shared" si="0"/>
        <v>0</v>
      </c>
      <c r="D19" s="1"/>
      <c r="E19" s="567">
        <f t="shared" si="26"/>
        <v>0</v>
      </c>
      <c r="F19" s="98">
        <f t="shared" si="2"/>
        <v>0</v>
      </c>
      <c r="G19" s="458"/>
      <c r="H19" s="567">
        <f t="shared" si="3"/>
        <v>0</v>
      </c>
      <c r="I19" s="98">
        <f t="shared" si="4"/>
        <v>0</v>
      </c>
      <c r="J19" s="1"/>
      <c r="K19" s="567">
        <f t="shared" si="5"/>
        <v>0</v>
      </c>
      <c r="L19" s="98">
        <f t="shared" si="6"/>
        <v>0</v>
      </c>
      <c r="M19" s="1"/>
      <c r="N19" s="567">
        <f t="shared" si="7"/>
        <v>0</v>
      </c>
      <c r="O19" s="98">
        <f t="shared" si="8"/>
        <v>0</v>
      </c>
      <c r="P19" s="454"/>
      <c r="Q19" s="567">
        <f t="shared" si="9"/>
        <v>0</v>
      </c>
      <c r="R19" s="299"/>
      <c r="S19" s="294">
        <f t="shared" si="16"/>
        <v>0</v>
      </c>
      <c r="T19" s="455"/>
      <c r="U19" s="568">
        <f t="shared" si="17"/>
        <v>0</v>
      </c>
      <c r="V19" s="294">
        <f t="shared" si="10"/>
        <v>0</v>
      </c>
      <c r="W19" s="455"/>
      <c r="X19" s="568">
        <f t="shared" si="18"/>
        <v>0</v>
      </c>
      <c r="Y19" s="294">
        <f t="shared" si="11"/>
        <v>0</v>
      </c>
      <c r="Z19" s="455"/>
      <c r="AA19" s="568">
        <f t="shared" si="19"/>
        <v>0</v>
      </c>
      <c r="AB19" s="294">
        <f t="shared" si="12"/>
        <v>0</v>
      </c>
      <c r="AC19" s="572"/>
      <c r="AD19" s="568">
        <f t="shared" si="20"/>
        <v>0</v>
      </c>
      <c r="AE19" s="294">
        <f t="shared" si="13"/>
        <v>0</v>
      </c>
      <c r="AF19" s="456"/>
      <c r="AG19" s="568">
        <f t="shared" si="21"/>
        <v>0</v>
      </c>
      <c r="AH19" s="294">
        <f t="shared" si="14"/>
        <v>0</v>
      </c>
      <c r="AI19" s="456"/>
      <c r="AJ19" s="568">
        <f t="shared" si="23"/>
        <v>0</v>
      </c>
      <c r="AK19" s="375">
        <f t="shared" si="15"/>
        <v>0</v>
      </c>
      <c r="AL19" s="455"/>
      <c r="AM19" s="568">
        <f t="shared" si="27"/>
        <v>0</v>
      </c>
      <c r="AN19" s="460">
        <f t="shared" si="24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6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>
        <f t="shared" si="5"/>
        <v>0</v>
      </c>
      <c r="L20" s="98">
        <f t="shared" si="6"/>
        <v>0</v>
      </c>
      <c r="M20" s="1"/>
      <c r="N20" s="567">
        <f t="shared" si="7"/>
        <v>0</v>
      </c>
      <c r="O20" s="98">
        <f t="shared" si="8"/>
        <v>0</v>
      </c>
      <c r="P20" s="454"/>
      <c r="Q20" s="567">
        <f t="shared" si="9"/>
        <v>0</v>
      </c>
      <c r="R20" s="299"/>
      <c r="S20" s="294">
        <f t="shared" si="16"/>
        <v>0</v>
      </c>
      <c r="T20" s="455"/>
      <c r="U20" s="568">
        <f t="shared" si="17"/>
        <v>0</v>
      </c>
      <c r="V20" s="294">
        <f t="shared" si="10"/>
        <v>0</v>
      </c>
      <c r="W20" s="455"/>
      <c r="X20" s="568">
        <f t="shared" si="18"/>
        <v>0</v>
      </c>
      <c r="Y20" s="294">
        <f t="shared" si="11"/>
        <v>0</v>
      </c>
      <c r="Z20" s="455"/>
      <c r="AA20" s="568">
        <f t="shared" si="19"/>
        <v>0</v>
      </c>
      <c r="AB20" s="294">
        <f t="shared" si="12"/>
        <v>0</v>
      </c>
      <c r="AC20" s="572"/>
      <c r="AD20" s="568">
        <f t="shared" si="20"/>
        <v>0</v>
      </c>
      <c r="AE20" s="294">
        <f t="shared" si="13"/>
        <v>0</v>
      </c>
      <c r="AF20" s="456"/>
      <c r="AG20" s="568">
        <f t="shared" si="21"/>
        <v>0</v>
      </c>
      <c r="AH20" s="294">
        <f t="shared" si="14"/>
        <v>0</v>
      </c>
      <c r="AI20" s="456"/>
      <c r="AJ20" s="568">
        <f t="shared" si="23"/>
        <v>0</v>
      </c>
      <c r="AK20" s="375">
        <f t="shared" si="15"/>
        <v>0</v>
      </c>
      <c r="AL20" s="455"/>
      <c r="AM20" s="568">
        <f t="shared" si="27"/>
        <v>0</v>
      </c>
      <c r="AN20" s="460">
        <f t="shared" si="24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6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5"/>
        <v>0</v>
      </c>
      <c r="L21" s="98">
        <f t="shared" si="6"/>
        <v>0</v>
      </c>
      <c r="M21" s="1"/>
      <c r="N21" s="567">
        <f t="shared" si="7"/>
        <v>0</v>
      </c>
      <c r="O21" s="98">
        <f t="shared" si="8"/>
        <v>0</v>
      </c>
      <c r="P21" s="454"/>
      <c r="Q21" s="567">
        <f t="shared" si="9"/>
        <v>0</v>
      </c>
      <c r="R21" s="299"/>
      <c r="S21" s="294">
        <f t="shared" si="16"/>
        <v>0</v>
      </c>
      <c r="T21" s="455"/>
      <c r="U21" s="568">
        <f t="shared" si="17"/>
        <v>0</v>
      </c>
      <c r="V21" s="294">
        <f t="shared" ref="V21:V37" si="28">W20</f>
        <v>0</v>
      </c>
      <c r="W21" s="455"/>
      <c r="X21" s="568">
        <f t="shared" si="18"/>
        <v>0</v>
      </c>
      <c r="Y21" s="294">
        <f t="shared" si="11"/>
        <v>0</v>
      </c>
      <c r="Z21" s="455"/>
      <c r="AA21" s="568">
        <f t="shared" si="19"/>
        <v>0</v>
      </c>
      <c r="AB21" s="294">
        <f t="shared" si="12"/>
        <v>0</v>
      </c>
      <c r="AC21" s="572"/>
      <c r="AD21" s="568">
        <f t="shared" si="20"/>
        <v>0</v>
      </c>
      <c r="AE21" s="294">
        <f t="shared" si="13"/>
        <v>0</v>
      </c>
      <c r="AF21" s="456"/>
      <c r="AG21" s="568">
        <f t="shared" si="21"/>
        <v>0</v>
      </c>
      <c r="AH21" s="294">
        <f t="shared" si="14"/>
        <v>0</v>
      </c>
      <c r="AI21" s="456"/>
      <c r="AJ21" s="568">
        <f t="shared" si="23"/>
        <v>0</v>
      </c>
      <c r="AK21" s="375">
        <f t="shared" si="15"/>
        <v>0</v>
      </c>
      <c r="AL21" s="455"/>
      <c r="AM21" s="568">
        <f t="shared" si="27"/>
        <v>0</v>
      </c>
      <c r="AN21" s="460">
        <f t="shared" si="24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6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5"/>
        <v>0</v>
      </c>
      <c r="L22" s="98">
        <f t="shared" si="6"/>
        <v>0</v>
      </c>
      <c r="M22" s="1"/>
      <c r="N22" s="567">
        <f t="shared" si="7"/>
        <v>0</v>
      </c>
      <c r="O22" s="98">
        <f t="shared" si="8"/>
        <v>0</v>
      </c>
      <c r="P22" s="454"/>
      <c r="Q22" s="567">
        <f t="shared" si="9"/>
        <v>0</v>
      </c>
      <c r="R22" s="299"/>
      <c r="S22" s="294">
        <f t="shared" si="16"/>
        <v>0</v>
      </c>
      <c r="T22" s="455"/>
      <c r="U22" s="568">
        <f t="shared" si="17"/>
        <v>0</v>
      </c>
      <c r="V22" s="294">
        <f t="shared" si="28"/>
        <v>0</v>
      </c>
      <c r="W22" s="455"/>
      <c r="X22" s="568">
        <f t="shared" si="18"/>
        <v>0</v>
      </c>
      <c r="Y22" s="294">
        <f t="shared" si="11"/>
        <v>0</v>
      </c>
      <c r="Z22" s="455"/>
      <c r="AA22" s="568">
        <f t="shared" si="19"/>
        <v>0</v>
      </c>
      <c r="AB22" s="294">
        <f t="shared" si="12"/>
        <v>0</v>
      </c>
      <c r="AC22" s="572"/>
      <c r="AD22" s="568">
        <f t="shared" si="20"/>
        <v>0</v>
      </c>
      <c r="AE22" s="294">
        <f t="shared" si="13"/>
        <v>0</v>
      </c>
      <c r="AF22" s="456"/>
      <c r="AG22" s="568">
        <f t="shared" si="21"/>
        <v>0</v>
      </c>
      <c r="AH22" s="294">
        <f t="shared" si="14"/>
        <v>0</v>
      </c>
      <c r="AI22" s="456"/>
      <c r="AJ22" s="568">
        <f t="shared" si="23"/>
        <v>0</v>
      </c>
      <c r="AK22" s="375">
        <f t="shared" si="15"/>
        <v>0</v>
      </c>
      <c r="AL22" s="455"/>
      <c r="AM22" s="568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185</v>
      </c>
    </row>
    <row r="38" spans="1:41" ht="17.25">
      <c r="A38" s="58"/>
      <c r="B38" s="22"/>
      <c r="C38" s="856" t="s">
        <v>6</v>
      </c>
      <c r="D38" s="856"/>
      <c r="E38" s="23">
        <f>SUM(E6:E36)</f>
        <v>439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5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439</v>
      </c>
      <c r="S38" s="296"/>
      <c r="T38" s="296"/>
      <c r="U38" s="306">
        <f>SUM(U6:U37)</f>
        <v>185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185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82"/>
      <c r="B42" s="331"/>
      <c r="C42" s="879" t="s">
        <v>222</v>
      </c>
      <c r="D42" s="880"/>
      <c r="E42" s="880"/>
      <c r="F42" s="880"/>
      <c r="G42" s="880"/>
      <c r="H42" s="880"/>
      <c r="I42" s="880"/>
      <c r="J42" s="880"/>
      <c r="K42" s="881"/>
      <c r="R42" s="20"/>
    </row>
    <row r="43" spans="1:41" ht="24.75" customHeight="1">
      <c r="A43" s="883"/>
      <c r="B43" s="20"/>
      <c r="C43" s="885" t="s">
        <v>216</v>
      </c>
      <c r="D43" s="886"/>
      <c r="E43" s="887" t="s">
        <v>237</v>
      </c>
      <c r="F43" s="888"/>
      <c r="G43" s="889" t="s">
        <v>217</v>
      </c>
      <c r="H43" s="890"/>
      <c r="I43" s="889" t="s">
        <v>238</v>
      </c>
      <c r="J43" s="890"/>
      <c r="K43" s="87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83"/>
      <c r="B44" s="20"/>
      <c r="C44" s="891" t="s">
        <v>218</v>
      </c>
      <c r="D44" s="892"/>
      <c r="E44" s="891" t="s">
        <v>219</v>
      </c>
      <c r="F44" s="892"/>
      <c r="G44" s="891" t="s">
        <v>220</v>
      </c>
      <c r="H44" s="892"/>
      <c r="I44" s="891" t="s">
        <v>221</v>
      </c>
      <c r="J44" s="892"/>
      <c r="K44" s="87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8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270</v>
      </c>
      <c r="H55" s="386">
        <f t="shared" si="45"/>
        <v>102.9242819843342</v>
      </c>
      <c r="I55" s="6">
        <v>285</v>
      </c>
      <c r="J55" s="386">
        <f t="shared" si="46"/>
        <v>197.09415584415584</v>
      </c>
      <c r="K55" s="392">
        <f t="shared" si="47"/>
        <v>451.94849247329876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/>
      <c r="D58" s="386">
        <f t="shared" si="43"/>
        <v>0</v>
      </c>
      <c r="E58" s="6"/>
      <c r="F58" s="386">
        <f t="shared" si="44"/>
        <v>0</v>
      </c>
      <c r="G58" s="570"/>
      <c r="H58" s="386">
        <f t="shared" si="45"/>
        <v>0</v>
      </c>
      <c r="I58" s="6"/>
      <c r="J58" s="386">
        <f t="shared" si="46"/>
        <v>0</v>
      </c>
      <c r="K58" s="392">
        <f t="shared" si="47"/>
        <v>0</v>
      </c>
    </row>
    <row r="59" spans="1:15" ht="13.5">
      <c r="A59" s="349">
        <f>Gen!B24</f>
        <v>43965</v>
      </c>
      <c r="B59" s="20"/>
      <c r="C59" s="63"/>
      <c r="D59" s="386">
        <f t="shared" si="43"/>
        <v>0</v>
      </c>
      <c r="E59" s="6"/>
      <c r="F59" s="386">
        <f t="shared" si="44"/>
        <v>0</v>
      </c>
      <c r="G59" s="570"/>
      <c r="H59" s="386">
        <f t="shared" si="45"/>
        <v>0</v>
      </c>
      <c r="I59" s="6"/>
      <c r="J59" s="386">
        <f t="shared" si="46"/>
        <v>0</v>
      </c>
      <c r="K59" s="392">
        <f t="shared" si="47"/>
        <v>0</v>
      </c>
    </row>
    <row r="60" spans="1:15" ht="13.5">
      <c r="A60" s="349">
        <f>Gen!B25</f>
        <v>43966</v>
      </c>
      <c r="B60" s="20"/>
      <c r="C60" s="63"/>
      <c r="D60" s="386">
        <f t="shared" si="43"/>
        <v>0</v>
      </c>
      <c r="E60" s="6"/>
      <c r="F60" s="386">
        <f t="shared" si="44"/>
        <v>0</v>
      </c>
      <c r="G60" s="570"/>
      <c r="H60" s="386">
        <f t="shared" si="45"/>
        <v>0</v>
      </c>
      <c r="I60" s="6"/>
      <c r="J60" s="386">
        <f t="shared" si="46"/>
        <v>0</v>
      </c>
      <c r="K60" s="392">
        <f t="shared" si="47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3" t="s">
        <v>180</v>
      </c>
      <c r="B1" s="894"/>
      <c r="C1" s="894"/>
      <c r="D1" s="894"/>
      <c r="E1" s="894"/>
      <c r="F1" s="894"/>
      <c r="G1" s="895"/>
    </row>
    <row r="2" spans="1:7" ht="13.5" thickBot="1">
      <c r="A2" s="358"/>
      <c r="B2" s="896" t="s">
        <v>175</v>
      </c>
      <c r="C2" s="897"/>
      <c r="D2" s="898"/>
      <c r="E2" s="896" t="s">
        <v>176</v>
      </c>
      <c r="F2" s="897"/>
      <c r="G2" s="898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3" t="s">
        <v>230</v>
      </c>
      <c r="B1" s="894"/>
      <c r="C1" s="894"/>
      <c r="D1" s="894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O20" sqref="O2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9" t="s">
        <v>255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9.5" thickBot="1">
      <c r="A2" s="908">
        <v>43952</v>
      </c>
      <c r="B2" s="909"/>
      <c r="C2" s="909"/>
      <c r="D2" s="909"/>
      <c r="E2" s="909"/>
      <c r="F2" s="909"/>
      <c r="G2" s="909"/>
      <c r="H2" s="909"/>
      <c r="I2" s="909"/>
      <c r="J2" s="909"/>
    </row>
    <row r="3" spans="1:10" ht="15.75" thickBot="1">
      <c r="A3" s="900" t="s">
        <v>7</v>
      </c>
      <c r="B3" s="902" t="s">
        <v>256</v>
      </c>
      <c r="C3" s="526"/>
      <c r="D3" s="904" t="s">
        <v>257</v>
      </c>
      <c r="E3" s="905"/>
      <c r="F3" s="906" t="s">
        <v>258</v>
      </c>
      <c r="G3" s="907"/>
      <c r="H3" s="905"/>
      <c r="I3" s="906" t="s">
        <v>259</v>
      </c>
      <c r="J3" s="905"/>
    </row>
    <row r="4" spans="1:10" ht="30.75" thickBot="1">
      <c r="A4" s="901"/>
      <c r="B4" s="903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37995.760000000002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37333.660000000003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36681.33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0</v>
      </c>
      <c r="D16" s="531">
        <f>Gen!T22</f>
        <v>0</v>
      </c>
      <c r="E16" s="466">
        <f>Gen!D22</f>
        <v>36005.94</v>
      </c>
      <c r="F16" s="467" t="str">
        <f>'Water-Meter'!E17</f>
        <v>0</v>
      </c>
      <c r="G16" s="468">
        <f>'Water-Meter'!AN17</f>
        <v>0</v>
      </c>
      <c r="H16" s="466">
        <f>'Utility report '!AC17</f>
        <v>-31947</v>
      </c>
      <c r="I16" s="465">
        <f>'Kit report'!F15</f>
        <v>-1041095.9999999999</v>
      </c>
      <c r="J16" s="466">
        <f>'Kit report'!X15</f>
        <v>-1561020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0</v>
      </c>
      <c r="E17" s="466">
        <f>Gen!D23</f>
        <v>36005.94</v>
      </c>
      <c r="F17" s="467">
        <f>'Water-Meter'!E18</f>
        <v>0</v>
      </c>
      <c r="G17" s="468">
        <f>'Water-Meter'!AN18</f>
        <v>0</v>
      </c>
      <c r="H17" s="466">
        <f>'Utility report '!AC18</f>
        <v>0</v>
      </c>
      <c r="I17" s="465">
        <f>'Kit report'!F16</f>
        <v>0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36005.94</v>
      </c>
      <c r="F18" s="467">
        <f>'Water-Meter'!E19</f>
        <v>0</v>
      </c>
      <c r="G18" s="468">
        <f>'Water-Meter'!AN19</f>
        <v>0</v>
      </c>
      <c r="H18" s="466">
        <f>'Utility report '!AC19</f>
        <v>0</v>
      </c>
      <c r="I18" s="465">
        <f>'Kit report'!F17</f>
        <v>0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36005.94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36005.94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36005.94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36005.94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36005.94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36005.94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36005.94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36005.94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36005.94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36005.94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36005.94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36005.94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36005.94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36005.94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36005.94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36005.94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36005.94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36005.94</v>
      </c>
      <c r="F36" s="467">
        <f>'Water-Meter'!E37</f>
        <v>0</v>
      </c>
      <c r="G36" s="468">
        <f>'Water-Meter'!AN37</f>
        <v>185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2020-05-12T05:14:24Z</dcterms:modified>
</cp:coreProperties>
</file>