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30" yWindow="-90" windowWidth="11535" windowHeight="11100" tabRatio="579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F36" i="73"/>
  <c r="A35" i="76"/>
  <c r="D37" i="73"/>
  <c r="AE5" i="7"/>
  <c r="D3" i="2"/>
  <c r="J3" l="1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K77" i="74" l="1"/>
  <c r="K76"/>
  <c r="J77"/>
  <c r="J76"/>
  <c r="J75"/>
  <c r="B5" i="79"/>
  <c r="B3" i="76"/>
  <c r="B5" i="7"/>
  <c r="B2" i="3"/>
  <c r="B5" i="5"/>
  <c r="B4" i="1"/>
  <c r="AB5" i="5"/>
  <c r="I8" i="77" l="1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U2"/>
  <c r="V2"/>
  <c r="W2"/>
  <c r="X2"/>
  <c r="Y2"/>
  <c r="Z2"/>
  <c r="AA2"/>
  <c r="AB2"/>
  <c r="AC2"/>
  <c r="AD2"/>
  <c r="AE2"/>
  <c r="AF2"/>
  <c r="AG2"/>
  <c r="AH2"/>
  <c r="AI2"/>
  <c r="AJ2"/>
  <c r="AK2"/>
  <c r="B3"/>
  <c r="B4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5" i="5"/>
  <c r="AT6" s="1"/>
  <c r="AT7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6" s="1"/>
  <c r="AX7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C5"/>
  <c r="D5"/>
  <c r="E5"/>
  <c r="F5"/>
  <c r="G5"/>
  <c r="G6" s="1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C5"/>
  <c r="AD5"/>
  <c r="AE5"/>
  <c r="AF5"/>
  <c r="AG5"/>
  <c r="AH5"/>
  <c r="AI5"/>
  <c r="AJ5"/>
  <c r="AK5"/>
  <c r="AL5"/>
  <c r="AM5"/>
  <c r="AN5"/>
  <c r="AO5"/>
  <c r="AP5"/>
  <c r="A5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H5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C5"/>
  <c r="C6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6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K4" i="2"/>
  <c r="AK5" s="1"/>
  <c r="AL3"/>
  <c r="AL4" s="1"/>
  <c r="AL5" s="1"/>
  <c r="AL7" s="1"/>
  <c r="AL8" s="1"/>
  <c r="AL9" s="1"/>
  <c r="AL10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M3"/>
  <c r="AN3"/>
  <c r="AK3"/>
  <c r="AJ3"/>
  <c r="AI3"/>
  <c r="E3"/>
  <c r="F4"/>
  <c r="F5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4"/>
  <c r="H5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4"/>
  <c r="J5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L4" s="1"/>
  <c r="L5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4" s="1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A4" s="1"/>
  <c r="AA5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"/>
  <c r="AC3"/>
  <c r="AC4" s="1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AM5" l="1"/>
  <c r="AM4"/>
  <c r="Z30" i="1"/>
  <c r="AA30" s="1"/>
  <c r="S30"/>
  <c r="T30" s="1"/>
  <c r="R30"/>
  <c r="O30"/>
  <c r="N30"/>
  <c r="L30"/>
  <c r="I30"/>
  <c r="G30"/>
  <c r="J30" s="1"/>
  <c r="D30"/>
  <c r="E30" s="1"/>
  <c r="AD29" i="2"/>
  <c r="AB29"/>
  <c r="Z29"/>
  <c r="X29"/>
  <c r="Q29"/>
  <c r="M29"/>
  <c r="K29"/>
  <c r="I29"/>
  <c r="G29"/>
  <c r="D25" i="73"/>
  <c r="D26"/>
  <c r="D27"/>
  <c r="D28"/>
  <c r="D29"/>
  <c r="D30"/>
  <c r="AK7" i="2" l="1"/>
  <c r="AM6"/>
  <c r="V30" i="1"/>
  <c r="U30"/>
  <c r="AK8" i="2" l="1"/>
  <c r="AM7"/>
  <c r="AK9" l="1"/>
  <c r="AM8"/>
  <c r="AK10" l="1"/>
  <c r="AM9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B3"/>
  <c r="A3"/>
  <c r="AK11" l="1"/>
  <c r="AM10"/>
  <c r="S29"/>
  <c r="T29" s="1"/>
  <c r="AE29" s="1"/>
  <c r="U30"/>
  <c r="U31" s="1"/>
  <c r="U32" s="1"/>
  <c r="U33" s="1"/>
  <c r="U29"/>
  <c r="V29" s="1"/>
  <c r="AF29" s="1"/>
  <c r="Q6"/>
  <c r="AD22"/>
  <c r="Q9"/>
  <c r="K6" i="5"/>
  <c r="I36" i="79"/>
  <c r="A32" i="2"/>
  <c r="E27" i="3"/>
  <c r="C27"/>
  <c r="C26"/>
  <c r="S26"/>
  <c r="S30" i="2" l="1"/>
  <c r="S31" s="1"/>
  <c r="S32" s="1"/>
  <c r="S33" s="1"/>
  <c r="S34" s="1"/>
  <c r="AK12"/>
  <c r="AM11"/>
  <c r="AN11" s="1"/>
  <c r="E11" s="1"/>
  <c r="Q7"/>
  <c r="Q8"/>
  <c r="Q10"/>
  <c r="E28" i="3"/>
  <c r="I5" i="2"/>
  <c r="AK13" l="1"/>
  <c r="AM12"/>
  <c r="Q11"/>
  <c r="I7" i="77"/>
  <c r="AK14" i="2" l="1"/>
  <c r="AM13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U34" i="2"/>
  <c r="AK15" l="1"/>
  <c r="AM14"/>
  <c r="AC30" i="1"/>
  <c r="AD30" s="1"/>
  <c r="X31"/>
  <c r="X32" s="1"/>
  <c r="X33" s="1"/>
  <c r="X34" s="1"/>
  <c r="X35" s="1"/>
  <c r="X30"/>
  <c r="Y30" s="1"/>
  <c r="AB30" s="1"/>
  <c r="Q13" i="2"/>
  <c r="E29" i="3"/>
  <c r="AY36" i="5"/>
  <c r="AK16" i="2" l="1"/>
  <c r="AM15"/>
  <c r="AC31" i="1"/>
  <c r="AC32" s="1"/>
  <c r="AC33" s="1"/>
  <c r="AC34" s="1"/>
  <c r="AC35" s="1"/>
  <c r="Q14" i="2"/>
  <c r="E30" i="3"/>
  <c r="AK17" i="2" l="1"/>
  <c r="AM16"/>
  <c r="Q15"/>
  <c r="E31" i="3"/>
  <c r="AK18" i="2" l="1"/>
  <c r="AM17"/>
  <c r="Q16"/>
  <c r="E33" i="3"/>
  <c r="E32"/>
  <c r="G17" i="76"/>
  <c r="C18"/>
  <c r="AK19" i="2" l="1"/>
  <c r="AM18"/>
  <c r="AN18" s="1"/>
  <c r="E18" s="1"/>
  <c r="Q17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G34" i="2"/>
  <c r="I34"/>
  <c r="G32" i="82" s="1"/>
  <c r="K34" i="2"/>
  <c r="F32" i="82" s="1"/>
  <c r="X34" i="2"/>
  <c r="Z34"/>
  <c r="A34"/>
  <c r="B34" s="1"/>
  <c r="O32" i="81" s="1"/>
  <c r="A13" i="1"/>
  <c r="AK20" i="2" l="1"/>
  <c r="AM19"/>
  <c r="AN19" s="1"/>
  <c r="E19" s="1"/>
  <c r="I32" i="82"/>
  <c r="Q18" i="2"/>
  <c r="AP18" s="1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AK21" i="2" l="1"/>
  <c r="AM20"/>
  <c r="AN20" s="1"/>
  <c r="E20" s="1"/>
  <c r="AE31" i="1"/>
  <c r="AE32" s="1"/>
  <c r="AE33" s="1"/>
  <c r="AE34" s="1"/>
  <c r="AE35" s="1"/>
  <c r="AF35" s="1"/>
  <c r="AH35" s="1"/>
  <c r="AE30"/>
  <c r="AF30" s="1"/>
  <c r="AO34" i="2"/>
  <c r="Q19"/>
  <c r="AJ36" i="5"/>
  <c r="K32" i="82" s="1"/>
  <c r="AI36" i="5"/>
  <c r="R35" i="1"/>
  <c r="AB36" i="7"/>
  <c r="D35" i="1"/>
  <c r="E35" s="1"/>
  <c r="B7" i="7"/>
  <c r="I4" i="2"/>
  <c r="G4"/>
  <c r="AK22" l="1"/>
  <c r="AM21"/>
  <c r="AN21" s="1"/>
  <c r="E21" s="1"/>
  <c r="Q20"/>
  <c r="AL36" i="5"/>
  <c r="AD36" i="7"/>
  <c r="B8"/>
  <c r="G5" i="2"/>
  <c r="AK23" l="1"/>
  <c r="AM22"/>
  <c r="AN22" s="1"/>
  <c r="E22" s="1"/>
  <c r="Q21"/>
  <c r="AF36" i="7"/>
  <c r="B9"/>
  <c r="AK24" i="2" l="1"/>
  <c r="AM23"/>
  <c r="AN23" s="1"/>
  <c r="E23" s="1"/>
  <c r="Q22"/>
  <c r="AH36" i="7"/>
  <c r="B10"/>
  <c r="AN5" i="2"/>
  <c r="E5" s="1"/>
  <c r="AN4"/>
  <c r="E4" s="1"/>
  <c r="AK25" l="1"/>
  <c r="AM24"/>
  <c r="AN24" s="1"/>
  <c r="E24" s="1"/>
  <c r="Q23"/>
  <c r="AJ36" i="7"/>
  <c r="B11"/>
  <c r="F38" i="5"/>
  <c r="AK26" i="2" l="1"/>
  <c r="AM25"/>
  <c r="AN25" s="1"/>
  <c r="E25" s="1"/>
  <c r="Q24"/>
  <c r="AL36" i="7"/>
  <c r="B12"/>
  <c r="AN6" i="2"/>
  <c r="E6" s="1"/>
  <c r="AK27" l="1"/>
  <c r="AM26"/>
  <c r="AN26" s="1"/>
  <c r="E26" s="1"/>
  <c r="Q25"/>
  <c r="B13" i="7"/>
  <c r="AN7" i="2"/>
  <c r="E7" s="1"/>
  <c r="AK28" l="1"/>
  <c r="AM27"/>
  <c r="AN27" s="1"/>
  <c r="Q26"/>
  <c r="B14" i="7"/>
  <c r="AN8" i="2"/>
  <c r="E8" s="1"/>
  <c r="A19" i="76"/>
  <c r="AK29" i="2" l="1"/>
  <c r="AM28"/>
  <c r="AN28" s="1"/>
  <c r="Q27"/>
  <c r="B15" i="7"/>
  <c r="AN9" i="2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AK30" i="2" l="1"/>
  <c r="AM29"/>
  <c r="AN29" s="1"/>
  <c r="H7" i="3"/>
  <c r="H8" s="1"/>
  <c r="H9" s="1"/>
  <c r="H10" s="1"/>
  <c r="H11" s="1"/>
  <c r="H12" s="1"/>
  <c r="H13" s="1"/>
  <c r="H17" s="1"/>
  <c r="Q28" i="2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AK31" i="2" l="1"/>
  <c r="AM30"/>
  <c r="AN30" s="1"/>
  <c r="H18" i="3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H9" i="82"/>
  <c r="AK32" i="2" l="1"/>
  <c r="AM31"/>
  <c r="AN31" s="1"/>
  <c r="Q30"/>
  <c r="B18" i="7"/>
  <c r="AN12" i="2"/>
  <c r="V34"/>
  <c r="AK33" l="1"/>
  <c r="AM32"/>
  <c r="AN32" s="1"/>
  <c r="H10" i="82"/>
  <c r="E12" i="2"/>
  <c r="Q31"/>
  <c r="AB34"/>
  <c r="AD34"/>
  <c r="AF34" s="1"/>
  <c r="B19" i="7"/>
  <c r="AN13" i="2"/>
  <c r="AF32" i="1"/>
  <c r="AA32"/>
  <c r="Y32"/>
  <c r="AB32" s="1"/>
  <c r="R32"/>
  <c r="S32"/>
  <c r="T32" s="1"/>
  <c r="N32"/>
  <c r="L32"/>
  <c r="I32"/>
  <c r="G32"/>
  <c r="J32" s="1"/>
  <c r="D32"/>
  <c r="E32" s="1"/>
  <c r="AK34" i="2" l="1"/>
  <c r="AM34" s="1"/>
  <c r="AN34" s="1"/>
  <c r="E34" s="1"/>
  <c r="AM33"/>
  <c r="AN33" s="1"/>
  <c r="H11" i="82"/>
  <c r="E13" i="2"/>
  <c r="Q32"/>
  <c r="B20" i="7"/>
  <c r="AN14" i="2"/>
  <c r="V32" i="1"/>
  <c r="U32"/>
  <c r="H12" i="82" l="1"/>
  <c r="E14" i="2"/>
  <c r="Q34"/>
  <c r="AP34" s="1"/>
  <c r="Q33"/>
  <c r="B21" i="7"/>
  <c r="AN15" i="2"/>
  <c r="H13" i="82" l="1"/>
  <c r="E15" i="2"/>
  <c r="AD33" i="3"/>
  <c r="AE33" s="1"/>
  <c r="AF33" s="1"/>
  <c r="AG33" s="1"/>
  <c r="AH33" s="1"/>
  <c r="B22" i="7"/>
  <c r="AN16" i="2"/>
  <c r="A14" i="5"/>
  <c r="H14" i="82" l="1"/>
  <c r="E16" i="2"/>
  <c r="AI33" i="3"/>
  <c r="AK33" s="1"/>
  <c r="B23" i="7"/>
  <c r="AN17" i="2"/>
  <c r="H15" i="82" l="1"/>
  <c r="E17" i="2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E27" i="2"/>
  <c r="H25" i="82" s="1"/>
  <c r="I35" i="79"/>
  <c r="K35" i="5"/>
  <c r="L36" s="1"/>
  <c r="AK36" s="1"/>
  <c r="B34" i="7" l="1"/>
  <c r="E28" i="2"/>
  <c r="H26" i="82" s="1"/>
  <c r="B35" i="7" l="1"/>
  <c r="B36"/>
  <c r="G14" i="73"/>
  <c r="H27" i="82" l="1"/>
  <c r="E29" i="2"/>
  <c r="N29" s="1"/>
  <c r="R29" s="1"/>
  <c r="D36" i="7"/>
  <c r="E30" i="2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E31" i="2" l="1"/>
  <c r="H29" i="82" s="1"/>
  <c r="H36" i="7"/>
  <c r="S3" i="3"/>
  <c r="H30" i="82" l="1"/>
  <c r="E32" i="2"/>
  <c r="H32" i="82"/>
  <c r="N34" i="2"/>
  <c r="J36" i="7"/>
  <c r="H31" i="82" l="1"/>
  <c r="E33" i="2"/>
  <c r="R34"/>
  <c r="AI34" s="1"/>
  <c r="S34" i="76"/>
  <c r="T34" s="1"/>
  <c r="F32" i="81" s="1"/>
  <c r="E32"/>
  <c r="L36" i="7"/>
  <c r="A33" i="2"/>
  <c r="B33" s="1"/>
  <c r="B32"/>
  <c r="N36" i="7" l="1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18" i="76"/>
  <c r="G31"/>
  <c r="C31"/>
  <c r="AP31" i="2" s="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I30" i="82" l="1"/>
  <c r="AO32" i="2"/>
  <c r="AD33" i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K32" i="76"/>
  <c r="N32" s="1"/>
  <c r="I31"/>
  <c r="M31" s="1"/>
  <c r="L31"/>
  <c r="G32"/>
  <c r="C32"/>
  <c r="AP32" i="2" s="1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I31" i="82" l="1"/>
  <c r="AO33" i="2"/>
  <c r="BD35" i="5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P33" i="2" s="1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AP22" i="2" s="1"/>
  <c r="C21" i="3"/>
  <c r="BA24" i="5"/>
  <c r="AA24"/>
  <c r="AJ24"/>
  <c r="Y24"/>
  <c r="H24"/>
  <c r="N23" i="1"/>
  <c r="L23"/>
  <c r="I23"/>
  <c r="G23"/>
  <c r="V22" i="2"/>
  <c r="T22"/>
  <c r="M22"/>
  <c r="K22"/>
  <c r="I22"/>
  <c r="G22"/>
  <c r="AO22" l="1"/>
  <c r="I25" i="3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AB22" i="2" l="1"/>
  <c r="AE22" s="1"/>
  <c r="AF22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AP19" i="2" s="1"/>
  <c r="N31" i="1" l="1"/>
  <c r="C20" i="76"/>
  <c r="AP20" i="2" s="1"/>
  <c r="C4" i="76"/>
  <c r="AB9" i="2"/>
  <c r="G14" i="76"/>
  <c r="L14" l="1"/>
  <c r="L31" i="1"/>
  <c r="C21" i="76"/>
  <c r="AP21" i="2" s="1"/>
  <c r="AB10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AP23" i="2" l="1"/>
  <c r="R23" s="1"/>
  <c r="L17" i="76"/>
  <c r="D17"/>
  <c r="E17" s="1"/>
  <c r="C24"/>
  <c r="AP24" i="2" s="1"/>
  <c r="G18" i="76"/>
  <c r="E16"/>
  <c r="S12" i="3"/>
  <c r="U12" l="1"/>
  <c r="C25" i="76"/>
  <c r="G19"/>
  <c r="I19"/>
  <c r="K18"/>
  <c r="N18" s="1"/>
  <c r="D18" l="1"/>
  <c r="E18" s="1"/>
  <c r="AP25" i="2"/>
  <c r="C26" i="76"/>
  <c r="AP26" i="2" s="1"/>
  <c r="I20" i="76"/>
  <c r="M18"/>
  <c r="L18"/>
  <c r="K19"/>
  <c r="N19" s="1"/>
  <c r="D19" l="1"/>
  <c r="E19" s="1"/>
  <c r="C27"/>
  <c r="I21"/>
  <c r="M19"/>
  <c r="G20"/>
  <c r="K20"/>
  <c r="N20" s="1"/>
  <c r="L19"/>
  <c r="AP27" i="2" l="1"/>
  <c r="D20" i="76"/>
  <c r="E20" s="1"/>
  <c r="C28"/>
  <c r="AP28" i="2" s="1"/>
  <c r="M20" i="76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AP29" i="2" l="1"/>
  <c r="N22" i="76"/>
  <c r="E22"/>
  <c r="C30"/>
  <c r="AP30" i="2" s="1"/>
  <c r="M22" i="76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AJ37" s="1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35" i="76" l="1"/>
  <c r="I35"/>
  <c r="D4"/>
  <c r="E4" s="1"/>
  <c r="D5"/>
  <c r="E5" s="1"/>
  <c r="F4" i="77"/>
  <c r="F3" i="82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N10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G35" s="1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O29" s="1"/>
  <c r="A26" i="65"/>
  <c r="J24" i="63"/>
  <c r="B20" i="2"/>
  <c r="C12" i="7"/>
  <c r="B11" i="2"/>
  <c r="B10"/>
  <c r="P76" i="74"/>
  <c r="K35" i="76" l="1"/>
  <c r="S11"/>
  <c r="R11" i="2"/>
  <c r="AI11" s="1"/>
  <c r="N13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E15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N16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O18" i="2" l="1"/>
  <c r="I18" i="82"/>
  <c r="AL19" i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K20"/>
  <c r="F18" i="82" s="1"/>
  <c r="I20" i="2"/>
  <c r="G18" i="82" s="1"/>
  <c r="G21" i="2"/>
  <c r="C14" i="63"/>
  <c r="D14" s="1"/>
  <c r="E14" i="81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AO19" i="2"/>
  <c r="I19" i="82"/>
  <c r="AL20" i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O20" i="2" l="1"/>
  <c r="G7" i="8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F20" i="82"/>
  <c r="G20"/>
  <c r="G23" i="2"/>
  <c r="N19"/>
  <c r="R19" s="1"/>
  <c r="AI19" s="1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AO21" i="2"/>
  <c r="I21" i="82"/>
  <c r="D20" i="65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K24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E21" i="82" l="1"/>
  <c r="AO23" i="2"/>
  <c r="AS11" i="7"/>
  <c r="AS13"/>
  <c r="AS14"/>
  <c r="AS12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6"/>
  <c r="J21" i="65"/>
  <c r="C19" i="63"/>
  <c r="D19" s="1"/>
  <c r="E19" i="81"/>
  <c r="X6" i="7"/>
  <c r="AQ9"/>
  <c r="AQ12"/>
  <c r="AS8" l="1"/>
  <c r="AX8" s="1"/>
  <c r="AO24" i="2"/>
  <c r="G23" i="82"/>
  <c r="I24"/>
  <c r="AX15" i="7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E20" i="81"/>
  <c r="C20" i="63"/>
  <c r="D20" s="1"/>
  <c r="N23" i="2"/>
  <c r="AI23" s="1"/>
  <c r="J22" i="65"/>
  <c r="BC6" i="7"/>
  <c r="AX7"/>
  <c r="AY12"/>
  <c r="AO25" i="2" l="1"/>
  <c r="I25" i="82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J23" i="65"/>
  <c r="C21" i="63"/>
  <c r="D21" s="1"/>
  <c r="E21" i="81"/>
  <c r="N24" i="2"/>
  <c r="R24" s="1"/>
  <c r="AI24" s="1"/>
  <c r="AY7" i="7"/>
  <c r="AO26" i="2" l="1"/>
  <c r="I26" i="82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N25" i="2"/>
  <c r="R25" s="1"/>
  <c r="AI25" s="1"/>
  <c r="J24" i="65"/>
  <c r="E22" i="81"/>
  <c r="C22" i="63"/>
  <c r="D22" s="1"/>
  <c r="AO27" i="2" l="1"/>
  <c r="I27" i="82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T30" i="2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Z27"/>
  <c r="AE28"/>
  <c r="A26" i="63"/>
  <c r="D27" i="65"/>
  <c r="AD26" i="3"/>
  <c r="BE28" i="7"/>
  <c r="BG28" s="1"/>
  <c r="I28" i="65"/>
  <c r="E25" i="63"/>
  <c r="M28" i="2"/>
  <c r="E26" i="82" s="1"/>
  <c r="F27"/>
  <c r="G27"/>
  <c r="G30" i="2"/>
  <c r="J25" i="65"/>
  <c r="C23" i="63"/>
  <c r="D23" s="1"/>
  <c r="E23" i="81"/>
  <c r="N26" i="2"/>
  <c r="R26" s="1"/>
  <c r="AI26" s="1"/>
  <c r="AO28" l="1"/>
  <c r="I28" i="82"/>
  <c r="AG26" i="2"/>
  <c r="B24" i="63"/>
  <c r="AF27" i="2"/>
  <c r="H28" i="65" s="1"/>
  <c r="F28" i="3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B30" i="2"/>
  <c r="Z28"/>
  <c r="A27" i="63"/>
  <c r="X30" i="2"/>
  <c r="BE29" i="7"/>
  <c r="BG29" s="1"/>
  <c r="AD27" i="3"/>
  <c r="I29" i="65"/>
  <c r="E26" i="63"/>
  <c r="AI26" i="3"/>
  <c r="E27" i="82"/>
  <c r="K30" i="2"/>
  <c r="F28" i="82" s="1"/>
  <c r="I30" i="2"/>
  <c r="G28" i="82" s="1"/>
  <c r="G31" i="2"/>
  <c r="N27"/>
  <c r="R27" s="1"/>
  <c r="AI27" s="1"/>
  <c r="J26" i="65"/>
  <c r="E24" i="81"/>
  <c r="C24" i="63"/>
  <c r="D24" s="1"/>
  <c r="AO29" i="2" l="1"/>
  <c r="I29" i="82"/>
  <c r="U30" i="3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O30" i="2" l="1"/>
  <c r="D29" i="65"/>
  <c r="AG28" i="2"/>
  <c r="B26" i="63"/>
  <c r="H30" i="65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AI29"/>
  <c r="C26" i="63"/>
  <c r="D26" s="1"/>
  <c r="E26" i="81"/>
  <c r="J28" i="65"/>
  <c r="Z38" i="5" l="1"/>
  <c r="E29" i="82"/>
  <c r="AO31" i="2"/>
  <c r="AG29"/>
  <c r="AS22" i="7"/>
  <c r="D30" i="65"/>
  <c r="AF30" i="2"/>
  <c r="B28" i="63" s="1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V36" l="1"/>
  <c r="AD17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O8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N18" i="2"/>
  <c r="C16" i="63" s="1"/>
  <c r="D16" s="1"/>
  <c r="S18" i="76" l="1"/>
  <c r="T18" s="1"/>
  <c r="F16" i="81" s="1"/>
  <c r="E16"/>
  <c r="R18" i="2"/>
  <c r="AI18" s="1"/>
  <c r="J19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<sst xmlns="http://schemas.openxmlformats.org/spreadsheetml/2006/main" count="659" uniqueCount="420">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</sst>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4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43" fontId="16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2" fillId="0" borderId="0" xfId="0" applyNumberFormat="1" applyFont="1" applyAlignment="1">
      <alignment wrapText="1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2" fillId="0" borderId="71" xfId="0" applyNumberFormat="1" applyFont="1" applyBorder="1"/>
    <xf numFmtId="0" fontId="0" fillId="0" borderId="72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7793536"/>
        <c:axId val="137796992"/>
      </c:lineChart>
      <c:catAx>
        <c:axId val="13779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96992"/>
        <c:crosses val="autoZero"/>
        <c:auto val="1"/>
        <c:lblAlgn val="ctr"/>
        <c:lblOffset val="100"/>
      </c:catAx>
      <c:valAx>
        <c:axId val="137796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79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257397504"/>
        <c:axId val="257399040"/>
      </c:lineChart>
      <c:catAx>
        <c:axId val="2573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399040"/>
        <c:crosses val="autoZero"/>
        <c:auto val="1"/>
        <c:lblAlgn val="ctr"/>
        <c:lblOffset val="100"/>
      </c:catAx>
      <c:valAx>
        <c:axId val="25739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3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05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52783360"/>
        <c:axId val="52789248"/>
      </c:lineChart>
      <c:catAx>
        <c:axId val="5278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789248"/>
        <c:crosses val="autoZero"/>
        <c:auto val="1"/>
        <c:lblAlgn val="ctr"/>
        <c:lblOffset val="100"/>
      </c:catAx>
      <c:valAx>
        <c:axId val="527892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7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52801536"/>
        <c:axId val="52803072"/>
      </c:lineChart>
      <c:catAx>
        <c:axId val="5280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803072"/>
        <c:crosses val="autoZero"/>
        <c:auto val="1"/>
        <c:lblAlgn val="ctr"/>
        <c:lblOffset val="100"/>
      </c:catAx>
      <c:valAx>
        <c:axId val="52803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80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1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52815360"/>
        <c:axId val="52816896"/>
      </c:lineChart>
      <c:catAx>
        <c:axId val="5281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816896"/>
        <c:crosses val="autoZero"/>
        <c:auto val="1"/>
        <c:lblAlgn val="ctr"/>
        <c:lblOffset val="100"/>
      </c:catAx>
      <c:valAx>
        <c:axId val="528168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81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782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6548608"/>
        <c:axId val="106550400"/>
      </c:lineChart>
      <c:catAx>
        <c:axId val="10654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50400"/>
        <c:crosses val="autoZero"/>
        <c:auto val="1"/>
        <c:lblAlgn val="ctr"/>
        <c:lblOffset val="100"/>
      </c:catAx>
      <c:valAx>
        <c:axId val="106550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6681472"/>
        <c:axId val="106683008"/>
      </c:lineChart>
      <c:catAx>
        <c:axId val="10668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83008"/>
        <c:crosses val="autoZero"/>
        <c:auto val="1"/>
        <c:lblAlgn val="ctr"/>
        <c:lblOffset val="100"/>
      </c:catAx>
      <c:valAx>
        <c:axId val="10668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8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7987968"/>
        <c:axId val="118006144"/>
      </c:lineChart>
      <c:catAx>
        <c:axId val="11798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06144"/>
        <c:crosses val="autoZero"/>
        <c:auto val="1"/>
        <c:lblAlgn val="ctr"/>
        <c:lblOffset val="100"/>
      </c:catAx>
      <c:valAx>
        <c:axId val="11800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8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27345024"/>
        <c:axId val="127346560"/>
      </c:lineChart>
      <c:catAx>
        <c:axId val="12734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46560"/>
        <c:crosses val="autoZero"/>
        <c:auto val="1"/>
        <c:lblAlgn val="ctr"/>
        <c:lblOffset val="100"/>
      </c:catAx>
      <c:valAx>
        <c:axId val="127346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4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612"/>
          <c:w val="0.1272403315177546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8472960"/>
        <c:axId val="128474496"/>
      </c:lineChart>
      <c:catAx>
        <c:axId val="12847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74496"/>
        <c:crosses val="autoZero"/>
        <c:auto val="1"/>
        <c:lblAlgn val="ctr"/>
        <c:lblOffset val="100"/>
      </c:catAx>
      <c:valAx>
        <c:axId val="12847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7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8667008"/>
        <c:axId val="128681088"/>
      </c:lineChart>
      <c:catAx>
        <c:axId val="12866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81088"/>
        <c:crosses val="autoZero"/>
        <c:auto val="1"/>
        <c:lblAlgn val="ctr"/>
        <c:lblOffset val="100"/>
      </c:catAx>
      <c:valAx>
        <c:axId val="128681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6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0668032"/>
        <c:axId val="130669568"/>
      </c:lineChart>
      <c:catAx>
        <c:axId val="13066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9568"/>
        <c:crosses val="autoZero"/>
        <c:auto val="1"/>
        <c:lblAlgn val="ctr"/>
        <c:lblOffset val="100"/>
      </c:catAx>
      <c:valAx>
        <c:axId val="13066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52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0682240"/>
        <c:axId val="130700416"/>
      </c:lineChart>
      <c:catAx>
        <c:axId val="13068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00416"/>
        <c:crosses val="autoZero"/>
        <c:auto val="1"/>
        <c:lblAlgn val="ctr"/>
        <c:lblOffset val="100"/>
      </c:catAx>
      <c:valAx>
        <c:axId val="13070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8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612"/>
          <c:w val="0.1354168853893698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0716800"/>
        <c:axId val="130718336"/>
      </c:lineChart>
      <c:catAx>
        <c:axId val="13071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8336"/>
        <c:crosses val="autoZero"/>
        <c:auto val="1"/>
        <c:lblAlgn val="ctr"/>
        <c:lblOffset val="100"/>
      </c:catAx>
      <c:valAx>
        <c:axId val="130718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61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0739200"/>
        <c:axId val="130876160"/>
      </c:lineChart>
      <c:catAx>
        <c:axId val="13073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76160"/>
        <c:crosses val="autoZero"/>
        <c:auto val="1"/>
        <c:lblAlgn val="ctr"/>
        <c:lblOffset val="100"/>
      </c:catAx>
      <c:valAx>
        <c:axId val="130876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0896640"/>
        <c:axId val="130898176"/>
      </c:lineChart>
      <c:catAx>
        <c:axId val="13089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98176"/>
        <c:crosses val="autoZero"/>
        <c:auto val="1"/>
        <c:lblAlgn val="ctr"/>
        <c:lblOffset val="100"/>
      </c:catAx>
      <c:valAx>
        <c:axId val="13089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9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612"/>
          <c:w val="0.1354168853893698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0935040"/>
        <c:axId val="130936832"/>
      </c:lineChart>
      <c:catAx>
        <c:axId val="1309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36832"/>
        <c:crosses val="autoZero"/>
        <c:auto val="1"/>
        <c:lblAlgn val="ctr"/>
        <c:lblOffset val="100"/>
      </c:catAx>
      <c:valAx>
        <c:axId val="130936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853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1608576"/>
        <c:axId val="131610112"/>
      </c:lineChart>
      <c:catAx>
        <c:axId val="13160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10112"/>
        <c:crosses val="autoZero"/>
        <c:auto val="1"/>
        <c:lblAlgn val="ctr"/>
        <c:lblOffset val="100"/>
      </c:catAx>
      <c:valAx>
        <c:axId val="131610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0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1630976"/>
        <c:axId val="131632512"/>
      </c:lineChart>
      <c:catAx>
        <c:axId val="13163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32512"/>
        <c:crosses val="autoZero"/>
        <c:auto val="1"/>
        <c:lblAlgn val="ctr"/>
        <c:lblOffset val="100"/>
      </c:catAx>
      <c:valAx>
        <c:axId val="13163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3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0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1648896"/>
        <c:axId val="131654784"/>
      </c:lineChart>
      <c:catAx>
        <c:axId val="13164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54784"/>
        <c:crosses val="autoZero"/>
        <c:auto val="1"/>
        <c:lblAlgn val="ctr"/>
        <c:lblOffset val="100"/>
      </c:catAx>
      <c:valAx>
        <c:axId val="1316547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4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38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1671168"/>
        <c:axId val="131672704"/>
      </c:lineChart>
      <c:catAx>
        <c:axId val="13167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2704"/>
        <c:crosses val="autoZero"/>
        <c:auto val="1"/>
        <c:lblAlgn val="ctr"/>
        <c:lblOffset val="100"/>
      </c:catAx>
      <c:valAx>
        <c:axId val="131672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1693184"/>
        <c:axId val="131703168"/>
      </c:lineChart>
      <c:catAx>
        <c:axId val="13169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03168"/>
        <c:crosses val="autoZero"/>
        <c:auto val="1"/>
        <c:lblAlgn val="ctr"/>
        <c:lblOffset val="100"/>
      </c:catAx>
      <c:valAx>
        <c:axId val="131703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9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93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1805568"/>
        <c:axId val="131807104"/>
      </c:lineChart>
      <c:catAx>
        <c:axId val="13180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07104"/>
        <c:crosses val="autoZero"/>
        <c:auto val="1"/>
        <c:lblAlgn val="ctr"/>
        <c:lblOffset val="100"/>
      </c:catAx>
      <c:valAx>
        <c:axId val="13180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0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61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1827584"/>
        <c:axId val="131829120"/>
      </c:lineChart>
      <c:catAx>
        <c:axId val="13182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29120"/>
        <c:crosses val="autoZero"/>
        <c:auto val="1"/>
        <c:lblAlgn val="ctr"/>
        <c:lblOffset val="100"/>
      </c:catAx>
      <c:valAx>
        <c:axId val="13182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2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135"/>
          <c:w val="0.1234311819809400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2649728"/>
        <c:axId val="132651264"/>
      </c:lineChart>
      <c:catAx>
        <c:axId val="1326497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51264"/>
        <c:crosses val="autoZero"/>
        <c:auto val="1"/>
        <c:lblAlgn val="ctr"/>
        <c:lblOffset val="100"/>
      </c:catAx>
      <c:valAx>
        <c:axId val="1326512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4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068"/>
          <c:w val="0.1569039853282357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2671744"/>
        <c:axId val="132685824"/>
      </c:lineChart>
      <c:catAx>
        <c:axId val="13267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85824"/>
        <c:crosses val="autoZero"/>
        <c:auto val="1"/>
        <c:lblAlgn val="ctr"/>
        <c:lblOffset val="100"/>
      </c:catAx>
      <c:valAx>
        <c:axId val="132685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7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88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2768128"/>
        <c:axId val="132769664"/>
      </c:lineChart>
      <c:catAx>
        <c:axId val="13276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69664"/>
        <c:crosses val="autoZero"/>
        <c:auto val="1"/>
        <c:lblAlgn val="ctr"/>
        <c:lblOffset val="100"/>
      </c:catAx>
      <c:valAx>
        <c:axId val="13276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208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6125824"/>
        <c:axId val="136127616"/>
      </c:lineChart>
      <c:catAx>
        <c:axId val="1361258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7616"/>
        <c:crosses val="autoZero"/>
        <c:auto val="1"/>
        <c:lblAlgn val="ctr"/>
        <c:lblOffset val="100"/>
      </c:catAx>
      <c:valAx>
        <c:axId val="1361276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06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A34">
            <v>0</v>
          </cell>
          <cell r="B34">
            <v>0</v>
          </cell>
        </row>
      </sheetData>
      <sheetData sheetId="3">
        <row r="35">
          <cell r="B35">
            <v>143</v>
          </cell>
        </row>
      </sheetData>
      <sheetData sheetId="4">
        <row r="36">
          <cell r="A36">
            <v>44439</v>
          </cell>
        </row>
      </sheetData>
      <sheetData sheetId="5">
        <row r="33">
          <cell r="A33">
            <v>44439</v>
          </cell>
        </row>
      </sheetData>
      <sheetData sheetId="6">
        <row r="36">
          <cell r="A36">
            <v>44439</v>
          </cell>
        </row>
      </sheetData>
      <sheetData sheetId="7">
        <row r="26">
          <cell r="V26">
            <v>395453</v>
          </cell>
        </row>
        <row r="34">
          <cell r="AB34">
            <v>0</v>
          </cell>
          <cell r="AC34">
            <v>0</v>
          </cell>
        </row>
        <row r="36">
          <cell r="AA36" t="str">
            <v>$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44439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3">
          <cell r="C33">
            <v>44469</v>
          </cell>
          <cell r="D33">
            <v>32911138</v>
          </cell>
          <cell r="E33">
            <v>1729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  <cell r="AI33">
            <v>-1095679.4000000022</v>
          </cell>
          <cell r="AJ33">
            <v>44469</v>
          </cell>
          <cell r="AK33">
            <v>1272761</v>
          </cell>
          <cell r="AL33">
            <v>1431</v>
          </cell>
          <cell r="AM33">
            <v>1274192</v>
          </cell>
          <cell r="AN33">
            <v>1729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X32">
            <v>13229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AA29">
            <v>5669</v>
          </cell>
          <cell r="AC29">
            <v>7234333</v>
          </cell>
        </row>
        <row r="30">
          <cell r="Y30" t="str">
            <v>Per G</v>
          </cell>
          <cell r="AB30">
            <v>699232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4" sqref="E4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5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2" t="s">
        <v>400</v>
      </c>
      <c r="N1" s="483" t="s">
        <v>401</v>
      </c>
      <c r="O1" s="268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4">
        <f>SUM('EDl log'!T4)</f>
        <v>0</v>
      </c>
      <c r="G2" s="203">
        <f>-tanks!AW6</f>
        <v>0</v>
      </c>
      <c r="H2" s="324">
        <f>SUM(tanks!AV6)</f>
        <v>0.61499999999999999</v>
      </c>
      <c r="I2" s="10">
        <f>('B5'!AU5)*0.51</f>
        <v>0</v>
      </c>
      <c r="J2" s="304">
        <f>'B5'!AX5/0.51</f>
        <v>1.5686274509803921</v>
      </c>
      <c r="K2" s="203">
        <f>WATER!I6</f>
        <v>0</v>
      </c>
      <c r="L2" s="325">
        <f>SUM(WATER!J6)</f>
        <v>0</v>
      </c>
      <c r="M2" s="325">
        <f>WATER!Q6</f>
        <v>0</v>
      </c>
      <c r="N2" s="484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4">
        <f>SUM('EDl log'!T5)</f>
        <v>0</v>
      </c>
      <c r="G3" s="203">
        <f>-tanks!AW7</f>
        <v>0</v>
      </c>
      <c r="H3" s="324">
        <f>SUM(tanks!AV7)</f>
        <v>0.61499999999999999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4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4">
        <f>SUM('EDl log'!T6)</f>
        <v>-0.28637462974191513</v>
      </c>
      <c r="G4" s="203">
        <f>-tanks!AW8</f>
        <v>81</v>
      </c>
      <c r="H4" s="324">
        <f>SUM(tanks!AV8)</f>
        <v>0.61499999999999999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4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0.61499999999999999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4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0</v>
      </c>
      <c r="F6" s="324">
        <f>SUM('EDl log'!T8)</f>
        <v>0</v>
      </c>
      <c r="G6" s="203">
        <f>-tanks!AW10</f>
        <v>0</v>
      </c>
      <c r="H6" s="324">
        <f>SUM(tanks!AV10)</f>
        <v>0.61499999999999999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4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0</v>
      </c>
      <c r="F7" s="324">
        <f>SUM('EDl log'!T9)</f>
        <v>0</v>
      </c>
      <c r="G7" s="203">
        <f>-tanks!AW11</f>
        <v>0</v>
      </c>
      <c r="H7" s="324">
        <f>SUM(tanks!AV11)</f>
        <v>0.61499999999999999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4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0</v>
      </c>
      <c r="F8" s="324">
        <f>SUM('EDl log'!T10)</f>
        <v>0</v>
      </c>
      <c r="G8" s="203">
        <f>-tanks!AW12</f>
        <v>0</v>
      </c>
      <c r="H8" s="324">
        <f>SUM(tanks!AV12)</f>
        <v>0.61499999999999999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4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4">
        <f>SUM('EDl log'!T11)</f>
        <v>0</v>
      </c>
      <c r="G9" s="203">
        <f>-tanks!AW13</f>
        <v>0</v>
      </c>
      <c r="H9" s="324">
        <f>SUM(tanks!AV13)</f>
        <v>0.61499999999999999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4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4">
        <f>SUM('EDl log'!T12)</f>
        <v>0</v>
      </c>
      <c r="G10" s="203">
        <f>-tanks!AW14</f>
        <v>0</v>
      </c>
      <c r="H10" s="324">
        <f>SUM(tanks!AV14)</f>
        <v>0.61499999999999999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4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0</v>
      </c>
      <c r="F11" s="324">
        <f>SUM('EDl log'!T13)</f>
        <v>0</v>
      </c>
      <c r="G11" s="203">
        <f>-tanks!AW15</f>
        <v>0</v>
      </c>
      <c r="H11" s="324">
        <f>SUM(tanks!AV15)</f>
        <v>0.61499999999999999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4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0.61499999999999999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4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0.61499999999999999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4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0</v>
      </c>
      <c r="F14" s="324">
        <f>SUM('EDl log'!T16)</f>
        <v>0</v>
      </c>
      <c r="G14" s="203">
        <f>-tanks!AW18</f>
        <v>0</v>
      </c>
      <c r="H14" s="324">
        <f>SUM(tanks!AV18)</f>
        <v>0.61499999999999999</v>
      </c>
      <c r="I14" s="10">
        <f>('B5'!AU17)*0.51</f>
        <v>0</v>
      </c>
      <c r="J14" s="304">
        <f>'B5'!AX17/0.51</f>
        <v>1.5686274509803921</v>
      </c>
      <c r="K14" s="203">
        <f>WATER!I18</f>
        <v>0</v>
      </c>
      <c r="L14" s="325">
        <f>SUM(WATER!J18)</f>
        <v>0</v>
      </c>
      <c r="M14" s="325">
        <f>WATER!Q18</f>
        <v>0</v>
      </c>
      <c r="N14" s="484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4">
        <f>SUM('EDl log'!T17)</f>
        <v>0</v>
      </c>
      <c r="G15" s="203">
        <f>-tanks!AW19</f>
        <v>0</v>
      </c>
      <c r="H15" s="324">
        <f>SUM(tanks!AV19)</f>
        <v>0.61499999999999999</v>
      </c>
      <c r="I15" s="10">
        <f>('B5'!AU18)*0.51</f>
        <v>0</v>
      </c>
      <c r="J15" s="304">
        <f>'B5'!AX18/0.51</f>
        <v>1.5686274509803921</v>
      </c>
      <c r="K15" s="203">
        <f>WATER!I19</f>
        <v>0</v>
      </c>
      <c r="L15" s="325">
        <f>SUM(WATER!J19)</f>
        <v>0</v>
      </c>
      <c r="M15" s="325">
        <f>WATER!Q19</f>
        <v>0</v>
      </c>
      <c r="N15" s="484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4">
        <f>SUM('EDl log'!T18)</f>
        <v>0</v>
      </c>
      <c r="G16" s="203">
        <f>-tanks!AW20</f>
        <v>0</v>
      </c>
      <c r="H16" s="324">
        <f>SUM(tanks!AV20)</f>
        <v>0.61499999999999999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4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4">
        <f>SUM('EDl log'!T19)</f>
        <v>0</v>
      </c>
      <c r="G17" s="203">
        <f>-tanks!AW21</f>
        <v>0</v>
      </c>
      <c r="H17" s="324">
        <f>SUM(tanks!AV21)</f>
        <v>0.61499999999999999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4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0.61499999999999999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4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0</v>
      </c>
      <c r="F19" s="324">
        <f>SUM('EDl log'!T21)</f>
        <v>0</v>
      </c>
      <c r="G19" s="203">
        <f>-tanks!AW23</f>
        <v>0</v>
      </c>
      <c r="H19" s="324">
        <f>SUM(tanks!AV23)</f>
        <v>0.61499999999999999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4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0</v>
      </c>
      <c r="F20" s="324">
        <f>SUM('EDl log'!T22)</f>
        <v>0</v>
      </c>
      <c r="G20" s="203">
        <f>-tanks!AW24</f>
        <v>0</v>
      </c>
      <c r="H20" s="324">
        <f>SUM(tanks!AV24)</f>
        <v>0.61499999999999999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4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0</v>
      </c>
      <c r="F21" s="324">
        <f>SUM('EDl log'!T23)</f>
        <v>0</v>
      </c>
      <c r="G21" s="203">
        <f>-tanks!AW25</f>
        <v>0</v>
      </c>
      <c r="H21" s="324">
        <f>SUM(tanks!AV25)</f>
        <v>0.61499999999999999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4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0</v>
      </c>
      <c r="F22" s="324">
        <f>SUM('EDl log'!T24)</f>
        <v>0</v>
      </c>
      <c r="G22" s="203">
        <f>-tanks!AW26</f>
        <v>0</v>
      </c>
      <c r="H22" s="324">
        <f>SUM(tanks!AV26)</f>
        <v>0.61499999999999999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4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0</v>
      </c>
      <c r="F23" s="324">
        <f>SUM('EDl log'!T25)</f>
        <v>0</v>
      </c>
      <c r="G23" s="203">
        <f>-tanks!AW27</f>
        <v>0</v>
      </c>
      <c r="H23" s="324">
        <f>SUM(tanks!AV27)</f>
        <v>0.61499999999999999</v>
      </c>
      <c r="I23" s="10">
        <f>('B5'!AU26)*0.51</f>
        <v>0</v>
      </c>
      <c r="J23" s="304">
        <f>'B5'!AX26/0.51</f>
        <v>1.5686274509803921</v>
      </c>
      <c r="K23" s="203">
        <f>WATER!I27</f>
        <v>0</v>
      </c>
      <c r="L23" s="325">
        <f>SUM(WATER!J27)</f>
        <v>0</v>
      </c>
      <c r="M23" s="325">
        <f>WATER!Q27</f>
        <v>0</v>
      </c>
      <c r="N23" s="484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4">
        <f>SUM('EDl log'!T26)</f>
        <v>0</v>
      </c>
      <c r="G24" s="203">
        <f>-tanks!AW28</f>
        <v>0</v>
      </c>
      <c r="H24" s="324">
        <f>SUM(tanks!AV28)</f>
        <v>0.61499999999999999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4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0.61499999999999999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4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0.61499999999999999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4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0</v>
      </c>
      <c r="F27" s="324">
        <f>SUM('EDl log'!T29)</f>
        <v>0</v>
      </c>
      <c r="G27" s="203">
        <f>-tanks!AW31</f>
        <v>0</v>
      </c>
      <c r="H27" s="324">
        <f>SUM(tanks!AV31)</f>
        <v>0.61499999999999999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4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0</v>
      </c>
      <c r="F28" s="324">
        <f>SUM('EDl log'!T30)</f>
        <v>0</v>
      </c>
      <c r="G28" s="203">
        <f>-tanks!AW32</f>
        <v>0</v>
      </c>
      <c r="H28" s="324">
        <f>SUM(tanks!AV32)</f>
        <v>0.61499999999999999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4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0</v>
      </c>
      <c r="F29" s="324">
        <f>SUM('EDl log'!T31)</f>
        <v>0</v>
      </c>
      <c r="G29" s="203">
        <f>-tanks!AW33</f>
        <v>0</v>
      </c>
      <c r="H29" s="324">
        <f>SUM(tanks!AV33)</f>
        <v>0.61499999999999999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4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0.61499999999999999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4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0.61499999999999999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4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0.61499999999999999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4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5"/>
  <sheetViews>
    <sheetView zoomScale="90" zoomScaleNormal="90" zoomScaleSheetLayoutView="100" workbookViewId="0">
      <pane ySplit="2" topLeftCell="A3" activePane="bottomLeft" state="frozen"/>
      <selection activeCell="C1" sqref="C1"/>
      <selection pane="bottomLeft" activeCell="AD6" sqref="AD6"/>
    </sheetView>
  </sheetViews>
  <sheetFormatPr defaultColWidth="9.28515625" defaultRowHeight="15"/>
  <cols>
    <col min="1" max="1" width="7.7109375" style="457" bestFit="1" customWidth="1"/>
    <col min="2" max="2" width="10.28515625" style="465" bestFit="1" customWidth="1"/>
    <col min="3" max="3" width="11.5703125" style="457" customWidth="1"/>
    <col min="4" max="4" width="18" style="466" bestFit="1" customWidth="1"/>
    <col min="5" max="5" width="14.42578125" style="466" bestFit="1" customWidth="1"/>
    <col min="6" max="6" width="15.28515625" style="466" bestFit="1" customWidth="1"/>
    <col min="7" max="7" width="12.5703125" style="466" bestFit="1" customWidth="1"/>
    <col min="8" max="8" width="18" style="466" bestFit="1" customWidth="1"/>
    <col min="9" max="9" width="13.140625" style="466" bestFit="1" customWidth="1"/>
    <col min="10" max="10" width="18" style="466" bestFit="1" customWidth="1"/>
    <col min="11" max="11" width="11.7109375" style="466" customWidth="1"/>
    <col min="12" max="12" width="18" style="466" bestFit="1" customWidth="1"/>
    <col min="13" max="13" width="13.140625" style="466" bestFit="1" customWidth="1"/>
    <col min="14" max="14" width="15.42578125" style="457" bestFit="1" customWidth="1"/>
    <col min="15" max="15" width="13.28515625" style="467" bestFit="1" customWidth="1"/>
    <col min="16" max="16" width="14.28515625" style="457" bestFit="1" customWidth="1"/>
    <col min="17" max="17" width="13.7109375" style="457" bestFit="1" customWidth="1"/>
    <col min="18" max="18" width="12.42578125" style="457" bestFit="1" customWidth="1"/>
    <col min="19" max="21" width="11.5703125" style="457" bestFit="1" customWidth="1"/>
    <col min="22" max="22" width="13.28515625" style="457" bestFit="1" customWidth="1"/>
    <col min="23" max="25" width="11.5703125" style="457" bestFit="1" customWidth="1"/>
    <col min="26" max="26" width="13.28515625" style="457" bestFit="1" customWidth="1"/>
    <col min="27" max="29" width="11.5703125" style="457" bestFit="1" customWidth="1"/>
    <col min="30" max="30" width="13.28515625" style="457" bestFit="1" customWidth="1"/>
    <col min="31" max="32" width="11.5703125" style="457" bestFit="1" customWidth="1"/>
    <col min="33" max="33" width="15.7109375" style="457" customWidth="1"/>
    <col min="34" max="34" width="9.28515625" style="457"/>
    <col min="35" max="35" width="9.7109375" style="457" bestFit="1" customWidth="1"/>
    <col min="36" max="36" width="11.5703125" style="457" bestFit="1" customWidth="1"/>
    <col min="37" max="37" width="12.42578125" style="457" customWidth="1"/>
    <col min="38" max="38" width="11.42578125" style="457" customWidth="1"/>
    <col min="39" max="39" width="10" style="457" bestFit="1" customWidth="1"/>
    <col min="40" max="40" width="10.7109375" style="457" bestFit="1" customWidth="1"/>
    <col min="41" max="16384" width="9.28515625" style="457"/>
  </cols>
  <sheetData>
    <row r="1" spans="1:40">
      <c r="AK1" s="639" t="s">
        <v>417</v>
      </c>
      <c r="AL1" s="639"/>
      <c r="AM1" s="639"/>
      <c r="AN1" s="640"/>
    </row>
    <row r="2" spans="1:40" s="442" customFormat="1" ht="18.75" customHeight="1">
      <c r="A2" s="442" t="s">
        <v>19</v>
      </c>
      <c r="B2" s="443" t="s">
        <v>155</v>
      </c>
      <c r="C2" s="444"/>
      <c r="D2" s="445" t="s">
        <v>20</v>
      </c>
      <c r="E2" s="445" t="s">
        <v>21</v>
      </c>
      <c r="F2" s="445" t="s">
        <v>22</v>
      </c>
      <c r="G2" s="445" t="s">
        <v>23</v>
      </c>
      <c r="H2" s="445" t="s">
        <v>24</v>
      </c>
      <c r="I2" s="445" t="s">
        <v>25</v>
      </c>
      <c r="J2" s="445" t="s">
        <v>26</v>
      </c>
      <c r="K2" s="445" t="s">
        <v>27</v>
      </c>
      <c r="L2" s="445" t="s">
        <v>28</v>
      </c>
      <c r="M2" s="445" t="s">
        <v>29</v>
      </c>
      <c r="N2" s="446" t="s">
        <v>30</v>
      </c>
      <c r="O2" s="447" t="s">
        <v>156</v>
      </c>
      <c r="P2" s="448" t="s">
        <v>325</v>
      </c>
      <c r="Q2" s="446" t="s">
        <v>31</v>
      </c>
      <c r="R2" s="446" t="s">
        <v>32</v>
      </c>
      <c r="S2" s="446" t="s">
        <v>360</v>
      </c>
      <c r="T2" s="446" t="s">
        <v>33</v>
      </c>
      <c r="U2" s="446" t="s">
        <v>34</v>
      </c>
      <c r="V2" s="446" t="s">
        <v>35</v>
      </c>
      <c r="W2" s="446" t="s">
        <v>36</v>
      </c>
      <c r="X2" s="446" t="s">
        <v>33</v>
      </c>
      <c r="Y2" s="446" t="s">
        <v>37</v>
      </c>
      <c r="Z2" s="446" t="s">
        <v>38</v>
      </c>
      <c r="AA2" s="446" t="s">
        <v>39</v>
      </c>
      <c r="AB2" s="446" t="s">
        <v>33</v>
      </c>
      <c r="AC2" s="446" t="s">
        <v>77</v>
      </c>
      <c r="AD2" s="446" t="s">
        <v>40</v>
      </c>
      <c r="AE2" s="446" t="s">
        <v>41</v>
      </c>
      <c r="AF2" s="446" t="s">
        <v>42</v>
      </c>
      <c r="AG2" s="442" t="s">
        <v>132</v>
      </c>
      <c r="AK2" s="568" t="s">
        <v>416</v>
      </c>
      <c r="AL2" s="569" t="s">
        <v>415</v>
      </c>
      <c r="AM2" s="569" t="s">
        <v>390</v>
      </c>
      <c r="AN2" s="572" t="s">
        <v>418</v>
      </c>
    </row>
    <row r="3" spans="1:40">
      <c r="A3" s="449">
        <f>[1]ELEC!$A$34</f>
        <v>0</v>
      </c>
      <c r="B3" s="443">
        <f>[1]ELEC!$B$34</f>
        <v>0</v>
      </c>
      <c r="C3" s="450">
        <f>[2]ELEC!$C$33</f>
        <v>44469</v>
      </c>
      <c r="D3" s="437">
        <f>[2]ELEC!$D$33</f>
        <v>32911138</v>
      </c>
      <c r="E3" s="437">
        <f>[2]ELEC!E33</f>
        <v>1729</v>
      </c>
      <c r="F3" s="437">
        <f>[2]ELEC!F33</f>
        <v>4091226</v>
      </c>
      <c r="G3" s="437">
        <f>[2]ELEC!G33</f>
        <v>169.60000000009313</v>
      </c>
      <c r="H3" s="437">
        <f>[2]ELEC!H33</f>
        <v>17967768</v>
      </c>
      <c r="I3" s="437">
        <f>[2]ELEC!I33</f>
        <v>524</v>
      </c>
      <c r="J3" s="437">
        <f>[2]ELEC!J33</f>
        <v>29530270</v>
      </c>
      <c r="K3" s="437">
        <f>[2]ELEC!K33</f>
        <v>2988</v>
      </c>
      <c r="L3" s="437">
        <f>[2]ELEC!L33</f>
        <v>24431942</v>
      </c>
      <c r="M3" s="437">
        <f>[2]ELEC!M33</f>
        <v>1052</v>
      </c>
      <c r="N3" s="437">
        <f>[2]ELEC!N33</f>
        <v>6462.6000000000931</v>
      </c>
      <c r="O3" s="437">
        <f>[2]ELEC!O33</f>
        <v>0</v>
      </c>
      <c r="P3" s="612">
        <f>[2]ELEC!P33</f>
        <v>18411.684000000001</v>
      </c>
      <c r="Q3" s="437">
        <f>[2]ELEC!Q33</f>
        <v>6333.0000000023574</v>
      </c>
      <c r="R3" s="437">
        <f>[2]ELEC!R33</f>
        <v>129.59999999773572</v>
      </c>
      <c r="S3" s="437">
        <f>[2]ELEC!S33</f>
        <v>10175</v>
      </c>
      <c r="T3" s="437">
        <f>[2]ELEC!T33</f>
        <v>0</v>
      </c>
      <c r="U3" s="437">
        <f>[2]ELEC!U33</f>
        <v>429166</v>
      </c>
      <c r="V3" s="437">
        <f>[2]ELEC!V33</f>
        <v>0</v>
      </c>
      <c r="W3" s="437">
        <f>[2]ELEC!W33</f>
        <v>33304</v>
      </c>
      <c r="X3" s="437">
        <f>[2]ELEC!X33</f>
        <v>8</v>
      </c>
      <c r="Y3" s="437">
        <f>[2]ELEC!Y33</f>
        <v>953159</v>
      </c>
      <c r="Z3" s="437">
        <f>[2]ELEC!Z33</f>
        <v>1899</v>
      </c>
      <c r="AA3" s="437">
        <f>[2]ELEC!AA33</f>
        <v>36762</v>
      </c>
      <c r="AB3" s="437">
        <f>[2]ELEC!AB33</f>
        <v>0</v>
      </c>
      <c r="AC3" s="437">
        <f>[2]ELEC!AC33</f>
        <v>1162232</v>
      </c>
      <c r="AD3" s="437">
        <f>[2]ELEC!AD33</f>
        <v>0</v>
      </c>
      <c r="AE3" s="437">
        <f>[2]ELEC!AE33</f>
        <v>8</v>
      </c>
      <c r="AF3" s="437">
        <f>[2]ELEC!AF33</f>
        <v>1899</v>
      </c>
      <c r="AG3" s="437">
        <f>[2]ELEC!AG33</f>
        <v>237.375</v>
      </c>
      <c r="AI3" s="457">
        <f>[2]ELEC!AI33</f>
        <v>-1095679.4000000022</v>
      </c>
      <c r="AJ3" s="574">
        <f>[2]ELEC!$AJ$33</f>
        <v>44469</v>
      </c>
      <c r="AK3" s="575">
        <f>[2]ELEC!AK33</f>
        <v>1272761</v>
      </c>
      <c r="AL3" s="575">
        <f>[2]ELEC!AL33</f>
        <v>1431</v>
      </c>
      <c r="AM3" s="575">
        <f>[2]ELEC!AM33</f>
        <v>1274192</v>
      </c>
      <c r="AN3" s="575">
        <f>[2]ELEC!AN33</f>
        <v>1729</v>
      </c>
    </row>
    <row r="4" spans="1:40">
      <c r="A4" s="449">
        <f>'General information '!F5</f>
        <v>0</v>
      </c>
      <c r="B4" s="443">
        <f>SUM(230*A4)</f>
        <v>0</v>
      </c>
      <c r="C4" s="450">
        <v>44470</v>
      </c>
      <c r="D4" s="437">
        <f>D3</f>
        <v>32911138</v>
      </c>
      <c r="E4" s="438">
        <f>AN4</f>
        <v>0</v>
      </c>
      <c r="F4" s="603">
        <f>F3</f>
        <v>4091226</v>
      </c>
      <c r="G4" s="439">
        <f>F4-F3</f>
        <v>0</v>
      </c>
      <c r="H4" s="437">
        <f>H3</f>
        <v>17967768</v>
      </c>
      <c r="I4" s="439">
        <f>H4-H3</f>
        <v>0</v>
      </c>
      <c r="J4" s="437">
        <f>J3</f>
        <v>29530270</v>
      </c>
      <c r="K4" s="439">
        <f>J4-J3</f>
        <v>0</v>
      </c>
      <c r="L4" s="437">
        <f>L3</f>
        <v>24431942</v>
      </c>
      <c r="M4" s="439">
        <f>L4-L3</f>
        <v>0</v>
      </c>
      <c r="N4" s="440">
        <f>M4+K4+I4+G4+E4</f>
        <v>0</v>
      </c>
      <c r="O4" s="451">
        <f t="shared" ref="O4:O10" si="0">IF(B4&gt;0,N4/B4,0)</f>
        <v>0</v>
      </c>
      <c r="P4" s="594">
        <f>P3</f>
        <v>18411.684000000001</v>
      </c>
      <c r="Q4" s="459">
        <f t="shared" ref="Q4:Q34" si="1">(P4-P3)*1000</f>
        <v>0</v>
      </c>
      <c r="R4" s="577">
        <f>+N4-Q4</f>
        <v>0</v>
      </c>
      <c r="S4" s="437">
        <f>S3</f>
        <v>10175</v>
      </c>
      <c r="T4" s="453">
        <f t="shared" ref="T4:T31" si="2">S4-S3</f>
        <v>0</v>
      </c>
      <c r="U4" s="437">
        <f>U3</f>
        <v>429166</v>
      </c>
      <c r="V4" s="452">
        <f>U4-U3</f>
        <v>0</v>
      </c>
      <c r="W4" s="437">
        <f>W3</f>
        <v>33304</v>
      </c>
      <c r="X4" s="452">
        <f t="shared" ref="X4:X9" si="3">W4-W3</f>
        <v>0</v>
      </c>
      <c r="Y4" s="437">
        <f>Y3</f>
        <v>953159</v>
      </c>
      <c r="Z4" s="452">
        <f>Y4-Y3</f>
        <v>0</v>
      </c>
      <c r="AA4" s="437">
        <f>AA3</f>
        <v>36762</v>
      </c>
      <c r="AB4" s="452">
        <f>AA4-AA3</f>
        <v>0</v>
      </c>
      <c r="AC4" s="437">
        <f>AC3</f>
        <v>1162232</v>
      </c>
      <c r="AD4" s="454">
        <f>AC4-AC3</f>
        <v>0</v>
      </c>
      <c r="AE4" s="455">
        <f>AB4+X4+T4</f>
        <v>0</v>
      </c>
      <c r="AF4" s="464">
        <f t="shared" ref="AF4:AF31" si="4">V4+Z4+AD4</f>
        <v>0</v>
      </c>
      <c r="AG4" s="456">
        <f t="shared" ref="AG4:AG10" si="5">IF(AE4&gt;0,AF4/AE4,0)</f>
        <v>0</v>
      </c>
      <c r="AI4" s="457">
        <f>R4-'EDl log'!B4</f>
        <v>-1095809</v>
      </c>
      <c r="AJ4" s="570">
        <v>44470</v>
      </c>
      <c r="AK4" s="457">
        <f>AK3</f>
        <v>1272761</v>
      </c>
      <c r="AL4" s="576">
        <f>AL3</f>
        <v>1431</v>
      </c>
      <c r="AM4" s="576">
        <f>AK4+AL4</f>
        <v>1274192</v>
      </c>
      <c r="AN4" s="576">
        <f>AM4-AM3</f>
        <v>0</v>
      </c>
    </row>
    <row r="5" spans="1:40">
      <c r="A5" s="449">
        <f>'General information '!F6</f>
        <v>0</v>
      </c>
      <c r="B5" s="443">
        <f t="shared" ref="B5:B31" si="6">SUM(230*A5)</f>
        <v>0</v>
      </c>
      <c r="C5" s="450">
        <v>44471</v>
      </c>
      <c r="D5" s="437">
        <f t="shared" ref="D5:D34" si="7">D4</f>
        <v>32911138</v>
      </c>
      <c r="E5" s="438">
        <f>AN5</f>
        <v>0</v>
      </c>
      <c r="F5" s="603">
        <f t="shared" ref="F5:F34" si="8">F4</f>
        <v>4091226</v>
      </c>
      <c r="G5" s="306">
        <f>F5-F4</f>
        <v>0</v>
      </c>
      <c r="H5" s="437">
        <f t="shared" ref="H5:H34" si="9">H4</f>
        <v>17967768</v>
      </c>
      <c r="I5" s="306">
        <f>H5-H4</f>
        <v>0</v>
      </c>
      <c r="J5" s="437">
        <f t="shared" ref="J5:J34" si="10">J4</f>
        <v>29530270</v>
      </c>
      <c r="K5" s="306">
        <f>J5-J4</f>
        <v>0</v>
      </c>
      <c r="L5" s="437">
        <f t="shared" ref="L5:L34" si="11">L4</f>
        <v>24431942</v>
      </c>
      <c r="M5" s="306">
        <f>L5-L4</f>
        <v>0</v>
      </c>
      <c r="N5" s="305">
        <f>M5+K5+I5+G5+E5</f>
        <v>0</v>
      </c>
      <c r="O5" s="458">
        <f t="shared" si="0"/>
        <v>0</v>
      </c>
      <c r="P5" s="594">
        <f t="shared" ref="P5:P34" si="12">P4</f>
        <v>18411.684000000001</v>
      </c>
      <c r="Q5" s="459">
        <f t="shared" si="1"/>
        <v>0</v>
      </c>
      <c r="R5" s="441">
        <f>N5-Q5</f>
        <v>0</v>
      </c>
      <c r="S5" s="437">
        <f t="shared" ref="S5:S34" si="13">S4</f>
        <v>10175</v>
      </c>
      <c r="T5" s="460">
        <f t="shared" si="2"/>
        <v>0</v>
      </c>
      <c r="U5" s="437">
        <f t="shared" ref="U5:U33" si="14">U4</f>
        <v>429166</v>
      </c>
      <c r="V5" s="441">
        <f>U5-U4</f>
        <v>0</v>
      </c>
      <c r="W5" s="437">
        <f t="shared" ref="W5:W34" si="15">W4</f>
        <v>33304</v>
      </c>
      <c r="X5" s="441">
        <f t="shared" si="3"/>
        <v>0</v>
      </c>
      <c r="Y5" s="437">
        <f t="shared" ref="Y5:Y34" si="16">Y4</f>
        <v>953159</v>
      </c>
      <c r="Z5" s="441">
        <f>Y5-Y4</f>
        <v>0</v>
      </c>
      <c r="AA5" s="437">
        <f t="shared" ref="AA5:AA34" si="17">AA4</f>
        <v>36762</v>
      </c>
      <c r="AB5" s="461">
        <f>AA5-AA4</f>
        <v>0</v>
      </c>
      <c r="AC5" s="437">
        <f t="shared" ref="AC5:AC34" si="18">AC4</f>
        <v>1162232</v>
      </c>
      <c r="AD5" s="462">
        <f>AC5-AC4</f>
        <v>0</v>
      </c>
      <c r="AE5" s="463">
        <f t="shared" ref="AE5:AE31" si="19">AB5+X5+T5</f>
        <v>0</v>
      </c>
      <c r="AF5" s="464">
        <f t="shared" si="4"/>
        <v>0</v>
      </c>
      <c r="AG5" s="456">
        <f t="shared" si="5"/>
        <v>0</v>
      </c>
      <c r="AI5" s="457">
        <f>R5-'EDl log'!B5</f>
        <v>-1095809</v>
      </c>
      <c r="AJ5" s="570">
        <v>44471</v>
      </c>
      <c r="AK5" s="457">
        <f t="shared" ref="AK5:AK34" si="20">AK4</f>
        <v>1272761</v>
      </c>
      <c r="AL5" s="576">
        <f t="shared" ref="AL5:AL34" si="21">AL4</f>
        <v>1431</v>
      </c>
      <c r="AM5" s="576">
        <f t="shared" ref="AM5:AM34" si="22">AK5+AL5</f>
        <v>1274192</v>
      </c>
      <c r="AN5" s="576">
        <f>AM5-AM4</f>
        <v>0</v>
      </c>
    </row>
    <row r="6" spans="1:40">
      <c r="A6" s="449">
        <f>'General information '!F7</f>
        <v>0</v>
      </c>
      <c r="B6" s="443">
        <f>SUM(230*A6)</f>
        <v>0</v>
      </c>
      <c r="C6" s="450">
        <v>44472</v>
      </c>
      <c r="D6" s="437">
        <f t="shared" si="7"/>
        <v>32911138</v>
      </c>
      <c r="E6" s="438">
        <f t="shared" ref="E6:E30" si="23">AN6</f>
        <v>2378</v>
      </c>
      <c r="F6" s="603">
        <v>4091226</v>
      </c>
      <c r="G6" s="306">
        <f t="shared" ref="G6:G33" si="24">F6-F5</f>
        <v>0</v>
      </c>
      <c r="H6" s="437">
        <v>17968314</v>
      </c>
      <c r="I6" s="306">
        <f t="shared" ref="I6:I33" si="25">H6-H5</f>
        <v>546</v>
      </c>
      <c r="J6" s="437">
        <v>29533148</v>
      </c>
      <c r="K6" s="306">
        <f t="shared" ref="K6:K33" si="26">J6-J5</f>
        <v>2878</v>
      </c>
      <c r="L6" s="437">
        <v>24433018</v>
      </c>
      <c r="M6" s="306">
        <f t="shared" ref="M6:M33" si="27">L6-L5</f>
        <v>1076</v>
      </c>
      <c r="N6" s="305">
        <f t="shared" ref="N6:N33" si="28">M6+K6+I6+G6+E6</f>
        <v>6878</v>
      </c>
      <c r="O6" s="458">
        <f t="shared" si="0"/>
        <v>0</v>
      </c>
      <c r="P6" s="594">
        <v>18418.3</v>
      </c>
      <c r="Q6" s="459">
        <f t="shared" si="1"/>
        <v>6615.9999999981665</v>
      </c>
      <c r="R6" s="441">
        <f>N6-Q6</f>
        <v>262.00000000183354</v>
      </c>
      <c r="S6" s="437">
        <f t="shared" si="13"/>
        <v>10175</v>
      </c>
      <c r="T6" s="460">
        <f t="shared" si="2"/>
        <v>0</v>
      </c>
      <c r="U6" s="437">
        <f t="shared" si="14"/>
        <v>429166</v>
      </c>
      <c r="V6" s="441">
        <f t="shared" ref="V6:V31" si="29">U6-U5</f>
        <v>0</v>
      </c>
      <c r="W6" s="437">
        <v>33311</v>
      </c>
      <c r="X6" s="441">
        <f t="shared" si="3"/>
        <v>7</v>
      </c>
      <c r="Y6" s="437">
        <v>954830</v>
      </c>
      <c r="Z6" s="441">
        <f>Y6-Y5</f>
        <v>1671</v>
      </c>
      <c r="AA6" s="437">
        <v>36763</v>
      </c>
      <c r="AB6" s="441">
        <f t="shared" ref="AB6:AB31" si="30">AA6-AA5</f>
        <v>1</v>
      </c>
      <c r="AC6" s="437">
        <v>1162613</v>
      </c>
      <c r="AD6" s="441">
        <f t="shared" ref="AD6:AD17" si="31">AC6-AC5</f>
        <v>381</v>
      </c>
      <c r="AE6" s="463">
        <f t="shared" si="19"/>
        <v>8</v>
      </c>
      <c r="AF6" s="464">
        <f t="shared" si="4"/>
        <v>2052</v>
      </c>
      <c r="AG6" s="456">
        <f t="shared" si="5"/>
        <v>256.5</v>
      </c>
      <c r="AI6" s="457">
        <f>R6-'EDl log'!B6</f>
        <v>-1095546.9999999981</v>
      </c>
      <c r="AJ6" s="570">
        <v>44472</v>
      </c>
      <c r="AK6" s="457">
        <v>1274972</v>
      </c>
      <c r="AL6" s="576">
        <v>1598</v>
      </c>
      <c r="AM6" s="576">
        <f t="shared" si="22"/>
        <v>1276570</v>
      </c>
      <c r="AN6" s="576">
        <f t="shared" ref="AN6:AN34" si="32">AM6-AM5</f>
        <v>2378</v>
      </c>
    </row>
    <row r="7" spans="1:40">
      <c r="A7" s="449">
        <f>'General information '!F8</f>
        <v>0</v>
      </c>
      <c r="B7" s="443">
        <f t="shared" si="6"/>
        <v>0</v>
      </c>
      <c r="C7" s="450">
        <v>44473</v>
      </c>
      <c r="D7" s="437">
        <f t="shared" si="7"/>
        <v>32911138</v>
      </c>
      <c r="E7" s="438">
        <f t="shared" si="23"/>
        <v>0</v>
      </c>
      <c r="F7" s="603">
        <f t="shared" si="8"/>
        <v>4091226</v>
      </c>
      <c r="G7" s="306">
        <f t="shared" si="24"/>
        <v>0</v>
      </c>
      <c r="H7" s="437">
        <f t="shared" si="9"/>
        <v>17968314</v>
      </c>
      <c r="I7" s="306">
        <f t="shared" si="25"/>
        <v>0</v>
      </c>
      <c r="J7" s="437">
        <f t="shared" si="10"/>
        <v>29533148</v>
      </c>
      <c r="K7" s="306">
        <f t="shared" si="26"/>
        <v>0</v>
      </c>
      <c r="L7" s="437">
        <f t="shared" si="11"/>
        <v>24433018</v>
      </c>
      <c r="M7" s="306">
        <f t="shared" si="27"/>
        <v>0</v>
      </c>
      <c r="N7" s="305">
        <f t="shared" si="28"/>
        <v>0</v>
      </c>
      <c r="O7" s="458">
        <f t="shared" si="0"/>
        <v>0</v>
      </c>
      <c r="P7" s="594">
        <f t="shared" si="12"/>
        <v>18418.3</v>
      </c>
      <c r="Q7" s="459">
        <f t="shared" si="1"/>
        <v>0</v>
      </c>
      <c r="R7" s="441">
        <f t="shared" ref="R7:R13" si="33">N7-Q7</f>
        <v>0</v>
      </c>
      <c r="S7" s="437">
        <f t="shared" si="13"/>
        <v>10175</v>
      </c>
      <c r="T7" s="460">
        <f t="shared" si="2"/>
        <v>0</v>
      </c>
      <c r="U7" s="437">
        <f t="shared" si="14"/>
        <v>429166</v>
      </c>
      <c r="V7" s="441">
        <f t="shared" si="29"/>
        <v>0</v>
      </c>
      <c r="W7" s="437">
        <f t="shared" si="15"/>
        <v>33311</v>
      </c>
      <c r="X7" s="441">
        <f t="shared" si="3"/>
        <v>0</v>
      </c>
      <c r="Y7" s="437">
        <f t="shared" si="16"/>
        <v>954830</v>
      </c>
      <c r="Z7" s="441">
        <f t="shared" ref="Z7:Z31" si="34">Y7-Y6</f>
        <v>0</v>
      </c>
      <c r="AA7" s="437">
        <f t="shared" si="17"/>
        <v>36763</v>
      </c>
      <c r="AB7" s="441">
        <f t="shared" si="30"/>
        <v>0</v>
      </c>
      <c r="AC7" s="437">
        <f t="shared" si="18"/>
        <v>1162613</v>
      </c>
      <c r="AD7" s="441">
        <f t="shared" si="31"/>
        <v>0</v>
      </c>
      <c r="AE7" s="463">
        <f t="shared" si="19"/>
        <v>0</v>
      </c>
      <c r="AF7" s="464">
        <f t="shared" si="4"/>
        <v>0</v>
      </c>
      <c r="AG7" s="456">
        <f t="shared" si="5"/>
        <v>0</v>
      </c>
      <c r="AI7" s="457">
        <f>R7-'EDl log'!B7</f>
        <v>-1095809</v>
      </c>
      <c r="AJ7" s="570">
        <v>44473</v>
      </c>
      <c r="AK7" s="457">
        <f t="shared" si="20"/>
        <v>1274972</v>
      </c>
      <c r="AL7" s="576">
        <f t="shared" si="21"/>
        <v>1598</v>
      </c>
      <c r="AM7" s="576">
        <f t="shared" si="22"/>
        <v>1276570</v>
      </c>
      <c r="AN7" s="576">
        <f t="shared" si="32"/>
        <v>0</v>
      </c>
    </row>
    <row r="8" spans="1:40">
      <c r="A8" s="449">
        <f>'General information '!F9</f>
        <v>0</v>
      </c>
      <c r="B8" s="443">
        <f t="shared" si="6"/>
        <v>0</v>
      </c>
      <c r="C8" s="450">
        <v>44474</v>
      </c>
      <c r="D8" s="437">
        <f t="shared" si="7"/>
        <v>32911138</v>
      </c>
      <c r="E8" s="438">
        <f t="shared" si="23"/>
        <v>0</v>
      </c>
      <c r="F8" s="603">
        <f t="shared" si="8"/>
        <v>4091226</v>
      </c>
      <c r="G8" s="306">
        <f t="shared" si="24"/>
        <v>0</v>
      </c>
      <c r="H8" s="437">
        <f t="shared" si="9"/>
        <v>17968314</v>
      </c>
      <c r="I8" s="306">
        <f t="shared" si="25"/>
        <v>0</v>
      </c>
      <c r="J8" s="437">
        <f t="shared" si="10"/>
        <v>29533148</v>
      </c>
      <c r="K8" s="306">
        <f t="shared" si="26"/>
        <v>0</v>
      </c>
      <c r="L8" s="437">
        <f t="shared" si="11"/>
        <v>24433018</v>
      </c>
      <c r="M8" s="306">
        <f t="shared" si="27"/>
        <v>0</v>
      </c>
      <c r="N8" s="305">
        <f t="shared" si="28"/>
        <v>0</v>
      </c>
      <c r="O8" s="458">
        <f t="shared" si="0"/>
        <v>0</v>
      </c>
      <c r="P8" s="594">
        <f t="shared" si="12"/>
        <v>18418.3</v>
      </c>
      <c r="Q8" s="459">
        <f t="shared" si="1"/>
        <v>0</v>
      </c>
      <c r="R8" s="441">
        <f t="shared" si="33"/>
        <v>0</v>
      </c>
      <c r="S8" s="437">
        <f t="shared" si="13"/>
        <v>10175</v>
      </c>
      <c r="T8" s="460">
        <f t="shared" si="2"/>
        <v>0</v>
      </c>
      <c r="U8" s="437">
        <f t="shared" si="14"/>
        <v>429166</v>
      </c>
      <c r="V8" s="441">
        <f t="shared" si="29"/>
        <v>0</v>
      </c>
      <c r="W8" s="437">
        <f t="shared" si="15"/>
        <v>33311</v>
      </c>
      <c r="X8" s="441">
        <f t="shared" si="3"/>
        <v>0</v>
      </c>
      <c r="Y8" s="437">
        <f t="shared" si="16"/>
        <v>954830</v>
      </c>
      <c r="Z8" s="441">
        <f t="shared" si="34"/>
        <v>0</v>
      </c>
      <c r="AA8" s="437">
        <f t="shared" si="17"/>
        <v>36763</v>
      </c>
      <c r="AB8" s="441">
        <f t="shared" si="30"/>
        <v>0</v>
      </c>
      <c r="AC8" s="437">
        <f t="shared" si="18"/>
        <v>1162613</v>
      </c>
      <c r="AD8" s="441">
        <f t="shared" si="31"/>
        <v>0</v>
      </c>
      <c r="AE8" s="463">
        <f t="shared" si="19"/>
        <v>0</v>
      </c>
      <c r="AF8" s="464">
        <f t="shared" si="4"/>
        <v>0</v>
      </c>
      <c r="AG8" s="456">
        <f t="shared" si="5"/>
        <v>0</v>
      </c>
      <c r="AI8" s="457">
        <f>R8-'EDl log'!B8</f>
        <v>-1095809</v>
      </c>
      <c r="AJ8" s="570">
        <v>44474</v>
      </c>
      <c r="AK8" s="457">
        <f t="shared" si="20"/>
        <v>1274972</v>
      </c>
      <c r="AL8" s="576">
        <f t="shared" si="21"/>
        <v>1598</v>
      </c>
      <c r="AM8" s="576">
        <f t="shared" si="22"/>
        <v>1276570</v>
      </c>
      <c r="AN8" s="576">
        <f t="shared" si="32"/>
        <v>0</v>
      </c>
    </row>
    <row r="9" spans="1:40">
      <c r="A9" s="449">
        <f>'General information '!F10</f>
        <v>0</v>
      </c>
      <c r="B9" s="443">
        <f t="shared" si="6"/>
        <v>0</v>
      </c>
      <c r="C9" s="450">
        <v>44475</v>
      </c>
      <c r="D9" s="437">
        <f t="shared" si="7"/>
        <v>32911138</v>
      </c>
      <c r="E9" s="438">
        <f t="shared" si="23"/>
        <v>0</v>
      </c>
      <c r="F9" s="603">
        <f t="shared" si="8"/>
        <v>4091226</v>
      </c>
      <c r="G9" s="306">
        <f t="shared" si="24"/>
        <v>0</v>
      </c>
      <c r="H9" s="437">
        <f t="shared" si="9"/>
        <v>17968314</v>
      </c>
      <c r="I9" s="306">
        <f t="shared" si="25"/>
        <v>0</v>
      </c>
      <c r="J9" s="437">
        <f t="shared" si="10"/>
        <v>29533148</v>
      </c>
      <c r="K9" s="306">
        <f t="shared" si="26"/>
        <v>0</v>
      </c>
      <c r="L9" s="437">
        <f t="shared" si="11"/>
        <v>24433018</v>
      </c>
      <c r="M9" s="306">
        <f t="shared" si="27"/>
        <v>0</v>
      </c>
      <c r="N9" s="305">
        <f t="shared" si="28"/>
        <v>0</v>
      </c>
      <c r="O9" s="458">
        <f t="shared" si="0"/>
        <v>0</v>
      </c>
      <c r="P9" s="594">
        <f t="shared" si="12"/>
        <v>18418.3</v>
      </c>
      <c r="Q9" s="459">
        <f t="shared" si="1"/>
        <v>0</v>
      </c>
      <c r="R9" s="441">
        <f t="shared" si="33"/>
        <v>0</v>
      </c>
      <c r="S9" s="437">
        <f t="shared" si="13"/>
        <v>10175</v>
      </c>
      <c r="T9" s="460">
        <f t="shared" si="2"/>
        <v>0</v>
      </c>
      <c r="U9" s="437">
        <f t="shared" si="14"/>
        <v>429166</v>
      </c>
      <c r="V9" s="441">
        <f t="shared" si="29"/>
        <v>0</v>
      </c>
      <c r="W9" s="437">
        <f t="shared" si="15"/>
        <v>33311</v>
      </c>
      <c r="X9" s="441">
        <f t="shared" si="3"/>
        <v>0</v>
      </c>
      <c r="Y9" s="437">
        <f t="shared" si="16"/>
        <v>954830</v>
      </c>
      <c r="Z9" s="441">
        <f t="shared" si="34"/>
        <v>0</v>
      </c>
      <c r="AA9" s="437">
        <f t="shared" si="17"/>
        <v>36763</v>
      </c>
      <c r="AB9" s="441">
        <f t="shared" si="30"/>
        <v>0</v>
      </c>
      <c r="AC9" s="437">
        <f t="shared" si="18"/>
        <v>1162613</v>
      </c>
      <c r="AD9" s="441">
        <f t="shared" si="31"/>
        <v>0</v>
      </c>
      <c r="AE9" s="463">
        <f t="shared" si="19"/>
        <v>0</v>
      </c>
      <c r="AF9" s="464">
        <f t="shared" si="4"/>
        <v>0</v>
      </c>
      <c r="AG9" s="456">
        <f t="shared" si="5"/>
        <v>0</v>
      </c>
      <c r="AI9" s="457">
        <f>R9-'EDl log'!B9</f>
        <v>-1095809</v>
      </c>
      <c r="AJ9" s="570">
        <v>44475</v>
      </c>
      <c r="AK9" s="457">
        <f t="shared" si="20"/>
        <v>1274972</v>
      </c>
      <c r="AL9" s="576">
        <f t="shared" si="21"/>
        <v>1598</v>
      </c>
      <c r="AM9" s="576">
        <f t="shared" si="22"/>
        <v>1276570</v>
      </c>
      <c r="AN9" s="576">
        <f t="shared" si="32"/>
        <v>0</v>
      </c>
    </row>
    <row r="10" spans="1:40">
      <c r="A10" s="449">
        <f>'General information '!F11</f>
        <v>0</v>
      </c>
      <c r="B10" s="443">
        <f t="shared" si="6"/>
        <v>0</v>
      </c>
      <c r="C10" s="450">
        <v>44476</v>
      </c>
      <c r="D10" s="437">
        <f t="shared" si="7"/>
        <v>32911138</v>
      </c>
      <c r="E10" s="438">
        <f t="shared" si="23"/>
        <v>0</v>
      </c>
      <c r="F10" s="603">
        <f t="shared" si="8"/>
        <v>4091226</v>
      </c>
      <c r="G10" s="306">
        <f t="shared" si="24"/>
        <v>0</v>
      </c>
      <c r="H10" s="437">
        <f t="shared" si="9"/>
        <v>17968314</v>
      </c>
      <c r="I10" s="306">
        <f t="shared" si="25"/>
        <v>0</v>
      </c>
      <c r="J10" s="437">
        <f t="shared" si="10"/>
        <v>29533148</v>
      </c>
      <c r="K10" s="306">
        <f t="shared" si="26"/>
        <v>0</v>
      </c>
      <c r="L10" s="437">
        <f t="shared" si="11"/>
        <v>24433018</v>
      </c>
      <c r="M10" s="306">
        <f t="shared" si="27"/>
        <v>0</v>
      </c>
      <c r="N10" s="305">
        <f t="shared" si="28"/>
        <v>0</v>
      </c>
      <c r="O10" s="458">
        <f t="shared" si="0"/>
        <v>0</v>
      </c>
      <c r="P10" s="594">
        <f t="shared" si="12"/>
        <v>18418.3</v>
      </c>
      <c r="Q10" s="459">
        <f t="shared" si="1"/>
        <v>0</v>
      </c>
      <c r="R10" s="441">
        <f t="shared" si="33"/>
        <v>0</v>
      </c>
      <c r="S10" s="437">
        <f t="shared" si="13"/>
        <v>10175</v>
      </c>
      <c r="T10" s="460">
        <f t="shared" si="2"/>
        <v>0</v>
      </c>
      <c r="U10" s="437">
        <f t="shared" si="14"/>
        <v>429166</v>
      </c>
      <c r="V10" s="441">
        <f t="shared" si="29"/>
        <v>0</v>
      </c>
      <c r="W10" s="437">
        <f t="shared" si="15"/>
        <v>33311</v>
      </c>
      <c r="X10" s="441">
        <f t="shared" ref="X10:X31" si="35">W10-W9</f>
        <v>0</v>
      </c>
      <c r="Y10" s="437">
        <f t="shared" si="16"/>
        <v>954830</v>
      </c>
      <c r="Z10" s="441">
        <f t="shared" si="34"/>
        <v>0</v>
      </c>
      <c r="AA10" s="437">
        <f t="shared" si="17"/>
        <v>36763</v>
      </c>
      <c r="AB10" s="441">
        <f t="shared" si="30"/>
        <v>0</v>
      </c>
      <c r="AC10" s="437">
        <f t="shared" si="18"/>
        <v>1162613</v>
      </c>
      <c r="AD10" s="441">
        <f t="shared" si="31"/>
        <v>0</v>
      </c>
      <c r="AE10" s="463">
        <f t="shared" si="19"/>
        <v>0</v>
      </c>
      <c r="AF10" s="464">
        <f t="shared" si="4"/>
        <v>0</v>
      </c>
      <c r="AG10" s="456">
        <f t="shared" si="5"/>
        <v>0</v>
      </c>
      <c r="AI10" s="457">
        <f>R10-'EDl log'!B10</f>
        <v>-1095809</v>
      </c>
      <c r="AJ10" s="570">
        <v>44476</v>
      </c>
      <c r="AK10" s="457">
        <f t="shared" si="20"/>
        <v>1274972</v>
      </c>
      <c r="AL10" s="576">
        <f t="shared" si="21"/>
        <v>1598</v>
      </c>
      <c r="AM10" s="576">
        <f t="shared" si="22"/>
        <v>1276570</v>
      </c>
      <c r="AN10" s="576">
        <f t="shared" si="32"/>
        <v>0</v>
      </c>
    </row>
    <row r="11" spans="1:40">
      <c r="A11" s="449">
        <f>'General information '!F12</f>
        <v>0</v>
      </c>
      <c r="B11" s="443">
        <f t="shared" si="6"/>
        <v>0</v>
      </c>
      <c r="C11" s="450">
        <v>44477</v>
      </c>
      <c r="D11" s="437">
        <f t="shared" si="7"/>
        <v>32911138</v>
      </c>
      <c r="E11" s="438">
        <f t="shared" si="23"/>
        <v>0</v>
      </c>
      <c r="F11" s="603">
        <f t="shared" si="8"/>
        <v>4091226</v>
      </c>
      <c r="G11" s="306">
        <f t="shared" si="24"/>
        <v>0</v>
      </c>
      <c r="H11" s="437">
        <f t="shared" si="9"/>
        <v>17968314</v>
      </c>
      <c r="I11" s="306">
        <f t="shared" si="25"/>
        <v>0</v>
      </c>
      <c r="J11" s="437">
        <f t="shared" si="10"/>
        <v>29533148</v>
      </c>
      <c r="K11" s="306">
        <f t="shared" si="26"/>
        <v>0</v>
      </c>
      <c r="L11" s="437">
        <f t="shared" si="11"/>
        <v>24433018</v>
      </c>
      <c r="M11" s="306">
        <f t="shared" si="27"/>
        <v>0</v>
      </c>
      <c r="N11" s="305">
        <f t="shared" si="28"/>
        <v>0</v>
      </c>
      <c r="O11" s="458">
        <f t="shared" ref="O11:O31" si="36">IF(B11&gt;0,N11/B11,0)</f>
        <v>0</v>
      </c>
      <c r="P11" s="594">
        <f t="shared" si="12"/>
        <v>18418.3</v>
      </c>
      <c r="Q11" s="459">
        <f t="shared" si="1"/>
        <v>0</v>
      </c>
      <c r="R11" s="628">
        <f>N11-Q11</f>
        <v>0</v>
      </c>
      <c r="S11" s="437">
        <f t="shared" si="13"/>
        <v>10175</v>
      </c>
      <c r="T11" s="460">
        <f t="shared" si="2"/>
        <v>0</v>
      </c>
      <c r="U11" s="437">
        <f t="shared" si="14"/>
        <v>429166</v>
      </c>
      <c r="V11" s="441">
        <f t="shared" si="29"/>
        <v>0</v>
      </c>
      <c r="W11" s="437">
        <f t="shared" si="15"/>
        <v>33311</v>
      </c>
      <c r="X11" s="441">
        <f t="shared" si="35"/>
        <v>0</v>
      </c>
      <c r="Y11" s="437">
        <f t="shared" si="16"/>
        <v>954830</v>
      </c>
      <c r="Z11" s="441">
        <f t="shared" si="34"/>
        <v>0</v>
      </c>
      <c r="AA11" s="437">
        <f t="shared" si="17"/>
        <v>36763</v>
      </c>
      <c r="AB11" s="441">
        <f t="shared" si="30"/>
        <v>0</v>
      </c>
      <c r="AC11" s="437">
        <f t="shared" si="18"/>
        <v>1162613</v>
      </c>
      <c r="AD11" s="441">
        <f t="shared" si="31"/>
        <v>0</v>
      </c>
      <c r="AE11" s="463">
        <f t="shared" si="19"/>
        <v>0</v>
      </c>
      <c r="AF11" s="464">
        <f t="shared" si="4"/>
        <v>0</v>
      </c>
      <c r="AG11" s="456">
        <f t="shared" ref="AG11:AG31" si="37">IF(AE11&gt;0,AF11/AE11,0)</f>
        <v>0</v>
      </c>
      <c r="AI11" s="457">
        <f>R11-'EDl log'!B11</f>
        <v>-1095809</v>
      </c>
      <c r="AJ11" s="570">
        <v>44477</v>
      </c>
      <c r="AK11" s="457">
        <f t="shared" si="20"/>
        <v>1274972</v>
      </c>
      <c r="AL11" s="576">
        <f t="shared" si="21"/>
        <v>1598</v>
      </c>
      <c r="AM11" s="576">
        <f t="shared" si="22"/>
        <v>1276570</v>
      </c>
      <c r="AN11" s="576">
        <f>AM11-AM10</f>
        <v>0</v>
      </c>
    </row>
    <row r="12" spans="1:40">
      <c r="A12" s="449">
        <f>'General information '!F13</f>
        <v>0</v>
      </c>
      <c r="B12" s="443">
        <f>SUM(230*A12)</f>
        <v>0</v>
      </c>
      <c r="C12" s="450">
        <v>44478</v>
      </c>
      <c r="D12" s="437">
        <f t="shared" si="7"/>
        <v>32911138</v>
      </c>
      <c r="E12" s="438">
        <f t="shared" si="23"/>
        <v>0</v>
      </c>
      <c r="F12" s="603">
        <f t="shared" si="8"/>
        <v>4091226</v>
      </c>
      <c r="G12" s="306">
        <f t="shared" si="24"/>
        <v>0</v>
      </c>
      <c r="H12" s="437">
        <f t="shared" si="9"/>
        <v>17968314</v>
      </c>
      <c r="I12" s="306">
        <f t="shared" si="25"/>
        <v>0</v>
      </c>
      <c r="J12" s="437">
        <f t="shared" si="10"/>
        <v>29533148</v>
      </c>
      <c r="K12" s="306">
        <f t="shared" si="26"/>
        <v>0</v>
      </c>
      <c r="L12" s="437">
        <f t="shared" si="11"/>
        <v>24433018</v>
      </c>
      <c r="M12" s="306">
        <f t="shared" si="27"/>
        <v>0</v>
      </c>
      <c r="N12" s="305">
        <f>M12+K12+I12+G12+E12</f>
        <v>0</v>
      </c>
      <c r="O12" s="458">
        <f t="shared" si="36"/>
        <v>0</v>
      </c>
      <c r="P12" s="594">
        <f t="shared" si="12"/>
        <v>18418.3</v>
      </c>
      <c r="Q12" s="459">
        <f t="shared" si="1"/>
        <v>0</v>
      </c>
      <c r="R12" s="441">
        <f t="shared" si="33"/>
        <v>0</v>
      </c>
      <c r="S12" s="437">
        <f t="shared" si="13"/>
        <v>10175</v>
      </c>
      <c r="T12" s="460">
        <f t="shared" si="2"/>
        <v>0</v>
      </c>
      <c r="U12" s="437">
        <f t="shared" si="14"/>
        <v>429166</v>
      </c>
      <c r="V12" s="441">
        <f t="shared" si="29"/>
        <v>0</v>
      </c>
      <c r="W12" s="437">
        <f t="shared" si="15"/>
        <v>33311</v>
      </c>
      <c r="X12" s="441">
        <f t="shared" si="35"/>
        <v>0</v>
      </c>
      <c r="Y12" s="437">
        <f t="shared" si="16"/>
        <v>954830</v>
      </c>
      <c r="Z12" s="441">
        <f t="shared" si="34"/>
        <v>0</v>
      </c>
      <c r="AA12" s="437">
        <f t="shared" si="17"/>
        <v>36763</v>
      </c>
      <c r="AB12" s="441">
        <f t="shared" si="30"/>
        <v>0</v>
      </c>
      <c r="AC12" s="437">
        <f t="shared" si="18"/>
        <v>1162613</v>
      </c>
      <c r="AD12" s="441">
        <f t="shared" si="31"/>
        <v>0</v>
      </c>
      <c r="AE12" s="463">
        <f t="shared" si="19"/>
        <v>0</v>
      </c>
      <c r="AF12" s="464">
        <f t="shared" si="4"/>
        <v>0</v>
      </c>
      <c r="AG12" s="456">
        <f t="shared" si="37"/>
        <v>0</v>
      </c>
      <c r="AI12" s="457">
        <f>R12-'EDl log'!B12</f>
        <v>-1095809</v>
      </c>
      <c r="AJ12" s="570">
        <v>44478</v>
      </c>
      <c r="AK12" s="457">
        <f t="shared" si="20"/>
        <v>1274972</v>
      </c>
      <c r="AL12" s="576">
        <f t="shared" si="21"/>
        <v>1598</v>
      </c>
      <c r="AM12" s="576">
        <f t="shared" si="22"/>
        <v>1276570</v>
      </c>
      <c r="AN12" s="576">
        <f t="shared" si="32"/>
        <v>0</v>
      </c>
    </row>
    <row r="13" spans="1:40">
      <c r="A13" s="449">
        <f>'General information '!F14</f>
        <v>0</v>
      </c>
      <c r="B13" s="443">
        <f t="shared" si="6"/>
        <v>0</v>
      </c>
      <c r="C13" s="450">
        <v>44479</v>
      </c>
      <c r="D13" s="437">
        <f t="shared" si="7"/>
        <v>32911138</v>
      </c>
      <c r="E13" s="438">
        <f t="shared" si="23"/>
        <v>0</v>
      </c>
      <c r="F13" s="603">
        <f t="shared" si="8"/>
        <v>4091226</v>
      </c>
      <c r="G13" s="306">
        <f t="shared" si="24"/>
        <v>0</v>
      </c>
      <c r="H13" s="437">
        <f t="shared" si="9"/>
        <v>17968314</v>
      </c>
      <c r="I13" s="306">
        <f t="shared" si="25"/>
        <v>0</v>
      </c>
      <c r="J13" s="437">
        <f t="shared" si="10"/>
        <v>29533148</v>
      </c>
      <c r="K13" s="306">
        <f t="shared" si="26"/>
        <v>0</v>
      </c>
      <c r="L13" s="437">
        <f t="shared" si="11"/>
        <v>24433018</v>
      </c>
      <c r="M13" s="306">
        <f t="shared" si="27"/>
        <v>0</v>
      </c>
      <c r="N13" s="305">
        <f>M13+K13+I13+G13+E13</f>
        <v>0</v>
      </c>
      <c r="O13" s="458">
        <f t="shared" si="36"/>
        <v>0</v>
      </c>
      <c r="P13" s="594">
        <f t="shared" si="12"/>
        <v>18418.3</v>
      </c>
      <c r="Q13" s="459">
        <f t="shared" si="1"/>
        <v>0</v>
      </c>
      <c r="R13" s="441">
        <f t="shared" si="33"/>
        <v>0</v>
      </c>
      <c r="S13" s="437">
        <f t="shared" si="13"/>
        <v>10175</v>
      </c>
      <c r="T13" s="460">
        <f t="shared" si="2"/>
        <v>0</v>
      </c>
      <c r="U13" s="437">
        <f t="shared" si="14"/>
        <v>429166</v>
      </c>
      <c r="V13" s="441">
        <f t="shared" si="29"/>
        <v>0</v>
      </c>
      <c r="W13" s="437">
        <f t="shared" si="15"/>
        <v>33311</v>
      </c>
      <c r="X13" s="441">
        <f t="shared" si="35"/>
        <v>0</v>
      </c>
      <c r="Y13" s="437">
        <f t="shared" si="16"/>
        <v>954830</v>
      </c>
      <c r="Z13" s="441">
        <f t="shared" si="34"/>
        <v>0</v>
      </c>
      <c r="AA13" s="437">
        <f t="shared" si="17"/>
        <v>36763</v>
      </c>
      <c r="AB13" s="441">
        <f t="shared" si="30"/>
        <v>0</v>
      </c>
      <c r="AC13" s="437">
        <f t="shared" si="18"/>
        <v>1162613</v>
      </c>
      <c r="AD13" s="441">
        <f t="shared" si="31"/>
        <v>0</v>
      </c>
      <c r="AE13" s="463">
        <f t="shared" si="19"/>
        <v>0</v>
      </c>
      <c r="AF13" s="464">
        <f t="shared" si="4"/>
        <v>0</v>
      </c>
      <c r="AG13" s="456">
        <f t="shared" si="37"/>
        <v>0</v>
      </c>
      <c r="AI13" s="457">
        <f>R13-'EDl log'!B13</f>
        <v>-1095809</v>
      </c>
      <c r="AJ13" s="570">
        <v>44479</v>
      </c>
      <c r="AK13" s="457">
        <f t="shared" si="20"/>
        <v>1274972</v>
      </c>
      <c r="AL13" s="576">
        <f t="shared" si="21"/>
        <v>1598</v>
      </c>
      <c r="AM13" s="576">
        <f t="shared" si="22"/>
        <v>1276570</v>
      </c>
      <c r="AN13" s="576">
        <f t="shared" si="32"/>
        <v>0</v>
      </c>
    </row>
    <row r="14" spans="1:40">
      <c r="A14" s="449">
        <f>'General information '!F15</f>
        <v>0</v>
      </c>
      <c r="B14" s="443">
        <f t="shared" si="6"/>
        <v>0</v>
      </c>
      <c r="C14" s="450">
        <v>44480</v>
      </c>
      <c r="D14" s="437">
        <f t="shared" si="7"/>
        <v>32911138</v>
      </c>
      <c r="E14" s="438">
        <f t="shared" si="23"/>
        <v>0</v>
      </c>
      <c r="F14" s="603">
        <f t="shared" si="8"/>
        <v>4091226</v>
      </c>
      <c r="G14" s="306">
        <f t="shared" si="24"/>
        <v>0</v>
      </c>
      <c r="H14" s="437">
        <f t="shared" si="9"/>
        <v>17968314</v>
      </c>
      <c r="I14" s="306">
        <f t="shared" si="25"/>
        <v>0</v>
      </c>
      <c r="J14" s="437">
        <f t="shared" si="10"/>
        <v>29533148</v>
      </c>
      <c r="K14" s="306">
        <f t="shared" si="26"/>
        <v>0</v>
      </c>
      <c r="L14" s="437">
        <f t="shared" si="11"/>
        <v>24433018</v>
      </c>
      <c r="M14" s="306">
        <f t="shared" si="27"/>
        <v>0</v>
      </c>
      <c r="N14" s="305">
        <f t="shared" si="28"/>
        <v>0</v>
      </c>
      <c r="O14" s="458">
        <f t="shared" si="36"/>
        <v>0</v>
      </c>
      <c r="P14" s="594">
        <f t="shared" si="12"/>
        <v>18418.3</v>
      </c>
      <c r="Q14" s="459">
        <f t="shared" si="1"/>
        <v>0</v>
      </c>
      <c r="R14" s="441">
        <f>N14-Q14</f>
        <v>0</v>
      </c>
      <c r="S14" s="437">
        <f t="shared" si="13"/>
        <v>10175</v>
      </c>
      <c r="T14" s="460">
        <f t="shared" si="2"/>
        <v>0</v>
      </c>
      <c r="U14" s="437">
        <f t="shared" si="14"/>
        <v>429166</v>
      </c>
      <c r="V14" s="441">
        <f t="shared" si="29"/>
        <v>0</v>
      </c>
      <c r="W14" s="437">
        <f t="shared" si="15"/>
        <v>33311</v>
      </c>
      <c r="X14" s="441">
        <f t="shared" si="35"/>
        <v>0</v>
      </c>
      <c r="Y14" s="437">
        <f t="shared" si="16"/>
        <v>954830</v>
      </c>
      <c r="Z14" s="441">
        <f t="shared" si="34"/>
        <v>0</v>
      </c>
      <c r="AA14" s="437">
        <f t="shared" si="17"/>
        <v>36763</v>
      </c>
      <c r="AB14" s="441">
        <f t="shared" si="30"/>
        <v>0</v>
      </c>
      <c r="AC14" s="437">
        <f t="shared" si="18"/>
        <v>1162613</v>
      </c>
      <c r="AD14" s="441">
        <f t="shared" si="31"/>
        <v>0</v>
      </c>
      <c r="AE14" s="463">
        <f t="shared" si="19"/>
        <v>0</v>
      </c>
      <c r="AF14" s="464">
        <f t="shared" si="4"/>
        <v>0</v>
      </c>
      <c r="AG14" s="456">
        <f t="shared" si="37"/>
        <v>0</v>
      </c>
      <c r="AI14" s="457">
        <f>R14-'EDl log'!B14</f>
        <v>-1095809</v>
      </c>
      <c r="AJ14" s="570">
        <v>44480</v>
      </c>
      <c r="AK14" s="457">
        <f t="shared" si="20"/>
        <v>1274972</v>
      </c>
      <c r="AL14" s="576">
        <f t="shared" si="21"/>
        <v>1598</v>
      </c>
      <c r="AM14" s="576">
        <f t="shared" si="22"/>
        <v>1276570</v>
      </c>
      <c r="AN14" s="576">
        <f t="shared" si="32"/>
        <v>0</v>
      </c>
    </row>
    <row r="15" spans="1:40">
      <c r="A15" s="449">
        <f>'General information '!F16</f>
        <v>0</v>
      </c>
      <c r="B15" s="443">
        <f t="shared" si="6"/>
        <v>0</v>
      </c>
      <c r="C15" s="450">
        <v>44481</v>
      </c>
      <c r="D15" s="437">
        <f t="shared" si="7"/>
        <v>32911138</v>
      </c>
      <c r="E15" s="438">
        <f t="shared" si="23"/>
        <v>0</v>
      </c>
      <c r="F15" s="603">
        <f t="shared" si="8"/>
        <v>4091226</v>
      </c>
      <c r="G15" s="306">
        <f t="shared" si="24"/>
        <v>0</v>
      </c>
      <c r="H15" s="437">
        <f t="shared" si="9"/>
        <v>17968314</v>
      </c>
      <c r="I15" s="306">
        <f t="shared" si="25"/>
        <v>0</v>
      </c>
      <c r="J15" s="437">
        <f t="shared" si="10"/>
        <v>29533148</v>
      </c>
      <c r="K15" s="306">
        <f t="shared" si="26"/>
        <v>0</v>
      </c>
      <c r="L15" s="437">
        <f t="shared" si="11"/>
        <v>24433018</v>
      </c>
      <c r="M15" s="306">
        <f t="shared" si="27"/>
        <v>0</v>
      </c>
      <c r="N15" s="305">
        <f t="shared" si="28"/>
        <v>0</v>
      </c>
      <c r="O15" s="458">
        <f t="shared" si="36"/>
        <v>0</v>
      </c>
      <c r="P15" s="594">
        <f t="shared" si="12"/>
        <v>18418.3</v>
      </c>
      <c r="Q15" s="459">
        <f t="shared" si="1"/>
        <v>0</v>
      </c>
      <c r="R15" s="441">
        <f t="shared" ref="R15:R31" si="38">N15-Q15</f>
        <v>0</v>
      </c>
      <c r="S15" s="437">
        <f t="shared" si="13"/>
        <v>10175</v>
      </c>
      <c r="T15" s="460">
        <f t="shared" si="2"/>
        <v>0</v>
      </c>
      <c r="U15" s="437">
        <f t="shared" si="14"/>
        <v>429166</v>
      </c>
      <c r="V15" s="441">
        <f t="shared" si="29"/>
        <v>0</v>
      </c>
      <c r="W15" s="437">
        <f t="shared" si="15"/>
        <v>33311</v>
      </c>
      <c r="X15" s="441">
        <f t="shared" si="35"/>
        <v>0</v>
      </c>
      <c r="Y15" s="437">
        <f t="shared" si="16"/>
        <v>954830</v>
      </c>
      <c r="Z15" s="441">
        <f t="shared" si="34"/>
        <v>0</v>
      </c>
      <c r="AA15" s="437">
        <f t="shared" si="17"/>
        <v>36763</v>
      </c>
      <c r="AB15" s="441">
        <f t="shared" si="30"/>
        <v>0</v>
      </c>
      <c r="AC15" s="437">
        <f t="shared" si="18"/>
        <v>1162613</v>
      </c>
      <c r="AD15" s="441">
        <f t="shared" si="31"/>
        <v>0</v>
      </c>
      <c r="AE15" s="463">
        <f t="shared" si="19"/>
        <v>0</v>
      </c>
      <c r="AF15" s="464">
        <f t="shared" si="4"/>
        <v>0</v>
      </c>
      <c r="AG15" s="456">
        <f t="shared" si="37"/>
        <v>0</v>
      </c>
      <c r="AI15" s="457">
        <f>R15-'EDl log'!B15</f>
        <v>-1095809</v>
      </c>
      <c r="AJ15" s="570">
        <v>44481</v>
      </c>
      <c r="AK15" s="457">
        <f t="shared" si="20"/>
        <v>1274972</v>
      </c>
      <c r="AL15" s="576">
        <f t="shared" si="21"/>
        <v>1598</v>
      </c>
      <c r="AM15" s="576">
        <f t="shared" si="22"/>
        <v>1276570</v>
      </c>
      <c r="AN15" s="576">
        <f t="shared" si="32"/>
        <v>0</v>
      </c>
    </row>
    <row r="16" spans="1:40">
      <c r="A16" s="449">
        <f>'General information '!F17</f>
        <v>0</v>
      </c>
      <c r="B16" s="443">
        <f t="shared" si="6"/>
        <v>0</v>
      </c>
      <c r="C16" s="450">
        <v>44482</v>
      </c>
      <c r="D16" s="437">
        <f t="shared" si="7"/>
        <v>32911138</v>
      </c>
      <c r="E16" s="438">
        <f t="shared" si="23"/>
        <v>0</v>
      </c>
      <c r="F16" s="603">
        <f t="shared" si="8"/>
        <v>4091226</v>
      </c>
      <c r="G16" s="306">
        <f t="shared" si="24"/>
        <v>0</v>
      </c>
      <c r="H16" s="437">
        <f t="shared" si="9"/>
        <v>17968314</v>
      </c>
      <c r="I16" s="306">
        <f t="shared" si="25"/>
        <v>0</v>
      </c>
      <c r="J16" s="437">
        <f t="shared" si="10"/>
        <v>29533148</v>
      </c>
      <c r="K16" s="306">
        <f t="shared" si="26"/>
        <v>0</v>
      </c>
      <c r="L16" s="437">
        <f t="shared" si="11"/>
        <v>24433018</v>
      </c>
      <c r="M16" s="306">
        <f t="shared" si="27"/>
        <v>0</v>
      </c>
      <c r="N16" s="305">
        <f t="shared" si="28"/>
        <v>0</v>
      </c>
      <c r="O16" s="458">
        <f t="shared" si="36"/>
        <v>0</v>
      </c>
      <c r="P16" s="594">
        <f t="shared" si="12"/>
        <v>18418.3</v>
      </c>
      <c r="Q16" s="459">
        <f t="shared" si="1"/>
        <v>0</v>
      </c>
      <c r="R16" s="441">
        <f t="shared" si="38"/>
        <v>0</v>
      </c>
      <c r="S16" s="437">
        <f t="shared" si="13"/>
        <v>10175</v>
      </c>
      <c r="T16" s="460">
        <f t="shared" si="2"/>
        <v>0</v>
      </c>
      <c r="U16" s="437">
        <f t="shared" si="14"/>
        <v>429166</v>
      </c>
      <c r="V16" s="441">
        <f t="shared" si="29"/>
        <v>0</v>
      </c>
      <c r="W16" s="437">
        <f t="shared" si="15"/>
        <v>33311</v>
      </c>
      <c r="X16" s="441">
        <f t="shared" si="35"/>
        <v>0</v>
      </c>
      <c r="Y16" s="437">
        <f t="shared" si="16"/>
        <v>954830</v>
      </c>
      <c r="Z16" s="441">
        <f t="shared" si="34"/>
        <v>0</v>
      </c>
      <c r="AA16" s="437">
        <f t="shared" si="17"/>
        <v>36763</v>
      </c>
      <c r="AB16" s="441">
        <f t="shared" si="30"/>
        <v>0</v>
      </c>
      <c r="AC16" s="437">
        <f t="shared" si="18"/>
        <v>1162613</v>
      </c>
      <c r="AD16" s="441">
        <f t="shared" si="31"/>
        <v>0</v>
      </c>
      <c r="AE16" s="463">
        <f t="shared" si="19"/>
        <v>0</v>
      </c>
      <c r="AF16" s="464">
        <f t="shared" si="4"/>
        <v>0</v>
      </c>
      <c r="AG16" s="456">
        <f t="shared" si="37"/>
        <v>0</v>
      </c>
      <c r="AI16" s="457">
        <f>R16-'EDl log'!B16</f>
        <v>-1095809</v>
      </c>
      <c r="AJ16" s="570">
        <v>44482</v>
      </c>
      <c r="AK16" s="457">
        <f t="shared" si="20"/>
        <v>1274972</v>
      </c>
      <c r="AL16" s="576">
        <f t="shared" si="21"/>
        <v>1598</v>
      </c>
      <c r="AM16" s="576">
        <f t="shared" si="22"/>
        <v>1276570</v>
      </c>
      <c r="AN16" s="576">
        <f t="shared" si="32"/>
        <v>0</v>
      </c>
    </row>
    <row r="17" spans="1:42">
      <c r="A17" s="449">
        <f>'General information '!F18</f>
        <v>0</v>
      </c>
      <c r="B17" s="443">
        <f t="shared" si="6"/>
        <v>0</v>
      </c>
      <c r="C17" s="450">
        <v>44483</v>
      </c>
      <c r="D17" s="437">
        <f t="shared" si="7"/>
        <v>32911138</v>
      </c>
      <c r="E17" s="438">
        <f t="shared" si="23"/>
        <v>0</v>
      </c>
      <c r="F17" s="603">
        <f t="shared" si="8"/>
        <v>4091226</v>
      </c>
      <c r="G17" s="306">
        <f t="shared" si="24"/>
        <v>0</v>
      </c>
      <c r="H17" s="437">
        <f t="shared" si="9"/>
        <v>17968314</v>
      </c>
      <c r="I17" s="306">
        <f t="shared" si="25"/>
        <v>0</v>
      </c>
      <c r="J17" s="437">
        <f t="shared" si="10"/>
        <v>29533148</v>
      </c>
      <c r="K17" s="306">
        <f t="shared" si="26"/>
        <v>0</v>
      </c>
      <c r="L17" s="437">
        <f t="shared" si="11"/>
        <v>24433018</v>
      </c>
      <c r="M17" s="306">
        <f t="shared" si="27"/>
        <v>0</v>
      </c>
      <c r="N17" s="305">
        <f t="shared" si="28"/>
        <v>0</v>
      </c>
      <c r="O17" s="458">
        <f t="shared" si="36"/>
        <v>0</v>
      </c>
      <c r="P17" s="594">
        <f t="shared" si="12"/>
        <v>18418.3</v>
      </c>
      <c r="Q17" s="459">
        <f t="shared" si="1"/>
        <v>0</v>
      </c>
      <c r="R17" s="441">
        <f t="shared" si="38"/>
        <v>0</v>
      </c>
      <c r="S17" s="437">
        <f t="shared" si="13"/>
        <v>10175</v>
      </c>
      <c r="T17" s="460">
        <f t="shared" si="2"/>
        <v>0</v>
      </c>
      <c r="U17" s="437">
        <f t="shared" si="14"/>
        <v>429166</v>
      </c>
      <c r="V17" s="441">
        <f t="shared" si="29"/>
        <v>0</v>
      </c>
      <c r="W17" s="437">
        <f t="shared" si="15"/>
        <v>33311</v>
      </c>
      <c r="X17" s="441">
        <f>W17-W16</f>
        <v>0</v>
      </c>
      <c r="Y17" s="437">
        <f t="shared" si="16"/>
        <v>954830</v>
      </c>
      <c r="Z17" s="441">
        <f>Y17-Y16</f>
        <v>0</v>
      </c>
      <c r="AA17" s="437">
        <f t="shared" si="17"/>
        <v>36763</v>
      </c>
      <c r="AB17" s="441">
        <f>AA17-AA16</f>
        <v>0</v>
      </c>
      <c r="AC17" s="437">
        <f t="shared" si="18"/>
        <v>1162613</v>
      </c>
      <c r="AD17" s="441">
        <f t="shared" si="31"/>
        <v>0</v>
      </c>
      <c r="AE17" s="463">
        <f t="shared" si="19"/>
        <v>0</v>
      </c>
      <c r="AF17" s="464">
        <f t="shared" si="4"/>
        <v>0</v>
      </c>
      <c r="AG17" s="456">
        <f t="shared" si="37"/>
        <v>0</v>
      </c>
      <c r="AI17" s="457">
        <f>R17-'EDl log'!B17</f>
        <v>-1095809</v>
      </c>
      <c r="AJ17" s="570">
        <v>44483</v>
      </c>
      <c r="AK17" s="457">
        <f t="shared" si="20"/>
        <v>1274972</v>
      </c>
      <c r="AL17" s="576">
        <f t="shared" si="21"/>
        <v>1598</v>
      </c>
      <c r="AM17" s="576">
        <f t="shared" si="22"/>
        <v>1276570</v>
      </c>
      <c r="AN17" s="576">
        <f t="shared" si="32"/>
        <v>0</v>
      </c>
    </row>
    <row r="18" spans="1:42">
      <c r="A18" s="449">
        <f>'General information '!F19</f>
        <v>0</v>
      </c>
      <c r="B18" s="443">
        <f t="shared" si="6"/>
        <v>0</v>
      </c>
      <c r="C18" s="450">
        <v>44484</v>
      </c>
      <c r="D18" s="437">
        <f t="shared" si="7"/>
        <v>32911138</v>
      </c>
      <c r="E18" s="438">
        <f t="shared" si="23"/>
        <v>0</v>
      </c>
      <c r="F18" s="603">
        <f t="shared" si="8"/>
        <v>4091226</v>
      </c>
      <c r="G18" s="306">
        <f t="shared" si="24"/>
        <v>0</v>
      </c>
      <c r="H18" s="437">
        <f t="shared" si="9"/>
        <v>17968314</v>
      </c>
      <c r="I18" s="306">
        <f t="shared" si="25"/>
        <v>0</v>
      </c>
      <c r="J18" s="437">
        <f t="shared" si="10"/>
        <v>29533148</v>
      </c>
      <c r="K18" s="306">
        <f t="shared" si="26"/>
        <v>0</v>
      </c>
      <c r="L18" s="437">
        <f t="shared" si="11"/>
        <v>24433018</v>
      </c>
      <c r="M18" s="306">
        <f t="shared" si="27"/>
        <v>0</v>
      </c>
      <c r="N18" s="305">
        <f>M18+K18+I18+G18+E18</f>
        <v>0</v>
      </c>
      <c r="O18" s="458">
        <f t="shared" si="36"/>
        <v>0</v>
      </c>
      <c r="P18" s="594">
        <f t="shared" si="12"/>
        <v>18418.3</v>
      </c>
      <c r="Q18" s="459">
        <f t="shared" si="1"/>
        <v>0</v>
      </c>
      <c r="R18" s="441">
        <f t="shared" si="38"/>
        <v>0</v>
      </c>
      <c r="S18" s="437">
        <f t="shared" si="13"/>
        <v>10175</v>
      </c>
      <c r="T18" s="460">
        <f t="shared" si="2"/>
        <v>0</v>
      </c>
      <c r="U18" s="437">
        <f t="shared" si="14"/>
        <v>429166</v>
      </c>
      <c r="V18" s="441">
        <f t="shared" si="29"/>
        <v>0</v>
      </c>
      <c r="W18" s="437">
        <f t="shared" si="15"/>
        <v>33311</v>
      </c>
      <c r="X18" s="441">
        <f t="shared" si="35"/>
        <v>0</v>
      </c>
      <c r="Y18" s="437">
        <f t="shared" si="16"/>
        <v>954830</v>
      </c>
      <c r="Z18" s="441">
        <f t="shared" si="34"/>
        <v>0</v>
      </c>
      <c r="AA18" s="437">
        <f t="shared" si="17"/>
        <v>36763</v>
      </c>
      <c r="AB18" s="441">
        <f t="shared" si="30"/>
        <v>0</v>
      </c>
      <c r="AC18" s="437">
        <f t="shared" si="18"/>
        <v>1162613</v>
      </c>
      <c r="AD18" s="441">
        <f t="shared" ref="AD18:AD31" si="39">AC18-AC17</f>
        <v>0</v>
      </c>
      <c r="AE18" s="463">
        <f t="shared" si="19"/>
        <v>0</v>
      </c>
      <c r="AF18" s="464">
        <f t="shared" si="4"/>
        <v>0</v>
      </c>
      <c r="AG18" s="456">
        <f t="shared" si="37"/>
        <v>0</v>
      </c>
      <c r="AI18" s="457">
        <f>R18-'EDl log'!B18</f>
        <v>-1095809</v>
      </c>
      <c r="AJ18" s="570">
        <v>44484</v>
      </c>
      <c r="AK18" s="457">
        <f t="shared" si="20"/>
        <v>1274972</v>
      </c>
      <c r="AL18" s="576">
        <f t="shared" si="21"/>
        <v>1598</v>
      </c>
      <c r="AM18" s="576">
        <f t="shared" si="22"/>
        <v>1276570</v>
      </c>
      <c r="AN18" s="576">
        <f t="shared" si="32"/>
        <v>0</v>
      </c>
      <c r="AO18" s="466">
        <f>G18+I18+K18+M18</f>
        <v>0</v>
      </c>
      <c r="AP18" s="457">
        <f>Q18+'EDl log'!C18</f>
        <v>0</v>
      </c>
    </row>
    <row r="19" spans="1:42">
      <c r="A19" s="449">
        <f>'General information '!F20</f>
        <v>0</v>
      </c>
      <c r="B19" s="443">
        <f t="shared" si="6"/>
        <v>0</v>
      </c>
      <c r="C19" s="450">
        <v>44485</v>
      </c>
      <c r="D19" s="437">
        <f t="shared" si="7"/>
        <v>32911138</v>
      </c>
      <c r="E19" s="438">
        <f t="shared" si="23"/>
        <v>0</v>
      </c>
      <c r="F19" s="603">
        <f t="shared" si="8"/>
        <v>4091226</v>
      </c>
      <c r="G19" s="306">
        <f t="shared" si="24"/>
        <v>0</v>
      </c>
      <c r="H19" s="437">
        <f t="shared" si="9"/>
        <v>17968314</v>
      </c>
      <c r="I19" s="306">
        <f t="shared" si="25"/>
        <v>0</v>
      </c>
      <c r="J19" s="437">
        <f t="shared" si="10"/>
        <v>29533148</v>
      </c>
      <c r="K19" s="306">
        <f t="shared" si="26"/>
        <v>0</v>
      </c>
      <c r="L19" s="437">
        <f t="shared" si="11"/>
        <v>24433018</v>
      </c>
      <c r="M19" s="306">
        <f t="shared" si="27"/>
        <v>0</v>
      </c>
      <c r="N19" s="305">
        <f t="shared" si="28"/>
        <v>0</v>
      </c>
      <c r="O19" s="458">
        <f t="shared" si="36"/>
        <v>0</v>
      </c>
      <c r="P19" s="594">
        <f t="shared" si="12"/>
        <v>18418.3</v>
      </c>
      <c r="Q19" s="459">
        <f t="shared" si="1"/>
        <v>0</v>
      </c>
      <c r="R19" s="441">
        <f t="shared" si="38"/>
        <v>0</v>
      </c>
      <c r="S19" s="437">
        <f t="shared" si="13"/>
        <v>10175</v>
      </c>
      <c r="T19" s="460">
        <f t="shared" si="2"/>
        <v>0</v>
      </c>
      <c r="U19" s="437">
        <f t="shared" si="14"/>
        <v>429166</v>
      </c>
      <c r="V19" s="441">
        <f t="shared" si="29"/>
        <v>0</v>
      </c>
      <c r="W19" s="437">
        <f t="shared" si="15"/>
        <v>33311</v>
      </c>
      <c r="X19" s="441">
        <f t="shared" si="35"/>
        <v>0</v>
      </c>
      <c r="Y19" s="437">
        <f t="shared" si="16"/>
        <v>954830</v>
      </c>
      <c r="Z19" s="441">
        <f t="shared" si="34"/>
        <v>0</v>
      </c>
      <c r="AA19" s="437">
        <f t="shared" si="17"/>
        <v>36763</v>
      </c>
      <c r="AB19" s="441">
        <f t="shared" si="30"/>
        <v>0</v>
      </c>
      <c r="AC19" s="437">
        <f t="shared" si="18"/>
        <v>1162613</v>
      </c>
      <c r="AD19" s="441">
        <f t="shared" si="39"/>
        <v>0</v>
      </c>
      <c r="AE19" s="463">
        <f t="shared" si="19"/>
        <v>0</v>
      </c>
      <c r="AF19" s="464">
        <f t="shared" si="4"/>
        <v>0</v>
      </c>
      <c r="AG19" s="456">
        <f t="shared" si="37"/>
        <v>0</v>
      </c>
      <c r="AI19" s="457">
        <f>R19-'EDl log'!B19</f>
        <v>-1095809</v>
      </c>
      <c r="AJ19" s="570">
        <v>44485</v>
      </c>
      <c r="AK19" s="457">
        <f t="shared" si="20"/>
        <v>1274972</v>
      </c>
      <c r="AL19" s="576">
        <f t="shared" si="21"/>
        <v>1598</v>
      </c>
      <c r="AM19" s="576">
        <f t="shared" si="22"/>
        <v>1276570</v>
      </c>
      <c r="AN19" s="576">
        <f t="shared" si="32"/>
        <v>0</v>
      </c>
      <c r="AO19" s="466">
        <f t="shared" ref="AO19:AO34" si="40">G19+I19+K19+M19</f>
        <v>0</v>
      </c>
      <c r="AP19" s="457">
        <f>Q19+'EDl log'!C19</f>
        <v>0</v>
      </c>
    </row>
    <row r="20" spans="1:42">
      <c r="A20" s="449">
        <f>'General information '!F21</f>
        <v>0</v>
      </c>
      <c r="B20" s="443">
        <f t="shared" si="6"/>
        <v>0</v>
      </c>
      <c r="C20" s="450">
        <v>44486</v>
      </c>
      <c r="D20" s="437">
        <f t="shared" si="7"/>
        <v>32911138</v>
      </c>
      <c r="E20" s="438">
        <f t="shared" si="23"/>
        <v>0</v>
      </c>
      <c r="F20" s="603">
        <f t="shared" si="8"/>
        <v>4091226</v>
      </c>
      <c r="G20" s="306">
        <f t="shared" si="24"/>
        <v>0</v>
      </c>
      <c r="H20" s="437">
        <f t="shared" si="9"/>
        <v>17968314</v>
      </c>
      <c r="I20" s="306">
        <f t="shared" si="25"/>
        <v>0</v>
      </c>
      <c r="J20" s="437">
        <f t="shared" si="10"/>
        <v>29533148</v>
      </c>
      <c r="K20" s="306">
        <f t="shared" si="26"/>
        <v>0</v>
      </c>
      <c r="L20" s="437">
        <f t="shared" si="11"/>
        <v>24433018</v>
      </c>
      <c r="M20" s="306">
        <f t="shared" si="27"/>
        <v>0</v>
      </c>
      <c r="N20" s="305">
        <f t="shared" si="28"/>
        <v>0</v>
      </c>
      <c r="O20" s="458">
        <f t="shared" si="36"/>
        <v>0</v>
      </c>
      <c r="P20" s="594">
        <f t="shared" si="12"/>
        <v>18418.3</v>
      </c>
      <c r="Q20" s="459">
        <f t="shared" si="1"/>
        <v>0</v>
      </c>
      <c r="R20" s="441">
        <f t="shared" si="38"/>
        <v>0</v>
      </c>
      <c r="S20" s="437">
        <f t="shared" si="13"/>
        <v>10175</v>
      </c>
      <c r="T20" s="460">
        <f t="shared" si="2"/>
        <v>0</v>
      </c>
      <c r="U20" s="437">
        <f t="shared" si="14"/>
        <v>429166</v>
      </c>
      <c r="V20" s="441">
        <f t="shared" si="29"/>
        <v>0</v>
      </c>
      <c r="W20" s="437">
        <f t="shared" si="15"/>
        <v>33311</v>
      </c>
      <c r="X20" s="441">
        <f t="shared" si="35"/>
        <v>0</v>
      </c>
      <c r="Y20" s="437">
        <f t="shared" si="16"/>
        <v>954830</v>
      </c>
      <c r="Z20" s="441">
        <f t="shared" si="34"/>
        <v>0</v>
      </c>
      <c r="AA20" s="437">
        <f t="shared" si="17"/>
        <v>36763</v>
      </c>
      <c r="AB20" s="441">
        <f t="shared" si="30"/>
        <v>0</v>
      </c>
      <c r="AC20" s="437">
        <f t="shared" si="18"/>
        <v>1162613</v>
      </c>
      <c r="AD20" s="441">
        <f t="shared" si="39"/>
        <v>0</v>
      </c>
      <c r="AE20" s="463">
        <f t="shared" si="19"/>
        <v>0</v>
      </c>
      <c r="AF20" s="464">
        <f t="shared" si="4"/>
        <v>0</v>
      </c>
      <c r="AG20" s="456">
        <f t="shared" si="37"/>
        <v>0</v>
      </c>
      <c r="AI20" s="457">
        <f>R20-'EDl log'!B20</f>
        <v>-1095809</v>
      </c>
      <c r="AJ20" s="570">
        <v>44486</v>
      </c>
      <c r="AK20" s="457">
        <f t="shared" si="20"/>
        <v>1274972</v>
      </c>
      <c r="AL20" s="576">
        <f t="shared" si="21"/>
        <v>1598</v>
      </c>
      <c r="AM20" s="576">
        <f t="shared" si="22"/>
        <v>1276570</v>
      </c>
      <c r="AN20" s="576">
        <f t="shared" si="32"/>
        <v>0</v>
      </c>
      <c r="AO20" s="466">
        <f t="shared" si="40"/>
        <v>0</v>
      </c>
      <c r="AP20" s="457">
        <f>Q20+'EDl log'!C20</f>
        <v>0</v>
      </c>
    </row>
    <row r="21" spans="1:42">
      <c r="A21" s="449">
        <f>'General information '!F22</f>
        <v>0</v>
      </c>
      <c r="B21" s="443">
        <f t="shared" si="6"/>
        <v>0</v>
      </c>
      <c r="C21" s="450">
        <v>44487</v>
      </c>
      <c r="D21" s="437">
        <f t="shared" si="7"/>
        <v>32911138</v>
      </c>
      <c r="E21" s="438">
        <f t="shared" si="23"/>
        <v>0</v>
      </c>
      <c r="F21" s="603">
        <f t="shared" si="8"/>
        <v>4091226</v>
      </c>
      <c r="G21" s="306">
        <f t="shared" si="24"/>
        <v>0</v>
      </c>
      <c r="H21" s="437">
        <f t="shared" si="9"/>
        <v>17968314</v>
      </c>
      <c r="I21" s="306">
        <f t="shared" si="25"/>
        <v>0</v>
      </c>
      <c r="J21" s="437">
        <f t="shared" si="10"/>
        <v>29533148</v>
      </c>
      <c r="K21" s="306">
        <f t="shared" si="26"/>
        <v>0</v>
      </c>
      <c r="L21" s="437">
        <f t="shared" si="11"/>
        <v>24433018</v>
      </c>
      <c r="M21" s="306">
        <f t="shared" si="27"/>
        <v>0</v>
      </c>
      <c r="N21" s="305">
        <f t="shared" si="28"/>
        <v>0</v>
      </c>
      <c r="O21" s="458">
        <f t="shared" si="36"/>
        <v>0</v>
      </c>
      <c r="P21" s="594">
        <f t="shared" si="12"/>
        <v>18418.3</v>
      </c>
      <c r="Q21" s="459">
        <f t="shared" si="1"/>
        <v>0</v>
      </c>
      <c r="R21" s="441">
        <f t="shared" si="38"/>
        <v>0</v>
      </c>
      <c r="S21" s="437">
        <f t="shared" si="13"/>
        <v>10175</v>
      </c>
      <c r="T21" s="460">
        <f t="shared" si="2"/>
        <v>0</v>
      </c>
      <c r="U21" s="437">
        <f t="shared" si="14"/>
        <v>429166</v>
      </c>
      <c r="V21" s="441">
        <f t="shared" si="29"/>
        <v>0</v>
      </c>
      <c r="W21" s="437">
        <f t="shared" si="15"/>
        <v>33311</v>
      </c>
      <c r="X21" s="441">
        <f t="shared" si="35"/>
        <v>0</v>
      </c>
      <c r="Y21" s="437">
        <f t="shared" si="16"/>
        <v>954830</v>
      </c>
      <c r="Z21" s="441">
        <f t="shared" si="34"/>
        <v>0</v>
      </c>
      <c r="AA21" s="437">
        <f t="shared" si="17"/>
        <v>36763</v>
      </c>
      <c r="AB21" s="441">
        <f t="shared" si="30"/>
        <v>0</v>
      </c>
      <c r="AC21" s="437">
        <f t="shared" si="18"/>
        <v>1162613</v>
      </c>
      <c r="AD21" s="441">
        <f t="shared" si="39"/>
        <v>0</v>
      </c>
      <c r="AE21" s="463">
        <f t="shared" si="19"/>
        <v>0</v>
      </c>
      <c r="AF21" s="464">
        <f t="shared" si="4"/>
        <v>0</v>
      </c>
      <c r="AG21" s="456">
        <f t="shared" si="37"/>
        <v>0</v>
      </c>
      <c r="AI21" s="457">
        <f>R21-'EDl log'!B21</f>
        <v>-1095809</v>
      </c>
      <c r="AJ21" s="570">
        <v>44487</v>
      </c>
      <c r="AK21" s="457">
        <f t="shared" si="20"/>
        <v>1274972</v>
      </c>
      <c r="AL21" s="576">
        <f t="shared" si="21"/>
        <v>1598</v>
      </c>
      <c r="AM21" s="576">
        <f t="shared" si="22"/>
        <v>1276570</v>
      </c>
      <c r="AN21" s="576">
        <f t="shared" si="32"/>
        <v>0</v>
      </c>
      <c r="AO21" s="466">
        <f t="shared" si="40"/>
        <v>0</v>
      </c>
      <c r="AP21" s="457">
        <f>Q21+'EDl log'!C21</f>
        <v>0</v>
      </c>
    </row>
    <row r="22" spans="1:42">
      <c r="A22" s="449">
        <f>'General information '!F23</f>
        <v>0</v>
      </c>
      <c r="B22" s="443">
        <f t="shared" si="6"/>
        <v>0</v>
      </c>
      <c r="C22" s="450">
        <v>44488</v>
      </c>
      <c r="D22" s="437">
        <f t="shared" si="7"/>
        <v>32911138</v>
      </c>
      <c r="E22" s="438">
        <f t="shared" si="23"/>
        <v>0</v>
      </c>
      <c r="F22" s="603">
        <f t="shared" si="8"/>
        <v>4091226</v>
      </c>
      <c r="G22" s="306">
        <f t="shared" si="24"/>
        <v>0</v>
      </c>
      <c r="H22" s="437">
        <f t="shared" si="9"/>
        <v>17968314</v>
      </c>
      <c r="I22" s="306">
        <f t="shared" si="25"/>
        <v>0</v>
      </c>
      <c r="J22" s="437">
        <f t="shared" si="10"/>
        <v>29533148</v>
      </c>
      <c r="K22" s="306">
        <f t="shared" si="26"/>
        <v>0</v>
      </c>
      <c r="L22" s="437">
        <f t="shared" si="11"/>
        <v>24433018</v>
      </c>
      <c r="M22" s="306">
        <f t="shared" si="27"/>
        <v>0</v>
      </c>
      <c r="N22" s="305">
        <f t="shared" si="28"/>
        <v>0</v>
      </c>
      <c r="O22" s="458">
        <f t="shared" si="36"/>
        <v>0</v>
      </c>
      <c r="P22" s="594">
        <f t="shared" si="12"/>
        <v>18418.3</v>
      </c>
      <c r="Q22" s="459">
        <f t="shared" si="1"/>
        <v>0</v>
      </c>
      <c r="R22" s="441">
        <f t="shared" si="38"/>
        <v>0</v>
      </c>
      <c r="S22" s="437">
        <f t="shared" si="13"/>
        <v>10175</v>
      </c>
      <c r="T22" s="460">
        <f t="shared" si="2"/>
        <v>0</v>
      </c>
      <c r="U22" s="437">
        <f t="shared" si="14"/>
        <v>429166</v>
      </c>
      <c r="V22" s="441">
        <f t="shared" si="29"/>
        <v>0</v>
      </c>
      <c r="W22" s="437">
        <f t="shared" si="15"/>
        <v>33311</v>
      </c>
      <c r="X22" s="441">
        <f t="shared" si="35"/>
        <v>0</v>
      </c>
      <c r="Y22" s="437">
        <f t="shared" si="16"/>
        <v>954830</v>
      </c>
      <c r="Z22" s="441">
        <f t="shared" si="34"/>
        <v>0</v>
      </c>
      <c r="AA22" s="437">
        <f t="shared" si="17"/>
        <v>36763</v>
      </c>
      <c r="AB22" s="441">
        <f t="shared" si="30"/>
        <v>0</v>
      </c>
      <c r="AC22" s="437">
        <f t="shared" si="18"/>
        <v>1162613</v>
      </c>
      <c r="AD22" s="462">
        <f>AC22-AC21</f>
        <v>0</v>
      </c>
      <c r="AE22" s="463">
        <f t="shared" si="19"/>
        <v>0</v>
      </c>
      <c r="AF22" s="464">
        <f t="shared" si="4"/>
        <v>0</v>
      </c>
      <c r="AG22" s="456">
        <f t="shared" si="37"/>
        <v>0</v>
      </c>
      <c r="AI22" s="457">
        <f>R22-'EDl log'!B22</f>
        <v>-1095809</v>
      </c>
      <c r="AJ22" s="570">
        <v>44488</v>
      </c>
      <c r="AK22" s="457">
        <f t="shared" si="20"/>
        <v>1274972</v>
      </c>
      <c r="AL22" s="576">
        <f t="shared" si="21"/>
        <v>1598</v>
      </c>
      <c r="AM22" s="576">
        <f t="shared" si="22"/>
        <v>1276570</v>
      </c>
      <c r="AN22" s="576">
        <f t="shared" si="32"/>
        <v>0</v>
      </c>
      <c r="AO22" s="466">
        <f t="shared" si="40"/>
        <v>0</v>
      </c>
      <c r="AP22" s="457">
        <f>Q22+'EDl log'!C22</f>
        <v>0</v>
      </c>
    </row>
    <row r="23" spans="1:42">
      <c r="A23" s="449">
        <f>'General information '!F24</f>
        <v>0</v>
      </c>
      <c r="B23" s="443">
        <f t="shared" si="6"/>
        <v>0</v>
      </c>
      <c r="C23" s="450">
        <v>44489</v>
      </c>
      <c r="D23" s="437">
        <f t="shared" si="7"/>
        <v>32911138</v>
      </c>
      <c r="E23" s="438">
        <f t="shared" si="23"/>
        <v>0</v>
      </c>
      <c r="F23" s="603">
        <f t="shared" si="8"/>
        <v>4091226</v>
      </c>
      <c r="G23" s="306">
        <f t="shared" si="24"/>
        <v>0</v>
      </c>
      <c r="H23" s="437">
        <f t="shared" si="9"/>
        <v>17968314</v>
      </c>
      <c r="I23" s="306">
        <f t="shared" si="25"/>
        <v>0</v>
      </c>
      <c r="J23" s="437">
        <f t="shared" si="10"/>
        <v>29533148</v>
      </c>
      <c r="K23" s="306">
        <f t="shared" si="26"/>
        <v>0</v>
      </c>
      <c r="L23" s="437">
        <f t="shared" si="11"/>
        <v>24433018</v>
      </c>
      <c r="M23" s="306">
        <f t="shared" si="27"/>
        <v>0</v>
      </c>
      <c r="N23" s="305">
        <f t="shared" si="28"/>
        <v>0</v>
      </c>
      <c r="O23" s="458">
        <f t="shared" si="36"/>
        <v>0</v>
      </c>
      <c r="P23" s="594">
        <f t="shared" si="12"/>
        <v>18418.3</v>
      </c>
      <c r="Q23" s="459">
        <f t="shared" si="1"/>
        <v>0</v>
      </c>
      <c r="R23" s="441">
        <f>AP23-Q23</f>
        <v>0</v>
      </c>
      <c r="S23" s="437">
        <f t="shared" si="13"/>
        <v>10175</v>
      </c>
      <c r="T23" s="460">
        <f t="shared" si="2"/>
        <v>0</v>
      </c>
      <c r="U23" s="437">
        <f t="shared" si="14"/>
        <v>429166</v>
      </c>
      <c r="V23" s="441">
        <f t="shared" si="29"/>
        <v>0</v>
      </c>
      <c r="W23" s="437">
        <f t="shared" si="15"/>
        <v>33311</v>
      </c>
      <c r="X23" s="441">
        <f t="shared" si="35"/>
        <v>0</v>
      </c>
      <c r="Y23" s="437">
        <f t="shared" si="16"/>
        <v>954830</v>
      </c>
      <c r="Z23" s="441">
        <f t="shared" si="34"/>
        <v>0</v>
      </c>
      <c r="AA23" s="437">
        <f t="shared" si="17"/>
        <v>36763</v>
      </c>
      <c r="AB23" s="441">
        <f t="shared" si="30"/>
        <v>0</v>
      </c>
      <c r="AC23" s="437">
        <f t="shared" si="18"/>
        <v>1162613</v>
      </c>
      <c r="AD23" s="441">
        <f t="shared" si="39"/>
        <v>0</v>
      </c>
      <c r="AE23" s="463">
        <f t="shared" si="19"/>
        <v>0</v>
      </c>
      <c r="AF23" s="464">
        <f t="shared" si="4"/>
        <v>0</v>
      </c>
      <c r="AG23" s="456">
        <f t="shared" si="37"/>
        <v>0</v>
      </c>
      <c r="AI23" s="457">
        <f>R23-'EDl log'!B23</f>
        <v>-1095809</v>
      </c>
      <c r="AJ23" s="570">
        <v>44489</v>
      </c>
      <c r="AK23" s="457">
        <f t="shared" si="20"/>
        <v>1274972</v>
      </c>
      <c r="AL23" s="576">
        <f t="shared" si="21"/>
        <v>1598</v>
      </c>
      <c r="AM23" s="576">
        <f t="shared" si="22"/>
        <v>1276570</v>
      </c>
      <c r="AN23" s="576">
        <f t="shared" si="32"/>
        <v>0</v>
      </c>
      <c r="AO23" s="466">
        <f t="shared" si="40"/>
        <v>0</v>
      </c>
      <c r="AP23" s="457">
        <f>Q23+'EDl log'!C23</f>
        <v>0</v>
      </c>
    </row>
    <row r="24" spans="1:42">
      <c r="A24" s="449">
        <f>'General information '!F25</f>
        <v>0</v>
      </c>
      <c r="B24" s="443">
        <f t="shared" si="6"/>
        <v>0</v>
      </c>
      <c r="C24" s="450">
        <v>44490</v>
      </c>
      <c r="D24" s="437">
        <f t="shared" si="7"/>
        <v>32911138</v>
      </c>
      <c r="E24" s="438">
        <f t="shared" si="23"/>
        <v>0</v>
      </c>
      <c r="F24" s="603">
        <f t="shared" si="8"/>
        <v>4091226</v>
      </c>
      <c r="G24" s="306">
        <f t="shared" si="24"/>
        <v>0</v>
      </c>
      <c r="H24" s="437">
        <f t="shared" si="9"/>
        <v>17968314</v>
      </c>
      <c r="I24" s="430">
        <f t="shared" si="25"/>
        <v>0</v>
      </c>
      <c r="J24" s="437">
        <f t="shared" si="10"/>
        <v>29533148</v>
      </c>
      <c r="K24" s="306">
        <f t="shared" si="26"/>
        <v>0</v>
      </c>
      <c r="L24" s="437">
        <f t="shared" si="11"/>
        <v>24433018</v>
      </c>
      <c r="M24" s="306">
        <f t="shared" si="27"/>
        <v>0</v>
      </c>
      <c r="N24" s="305">
        <f t="shared" si="28"/>
        <v>0</v>
      </c>
      <c r="O24" s="458">
        <f t="shared" si="36"/>
        <v>0</v>
      </c>
      <c r="P24" s="594">
        <f t="shared" si="12"/>
        <v>18418.3</v>
      </c>
      <c r="Q24" s="459">
        <f t="shared" si="1"/>
        <v>0</v>
      </c>
      <c r="R24" s="441">
        <f t="shared" si="38"/>
        <v>0</v>
      </c>
      <c r="S24" s="437">
        <f t="shared" si="13"/>
        <v>10175</v>
      </c>
      <c r="T24" s="460">
        <f t="shared" si="2"/>
        <v>0</v>
      </c>
      <c r="U24" s="437">
        <f t="shared" si="14"/>
        <v>429166</v>
      </c>
      <c r="V24" s="441">
        <f t="shared" si="29"/>
        <v>0</v>
      </c>
      <c r="W24" s="437">
        <f t="shared" si="15"/>
        <v>33311</v>
      </c>
      <c r="X24" s="441">
        <f t="shared" si="35"/>
        <v>0</v>
      </c>
      <c r="Y24" s="437">
        <f t="shared" si="16"/>
        <v>954830</v>
      </c>
      <c r="Z24" s="441">
        <f t="shared" si="34"/>
        <v>0</v>
      </c>
      <c r="AA24" s="437">
        <f t="shared" si="17"/>
        <v>36763</v>
      </c>
      <c r="AB24" s="441">
        <f t="shared" si="30"/>
        <v>0</v>
      </c>
      <c r="AC24" s="437">
        <f t="shared" si="18"/>
        <v>1162613</v>
      </c>
      <c r="AD24" s="441">
        <f t="shared" si="39"/>
        <v>0</v>
      </c>
      <c r="AE24" s="463">
        <f t="shared" si="19"/>
        <v>0</v>
      </c>
      <c r="AF24" s="464">
        <f t="shared" si="4"/>
        <v>0</v>
      </c>
      <c r="AG24" s="456">
        <f t="shared" si="37"/>
        <v>0</v>
      </c>
      <c r="AI24" s="457">
        <f>R24-'EDl log'!B24</f>
        <v>-1095809</v>
      </c>
      <c r="AJ24" s="570">
        <v>44490</v>
      </c>
      <c r="AK24" s="457">
        <f t="shared" si="20"/>
        <v>1274972</v>
      </c>
      <c r="AL24" s="576">
        <f t="shared" si="21"/>
        <v>1598</v>
      </c>
      <c r="AM24" s="576">
        <f t="shared" si="22"/>
        <v>1276570</v>
      </c>
      <c r="AN24" s="576">
        <f t="shared" si="32"/>
        <v>0</v>
      </c>
      <c r="AO24" s="466">
        <f t="shared" si="40"/>
        <v>0</v>
      </c>
      <c r="AP24" s="457">
        <f>Q24+'EDl log'!C24</f>
        <v>0</v>
      </c>
    </row>
    <row r="25" spans="1:42">
      <c r="A25" s="449">
        <f>'General information '!F26</f>
        <v>0</v>
      </c>
      <c r="B25" s="443">
        <f t="shared" si="6"/>
        <v>0</v>
      </c>
      <c r="C25" s="450">
        <v>44491</v>
      </c>
      <c r="D25" s="437">
        <f t="shared" si="7"/>
        <v>32911138</v>
      </c>
      <c r="E25" s="438">
        <f t="shared" si="23"/>
        <v>0</v>
      </c>
      <c r="F25" s="603">
        <f t="shared" si="8"/>
        <v>4091226</v>
      </c>
      <c r="G25" s="306">
        <f t="shared" si="24"/>
        <v>0</v>
      </c>
      <c r="H25" s="437">
        <f t="shared" si="9"/>
        <v>17968314</v>
      </c>
      <c r="I25" s="306">
        <f t="shared" si="25"/>
        <v>0</v>
      </c>
      <c r="J25" s="437">
        <f t="shared" si="10"/>
        <v>29533148</v>
      </c>
      <c r="K25" s="306">
        <f t="shared" si="26"/>
        <v>0</v>
      </c>
      <c r="L25" s="437">
        <f t="shared" si="11"/>
        <v>24433018</v>
      </c>
      <c r="M25" s="306">
        <f t="shared" si="27"/>
        <v>0</v>
      </c>
      <c r="N25" s="305">
        <f t="shared" si="28"/>
        <v>0</v>
      </c>
      <c r="O25" s="458">
        <f t="shared" si="36"/>
        <v>0</v>
      </c>
      <c r="P25" s="594">
        <f t="shared" si="12"/>
        <v>18418.3</v>
      </c>
      <c r="Q25" s="459">
        <f t="shared" si="1"/>
        <v>0</v>
      </c>
      <c r="R25" s="441">
        <f t="shared" si="38"/>
        <v>0</v>
      </c>
      <c r="S25" s="437">
        <f t="shared" si="13"/>
        <v>10175</v>
      </c>
      <c r="T25" s="460">
        <f t="shared" si="2"/>
        <v>0</v>
      </c>
      <c r="U25" s="437">
        <f t="shared" si="14"/>
        <v>429166</v>
      </c>
      <c r="V25" s="441">
        <f t="shared" si="29"/>
        <v>0</v>
      </c>
      <c r="W25" s="437">
        <f t="shared" si="15"/>
        <v>33311</v>
      </c>
      <c r="X25" s="441">
        <f t="shared" si="35"/>
        <v>0</v>
      </c>
      <c r="Y25" s="437">
        <f t="shared" si="16"/>
        <v>954830</v>
      </c>
      <c r="Z25" s="441">
        <f t="shared" si="34"/>
        <v>0</v>
      </c>
      <c r="AA25" s="437">
        <f t="shared" si="17"/>
        <v>36763</v>
      </c>
      <c r="AB25" s="441">
        <f t="shared" si="30"/>
        <v>0</v>
      </c>
      <c r="AC25" s="437">
        <f t="shared" si="18"/>
        <v>1162613</v>
      </c>
      <c r="AD25" s="441">
        <f t="shared" si="39"/>
        <v>0</v>
      </c>
      <c r="AE25" s="463">
        <f t="shared" si="19"/>
        <v>0</v>
      </c>
      <c r="AF25" s="464">
        <f t="shared" si="4"/>
        <v>0</v>
      </c>
      <c r="AG25" s="456">
        <f t="shared" si="37"/>
        <v>0</v>
      </c>
      <c r="AI25" s="457">
        <f>R25-'EDl log'!B25</f>
        <v>-1095809</v>
      </c>
      <c r="AJ25" s="570">
        <v>44491</v>
      </c>
      <c r="AK25" s="457">
        <f t="shared" si="20"/>
        <v>1274972</v>
      </c>
      <c r="AL25" s="576">
        <f t="shared" si="21"/>
        <v>1598</v>
      </c>
      <c r="AM25" s="576">
        <f t="shared" si="22"/>
        <v>1276570</v>
      </c>
      <c r="AN25" s="576">
        <f t="shared" si="32"/>
        <v>0</v>
      </c>
      <c r="AO25" s="466">
        <f t="shared" si="40"/>
        <v>0</v>
      </c>
      <c r="AP25" s="457">
        <f>Q25+'EDl log'!C25</f>
        <v>0</v>
      </c>
    </row>
    <row r="26" spans="1:42">
      <c r="A26" s="449">
        <f>'General information '!F27</f>
        <v>0</v>
      </c>
      <c r="B26" s="443">
        <f t="shared" si="6"/>
        <v>0</v>
      </c>
      <c r="C26" s="450">
        <v>44492</v>
      </c>
      <c r="D26" s="437">
        <f t="shared" si="7"/>
        <v>32911138</v>
      </c>
      <c r="E26" s="438">
        <f t="shared" si="23"/>
        <v>0</v>
      </c>
      <c r="F26" s="603">
        <f t="shared" si="8"/>
        <v>4091226</v>
      </c>
      <c r="G26" s="306">
        <f t="shared" si="24"/>
        <v>0</v>
      </c>
      <c r="H26" s="437">
        <f t="shared" si="9"/>
        <v>17968314</v>
      </c>
      <c r="I26" s="306">
        <f t="shared" si="25"/>
        <v>0</v>
      </c>
      <c r="J26" s="437">
        <f t="shared" si="10"/>
        <v>29533148</v>
      </c>
      <c r="K26" s="306">
        <f t="shared" si="26"/>
        <v>0</v>
      </c>
      <c r="L26" s="437">
        <f t="shared" si="11"/>
        <v>24433018</v>
      </c>
      <c r="M26" s="306">
        <f t="shared" si="27"/>
        <v>0</v>
      </c>
      <c r="N26" s="305">
        <f t="shared" si="28"/>
        <v>0</v>
      </c>
      <c r="O26" s="458">
        <f t="shared" si="36"/>
        <v>0</v>
      </c>
      <c r="P26" s="594">
        <f t="shared" si="12"/>
        <v>18418.3</v>
      </c>
      <c r="Q26" s="459">
        <f t="shared" si="1"/>
        <v>0</v>
      </c>
      <c r="R26" s="441">
        <f t="shared" si="38"/>
        <v>0</v>
      </c>
      <c r="S26" s="437">
        <f t="shared" si="13"/>
        <v>10175</v>
      </c>
      <c r="T26" s="460">
        <f t="shared" si="2"/>
        <v>0</v>
      </c>
      <c r="U26" s="437">
        <f t="shared" si="14"/>
        <v>429166</v>
      </c>
      <c r="V26" s="441">
        <f t="shared" si="29"/>
        <v>0</v>
      </c>
      <c r="W26" s="437">
        <f t="shared" si="15"/>
        <v>33311</v>
      </c>
      <c r="X26" s="441">
        <f t="shared" si="35"/>
        <v>0</v>
      </c>
      <c r="Y26" s="437">
        <f t="shared" si="16"/>
        <v>954830</v>
      </c>
      <c r="Z26" s="441">
        <f t="shared" si="34"/>
        <v>0</v>
      </c>
      <c r="AA26" s="437">
        <f t="shared" si="17"/>
        <v>36763</v>
      </c>
      <c r="AB26" s="441">
        <f t="shared" si="30"/>
        <v>0</v>
      </c>
      <c r="AC26" s="437">
        <f t="shared" si="18"/>
        <v>1162613</v>
      </c>
      <c r="AD26" s="441">
        <f t="shared" si="39"/>
        <v>0</v>
      </c>
      <c r="AE26" s="463">
        <f t="shared" si="19"/>
        <v>0</v>
      </c>
      <c r="AF26" s="464">
        <f t="shared" si="4"/>
        <v>0</v>
      </c>
      <c r="AG26" s="456">
        <f t="shared" si="37"/>
        <v>0</v>
      </c>
      <c r="AI26" s="457">
        <f>R26-'EDl log'!B26</f>
        <v>-1095809</v>
      </c>
      <c r="AJ26" s="570">
        <v>44492</v>
      </c>
      <c r="AK26" s="457">
        <f t="shared" si="20"/>
        <v>1274972</v>
      </c>
      <c r="AL26" s="576">
        <f t="shared" si="21"/>
        <v>1598</v>
      </c>
      <c r="AM26" s="576">
        <f t="shared" si="22"/>
        <v>1276570</v>
      </c>
      <c r="AN26" s="576">
        <f t="shared" si="32"/>
        <v>0</v>
      </c>
      <c r="AO26" s="466">
        <f t="shared" si="40"/>
        <v>0</v>
      </c>
      <c r="AP26" s="457">
        <f>Q26+'EDl log'!C26</f>
        <v>0</v>
      </c>
    </row>
    <row r="27" spans="1:42">
      <c r="A27" s="449">
        <f>'General information '!F28</f>
        <v>0</v>
      </c>
      <c r="B27" s="443">
        <f t="shared" si="6"/>
        <v>0</v>
      </c>
      <c r="C27" s="450">
        <v>44493</v>
      </c>
      <c r="D27" s="437">
        <f t="shared" si="7"/>
        <v>32911138</v>
      </c>
      <c r="E27" s="438">
        <f t="shared" si="23"/>
        <v>0</v>
      </c>
      <c r="F27" s="603">
        <f t="shared" si="8"/>
        <v>4091226</v>
      </c>
      <c r="G27" s="306">
        <f t="shared" si="24"/>
        <v>0</v>
      </c>
      <c r="H27" s="437">
        <f t="shared" si="9"/>
        <v>17968314</v>
      </c>
      <c r="I27" s="306">
        <f t="shared" si="25"/>
        <v>0</v>
      </c>
      <c r="J27" s="437">
        <f t="shared" si="10"/>
        <v>29533148</v>
      </c>
      <c r="K27" s="306">
        <f t="shared" si="26"/>
        <v>0</v>
      </c>
      <c r="L27" s="437">
        <f t="shared" si="11"/>
        <v>24433018</v>
      </c>
      <c r="M27" s="306">
        <f t="shared" si="27"/>
        <v>0</v>
      </c>
      <c r="N27" s="305">
        <f t="shared" si="28"/>
        <v>0</v>
      </c>
      <c r="O27" s="458">
        <f t="shared" si="36"/>
        <v>0</v>
      </c>
      <c r="P27" s="594">
        <f t="shared" si="12"/>
        <v>18418.3</v>
      </c>
      <c r="Q27" s="459">
        <f t="shared" si="1"/>
        <v>0</v>
      </c>
      <c r="R27" s="441">
        <f t="shared" si="38"/>
        <v>0</v>
      </c>
      <c r="S27" s="437">
        <f t="shared" si="13"/>
        <v>10175</v>
      </c>
      <c r="T27" s="460">
        <f t="shared" si="2"/>
        <v>0</v>
      </c>
      <c r="U27" s="437">
        <f t="shared" si="14"/>
        <v>429166</v>
      </c>
      <c r="V27" s="441">
        <f t="shared" si="29"/>
        <v>0</v>
      </c>
      <c r="W27" s="437">
        <f t="shared" si="15"/>
        <v>33311</v>
      </c>
      <c r="X27" s="441">
        <f t="shared" si="35"/>
        <v>0</v>
      </c>
      <c r="Y27" s="437">
        <f t="shared" si="16"/>
        <v>954830</v>
      </c>
      <c r="Z27" s="441">
        <f t="shared" si="34"/>
        <v>0</v>
      </c>
      <c r="AA27" s="437">
        <f t="shared" si="17"/>
        <v>36763</v>
      </c>
      <c r="AB27" s="441">
        <f t="shared" si="30"/>
        <v>0</v>
      </c>
      <c r="AC27" s="437">
        <f t="shared" si="18"/>
        <v>1162613</v>
      </c>
      <c r="AD27" s="441">
        <f t="shared" si="39"/>
        <v>0</v>
      </c>
      <c r="AE27" s="463">
        <f t="shared" si="19"/>
        <v>0</v>
      </c>
      <c r="AF27" s="464">
        <f t="shared" si="4"/>
        <v>0</v>
      </c>
      <c r="AG27" s="456">
        <f t="shared" si="37"/>
        <v>0</v>
      </c>
      <c r="AI27" s="457">
        <f>R27-'EDl log'!B27</f>
        <v>-1095809</v>
      </c>
      <c r="AJ27" s="570">
        <v>44493</v>
      </c>
      <c r="AK27" s="457">
        <f t="shared" si="20"/>
        <v>1274972</v>
      </c>
      <c r="AL27" s="576">
        <f t="shared" si="21"/>
        <v>1598</v>
      </c>
      <c r="AM27" s="576">
        <f t="shared" si="22"/>
        <v>1276570</v>
      </c>
      <c r="AN27" s="576">
        <f t="shared" si="32"/>
        <v>0</v>
      </c>
      <c r="AO27" s="466">
        <f t="shared" si="40"/>
        <v>0</v>
      </c>
      <c r="AP27" s="457">
        <f>Q27+'EDl log'!C27</f>
        <v>0</v>
      </c>
    </row>
    <row r="28" spans="1:42">
      <c r="A28" s="449">
        <f>'General information '!F29</f>
        <v>0</v>
      </c>
      <c r="B28" s="443">
        <f t="shared" si="6"/>
        <v>0</v>
      </c>
      <c r="C28" s="450">
        <v>44494</v>
      </c>
      <c r="D28" s="437">
        <f t="shared" si="7"/>
        <v>32911138</v>
      </c>
      <c r="E28" s="438">
        <f t="shared" si="23"/>
        <v>0</v>
      </c>
      <c r="F28" s="603">
        <f t="shared" si="8"/>
        <v>4091226</v>
      </c>
      <c r="G28" s="306">
        <f>F28-F27</f>
        <v>0</v>
      </c>
      <c r="H28" s="437">
        <f t="shared" si="9"/>
        <v>17968314</v>
      </c>
      <c r="I28" s="306">
        <f t="shared" si="25"/>
        <v>0</v>
      </c>
      <c r="J28" s="437">
        <f t="shared" si="10"/>
        <v>29533148</v>
      </c>
      <c r="K28" s="306">
        <f t="shared" si="26"/>
        <v>0</v>
      </c>
      <c r="L28" s="437">
        <f t="shared" si="11"/>
        <v>24433018</v>
      </c>
      <c r="M28" s="306">
        <f t="shared" si="27"/>
        <v>0</v>
      </c>
      <c r="N28" s="305">
        <f t="shared" si="28"/>
        <v>0</v>
      </c>
      <c r="O28" s="458">
        <f t="shared" si="36"/>
        <v>0</v>
      </c>
      <c r="P28" s="594">
        <f t="shared" si="12"/>
        <v>18418.3</v>
      </c>
      <c r="Q28" s="459">
        <f t="shared" si="1"/>
        <v>0</v>
      </c>
      <c r="R28" s="441">
        <f t="shared" si="38"/>
        <v>0</v>
      </c>
      <c r="S28" s="437">
        <f t="shared" si="13"/>
        <v>10175</v>
      </c>
      <c r="T28" s="460">
        <f t="shared" si="2"/>
        <v>0</v>
      </c>
      <c r="U28" s="437">
        <f t="shared" si="14"/>
        <v>429166</v>
      </c>
      <c r="V28" s="441">
        <f t="shared" si="29"/>
        <v>0</v>
      </c>
      <c r="W28" s="437">
        <f t="shared" si="15"/>
        <v>33311</v>
      </c>
      <c r="X28" s="441">
        <f t="shared" si="35"/>
        <v>0</v>
      </c>
      <c r="Y28" s="437">
        <f t="shared" si="16"/>
        <v>954830</v>
      </c>
      <c r="Z28" s="441">
        <f t="shared" si="34"/>
        <v>0</v>
      </c>
      <c r="AA28" s="437">
        <f t="shared" si="17"/>
        <v>36763</v>
      </c>
      <c r="AB28" s="441">
        <f t="shared" si="30"/>
        <v>0</v>
      </c>
      <c r="AC28" s="437">
        <f t="shared" si="18"/>
        <v>1162613</v>
      </c>
      <c r="AD28" s="441">
        <f t="shared" si="39"/>
        <v>0</v>
      </c>
      <c r="AE28" s="463">
        <f t="shared" si="19"/>
        <v>0</v>
      </c>
      <c r="AF28" s="464">
        <f t="shared" si="4"/>
        <v>0</v>
      </c>
      <c r="AG28" s="456">
        <f t="shared" si="37"/>
        <v>0</v>
      </c>
      <c r="AI28" s="457">
        <f>R28-'EDl log'!B28</f>
        <v>-1095809</v>
      </c>
      <c r="AJ28" s="570">
        <v>44494</v>
      </c>
      <c r="AK28" s="457">
        <f t="shared" si="20"/>
        <v>1274972</v>
      </c>
      <c r="AL28" s="576">
        <f t="shared" si="21"/>
        <v>1598</v>
      </c>
      <c r="AM28" s="576">
        <f t="shared" si="22"/>
        <v>1276570</v>
      </c>
      <c r="AN28" s="576">
        <f t="shared" si="32"/>
        <v>0</v>
      </c>
      <c r="AO28" s="466">
        <f t="shared" si="40"/>
        <v>0</v>
      </c>
      <c r="AP28" s="457">
        <f>Q28+'EDl log'!C28</f>
        <v>0</v>
      </c>
    </row>
    <row r="29" spans="1:42">
      <c r="A29" s="449">
        <f>'General information '!F30</f>
        <v>0</v>
      </c>
      <c r="B29" s="443">
        <f t="shared" si="6"/>
        <v>0</v>
      </c>
      <c r="C29" s="450">
        <v>44495</v>
      </c>
      <c r="D29" s="437">
        <f t="shared" si="7"/>
        <v>32911138</v>
      </c>
      <c r="E29" s="438">
        <f t="shared" si="23"/>
        <v>0</v>
      </c>
      <c r="F29" s="603">
        <f t="shared" si="8"/>
        <v>4091226</v>
      </c>
      <c r="G29" s="306">
        <f t="shared" ref="G29" si="41">F29-F28</f>
        <v>0</v>
      </c>
      <c r="H29" s="437">
        <f t="shared" si="9"/>
        <v>17968314</v>
      </c>
      <c r="I29" s="306">
        <f t="shared" ref="I29" si="42">H29-H28</f>
        <v>0</v>
      </c>
      <c r="J29" s="437">
        <f t="shared" si="10"/>
        <v>29533148</v>
      </c>
      <c r="K29" s="306">
        <f t="shared" ref="K29" si="43">J29-J28</f>
        <v>0</v>
      </c>
      <c r="L29" s="437">
        <f t="shared" si="11"/>
        <v>24433018</v>
      </c>
      <c r="M29" s="306">
        <f t="shared" ref="M29" si="44">L29-L28</f>
        <v>0</v>
      </c>
      <c r="N29" s="305">
        <f t="shared" ref="N29" si="45">M29+K29+I29+G29+E29</f>
        <v>0</v>
      </c>
      <c r="O29" s="458">
        <f t="shared" ref="O29" si="46">IF(B29&gt;0,N29/B29,0)</f>
        <v>0</v>
      </c>
      <c r="P29" s="594">
        <f t="shared" si="12"/>
        <v>18418.3</v>
      </c>
      <c r="Q29" s="459">
        <f t="shared" ref="Q29" si="47">(P29-P28)*1000</f>
        <v>0</v>
      </c>
      <c r="R29" s="441">
        <f t="shared" ref="R29" si="48">N29-Q29</f>
        <v>0</v>
      </c>
      <c r="S29" s="437">
        <f t="shared" si="13"/>
        <v>10175</v>
      </c>
      <c r="T29" s="460">
        <f t="shared" ref="T29" si="49">S29-S28</f>
        <v>0</v>
      </c>
      <c r="U29" s="437">
        <f t="shared" si="14"/>
        <v>429166</v>
      </c>
      <c r="V29" s="441">
        <f t="shared" ref="V29" si="50">U29-U28</f>
        <v>0</v>
      </c>
      <c r="W29" s="437">
        <f t="shared" si="15"/>
        <v>33311</v>
      </c>
      <c r="X29" s="441">
        <f t="shared" ref="X29" si="51">W29-W28</f>
        <v>0</v>
      </c>
      <c r="Y29" s="437">
        <f t="shared" si="16"/>
        <v>954830</v>
      </c>
      <c r="Z29" s="441">
        <f t="shared" ref="Z29" si="52">Y29-Y28</f>
        <v>0</v>
      </c>
      <c r="AA29" s="437">
        <f t="shared" si="17"/>
        <v>36763</v>
      </c>
      <c r="AB29" s="441">
        <f t="shared" ref="AB29" si="53">AA29-AA28</f>
        <v>0</v>
      </c>
      <c r="AC29" s="437">
        <f t="shared" si="18"/>
        <v>1162613</v>
      </c>
      <c r="AD29" s="441">
        <f t="shared" ref="AD29" si="54">AC29-AC28</f>
        <v>0</v>
      </c>
      <c r="AE29" s="463">
        <f t="shared" ref="AE29" si="55">AB29+X29+T29</f>
        <v>0</v>
      </c>
      <c r="AF29" s="464">
        <f t="shared" ref="AF29" si="56">V29+Z29+AD29</f>
        <v>0</v>
      </c>
      <c r="AG29" s="456">
        <f t="shared" si="37"/>
        <v>0</v>
      </c>
      <c r="AI29" s="457">
        <f>R29-'EDl log'!B29</f>
        <v>-1095809</v>
      </c>
      <c r="AJ29" s="570">
        <v>44495</v>
      </c>
      <c r="AK29" s="457">
        <f t="shared" si="20"/>
        <v>1274972</v>
      </c>
      <c r="AL29" s="576">
        <f t="shared" si="21"/>
        <v>1598</v>
      </c>
      <c r="AM29" s="576">
        <f t="shared" si="22"/>
        <v>1276570</v>
      </c>
      <c r="AN29" s="576">
        <f t="shared" si="32"/>
        <v>0</v>
      </c>
      <c r="AO29" s="466">
        <f t="shared" si="40"/>
        <v>0</v>
      </c>
      <c r="AP29" s="457">
        <f>Q29+'EDl log'!C29</f>
        <v>0</v>
      </c>
    </row>
    <row r="30" spans="1:42">
      <c r="A30" s="449">
        <f>'General information '!F31</f>
        <v>0</v>
      </c>
      <c r="B30" s="443">
        <f>SUM(230*A30)</f>
        <v>0</v>
      </c>
      <c r="C30" s="450">
        <v>44496</v>
      </c>
      <c r="D30" s="437">
        <f t="shared" si="7"/>
        <v>32911138</v>
      </c>
      <c r="E30" s="438">
        <f t="shared" si="23"/>
        <v>0</v>
      </c>
      <c r="F30" s="603">
        <f t="shared" si="8"/>
        <v>4091226</v>
      </c>
      <c r="G30" s="306">
        <f t="shared" si="24"/>
        <v>0</v>
      </c>
      <c r="H30" s="437">
        <f t="shared" si="9"/>
        <v>17968314</v>
      </c>
      <c r="I30" s="306">
        <f t="shared" si="25"/>
        <v>0</v>
      </c>
      <c r="J30" s="437">
        <f t="shared" si="10"/>
        <v>29533148</v>
      </c>
      <c r="K30" s="306">
        <f t="shared" si="26"/>
        <v>0</v>
      </c>
      <c r="L30" s="437">
        <f t="shared" si="11"/>
        <v>24433018</v>
      </c>
      <c r="M30" s="306">
        <f t="shared" si="27"/>
        <v>0</v>
      </c>
      <c r="N30" s="305">
        <f t="shared" si="28"/>
        <v>0</v>
      </c>
      <c r="O30" s="458">
        <f t="shared" si="36"/>
        <v>0</v>
      </c>
      <c r="P30" s="594">
        <f t="shared" si="12"/>
        <v>18418.3</v>
      </c>
      <c r="Q30" s="459">
        <f t="shared" si="1"/>
        <v>0</v>
      </c>
      <c r="R30" s="441">
        <f t="shared" si="38"/>
        <v>0</v>
      </c>
      <c r="S30" s="437">
        <f t="shared" si="13"/>
        <v>10175</v>
      </c>
      <c r="T30" s="460">
        <f t="shared" si="2"/>
        <v>0</v>
      </c>
      <c r="U30" s="437">
        <f t="shared" si="14"/>
        <v>429166</v>
      </c>
      <c r="V30" s="441">
        <f t="shared" si="29"/>
        <v>0</v>
      </c>
      <c r="W30" s="437">
        <f t="shared" si="15"/>
        <v>33311</v>
      </c>
      <c r="X30" s="441">
        <f t="shared" si="35"/>
        <v>0</v>
      </c>
      <c r="Y30" s="437">
        <f t="shared" si="16"/>
        <v>954830</v>
      </c>
      <c r="Z30" s="441">
        <f t="shared" si="34"/>
        <v>0</v>
      </c>
      <c r="AA30" s="437">
        <f t="shared" si="17"/>
        <v>36763</v>
      </c>
      <c r="AB30" s="441">
        <f t="shared" si="30"/>
        <v>0</v>
      </c>
      <c r="AC30" s="437">
        <f t="shared" si="18"/>
        <v>1162613</v>
      </c>
      <c r="AD30" s="441">
        <f t="shared" si="39"/>
        <v>0</v>
      </c>
      <c r="AE30" s="463">
        <f t="shared" si="19"/>
        <v>0</v>
      </c>
      <c r="AF30" s="464">
        <f t="shared" si="4"/>
        <v>0</v>
      </c>
      <c r="AG30" s="456">
        <f t="shared" si="37"/>
        <v>0</v>
      </c>
      <c r="AI30" s="457">
        <f>R30-'EDl log'!B30</f>
        <v>-1095809</v>
      </c>
      <c r="AJ30" s="570">
        <v>44496</v>
      </c>
      <c r="AK30" s="457">
        <f t="shared" si="20"/>
        <v>1274972</v>
      </c>
      <c r="AL30" s="576">
        <f t="shared" si="21"/>
        <v>1598</v>
      </c>
      <c r="AM30" s="576">
        <f t="shared" si="22"/>
        <v>1276570</v>
      </c>
      <c r="AN30" s="576">
        <f t="shared" si="32"/>
        <v>0</v>
      </c>
      <c r="AO30" s="466">
        <f t="shared" si="40"/>
        <v>0</v>
      </c>
      <c r="AP30" s="457">
        <f>Q30+'EDl log'!C30</f>
        <v>0</v>
      </c>
    </row>
    <row r="31" spans="1:42">
      <c r="A31" s="449">
        <f>'General information '!F32</f>
        <v>0</v>
      </c>
      <c r="B31" s="443">
        <f t="shared" si="6"/>
        <v>0</v>
      </c>
      <c r="C31" s="450">
        <v>44497</v>
      </c>
      <c r="D31" s="437">
        <f t="shared" si="7"/>
        <v>32911138</v>
      </c>
      <c r="E31" s="438">
        <f t="shared" ref="E31:E34" si="57">AN31</f>
        <v>0</v>
      </c>
      <c r="F31" s="603">
        <f t="shared" si="8"/>
        <v>4091226</v>
      </c>
      <c r="G31" s="306">
        <f t="shared" si="24"/>
        <v>0</v>
      </c>
      <c r="H31" s="437">
        <f t="shared" si="9"/>
        <v>17968314</v>
      </c>
      <c r="I31" s="306">
        <f t="shared" si="25"/>
        <v>0</v>
      </c>
      <c r="J31" s="437">
        <f t="shared" si="10"/>
        <v>29533148</v>
      </c>
      <c r="K31" s="306">
        <f t="shared" si="26"/>
        <v>0</v>
      </c>
      <c r="L31" s="437">
        <f t="shared" si="11"/>
        <v>24433018</v>
      </c>
      <c r="M31" s="306">
        <f t="shared" si="27"/>
        <v>0</v>
      </c>
      <c r="N31" s="305">
        <f t="shared" si="28"/>
        <v>0</v>
      </c>
      <c r="O31" s="458">
        <f t="shared" si="36"/>
        <v>0</v>
      </c>
      <c r="P31" s="594">
        <f t="shared" si="12"/>
        <v>18418.3</v>
      </c>
      <c r="Q31" s="459">
        <f t="shared" si="1"/>
        <v>0</v>
      </c>
      <c r="R31" s="441">
        <f t="shared" si="38"/>
        <v>0</v>
      </c>
      <c r="S31" s="437">
        <f t="shared" si="13"/>
        <v>10175</v>
      </c>
      <c r="T31" s="460">
        <f t="shared" si="2"/>
        <v>0</v>
      </c>
      <c r="U31" s="437">
        <f t="shared" si="14"/>
        <v>429166</v>
      </c>
      <c r="V31" s="441">
        <f t="shared" si="29"/>
        <v>0</v>
      </c>
      <c r="W31" s="437">
        <f t="shared" si="15"/>
        <v>33311</v>
      </c>
      <c r="X31" s="461">
        <f t="shared" si="35"/>
        <v>0</v>
      </c>
      <c r="Y31" s="437">
        <f t="shared" si="16"/>
        <v>954830</v>
      </c>
      <c r="Z31" s="441">
        <f t="shared" si="34"/>
        <v>0</v>
      </c>
      <c r="AA31" s="437">
        <f t="shared" si="17"/>
        <v>36763</v>
      </c>
      <c r="AB31" s="441">
        <f t="shared" si="30"/>
        <v>0</v>
      </c>
      <c r="AC31" s="437">
        <f t="shared" si="18"/>
        <v>1162613</v>
      </c>
      <c r="AD31" s="441">
        <f t="shared" si="39"/>
        <v>0</v>
      </c>
      <c r="AE31" s="463">
        <f t="shared" si="19"/>
        <v>0</v>
      </c>
      <c r="AF31" s="464">
        <f t="shared" si="4"/>
        <v>0</v>
      </c>
      <c r="AG31" s="456">
        <f t="shared" si="37"/>
        <v>0</v>
      </c>
      <c r="AI31" s="457">
        <f>R31-'EDl log'!B31</f>
        <v>-1095809</v>
      </c>
      <c r="AJ31" s="570">
        <v>44497</v>
      </c>
      <c r="AK31" s="457">
        <f t="shared" si="20"/>
        <v>1274972</v>
      </c>
      <c r="AL31" s="576">
        <f t="shared" si="21"/>
        <v>1598</v>
      </c>
      <c r="AM31" s="576">
        <f t="shared" si="22"/>
        <v>1276570</v>
      </c>
      <c r="AN31" s="576">
        <f t="shared" si="32"/>
        <v>0</v>
      </c>
      <c r="AO31" s="466">
        <f t="shared" si="40"/>
        <v>0</v>
      </c>
      <c r="AP31" s="457">
        <f>Q31+'EDl log'!C31</f>
        <v>0</v>
      </c>
    </row>
    <row r="32" spans="1:42">
      <c r="A32" s="449">
        <f>'General information '!F33</f>
        <v>0</v>
      </c>
      <c r="B32" s="443">
        <f>SUM(230*A32)</f>
        <v>0</v>
      </c>
      <c r="C32" s="450">
        <v>44498</v>
      </c>
      <c r="D32" s="437">
        <f t="shared" si="7"/>
        <v>32911138</v>
      </c>
      <c r="E32" s="438">
        <f t="shared" si="57"/>
        <v>0</v>
      </c>
      <c r="F32" s="603">
        <f t="shared" si="8"/>
        <v>4091226</v>
      </c>
      <c r="G32" s="306">
        <f t="shared" si="24"/>
        <v>0</v>
      </c>
      <c r="H32" s="437">
        <f t="shared" si="9"/>
        <v>17968314</v>
      </c>
      <c r="I32" s="306">
        <f t="shared" si="25"/>
        <v>0</v>
      </c>
      <c r="J32" s="437">
        <f t="shared" si="10"/>
        <v>29533148</v>
      </c>
      <c r="K32" s="306">
        <f t="shared" si="26"/>
        <v>0</v>
      </c>
      <c r="L32" s="437">
        <f t="shared" si="11"/>
        <v>24433018</v>
      </c>
      <c r="M32" s="306">
        <f t="shared" si="27"/>
        <v>0</v>
      </c>
      <c r="N32" s="305">
        <f t="shared" si="28"/>
        <v>0</v>
      </c>
      <c r="O32" s="458">
        <f>IF(B32&gt;0,N32/B32,0)</f>
        <v>0</v>
      </c>
      <c r="P32" s="594">
        <f t="shared" si="12"/>
        <v>18418.3</v>
      </c>
      <c r="Q32" s="459">
        <f t="shared" si="1"/>
        <v>0</v>
      </c>
      <c r="R32" s="441">
        <f>N32-Q32</f>
        <v>0</v>
      </c>
      <c r="S32" s="437">
        <f t="shared" si="13"/>
        <v>10175</v>
      </c>
      <c r="T32" s="460">
        <f>S32-S31</f>
        <v>0</v>
      </c>
      <c r="U32" s="437">
        <f t="shared" si="14"/>
        <v>429166</v>
      </c>
      <c r="V32" s="441">
        <f>U32-U31</f>
        <v>0</v>
      </c>
      <c r="W32" s="437">
        <f t="shared" si="15"/>
        <v>33311</v>
      </c>
      <c r="X32" s="461">
        <f>W32-W31</f>
        <v>0</v>
      </c>
      <c r="Y32" s="437">
        <f t="shared" si="16"/>
        <v>954830</v>
      </c>
      <c r="Z32" s="441">
        <f>Y32-Y31</f>
        <v>0</v>
      </c>
      <c r="AA32" s="437">
        <f t="shared" si="17"/>
        <v>36763</v>
      </c>
      <c r="AB32" s="441">
        <f>AA32-AA31</f>
        <v>0</v>
      </c>
      <c r="AC32" s="437">
        <f t="shared" si="18"/>
        <v>1162613</v>
      </c>
      <c r="AD32" s="441">
        <f>AC32-AC31</f>
        <v>0</v>
      </c>
      <c r="AE32" s="463">
        <f>AB32+X32+T32</f>
        <v>0</v>
      </c>
      <c r="AF32" s="464">
        <f>V32+Z32+AD32</f>
        <v>0</v>
      </c>
      <c r="AG32" s="456">
        <f>IF(AE32&gt;0,AF32/AE32,0)</f>
        <v>0</v>
      </c>
      <c r="AI32" s="457">
        <f>R32-'EDl log'!B32</f>
        <v>-1095809</v>
      </c>
      <c r="AJ32" s="570">
        <v>44498</v>
      </c>
      <c r="AK32" s="457">
        <f t="shared" si="20"/>
        <v>1274972</v>
      </c>
      <c r="AL32" s="576">
        <f t="shared" si="21"/>
        <v>1598</v>
      </c>
      <c r="AM32" s="576">
        <f t="shared" si="22"/>
        <v>1276570</v>
      </c>
      <c r="AN32" s="576">
        <f t="shared" si="32"/>
        <v>0</v>
      </c>
      <c r="AO32" s="466">
        <f t="shared" si="40"/>
        <v>0</v>
      </c>
      <c r="AP32" s="457">
        <f>Q32+'EDl log'!C32</f>
        <v>0</v>
      </c>
    </row>
    <row r="33" spans="1:42">
      <c r="A33" s="449">
        <f>'General information '!F34</f>
        <v>0</v>
      </c>
      <c r="B33" s="443">
        <f>SUM(230*A33)</f>
        <v>0</v>
      </c>
      <c r="C33" s="450">
        <v>44499</v>
      </c>
      <c r="D33" s="437">
        <f t="shared" si="7"/>
        <v>32911138</v>
      </c>
      <c r="E33" s="438">
        <f t="shared" si="57"/>
        <v>0</v>
      </c>
      <c r="F33" s="603">
        <f t="shared" si="8"/>
        <v>4091226</v>
      </c>
      <c r="G33" s="306">
        <f t="shared" si="24"/>
        <v>0</v>
      </c>
      <c r="H33" s="437">
        <f t="shared" si="9"/>
        <v>17968314</v>
      </c>
      <c r="I33" s="306">
        <f t="shared" si="25"/>
        <v>0</v>
      </c>
      <c r="J33" s="437">
        <f t="shared" si="10"/>
        <v>29533148</v>
      </c>
      <c r="K33" s="306">
        <f t="shared" si="26"/>
        <v>0</v>
      </c>
      <c r="L33" s="437">
        <f t="shared" si="11"/>
        <v>24433018</v>
      </c>
      <c r="M33" s="306">
        <f t="shared" si="27"/>
        <v>0</v>
      </c>
      <c r="N33" s="305">
        <f t="shared" si="28"/>
        <v>0</v>
      </c>
      <c r="O33" s="458">
        <f>IF(B33&gt;0,N33/B33,0)</f>
        <v>0</v>
      </c>
      <c r="P33" s="594">
        <f t="shared" si="12"/>
        <v>18418.3</v>
      </c>
      <c r="Q33" s="459">
        <f t="shared" si="1"/>
        <v>0</v>
      </c>
      <c r="R33" s="441">
        <f>N33-Q33</f>
        <v>0</v>
      </c>
      <c r="S33" s="437">
        <f t="shared" si="13"/>
        <v>10175</v>
      </c>
      <c r="T33" s="460">
        <f>S33-S32</f>
        <v>0</v>
      </c>
      <c r="U33" s="437">
        <f t="shared" si="14"/>
        <v>429166</v>
      </c>
      <c r="V33" s="441">
        <f>U33-U32</f>
        <v>0</v>
      </c>
      <c r="W33" s="437">
        <f t="shared" si="15"/>
        <v>33311</v>
      </c>
      <c r="X33" s="461">
        <f>W33-W32</f>
        <v>0</v>
      </c>
      <c r="Y33" s="437">
        <f t="shared" si="16"/>
        <v>954830</v>
      </c>
      <c r="Z33" s="441">
        <f>Y33-Y32</f>
        <v>0</v>
      </c>
      <c r="AA33" s="437">
        <f t="shared" si="17"/>
        <v>36763</v>
      </c>
      <c r="AB33" s="441">
        <f>AA33-AA32</f>
        <v>0</v>
      </c>
      <c r="AC33" s="437">
        <f t="shared" si="18"/>
        <v>1162613</v>
      </c>
      <c r="AD33" s="441">
        <f>AC33-AC32</f>
        <v>0</v>
      </c>
      <c r="AE33" s="463">
        <f>AB33+X33+T33</f>
        <v>0</v>
      </c>
      <c r="AF33" s="464">
        <f>V33+Z33+AD33</f>
        <v>0</v>
      </c>
      <c r="AG33" s="456">
        <f>IF(AE33&gt;0,AF33/AE33,0)</f>
        <v>0</v>
      </c>
      <c r="AI33" s="457">
        <f>R33-'EDl log'!B33</f>
        <v>-1095809</v>
      </c>
      <c r="AJ33" s="570">
        <v>44499</v>
      </c>
      <c r="AK33" s="457">
        <f t="shared" si="20"/>
        <v>1274972</v>
      </c>
      <c r="AL33" s="576">
        <f t="shared" si="21"/>
        <v>1598</v>
      </c>
      <c r="AM33" s="576">
        <f t="shared" si="22"/>
        <v>1276570</v>
      </c>
      <c r="AN33" s="576">
        <f t="shared" si="32"/>
        <v>0</v>
      </c>
      <c r="AO33" s="466">
        <f t="shared" si="40"/>
        <v>0</v>
      </c>
      <c r="AP33" s="457">
        <f>Q33+'EDl log'!C33</f>
        <v>0</v>
      </c>
    </row>
    <row r="34" spans="1:42">
      <c r="A34" s="449">
        <f>'General information '!F35</f>
        <v>0</v>
      </c>
      <c r="B34" s="443">
        <f>SUM(230*A34)</f>
        <v>0</v>
      </c>
      <c r="C34" s="450">
        <v>44500</v>
      </c>
      <c r="D34" s="437">
        <f t="shared" si="7"/>
        <v>32911138</v>
      </c>
      <c r="E34" s="438">
        <f t="shared" si="57"/>
        <v>0</v>
      </c>
      <c r="F34" s="603">
        <f t="shared" si="8"/>
        <v>4091226</v>
      </c>
      <c r="G34" s="306">
        <f t="shared" ref="G34" si="58">F34-F33</f>
        <v>0</v>
      </c>
      <c r="H34" s="437">
        <f t="shared" si="9"/>
        <v>17968314</v>
      </c>
      <c r="I34" s="306">
        <f t="shared" ref="I34" si="59">H34-H33</f>
        <v>0</v>
      </c>
      <c r="J34" s="437">
        <f t="shared" si="10"/>
        <v>29533148</v>
      </c>
      <c r="K34" s="306">
        <f t="shared" ref="K34" si="60">J34-J33</f>
        <v>0</v>
      </c>
      <c r="L34" s="437">
        <f t="shared" si="11"/>
        <v>24433018</v>
      </c>
      <c r="M34" s="306">
        <f t="shared" ref="M34" si="61">L34-L33</f>
        <v>0</v>
      </c>
      <c r="N34" s="305">
        <f t="shared" ref="N34" si="62">M34+K34+I34+G34+E34</f>
        <v>0</v>
      </c>
      <c r="O34" s="458">
        <f>IF(B34&gt;0,N34/B34,0)</f>
        <v>0</v>
      </c>
      <c r="P34" s="594">
        <f t="shared" si="12"/>
        <v>18418.3</v>
      </c>
      <c r="Q34" s="459">
        <f t="shared" si="1"/>
        <v>0</v>
      </c>
      <c r="R34" s="441">
        <f>N34-Q34</f>
        <v>0</v>
      </c>
      <c r="S34" s="437">
        <f t="shared" si="13"/>
        <v>10175</v>
      </c>
      <c r="T34" s="460">
        <f>S34-S33</f>
        <v>0</v>
      </c>
      <c r="U34" s="437">
        <f t="shared" ref="U34" si="63">U33</f>
        <v>429166</v>
      </c>
      <c r="V34" s="441">
        <f>U34-U33</f>
        <v>0</v>
      </c>
      <c r="W34" s="437">
        <f t="shared" si="15"/>
        <v>33311</v>
      </c>
      <c r="X34" s="461">
        <f>W34-W33</f>
        <v>0</v>
      </c>
      <c r="Y34" s="437">
        <f t="shared" si="16"/>
        <v>954830</v>
      </c>
      <c r="Z34" s="441">
        <f>Y34-Y33</f>
        <v>0</v>
      </c>
      <c r="AA34" s="437">
        <f t="shared" si="17"/>
        <v>36763</v>
      </c>
      <c r="AB34" s="441">
        <f>AA34-AA33</f>
        <v>0</v>
      </c>
      <c r="AC34" s="437">
        <f t="shared" si="18"/>
        <v>1162613</v>
      </c>
      <c r="AD34" s="441">
        <f>AC34-AC33</f>
        <v>0</v>
      </c>
      <c r="AE34" s="463">
        <f>AB34+X34+T34</f>
        <v>0</v>
      </c>
      <c r="AF34" s="464">
        <f>V34+Z34+AD34</f>
        <v>0</v>
      </c>
      <c r="AG34" s="456">
        <f>IF(AE34&gt;0,AF34/AE34,0)</f>
        <v>0</v>
      </c>
      <c r="AI34" s="457">
        <f>R34-'EDl log'!B34</f>
        <v>-1095809</v>
      </c>
      <c r="AJ34" s="570">
        <v>44500</v>
      </c>
      <c r="AK34" s="457">
        <f t="shared" si="20"/>
        <v>1274972</v>
      </c>
      <c r="AL34" s="576">
        <f t="shared" si="21"/>
        <v>1598</v>
      </c>
      <c r="AM34" s="576">
        <f t="shared" si="22"/>
        <v>1276570</v>
      </c>
      <c r="AN34" s="576">
        <f t="shared" si="32"/>
        <v>0</v>
      </c>
      <c r="AO34" s="466">
        <f t="shared" si="40"/>
        <v>0</v>
      </c>
      <c r="AP34" s="457">
        <f>Q34+'EDl log'!C34</f>
        <v>0</v>
      </c>
    </row>
    <row r="35" spans="1:42" s="593" customFormat="1">
      <c r="A35" s="582"/>
      <c r="B35" s="583"/>
      <c r="C35" s="584"/>
      <c r="D35" s="585"/>
      <c r="E35" s="586"/>
      <c r="F35" s="585"/>
      <c r="G35" s="587"/>
      <c r="H35" s="585"/>
      <c r="I35" s="587"/>
      <c r="J35" s="585"/>
      <c r="K35" s="587"/>
      <c r="L35" s="585"/>
      <c r="M35" s="587"/>
      <c r="N35" s="588"/>
      <c r="O35" s="589"/>
      <c r="P35" s="590"/>
      <c r="Q35" s="581"/>
      <c r="R35" s="581"/>
      <c r="S35" s="585"/>
      <c r="T35" s="591"/>
      <c r="U35" s="585"/>
      <c r="V35" s="581"/>
      <c r="W35" s="585"/>
      <c r="X35" s="581"/>
      <c r="Y35" s="585"/>
      <c r="Z35" s="581"/>
      <c r="AA35" s="585"/>
      <c r="AB35" s="581"/>
      <c r="AC35" s="585"/>
      <c r="AD35" s="581"/>
      <c r="AE35" s="581"/>
      <c r="AF35" s="581"/>
      <c r="AG35" s="592"/>
      <c r="AK35" s="581"/>
      <c r="AL35" s="581"/>
      <c r="AM35" s="581"/>
      <c r="AN35" s="581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C1" zoomScale="90" zoomScaleNormal="90" workbookViewId="0">
      <pane ySplit="1" topLeftCell="A2" activePane="bottomLeft" state="frozen"/>
      <selection activeCell="K1" sqref="K1"/>
      <selection pane="bottomLeft" activeCell="L7" sqref="L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49" t="s">
        <v>2</v>
      </c>
      <c r="G1" s="650"/>
      <c r="H1" s="650"/>
      <c r="I1" s="651"/>
      <c r="J1" s="277">
        <f>J36</f>
        <v>41</v>
      </c>
      <c r="K1" s="652" t="s">
        <v>4</v>
      </c>
      <c r="L1" s="653"/>
      <c r="M1" s="653"/>
      <c r="N1" s="653"/>
      <c r="O1" s="654"/>
      <c r="P1" s="643" t="s">
        <v>6</v>
      </c>
      <c r="Q1" s="644"/>
      <c r="R1" s="644"/>
      <c r="S1" s="644"/>
      <c r="T1" s="645"/>
      <c r="U1" s="390"/>
      <c r="V1" s="27" t="s">
        <v>104</v>
      </c>
      <c r="W1" s="391"/>
      <c r="X1" s="643" t="s">
        <v>8</v>
      </c>
      <c r="Y1" s="644"/>
      <c r="Z1" s="644"/>
      <c r="AA1" s="644"/>
      <c r="AB1" s="644"/>
      <c r="AC1" s="646" t="s">
        <v>10</v>
      </c>
      <c r="AD1" s="647"/>
      <c r="AE1" s="647"/>
      <c r="AF1" s="648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41"/>
      <c r="R2" s="642"/>
      <c r="S2" s="52" t="s">
        <v>7</v>
      </c>
      <c r="T2" s="53"/>
      <c r="U2" s="394" t="s">
        <v>380</v>
      </c>
      <c r="V2" s="54" t="s">
        <v>103</v>
      </c>
      <c r="W2" s="392"/>
      <c r="X2" s="55" t="s">
        <v>8</v>
      </c>
      <c r="Y2" s="46" t="s">
        <v>9</v>
      </c>
      <c r="Z2" s="383" t="s">
        <v>376</v>
      </c>
      <c r="AA2" s="384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6"/>
      <c r="AK2" s="386"/>
      <c r="AL2" s="386"/>
      <c r="AM2" s="386"/>
      <c r="AN2" s="385"/>
      <c r="AO2" s="385"/>
      <c r="AP2" s="385"/>
      <c r="AQ2" s="385"/>
      <c r="AR2" s="385"/>
      <c r="AS2" s="385"/>
      <c r="AT2" s="385"/>
      <c r="AU2" s="385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4"/>
      <c r="V3" s="59"/>
      <c r="W3" s="39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44469</v>
      </c>
      <c r="B4" s="388">
        <f>[2]B5!B34</f>
        <v>146</v>
      </c>
      <c r="C4" s="388">
        <f>[2]B5!C34</f>
        <v>153</v>
      </c>
      <c r="D4" s="388">
        <f>[2]B5!D34</f>
        <v>7</v>
      </c>
      <c r="E4" s="388">
        <f>[2]B5!E34</f>
        <v>58.660000000000004</v>
      </c>
      <c r="F4" s="388">
        <f>[2]B5!F34</f>
        <v>1890</v>
      </c>
      <c r="G4" s="388">
        <f>[2]B5!G34</f>
        <v>1</v>
      </c>
      <c r="H4" s="388">
        <f>[2]B5!H34</f>
        <v>17095</v>
      </c>
      <c r="I4" s="388">
        <f>[2]B5!I34</f>
        <v>57</v>
      </c>
      <c r="J4" s="388">
        <f>[2]B5!J34</f>
        <v>57</v>
      </c>
      <c r="K4" s="388">
        <f>[2]B5!K34</f>
        <v>2356</v>
      </c>
      <c r="L4" s="388">
        <f>[2]B5!L34</f>
        <v>0</v>
      </c>
      <c r="M4" s="388">
        <f>[2]B5!M34</f>
        <v>173915</v>
      </c>
      <c r="N4" s="388">
        <f>[2]B5!N34</f>
        <v>0</v>
      </c>
      <c r="O4" s="388">
        <f>[2]B5!O34</f>
        <v>1869</v>
      </c>
      <c r="P4" s="388">
        <f>[2]B5!P34</f>
        <v>2129</v>
      </c>
      <c r="Q4" s="388">
        <f>[2]B5!Q34</f>
        <v>178720</v>
      </c>
      <c r="R4" s="388">
        <f>[2]B5!R34</f>
        <v>0</v>
      </c>
      <c r="S4" s="388">
        <f>[2]B5!S34</f>
        <v>0</v>
      </c>
      <c r="T4" s="388">
        <f>[2]B5!T34</f>
        <v>0</v>
      </c>
      <c r="U4" s="388">
        <f>[2]B5!U34</f>
        <v>1</v>
      </c>
      <c r="V4" s="388">
        <f>[2]B5!V34</f>
        <v>57</v>
      </c>
      <c r="W4" s="388">
        <f>[2]B5!W34</f>
        <v>0</v>
      </c>
      <c r="X4" s="388">
        <f>[2]B5!X34</f>
        <v>2470</v>
      </c>
      <c r="Y4" s="388">
        <f>[2]B5!Y34</f>
        <v>0</v>
      </c>
      <c r="Z4" s="388">
        <f>[2]B5!Z34</f>
        <v>139138.1</v>
      </c>
      <c r="AA4" s="388">
        <f>[2]B5!AA34</f>
        <v>0</v>
      </c>
      <c r="AB4" s="388">
        <f>[2]B5!AB34</f>
        <v>0</v>
      </c>
      <c r="AC4" s="388">
        <f>[2]B5!AC34</f>
        <v>1942</v>
      </c>
      <c r="AD4" s="388">
        <f>[2]B5!AD34</f>
        <v>0</v>
      </c>
      <c r="AE4" s="388">
        <f>[2]B5!AE34</f>
        <v>366072</v>
      </c>
      <c r="AF4" s="388">
        <f>[2]B5!AF34</f>
        <v>0</v>
      </c>
      <c r="AG4" s="388">
        <f>[2]B5!AG34</f>
        <v>0</v>
      </c>
      <c r="AH4" s="388">
        <f>[2]B5!AH34</f>
        <v>0</v>
      </c>
      <c r="AI4" s="388">
        <f>[2]B5!AI34</f>
        <v>57</v>
      </c>
      <c r="AJ4" s="388">
        <f>[2]B5!AJ34</f>
        <v>57</v>
      </c>
      <c r="AK4" s="388">
        <f>[2]B5!AK34</f>
        <v>0</v>
      </c>
      <c r="AL4" s="388">
        <f>[2]B5!AL34</f>
        <v>1</v>
      </c>
      <c r="AM4" s="388">
        <f>[2]B5!AM34</f>
        <v>0</v>
      </c>
      <c r="AN4" s="388">
        <f>[2]B5!AN34</f>
        <v>65</v>
      </c>
      <c r="AO4" s="388">
        <f>[2]B5!AO34</f>
        <v>1950</v>
      </c>
      <c r="AP4" s="388">
        <f>[2]B5!AP34</f>
        <v>55</v>
      </c>
      <c r="AQ4" s="388">
        <f>[2]B5!AQ34</f>
        <v>1650.0000000000002</v>
      </c>
      <c r="AR4" s="388">
        <f>[2]B5!AR34</f>
        <v>61</v>
      </c>
      <c r="AS4" s="388">
        <f>[2]B5!AS34</f>
        <v>1830</v>
      </c>
      <c r="AT4" s="388">
        <f>[2]B5!AT34</f>
        <v>5430</v>
      </c>
      <c r="AU4" s="388">
        <f>[2]B5!AU34</f>
        <v>0</v>
      </c>
      <c r="AV4" s="388">
        <f>[2]B5!AV34</f>
        <v>0</v>
      </c>
      <c r="AW4" s="388">
        <f>[2]B5!AW34</f>
        <v>0</v>
      </c>
      <c r="AX4" s="388">
        <f>[2]B5!AX34</f>
        <v>0.8</v>
      </c>
    </row>
    <row r="5" spans="1:52">
      <c r="A5" s="63">
        <f>ELEC!C4</f>
        <v>44470</v>
      </c>
      <c r="B5" s="560">
        <f>B4</f>
        <v>146</v>
      </c>
      <c r="C5" s="560">
        <f>C4</f>
        <v>153</v>
      </c>
      <c r="D5" s="45">
        <f>C4-C5</f>
        <v>0</v>
      </c>
      <c r="E5" s="45">
        <f>D5*8.38</f>
        <v>0</v>
      </c>
      <c r="F5" s="560">
        <f>F4</f>
        <v>1890</v>
      </c>
      <c r="G5" s="52">
        <f t="shared" ref="G5:G32" si="0">F5-F4</f>
        <v>0</v>
      </c>
      <c r="H5" s="560">
        <f>H4</f>
        <v>17095</v>
      </c>
      <c r="I5" s="389">
        <f t="shared" ref="I5:I32" si="1">SUM(H5-H4)</f>
        <v>0</v>
      </c>
      <c r="J5" s="66">
        <v>1</v>
      </c>
      <c r="K5" s="560">
        <f>K4</f>
        <v>2356</v>
      </c>
      <c r="L5" s="52">
        <f>K5-K4</f>
        <v>0</v>
      </c>
      <c r="M5" s="560">
        <f>M4</f>
        <v>173915</v>
      </c>
      <c r="N5" s="389">
        <f t="shared" ref="N5:N32" si="2">M5-M4</f>
        <v>0</v>
      </c>
      <c r="O5" s="64">
        <f t="shared" ref="O5:Q17" si="3">O4</f>
        <v>1869</v>
      </c>
      <c r="P5" s="560">
        <f>P4</f>
        <v>2129</v>
      </c>
      <c r="Q5" s="560">
        <f>Q4</f>
        <v>178720</v>
      </c>
      <c r="R5" s="38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5">
        <f>SUM(G5+L5+S5)</f>
        <v>0</v>
      </c>
      <c r="V5" s="62">
        <f>R5+N5+I5:I5</f>
        <v>0</v>
      </c>
      <c r="W5" s="393" t="e">
        <f>SUM(V5/U5)</f>
        <v>#DIV/0!</v>
      </c>
      <c r="X5" s="560">
        <f>X4</f>
        <v>2470</v>
      </c>
      <c r="Y5" s="52">
        <f>X5-X4</f>
        <v>0</v>
      </c>
      <c r="Z5" s="560">
        <f>Z4</f>
        <v>139138.1</v>
      </c>
      <c r="AA5" s="65">
        <f t="shared" ref="AA5:AA32" si="6">Z5-Z4</f>
        <v>0</v>
      </c>
      <c r="AB5" s="279">
        <f>SUM(Y5*$AB$2)</f>
        <v>0</v>
      </c>
      <c r="AC5" s="560">
        <f>AC4</f>
        <v>1942</v>
      </c>
      <c r="AD5" s="45">
        <f t="shared" ref="AD5:AD32" si="7">AC5-AC4</f>
        <v>0</v>
      </c>
      <c r="AE5" s="560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0</v>
      </c>
      <c r="AJ5" s="312">
        <f>-tanks!AW6</f>
        <v>0</v>
      </c>
      <c r="AK5" s="312">
        <f>SUM(AJ5-AI5)</f>
        <v>0</v>
      </c>
      <c r="AL5" s="312">
        <f t="shared" ref="AL5:AL32" si="8">S5+L5+G5</f>
        <v>0</v>
      </c>
      <c r="AM5" s="312">
        <f>Y5+AD5</f>
        <v>0</v>
      </c>
      <c r="AN5" s="560">
        <f t="shared" ref="AN5:AN33" si="9">AN4</f>
        <v>65</v>
      </c>
      <c r="AO5" s="314">
        <f>(AN5/100)*3000</f>
        <v>1950</v>
      </c>
      <c r="AP5" s="560">
        <f t="shared" ref="AP5:AP33" si="10">AP4</f>
        <v>55</v>
      </c>
      <c r="AQ5" s="314">
        <f>(AP5/100)*3000</f>
        <v>1650.0000000000002</v>
      </c>
      <c r="AR5" s="560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44471</v>
      </c>
      <c r="B6" s="560">
        <f t="shared" ref="B6:B35" si="12">B5</f>
        <v>146</v>
      </c>
      <c r="C6" s="560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60">
        <f t="shared" ref="F6:F35" si="15">F5</f>
        <v>1890</v>
      </c>
      <c r="G6" s="52">
        <f t="shared" si="0"/>
        <v>0</v>
      </c>
      <c r="H6" s="560">
        <f t="shared" ref="H6:H35" si="16">H5</f>
        <v>17095</v>
      </c>
      <c r="I6" s="389">
        <f t="shared" si="1"/>
        <v>0</v>
      </c>
      <c r="J6" s="66">
        <f t="shared" ref="J6:J32" si="17">IF(G6&gt;0,I6/G6,0)</f>
        <v>0</v>
      </c>
      <c r="K6" s="560">
        <f t="shared" ref="K6:K35" si="18">K5</f>
        <v>2356</v>
      </c>
      <c r="L6" s="52">
        <f t="shared" ref="L6:L32" si="19">K6-K5</f>
        <v>0</v>
      </c>
      <c r="M6" s="560">
        <f t="shared" ref="M6:M35" si="20">M5</f>
        <v>173915</v>
      </c>
      <c r="N6" s="389">
        <f t="shared" si="2"/>
        <v>0</v>
      </c>
      <c r="O6" s="64">
        <f t="shared" si="3"/>
        <v>1869</v>
      </c>
      <c r="P6" s="560">
        <f t="shared" si="3"/>
        <v>2129</v>
      </c>
      <c r="Q6" s="560">
        <f t="shared" si="3"/>
        <v>178720</v>
      </c>
      <c r="R6" s="388">
        <f t="shared" si="4"/>
        <v>0</v>
      </c>
      <c r="S6" s="52">
        <f t="shared" si="5"/>
        <v>0</v>
      </c>
      <c r="T6" s="67">
        <f>SUM(S6*$T$2)</f>
        <v>0</v>
      </c>
      <c r="U6" s="395">
        <f t="shared" ref="U6:U32" si="21">SUM(G6+L6+S6)</f>
        <v>0</v>
      </c>
      <c r="V6" s="62">
        <f t="shared" ref="V6:V32" si="22">R6+N6+I6:I6</f>
        <v>0</v>
      </c>
      <c r="W6" s="393" t="e">
        <f t="shared" ref="W6:W16" si="23">SUM(V6/U6)</f>
        <v>#DIV/0!</v>
      </c>
      <c r="X6" s="560">
        <f t="shared" ref="X6:X35" si="24">X5</f>
        <v>2470</v>
      </c>
      <c r="Y6" s="52">
        <f t="shared" ref="Y6:Y32" si="25">X6-X5</f>
        <v>0</v>
      </c>
      <c r="Z6" s="560">
        <f t="shared" ref="Z6:Z35" si="26">Z5</f>
        <v>139138.1</v>
      </c>
      <c r="AA6" s="65">
        <f t="shared" si="6"/>
        <v>0</v>
      </c>
      <c r="AB6" s="279">
        <f>SUM(Y6*$AB$2)</f>
        <v>0</v>
      </c>
      <c r="AC6" s="560">
        <f t="shared" ref="AC6:AC35" si="27">AC5</f>
        <v>1942</v>
      </c>
      <c r="AD6" s="45">
        <f t="shared" si="7"/>
        <v>0</v>
      </c>
      <c r="AE6" s="560">
        <f t="shared" ref="AE6:AE35" si="28">AE5</f>
        <v>366072</v>
      </c>
      <c r="AF6" s="301">
        <f t="shared" ref="AF6:AF32" si="29">AE6-AE5</f>
        <v>0</v>
      </c>
      <c r="AG6" s="209">
        <f>IF(AD6&gt;0,AF6/AD6,0)</f>
        <v>0</v>
      </c>
      <c r="AH6" s="62">
        <f>AF6+AA6</f>
        <v>0</v>
      </c>
      <c r="AI6" s="312">
        <f t="shared" ref="AI6:AI32" si="30">SUM(AH6+V6)</f>
        <v>0</v>
      </c>
      <c r="AJ6" s="312">
        <f>-tanks!AW7</f>
        <v>0</v>
      </c>
      <c r="AK6" s="312">
        <f t="shared" ref="AK6:AK32" si="31">SUM(AJ6-AI6)</f>
        <v>0</v>
      </c>
      <c r="AL6" s="312">
        <f t="shared" si="8"/>
        <v>0</v>
      </c>
      <c r="AM6" s="312">
        <f t="shared" ref="AM6:AM32" si="32">Y6+AD6</f>
        <v>0</v>
      </c>
      <c r="AN6" s="560">
        <f t="shared" si="9"/>
        <v>65</v>
      </c>
      <c r="AO6" s="314">
        <f t="shared" ref="AO6:AO26" si="33">(AN6/100)*3000</f>
        <v>1950</v>
      </c>
      <c r="AP6" s="560">
        <f t="shared" si="10"/>
        <v>55</v>
      </c>
      <c r="AQ6" s="314">
        <f t="shared" ref="AQ6:AQ24" si="34">(AP6/100)*3000</f>
        <v>1650.0000000000002</v>
      </c>
      <c r="AR6" s="560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5">IF(AV6&gt;0,AW6,AX5)</f>
        <v>0.8</v>
      </c>
    </row>
    <row r="7" spans="1:52">
      <c r="A7" s="63">
        <f>ELEC!C6</f>
        <v>44472</v>
      </c>
      <c r="B7" s="560">
        <v>157</v>
      </c>
      <c r="C7" s="560">
        <v>164</v>
      </c>
      <c r="D7" s="45">
        <f t="shared" ref="D7:D19" si="36">C6-C7</f>
        <v>-11</v>
      </c>
      <c r="E7" s="45">
        <f t="shared" si="14"/>
        <v>-92.18</v>
      </c>
      <c r="F7" s="560">
        <v>1891</v>
      </c>
      <c r="G7" s="52">
        <f t="shared" si="0"/>
        <v>1</v>
      </c>
      <c r="H7" s="560">
        <v>17176</v>
      </c>
      <c r="I7" s="389">
        <f t="shared" si="1"/>
        <v>81</v>
      </c>
      <c r="J7" s="66">
        <f t="shared" si="17"/>
        <v>81</v>
      </c>
      <c r="K7" s="560">
        <f t="shared" si="18"/>
        <v>2356</v>
      </c>
      <c r="L7" s="52">
        <f t="shared" si="19"/>
        <v>0</v>
      </c>
      <c r="M7" s="560">
        <f t="shared" si="20"/>
        <v>173915</v>
      </c>
      <c r="N7" s="389">
        <f t="shared" si="2"/>
        <v>0</v>
      </c>
      <c r="O7" s="64">
        <f t="shared" si="3"/>
        <v>1869</v>
      </c>
      <c r="P7" s="560">
        <f t="shared" si="3"/>
        <v>2129</v>
      </c>
      <c r="Q7" s="560">
        <f t="shared" si="3"/>
        <v>178720</v>
      </c>
      <c r="R7" s="388">
        <f t="shared" si="4"/>
        <v>0</v>
      </c>
      <c r="S7" s="52">
        <f t="shared" si="5"/>
        <v>0</v>
      </c>
      <c r="T7" s="67">
        <f t="shared" ref="T7:T32" si="37">SUM(S7*$T$2)</f>
        <v>0</v>
      </c>
      <c r="U7" s="395">
        <f t="shared" si="21"/>
        <v>1</v>
      </c>
      <c r="V7" s="62">
        <f t="shared" si="22"/>
        <v>81</v>
      </c>
      <c r="W7" s="393">
        <f t="shared" si="23"/>
        <v>81</v>
      </c>
      <c r="X7" s="560">
        <f t="shared" si="24"/>
        <v>2470</v>
      </c>
      <c r="Y7" s="52">
        <f t="shared" si="25"/>
        <v>0</v>
      </c>
      <c r="Z7" s="560">
        <f t="shared" si="26"/>
        <v>139138.1</v>
      </c>
      <c r="AA7" s="65">
        <f t="shared" si="6"/>
        <v>0</v>
      </c>
      <c r="AB7" s="279">
        <f t="shared" ref="AB7:AB17" si="38">SUM(Y7*$AB$2)</f>
        <v>0</v>
      </c>
      <c r="AC7" s="560">
        <f t="shared" si="27"/>
        <v>1942</v>
      </c>
      <c r="AD7" s="45">
        <f t="shared" si="7"/>
        <v>0</v>
      </c>
      <c r="AE7" s="560">
        <f t="shared" si="28"/>
        <v>366072</v>
      </c>
      <c r="AF7" s="301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30"/>
        <v>81</v>
      </c>
      <c r="AJ7" s="312">
        <f>-tanks!AW8</f>
        <v>81</v>
      </c>
      <c r="AK7" s="312">
        <f t="shared" si="31"/>
        <v>0</v>
      </c>
      <c r="AL7" s="312">
        <f t="shared" si="8"/>
        <v>1</v>
      </c>
      <c r="AM7" s="312">
        <f t="shared" si="32"/>
        <v>0</v>
      </c>
      <c r="AN7" s="560">
        <f t="shared" si="9"/>
        <v>65</v>
      </c>
      <c r="AO7" s="314">
        <f t="shared" si="33"/>
        <v>1950</v>
      </c>
      <c r="AP7" s="560">
        <f t="shared" si="10"/>
        <v>55</v>
      </c>
      <c r="AQ7" s="314">
        <f t="shared" si="34"/>
        <v>1650.0000000000002</v>
      </c>
      <c r="AR7" s="560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5"/>
        <v>0.8</v>
      </c>
      <c r="AZ7" s="42" t="s">
        <v>411</v>
      </c>
    </row>
    <row r="8" spans="1:52">
      <c r="A8" s="63">
        <f>ELEC!C7</f>
        <v>44473</v>
      </c>
      <c r="B8" s="560">
        <f t="shared" si="12"/>
        <v>157</v>
      </c>
      <c r="C8" s="560">
        <f t="shared" si="13"/>
        <v>164</v>
      </c>
      <c r="D8" s="45">
        <f t="shared" si="36"/>
        <v>0</v>
      </c>
      <c r="E8" s="45">
        <f t="shared" si="14"/>
        <v>0</v>
      </c>
      <c r="F8" s="560">
        <f t="shared" si="15"/>
        <v>1891</v>
      </c>
      <c r="G8" s="52">
        <f t="shared" si="0"/>
        <v>0</v>
      </c>
      <c r="H8" s="560">
        <f t="shared" si="16"/>
        <v>17176</v>
      </c>
      <c r="I8" s="389">
        <f t="shared" si="1"/>
        <v>0</v>
      </c>
      <c r="J8" s="66">
        <f t="shared" si="17"/>
        <v>0</v>
      </c>
      <c r="K8" s="560">
        <f t="shared" si="18"/>
        <v>2356</v>
      </c>
      <c r="L8" s="52">
        <f t="shared" si="19"/>
        <v>0</v>
      </c>
      <c r="M8" s="560">
        <f t="shared" si="20"/>
        <v>173915</v>
      </c>
      <c r="N8" s="389">
        <f t="shared" si="2"/>
        <v>0</v>
      </c>
      <c r="O8" s="64">
        <f t="shared" si="3"/>
        <v>1869</v>
      </c>
      <c r="P8" s="560">
        <f t="shared" si="3"/>
        <v>2129</v>
      </c>
      <c r="Q8" s="560">
        <f t="shared" si="3"/>
        <v>178720</v>
      </c>
      <c r="R8" s="388">
        <f t="shared" si="4"/>
        <v>0</v>
      </c>
      <c r="S8" s="52">
        <f t="shared" si="5"/>
        <v>0</v>
      </c>
      <c r="T8" s="67">
        <f t="shared" si="37"/>
        <v>0</v>
      </c>
      <c r="U8" s="395">
        <f t="shared" si="21"/>
        <v>0</v>
      </c>
      <c r="V8" s="62">
        <f t="shared" si="22"/>
        <v>0</v>
      </c>
      <c r="W8" s="393" t="e">
        <f t="shared" si="23"/>
        <v>#DIV/0!</v>
      </c>
      <c r="X8" s="560">
        <f t="shared" si="24"/>
        <v>2470</v>
      </c>
      <c r="Y8" s="52">
        <f t="shared" si="25"/>
        <v>0</v>
      </c>
      <c r="Z8" s="560">
        <f t="shared" si="26"/>
        <v>139138.1</v>
      </c>
      <c r="AA8" s="65">
        <f t="shared" si="6"/>
        <v>0</v>
      </c>
      <c r="AB8" s="279">
        <f t="shared" si="38"/>
        <v>0</v>
      </c>
      <c r="AC8" s="560">
        <f t="shared" si="27"/>
        <v>1942</v>
      </c>
      <c r="AD8" s="45">
        <f t="shared" si="7"/>
        <v>0</v>
      </c>
      <c r="AE8" s="560">
        <f t="shared" si="28"/>
        <v>366072</v>
      </c>
      <c r="AF8" s="301">
        <f t="shared" si="29"/>
        <v>0</v>
      </c>
      <c r="AG8" s="209">
        <f t="shared" si="39"/>
        <v>0</v>
      </c>
      <c r="AH8" s="62">
        <f t="shared" si="40"/>
        <v>0</v>
      </c>
      <c r="AI8" s="312">
        <f t="shared" si="30"/>
        <v>0</v>
      </c>
      <c r="AJ8" s="312">
        <f>-tanks!AW9</f>
        <v>0</v>
      </c>
      <c r="AK8" s="312">
        <f t="shared" si="31"/>
        <v>0</v>
      </c>
      <c r="AL8" s="312">
        <f t="shared" si="8"/>
        <v>0</v>
      </c>
      <c r="AM8" s="312">
        <f t="shared" si="32"/>
        <v>0</v>
      </c>
      <c r="AN8" s="560">
        <f t="shared" si="9"/>
        <v>65</v>
      </c>
      <c r="AO8" s="314">
        <f t="shared" si="33"/>
        <v>1950</v>
      </c>
      <c r="AP8" s="560">
        <f t="shared" si="10"/>
        <v>55</v>
      </c>
      <c r="AQ8" s="314">
        <f t="shared" si="34"/>
        <v>1650.0000000000002</v>
      </c>
      <c r="AR8" s="560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5"/>
        <v>0.8</v>
      </c>
    </row>
    <row r="9" spans="1:52" ht="15.75" customHeight="1">
      <c r="A9" s="63">
        <f>ELEC!C8</f>
        <v>44474</v>
      </c>
      <c r="B9" s="560">
        <f t="shared" si="12"/>
        <v>157</v>
      </c>
      <c r="C9" s="560">
        <f t="shared" si="13"/>
        <v>164</v>
      </c>
      <c r="D9" s="45">
        <f t="shared" si="36"/>
        <v>0</v>
      </c>
      <c r="E9" s="45">
        <f t="shared" si="14"/>
        <v>0</v>
      </c>
      <c r="F9" s="560">
        <f t="shared" si="15"/>
        <v>1891</v>
      </c>
      <c r="G9" s="52">
        <f t="shared" si="0"/>
        <v>0</v>
      </c>
      <c r="H9" s="560">
        <f t="shared" si="16"/>
        <v>17176</v>
      </c>
      <c r="I9" s="389">
        <f t="shared" si="1"/>
        <v>0</v>
      </c>
      <c r="J9" s="66">
        <f t="shared" si="17"/>
        <v>0</v>
      </c>
      <c r="K9" s="560">
        <f t="shared" si="18"/>
        <v>2356</v>
      </c>
      <c r="L9" s="52">
        <f t="shared" si="19"/>
        <v>0</v>
      </c>
      <c r="M9" s="560">
        <f t="shared" si="20"/>
        <v>173915</v>
      </c>
      <c r="N9" s="389">
        <f t="shared" si="2"/>
        <v>0</v>
      </c>
      <c r="O9" s="64">
        <f t="shared" si="3"/>
        <v>1869</v>
      </c>
      <c r="P9" s="560">
        <f t="shared" si="3"/>
        <v>2129</v>
      </c>
      <c r="Q9" s="560">
        <f t="shared" si="3"/>
        <v>178720</v>
      </c>
      <c r="R9" s="388">
        <f t="shared" si="4"/>
        <v>0</v>
      </c>
      <c r="S9" s="52">
        <f t="shared" si="5"/>
        <v>0</v>
      </c>
      <c r="T9" s="67">
        <f t="shared" si="37"/>
        <v>0</v>
      </c>
      <c r="U9" s="395">
        <f t="shared" si="21"/>
        <v>0</v>
      </c>
      <c r="V9" s="62">
        <f t="shared" si="22"/>
        <v>0</v>
      </c>
      <c r="W9" s="393" t="e">
        <f t="shared" si="23"/>
        <v>#DIV/0!</v>
      </c>
      <c r="X9" s="560">
        <f t="shared" si="24"/>
        <v>2470</v>
      </c>
      <c r="Y9" s="52">
        <f t="shared" si="25"/>
        <v>0</v>
      </c>
      <c r="Z9" s="560">
        <f t="shared" si="26"/>
        <v>139138.1</v>
      </c>
      <c r="AA9" s="65">
        <f t="shared" si="6"/>
        <v>0</v>
      </c>
      <c r="AB9" s="279">
        <f t="shared" si="38"/>
        <v>0</v>
      </c>
      <c r="AC9" s="560">
        <f t="shared" si="27"/>
        <v>1942</v>
      </c>
      <c r="AD9" s="45">
        <f t="shared" si="7"/>
        <v>0</v>
      </c>
      <c r="AE9" s="560">
        <f t="shared" si="28"/>
        <v>366072</v>
      </c>
      <c r="AF9" s="301">
        <f t="shared" si="29"/>
        <v>0</v>
      </c>
      <c r="AG9" s="209">
        <f t="shared" si="39"/>
        <v>0</v>
      </c>
      <c r="AH9" s="62">
        <f t="shared" si="40"/>
        <v>0</v>
      </c>
      <c r="AI9" s="312">
        <f t="shared" si="30"/>
        <v>0</v>
      </c>
      <c r="AJ9" s="312">
        <f>-tanks!AW10</f>
        <v>0</v>
      </c>
      <c r="AK9" s="312">
        <f t="shared" si="31"/>
        <v>0</v>
      </c>
      <c r="AL9" s="312">
        <f t="shared" si="8"/>
        <v>0</v>
      </c>
      <c r="AM9" s="312">
        <f t="shared" si="32"/>
        <v>0</v>
      </c>
      <c r="AN9" s="560">
        <f t="shared" si="9"/>
        <v>65</v>
      </c>
      <c r="AO9" s="314">
        <f t="shared" si="33"/>
        <v>1950</v>
      </c>
      <c r="AP9" s="560">
        <f t="shared" si="10"/>
        <v>55</v>
      </c>
      <c r="AQ9" s="314">
        <f t="shared" si="34"/>
        <v>1650.0000000000002</v>
      </c>
      <c r="AR9" s="560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5"/>
        <v>0.8</v>
      </c>
    </row>
    <row r="10" spans="1:52">
      <c r="A10" s="63">
        <f>ELEC!C9</f>
        <v>44475</v>
      </c>
      <c r="B10" s="560">
        <f t="shared" si="12"/>
        <v>157</v>
      </c>
      <c r="C10" s="560">
        <f t="shared" si="13"/>
        <v>164</v>
      </c>
      <c r="D10" s="45">
        <f t="shared" si="36"/>
        <v>0</v>
      </c>
      <c r="E10" s="45">
        <f t="shared" si="14"/>
        <v>0</v>
      </c>
      <c r="F10" s="560">
        <f t="shared" si="15"/>
        <v>1891</v>
      </c>
      <c r="G10" s="52">
        <f t="shared" si="0"/>
        <v>0</v>
      </c>
      <c r="H10" s="560">
        <f t="shared" si="16"/>
        <v>17176</v>
      </c>
      <c r="I10" s="389">
        <f t="shared" si="1"/>
        <v>0</v>
      </c>
      <c r="J10" s="66">
        <f t="shared" si="17"/>
        <v>0</v>
      </c>
      <c r="K10" s="560">
        <f t="shared" si="18"/>
        <v>2356</v>
      </c>
      <c r="L10" s="52">
        <f t="shared" si="19"/>
        <v>0</v>
      </c>
      <c r="M10" s="560">
        <f t="shared" si="20"/>
        <v>173915</v>
      </c>
      <c r="N10" s="389">
        <f t="shared" si="2"/>
        <v>0</v>
      </c>
      <c r="O10" s="64">
        <f t="shared" si="3"/>
        <v>1869</v>
      </c>
      <c r="P10" s="560">
        <f t="shared" si="3"/>
        <v>2129</v>
      </c>
      <c r="Q10" s="560">
        <f t="shared" si="3"/>
        <v>178720</v>
      </c>
      <c r="R10" s="388">
        <f t="shared" si="4"/>
        <v>0</v>
      </c>
      <c r="S10" s="52">
        <f t="shared" si="5"/>
        <v>0</v>
      </c>
      <c r="T10" s="67">
        <f t="shared" si="37"/>
        <v>0</v>
      </c>
      <c r="U10" s="395">
        <f t="shared" si="21"/>
        <v>0</v>
      </c>
      <c r="V10" s="62">
        <f t="shared" si="22"/>
        <v>0</v>
      </c>
      <c r="W10" s="393" t="e">
        <f t="shared" si="23"/>
        <v>#DIV/0!</v>
      </c>
      <c r="X10" s="560">
        <f t="shared" si="24"/>
        <v>2470</v>
      </c>
      <c r="Y10" s="52">
        <f t="shared" si="25"/>
        <v>0</v>
      </c>
      <c r="Z10" s="560">
        <f t="shared" si="26"/>
        <v>139138.1</v>
      </c>
      <c r="AA10" s="65">
        <f t="shared" si="6"/>
        <v>0</v>
      </c>
      <c r="AB10" s="279">
        <f t="shared" si="38"/>
        <v>0</v>
      </c>
      <c r="AC10" s="560">
        <f t="shared" si="27"/>
        <v>1942</v>
      </c>
      <c r="AD10" s="45">
        <f t="shared" si="7"/>
        <v>0</v>
      </c>
      <c r="AE10" s="560">
        <f t="shared" si="28"/>
        <v>366072</v>
      </c>
      <c r="AF10" s="301">
        <f t="shared" si="29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31"/>
        <v>0</v>
      </c>
      <c r="AL10" s="312">
        <f t="shared" si="8"/>
        <v>0</v>
      </c>
      <c r="AM10" s="312">
        <f t="shared" si="32"/>
        <v>0</v>
      </c>
      <c r="AN10" s="560">
        <f t="shared" si="9"/>
        <v>65</v>
      </c>
      <c r="AO10" s="314">
        <f t="shared" si="33"/>
        <v>1950</v>
      </c>
      <c r="AP10" s="560">
        <f t="shared" si="10"/>
        <v>55</v>
      </c>
      <c r="AQ10" s="314">
        <f t="shared" si="34"/>
        <v>1650.0000000000002</v>
      </c>
      <c r="AR10" s="560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5"/>
        <v>0.8</v>
      </c>
    </row>
    <row r="11" spans="1:52">
      <c r="A11" s="63">
        <f>ELEC!C10</f>
        <v>44476</v>
      </c>
      <c r="B11" s="560">
        <f t="shared" si="12"/>
        <v>157</v>
      </c>
      <c r="C11" s="560">
        <f t="shared" si="13"/>
        <v>164</v>
      </c>
      <c r="D11" s="45">
        <f t="shared" si="36"/>
        <v>0</v>
      </c>
      <c r="E11" s="45">
        <f t="shared" si="14"/>
        <v>0</v>
      </c>
      <c r="F11" s="560">
        <f t="shared" si="15"/>
        <v>1891</v>
      </c>
      <c r="G11" s="52">
        <f t="shared" si="0"/>
        <v>0</v>
      </c>
      <c r="H11" s="560">
        <f t="shared" si="16"/>
        <v>17176</v>
      </c>
      <c r="I11" s="389">
        <f t="shared" si="1"/>
        <v>0</v>
      </c>
      <c r="J11" s="66">
        <f t="shared" si="17"/>
        <v>0</v>
      </c>
      <c r="K11" s="560">
        <f t="shared" si="18"/>
        <v>2356</v>
      </c>
      <c r="L11" s="52">
        <f t="shared" si="19"/>
        <v>0</v>
      </c>
      <c r="M11" s="560">
        <f t="shared" si="20"/>
        <v>173915</v>
      </c>
      <c r="N11" s="389">
        <f t="shared" si="2"/>
        <v>0</v>
      </c>
      <c r="O11" s="64">
        <f t="shared" si="3"/>
        <v>1869</v>
      </c>
      <c r="P11" s="560">
        <f t="shared" si="3"/>
        <v>2129</v>
      </c>
      <c r="Q11" s="560">
        <f t="shared" si="3"/>
        <v>178720</v>
      </c>
      <c r="R11" s="388">
        <f t="shared" ref="R11:R32" si="44">Q11-Q10</f>
        <v>0</v>
      </c>
      <c r="S11" s="52">
        <f t="shared" si="5"/>
        <v>0</v>
      </c>
      <c r="T11" s="67">
        <f t="shared" si="37"/>
        <v>0</v>
      </c>
      <c r="U11" s="395">
        <f t="shared" si="21"/>
        <v>0</v>
      </c>
      <c r="V11" s="62">
        <f t="shared" si="22"/>
        <v>0</v>
      </c>
      <c r="W11" s="393" t="e">
        <f t="shared" si="23"/>
        <v>#DIV/0!</v>
      </c>
      <c r="X11" s="560">
        <f t="shared" si="24"/>
        <v>2470</v>
      </c>
      <c r="Y11" s="52">
        <f t="shared" si="25"/>
        <v>0</v>
      </c>
      <c r="Z11" s="560">
        <f t="shared" si="26"/>
        <v>139138.1</v>
      </c>
      <c r="AA11" s="65">
        <f t="shared" si="6"/>
        <v>0</v>
      </c>
      <c r="AB11" s="279">
        <f t="shared" si="38"/>
        <v>0</v>
      </c>
      <c r="AC11" s="560">
        <f t="shared" si="27"/>
        <v>1942</v>
      </c>
      <c r="AD11" s="45">
        <f t="shared" si="7"/>
        <v>0</v>
      </c>
      <c r="AE11" s="560">
        <f t="shared" si="28"/>
        <v>366072</v>
      </c>
      <c r="AF11" s="301">
        <f t="shared" si="29"/>
        <v>0</v>
      </c>
      <c r="AG11" s="209">
        <f t="shared" si="39"/>
        <v>0</v>
      </c>
      <c r="AH11" s="62">
        <f>AF11+AA11</f>
        <v>0</v>
      </c>
      <c r="AI11" s="312">
        <f>SUM(AH11+V11)</f>
        <v>0</v>
      </c>
      <c r="AJ11" s="312">
        <f>-tanks!AW12</f>
        <v>0</v>
      </c>
      <c r="AK11" s="312">
        <f t="shared" si="31"/>
        <v>0</v>
      </c>
      <c r="AL11" s="312">
        <f t="shared" si="8"/>
        <v>0</v>
      </c>
      <c r="AM11" s="312">
        <f t="shared" si="32"/>
        <v>0</v>
      </c>
      <c r="AN11" s="560">
        <f t="shared" si="9"/>
        <v>65</v>
      </c>
      <c r="AO11" s="314">
        <f t="shared" si="33"/>
        <v>1950</v>
      </c>
      <c r="AP11" s="560">
        <f t="shared" si="10"/>
        <v>55</v>
      </c>
      <c r="AQ11" s="314">
        <f t="shared" si="34"/>
        <v>1650.0000000000002</v>
      </c>
      <c r="AR11" s="560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5"/>
        <v>0.8</v>
      </c>
    </row>
    <row r="12" spans="1:52">
      <c r="A12" s="63">
        <f>ELEC!C11</f>
        <v>44477</v>
      </c>
      <c r="B12" s="560">
        <f t="shared" si="12"/>
        <v>157</v>
      </c>
      <c r="C12" s="560">
        <f t="shared" si="13"/>
        <v>164</v>
      </c>
      <c r="D12" s="45">
        <f t="shared" si="36"/>
        <v>0</v>
      </c>
      <c r="E12" s="45">
        <f t="shared" si="14"/>
        <v>0</v>
      </c>
      <c r="F12" s="560">
        <f t="shared" si="15"/>
        <v>1891</v>
      </c>
      <c r="G12" s="52">
        <f t="shared" si="0"/>
        <v>0</v>
      </c>
      <c r="H12" s="560">
        <f t="shared" si="16"/>
        <v>17176</v>
      </c>
      <c r="I12" s="389">
        <f t="shared" si="1"/>
        <v>0</v>
      </c>
      <c r="J12" s="66">
        <f t="shared" si="17"/>
        <v>0</v>
      </c>
      <c r="K12" s="560">
        <f t="shared" si="18"/>
        <v>2356</v>
      </c>
      <c r="L12" s="52">
        <f t="shared" si="19"/>
        <v>0</v>
      </c>
      <c r="M12" s="560">
        <f t="shared" si="20"/>
        <v>173915</v>
      </c>
      <c r="N12" s="389">
        <f t="shared" si="2"/>
        <v>0</v>
      </c>
      <c r="O12" s="64">
        <f t="shared" si="3"/>
        <v>1869</v>
      </c>
      <c r="P12" s="560">
        <f t="shared" si="3"/>
        <v>2129</v>
      </c>
      <c r="Q12" s="560">
        <f t="shared" si="3"/>
        <v>178720</v>
      </c>
      <c r="R12" s="388">
        <f t="shared" si="44"/>
        <v>0</v>
      </c>
      <c r="S12" s="52">
        <f t="shared" si="5"/>
        <v>0</v>
      </c>
      <c r="T12" s="67">
        <f t="shared" si="37"/>
        <v>0</v>
      </c>
      <c r="U12" s="395">
        <f t="shared" si="21"/>
        <v>0</v>
      </c>
      <c r="V12" s="62">
        <f t="shared" si="22"/>
        <v>0</v>
      </c>
      <c r="W12" s="393" t="e">
        <f t="shared" si="23"/>
        <v>#DIV/0!</v>
      </c>
      <c r="X12" s="560">
        <f t="shared" si="24"/>
        <v>2470</v>
      </c>
      <c r="Y12" s="52">
        <f t="shared" si="25"/>
        <v>0</v>
      </c>
      <c r="Z12" s="560">
        <f t="shared" si="26"/>
        <v>139138.1</v>
      </c>
      <c r="AA12" s="65">
        <f t="shared" si="6"/>
        <v>0</v>
      </c>
      <c r="AB12" s="279">
        <f t="shared" si="38"/>
        <v>0</v>
      </c>
      <c r="AC12" s="560">
        <f t="shared" si="27"/>
        <v>1942</v>
      </c>
      <c r="AD12" s="45">
        <f t="shared" si="7"/>
        <v>0</v>
      </c>
      <c r="AE12" s="560">
        <f t="shared" si="28"/>
        <v>366072</v>
      </c>
      <c r="AF12" s="301">
        <f t="shared" si="29"/>
        <v>0</v>
      </c>
      <c r="AG12" s="209">
        <f t="shared" si="39"/>
        <v>0</v>
      </c>
      <c r="AH12" s="62">
        <f t="shared" si="40"/>
        <v>0</v>
      </c>
      <c r="AI12" s="312">
        <f t="shared" si="30"/>
        <v>0</v>
      </c>
      <c r="AJ12" s="312">
        <f>-tanks!AW13</f>
        <v>0</v>
      </c>
      <c r="AK12" s="312">
        <f t="shared" si="31"/>
        <v>0</v>
      </c>
      <c r="AL12" s="312">
        <f t="shared" si="8"/>
        <v>0</v>
      </c>
      <c r="AM12" s="312">
        <f t="shared" si="32"/>
        <v>0</v>
      </c>
      <c r="AN12" s="560">
        <f t="shared" si="9"/>
        <v>65</v>
      </c>
      <c r="AO12" s="314">
        <f t="shared" si="33"/>
        <v>1950</v>
      </c>
      <c r="AP12" s="560">
        <f t="shared" si="10"/>
        <v>55</v>
      </c>
      <c r="AQ12" s="314">
        <f t="shared" si="34"/>
        <v>1650.0000000000002</v>
      </c>
      <c r="AR12" s="560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5"/>
        <v>0.8</v>
      </c>
    </row>
    <row r="13" spans="1:52">
      <c r="A13" s="63">
        <f>ELEC!C12</f>
        <v>44478</v>
      </c>
      <c r="B13" s="560">
        <f t="shared" si="12"/>
        <v>157</v>
      </c>
      <c r="C13" s="560">
        <f t="shared" si="13"/>
        <v>164</v>
      </c>
      <c r="D13" s="45">
        <f t="shared" si="36"/>
        <v>0</v>
      </c>
      <c r="E13" s="45">
        <f t="shared" si="14"/>
        <v>0</v>
      </c>
      <c r="F13" s="560">
        <f t="shared" si="15"/>
        <v>1891</v>
      </c>
      <c r="G13" s="52">
        <f t="shared" si="0"/>
        <v>0</v>
      </c>
      <c r="H13" s="560">
        <f t="shared" si="16"/>
        <v>17176</v>
      </c>
      <c r="I13" s="389">
        <f t="shared" si="1"/>
        <v>0</v>
      </c>
      <c r="J13" s="66">
        <f t="shared" si="17"/>
        <v>0</v>
      </c>
      <c r="K13" s="560">
        <f t="shared" si="18"/>
        <v>2356</v>
      </c>
      <c r="L13" s="52">
        <f t="shared" si="19"/>
        <v>0</v>
      </c>
      <c r="M13" s="560">
        <f t="shared" si="20"/>
        <v>173915</v>
      </c>
      <c r="N13" s="389">
        <f t="shared" si="2"/>
        <v>0</v>
      </c>
      <c r="O13" s="64">
        <f t="shared" si="3"/>
        <v>1869</v>
      </c>
      <c r="P13" s="560">
        <f t="shared" si="3"/>
        <v>2129</v>
      </c>
      <c r="Q13" s="560">
        <f t="shared" si="3"/>
        <v>178720</v>
      </c>
      <c r="R13" s="388">
        <f t="shared" si="44"/>
        <v>0</v>
      </c>
      <c r="S13" s="52">
        <f t="shared" si="5"/>
        <v>0</v>
      </c>
      <c r="T13" s="67">
        <f t="shared" si="37"/>
        <v>0</v>
      </c>
      <c r="U13" s="395">
        <f t="shared" si="21"/>
        <v>0</v>
      </c>
      <c r="V13" s="62">
        <f>R13+N13+I13:I13</f>
        <v>0</v>
      </c>
      <c r="W13" s="393" t="e">
        <f t="shared" si="23"/>
        <v>#DIV/0!</v>
      </c>
      <c r="X13" s="560">
        <f t="shared" si="24"/>
        <v>2470</v>
      </c>
      <c r="Y13" s="52">
        <f t="shared" si="25"/>
        <v>0</v>
      </c>
      <c r="Z13" s="560">
        <f t="shared" si="26"/>
        <v>139138.1</v>
      </c>
      <c r="AA13" s="279">
        <f t="shared" si="6"/>
        <v>0</v>
      </c>
      <c r="AB13" s="279">
        <f t="shared" si="38"/>
        <v>0</v>
      </c>
      <c r="AC13" s="560">
        <f t="shared" si="27"/>
        <v>1942</v>
      </c>
      <c r="AD13" s="45">
        <f t="shared" si="7"/>
        <v>0</v>
      </c>
      <c r="AE13" s="560">
        <f t="shared" si="28"/>
        <v>366072</v>
      </c>
      <c r="AF13" s="301">
        <f t="shared" si="29"/>
        <v>0</v>
      </c>
      <c r="AG13" s="209">
        <f t="shared" si="39"/>
        <v>0</v>
      </c>
      <c r="AH13" s="62">
        <f t="shared" si="40"/>
        <v>0</v>
      </c>
      <c r="AI13" s="312">
        <f t="shared" si="30"/>
        <v>0</v>
      </c>
      <c r="AJ13" s="312">
        <f>-tanks!AW14</f>
        <v>0</v>
      </c>
      <c r="AK13" s="312">
        <f t="shared" si="31"/>
        <v>0</v>
      </c>
      <c r="AL13" s="312">
        <f t="shared" si="8"/>
        <v>0</v>
      </c>
      <c r="AM13" s="312">
        <f t="shared" si="32"/>
        <v>0</v>
      </c>
      <c r="AN13" s="560">
        <f t="shared" si="9"/>
        <v>65</v>
      </c>
      <c r="AO13" s="314">
        <f t="shared" si="33"/>
        <v>1950</v>
      </c>
      <c r="AP13" s="560">
        <f t="shared" si="10"/>
        <v>55</v>
      </c>
      <c r="AQ13" s="314">
        <f t="shared" si="34"/>
        <v>1650.0000000000002</v>
      </c>
      <c r="AR13" s="560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5"/>
        <v>0.8</v>
      </c>
    </row>
    <row r="14" spans="1:52">
      <c r="A14" s="63">
        <f>ELEC!C13</f>
        <v>44479</v>
      </c>
      <c r="B14" s="560">
        <f t="shared" si="12"/>
        <v>157</v>
      </c>
      <c r="C14" s="560">
        <f t="shared" si="13"/>
        <v>164</v>
      </c>
      <c r="D14" s="45">
        <f t="shared" si="36"/>
        <v>0</v>
      </c>
      <c r="E14" s="45">
        <f t="shared" si="14"/>
        <v>0</v>
      </c>
      <c r="F14" s="560">
        <f t="shared" si="15"/>
        <v>1891</v>
      </c>
      <c r="G14" s="52">
        <f t="shared" si="0"/>
        <v>0</v>
      </c>
      <c r="H14" s="560">
        <f t="shared" si="16"/>
        <v>17176</v>
      </c>
      <c r="I14" s="389">
        <f t="shared" si="1"/>
        <v>0</v>
      </c>
      <c r="J14" s="66">
        <f t="shared" si="17"/>
        <v>0</v>
      </c>
      <c r="K14" s="560">
        <f t="shared" si="18"/>
        <v>2356</v>
      </c>
      <c r="L14" s="52">
        <f t="shared" si="19"/>
        <v>0</v>
      </c>
      <c r="M14" s="560">
        <f t="shared" si="20"/>
        <v>173915</v>
      </c>
      <c r="N14" s="389">
        <f t="shared" si="2"/>
        <v>0</v>
      </c>
      <c r="O14" s="64">
        <f t="shared" si="3"/>
        <v>1869</v>
      </c>
      <c r="P14" s="560">
        <f t="shared" si="3"/>
        <v>2129</v>
      </c>
      <c r="Q14" s="560">
        <f t="shared" si="3"/>
        <v>178720</v>
      </c>
      <c r="R14" s="388">
        <f t="shared" si="44"/>
        <v>0</v>
      </c>
      <c r="S14" s="52">
        <f t="shared" si="5"/>
        <v>0</v>
      </c>
      <c r="T14" s="67">
        <f t="shared" si="37"/>
        <v>0</v>
      </c>
      <c r="U14" s="395">
        <f t="shared" si="21"/>
        <v>0</v>
      </c>
      <c r="V14" s="62">
        <f t="shared" si="22"/>
        <v>0</v>
      </c>
      <c r="W14" s="393" t="e">
        <f t="shared" si="23"/>
        <v>#DIV/0!</v>
      </c>
      <c r="X14" s="560">
        <f t="shared" si="24"/>
        <v>2470</v>
      </c>
      <c r="Y14" s="52">
        <f t="shared" si="25"/>
        <v>0</v>
      </c>
      <c r="Z14" s="560">
        <f t="shared" si="26"/>
        <v>139138.1</v>
      </c>
      <c r="AA14" s="65">
        <f t="shared" si="6"/>
        <v>0</v>
      </c>
      <c r="AB14" s="279">
        <f t="shared" si="38"/>
        <v>0</v>
      </c>
      <c r="AC14" s="560">
        <f t="shared" si="27"/>
        <v>1942</v>
      </c>
      <c r="AD14" s="45">
        <f t="shared" si="7"/>
        <v>0</v>
      </c>
      <c r="AE14" s="560">
        <f t="shared" si="28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31"/>
        <v>0</v>
      </c>
      <c r="AL14" s="312">
        <f t="shared" si="8"/>
        <v>0</v>
      </c>
      <c r="AM14" s="312">
        <f t="shared" si="32"/>
        <v>0</v>
      </c>
      <c r="AN14" s="560">
        <f t="shared" si="9"/>
        <v>65</v>
      </c>
      <c r="AO14" s="314">
        <f t="shared" si="33"/>
        <v>1950</v>
      </c>
      <c r="AP14" s="560">
        <f t="shared" si="10"/>
        <v>55</v>
      </c>
      <c r="AQ14" s="314">
        <f t="shared" si="34"/>
        <v>1650.0000000000002</v>
      </c>
      <c r="AR14" s="560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5"/>
        <v>0.8</v>
      </c>
    </row>
    <row r="15" spans="1:52" ht="15" customHeight="1">
      <c r="A15" s="63">
        <f>ELEC!C14</f>
        <v>44480</v>
      </c>
      <c r="B15" s="560">
        <f t="shared" si="12"/>
        <v>157</v>
      </c>
      <c r="C15" s="560">
        <f t="shared" si="13"/>
        <v>164</v>
      </c>
      <c r="D15" s="45">
        <f t="shared" si="36"/>
        <v>0</v>
      </c>
      <c r="E15" s="45">
        <f t="shared" si="14"/>
        <v>0</v>
      </c>
      <c r="F15" s="560">
        <f t="shared" si="15"/>
        <v>1891</v>
      </c>
      <c r="G15" s="52">
        <f t="shared" si="0"/>
        <v>0</v>
      </c>
      <c r="H15" s="560">
        <f t="shared" si="16"/>
        <v>17176</v>
      </c>
      <c r="I15" s="389">
        <f t="shared" si="1"/>
        <v>0</v>
      </c>
      <c r="J15" s="66">
        <f t="shared" si="17"/>
        <v>0</v>
      </c>
      <c r="K15" s="560">
        <f t="shared" si="18"/>
        <v>2356</v>
      </c>
      <c r="L15" s="52">
        <f t="shared" si="19"/>
        <v>0</v>
      </c>
      <c r="M15" s="560">
        <f t="shared" si="20"/>
        <v>173915</v>
      </c>
      <c r="N15" s="389">
        <f t="shared" si="2"/>
        <v>0</v>
      </c>
      <c r="O15" s="64">
        <f t="shared" si="3"/>
        <v>1869</v>
      </c>
      <c r="P15" s="560">
        <f t="shared" si="3"/>
        <v>2129</v>
      </c>
      <c r="Q15" s="560">
        <f t="shared" si="3"/>
        <v>178720</v>
      </c>
      <c r="R15" s="388">
        <f t="shared" si="44"/>
        <v>0</v>
      </c>
      <c r="S15" s="52">
        <f t="shared" si="5"/>
        <v>0</v>
      </c>
      <c r="T15" s="67">
        <f t="shared" si="37"/>
        <v>0</v>
      </c>
      <c r="U15" s="395">
        <f t="shared" si="21"/>
        <v>0</v>
      </c>
      <c r="V15" s="62">
        <f t="shared" si="22"/>
        <v>0</v>
      </c>
      <c r="W15" s="393" t="e">
        <f t="shared" si="23"/>
        <v>#DIV/0!</v>
      </c>
      <c r="X15" s="560">
        <f t="shared" si="24"/>
        <v>2470</v>
      </c>
      <c r="Y15" s="52">
        <f t="shared" si="25"/>
        <v>0</v>
      </c>
      <c r="Z15" s="560">
        <f t="shared" si="26"/>
        <v>139138.1</v>
      </c>
      <c r="AA15" s="65">
        <f t="shared" si="6"/>
        <v>0</v>
      </c>
      <c r="AB15" s="279">
        <f t="shared" si="38"/>
        <v>0</v>
      </c>
      <c r="AC15" s="560">
        <f t="shared" si="27"/>
        <v>1942</v>
      </c>
      <c r="AD15" s="45">
        <f t="shared" si="7"/>
        <v>0</v>
      </c>
      <c r="AE15" s="560">
        <f t="shared" si="28"/>
        <v>366072</v>
      </c>
      <c r="AF15" s="301">
        <f t="shared" si="29"/>
        <v>0</v>
      </c>
      <c r="AG15" s="209">
        <f t="shared" si="39"/>
        <v>0</v>
      </c>
      <c r="AH15" s="62">
        <f t="shared" si="40"/>
        <v>0</v>
      </c>
      <c r="AI15" s="312">
        <f t="shared" si="30"/>
        <v>0</v>
      </c>
      <c r="AJ15" s="312">
        <f>-tanks!AW16</f>
        <v>0</v>
      </c>
      <c r="AK15" s="312">
        <f t="shared" si="31"/>
        <v>0</v>
      </c>
      <c r="AL15" s="312">
        <f t="shared" si="8"/>
        <v>0</v>
      </c>
      <c r="AM15" s="312">
        <f t="shared" si="32"/>
        <v>0</v>
      </c>
      <c r="AN15" s="560">
        <f t="shared" si="9"/>
        <v>65</v>
      </c>
      <c r="AO15" s="314">
        <f t="shared" si="33"/>
        <v>1950</v>
      </c>
      <c r="AP15" s="560">
        <f t="shared" si="10"/>
        <v>55</v>
      </c>
      <c r="AQ15" s="314">
        <f t="shared" si="34"/>
        <v>1650.0000000000002</v>
      </c>
      <c r="AR15" s="560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5"/>
        <v>0.8</v>
      </c>
    </row>
    <row r="16" spans="1:52">
      <c r="A16" s="63">
        <f>ELEC!C15</f>
        <v>44481</v>
      </c>
      <c r="B16" s="560">
        <f t="shared" si="12"/>
        <v>157</v>
      </c>
      <c r="C16" s="560">
        <f t="shared" si="13"/>
        <v>164</v>
      </c>
      <c r="D16" s="45">
        <f t="shared" si="36"/>
        <v>0</v>
      </c>
      <c r="E16" s="45">
        <f t="shared" si="14"/>
        <v>0</v>
      </c>
      <c r="F16" s="560">
        <f t="shared" si="15"/>
        <v>1891</v>
      </c>
      <c r="G16" s="52">
        <f t="shared" si="0"/>
        <v>0</v>
      </c>
      <c r="H16" s="560">
        <f t="shared" si="16"/>
        <v>17176</v>
      </c>
      <c r="I16" s="389">
        <f t="shared" si="1"/>
        <v>0</v>
      </c>
      <c r="J16" s="66">
        <f t="shared" si="17"/>
        <v>0</v>
      </c>
      <c r="K16" s="560">
        <f t="shared" si="18"/>
        <v>2356</v>
      </c>
      <c r="L16" s="52">
        <f t="shared" si="19"/>
        <v>0</v>
      </c>
      <c r="M16" s="560">
        <f t="shared" si="20"/>
        <v>173915</v>
      </c>
      <c r="N16" s="389">
        <f t="shared" si="2"/>
        <v>0</v>
      </c>
      <c r="O16" s="64">
        <f t="shared" si="3"/>
        <v>1869</v>
      </c>
      <c r="P16" s="560">
        <f t="shared" si="3"/>
        <v>2129</v>
      </c>
      <c r="Q16" s="560">
        <f t="shared" si="3"/>
        <v>178720</v>
      </c>
      <c r="R16" s="388">
        <f t="shared" si="44"/>
        <v>0</v>
      </c>
      <c r="S16" s="52">
        <f t="shared" si="5"/>
        <v>0</v>
      </c>
      <c r="T16" s="67">
        <f t="shared" si="37"/>
        <v>0</v>
      </c>
      <c r="U16" s="395">
        <f t="shared" si="21"/>
        <v>0</v>
      </c>
      <c r="V16" s="62">
        <f t="shared" si="22"/>
        <v>0</v>
      </c>
      <c r="W16" s="393" t="e">
        <f t="shared" si="23"/>
        <v>#DIV/0!</v>
      </c>
      <c r="X16" s="560">
        <f t="shared" si="24"/>
        <v>2470</v>
      </c>
      <c r="Y16" s="52">
        <f t="shared" si="25"/>
        <v>0</v>
      </c>
      <c r="Z16" s="560">
        <f t="shared" si="26"/>
        <v>139138.1</v>
      </c>
      <c r="AA16" s="65">
        <f t="shared" si="6"/>
        <v>0</v>
      </c>
      <c r="AB16" s="279">
        <f t="shared" si="38"/>
        <v>0</v>
      </c>
      <c r="AC16" s="560">
        <f t="shared" si="27"/>
        <v>1942</v>
      </c>
      <c r="AD16" s="45">
        <f t="shared" si="7"/>
        <v>0</v>
      </c>
      <c r="AE16" s="560">
        <f t="shared" si="28"/>
        <v>366072</v>
      </c>
      <c r="AF16" s="301">
        <f t="shared" si="29"/>
        <v>0</v>
      </c>
      <c r="AG16" s="209">
        <f t="shared" si="39"/>
        <v>0</v>
      </c>
      <c r="AH16" s="62">
        <f t="shared" si="40"/>
        <v>0</v>
      </c>
      <c r="AI16" s="312">
        <f t="shared" si="30"/>
        <v>0</v>
      </c>
      <c r="AJ16" s="312">
        <f>-tanks!AW17</f>
        <v>0</v>
      </c>
      <c r="AK16" s="312">
        <f t="shared" si="31"/>
        <v>0</v>
      </c>
      <c r="AL16" s="312">
        <f t="shared" si="8"/>
        <v>0</v>
      </c>
      <c r="AM16" s="312">
        <f t="shared" si="32"/>
        <v>0</v>
      </c>
      <c r="AN16" s="560">
        <f t="shared" si="9"/>
        <v>65</v>
      </c>
      <c r="AO16" s="314">
        <f t="shared" si="33"/>
        <v>1950</v>
      </c>
      <c r="AP16" s="560">
        <f t="shared" si="10"/>
        <v>55</v>
      </c>
      <c r="AQ16" s="314">
        <f t="shared" si="34"/>
        <v>1650.0000000000002</v>
      </c>
      <c r="AR16" s="560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5"/>
        <v>0.8</v>
      </c>
    </row>
    <row r="17" spans="1:50">
      <c r="A17" s="63">
        <f>ELEC!C16</f>
        <v>44482</v>
      </c>
      <c r="B17" s="560">
        <f t="shared" si="12"/>
        <v>157</v>
      </c>
      <c r="C17" s="560">
        <f t="shared" si="13"/>
        <v>164</v>
      </c>
      <c r="D17" s="45">
        <f t="shared" si="36"/>
        <v>0</v>
      </c>
      <c r="E17" s="45">
        <f t="shared" si="14"/>
        <v>0</v>
      </c>
      <c r="F17" s="560">
        <f t="shared" si="15"/>
        <v>1891</v>
      </c>
      <c r="G17" s="52">
        <f t="shared" si="0"/>
        <v>0</v>
      </c>
      <c r="H17" s="560">
        <f t="shared" si="16"/>
        <v>17176</v>
      </c>
      <c r="I17" s="389">
        <f t="shared" si="1"/>
        <v>0</v>
      </c>
      <c r="J17" s="66">
        <f t="shared" si="17"/>
        <v>0</v>
      </c>
      <c r="K17" s="560">
        <f t="shared" si="18"/>
        <v>2356</v>
      </c>
      <c r="L17" s="52">
        <f t="shared" si="19"/>
        <v>0</v>
      </c>
      <c r="M17" s="560">
        <f t="shared" si="20"/>
        <v>173915</v>
      </c>
      <c r="N17" s="389">
        <f t="shared" si="2"/>
        <v>0</v>
      </c>
      <c r="O17" s="64">
        <f t="shared" si="3"/>
        <v>1869</v>
      </c>
      <c r="P17" s="560">
        <f t="shared" si="3"/>
        <v>2129</v>
      </c>
      <c r="Q17" s="560">
        <f t="shared" si="3"/>
        <v>178720</v>
      </c>
      <c r="R17" s="388">
        <f t="shared" si="44"/>
        <v>0</v>
      </c>
      <c r="S17" s="52">
        <f t="shared" si="5"/>
        <v>0</v>
      </c>
      <c r="T17" s="67">
        <f t="shared" si="37"/>
        <v>0</v>
      </c>
      <c r="U17" s="395">
        <f t="shared" si="21"/>
        <v>0</v>
      </c>
      <c r="V17" s="62">
        <f t="shared" si="22"/>
        <v>0</v>
      </c>
      <c r="W17" s="393"/>
      <c r="X17" s="560">
        <f t="shared" si="24"/>
        <v>2470</v>
      </c>
      <c r="Y17" s="52">
        <f t="shared" si="25"/>
        <v>0</v>
      </c>
      <c r="Z17" s="560">
        <f t="shared" si="26"/>
        <v>139138.1</v>
      </c>
      <c r="AA17" s="65">
        <f t="shared" si="6"/>
        <v>0</v>
      </c>
      <c r="AB17" s="279">
        <f t="shared" si="38"/>
        <v>0</v>
      </c>
      <c r="AC17" s="560">
        <f t="shared" si="27"/>
        <v>1942</v>
      </c>
      <c r="AD17" s="45">
        <f t="shared" si="7"/>
        <v>0</v>
      </c>
      <c r="AE17" s="560">
        <f t="shared" si="28"/>
        <v>366072</v>
      </c>
      <c r="AF17" s="301">
        <f t="shared" si="29"/>
        <v>0</v>
      </c>
      <c r="AG17" s="209">
        <f t="shared" si="39"/>
        <v>0</v>
      </c>
      <c r="AH17" s="62">
        <f t="shared" si="40"/>
        <v>0</v>
      </c>
      <c r="AI17" s="312">
        <f t="shared" si="30"/>
        <v>0</v>
      </c>
      <c r="AJ17" s="312">
        <f>-tanks!AW18</f>
        <v>0</v>
      </c>
      <c r="AK17" s="312">
        <f t="shared" si="31"/>
        <v>0</v>
      </c>
      <c r="AL17" s="312">
        <f t="shared" si="8"/>
        <v>0</v>
      </c>
      <c r="AM17" s="312">
        <f t="shared" si="32"/>
        <v>0</v>
      </c>
      <c r="AN17" s="560">
        <f t="shared" si="9"/>
        <v>65</v>
      </c>
      <c r="AO17" s="314">
        <f t="shared" si="33"/>
        <v>1950</v>
      </c>
      <c r="AP17" s="560">
        <f t="shared" si="10"/>
        <v>55</v>
      </c>
      <c r="AQ17" s="314">
        <f t="shared" si="34"/>
        <v>1650.0000000000002</v>
      </c>
      <c r="AR17" s="560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5"/>
        <v>0.8</v>
      </c>
    </row>
    <row r="18" spans="1:50">
      <c r="A18" s="63">
        <f>ELEC!C17</f>
        <v>44483</v>
      </c>
      <c r="B18" s="560">
        <f t="shared" si="12"/>
        <v>157</v>
      </c>
      <c r="C18" s="560">
        <f t="shared" si="13"/>
        <v>164</v>
      </c>
      <c r="D18" s="45">
        <f t="shared" si="36"/>
        <v>0</v>
      </c>
      <c r="E18" s="45">
        <f t="shared" si="14"/>
        <v>0</v>
      </c>
      <c r="F18" s="560">
        <f t="shared" si="15"/>
        <v>1891</v>
      </c>
      <c r="G18" s="52">
        <f t="shared" si="0"/>
        <v>0</v>
      </c>
      <c r="H18" s="560">
        <f t="shared" si="16"/>
        <v>17176</v>
      </c>
      <c r="I18" s="389">
        <f t="shared" si="1"/>
        <v>0</v>
      </c>
      <c r="J18" s="66">
        <f t="shared" si="17"/>
        <v>0</v>
      </c>
      <c r="K18" s="560">
        <f t="shared" si="18"/>
        <v>2356</v>
      </c>
      <c r="L18" s="52">
        <f t="shared" si="19"/>
        <v>0</v>
      </c>
      <c r="M18" s="560">
        <f t="shared" si="20"/>
        <v>173915</v>
      </c>
      <c r="N18" s="389">
        <f t="shared" si="2"/>
        <v>0</v>
      </c>
      <c r="O18" s="64">
        <v>1869</v>
      </c>
      <c r="P18" s="560">
        <f t="shared" ref="P18:P35" si="45">P17</f>
        <v>2129</v>
      </c>
      <c r="Q18" s="560">
        <f t="shared" ref="Q18:Q35" si="46">Q17</f>
        <v>178720</v>
      </c>
      <c r="R18" s="388">
        <f t="shared" si="44"/>
        <v>0</v>
      </c>
      <c r="S18" s="52">
        <f t="shared" si="5"/>
        <v>0</v>
      </c>
      <c r="T18" s="67">
        <f t="shared" si="37"/>
        <v>0</v>
      </c>
      <c r="U18" s="395">
        <f t="shared" si="21"/>
        <v>0</v>
      </c>
      <c r="V18" s="62">
        <f t="shared" si="22"/>
        <v>0</v>
      </c>
      <c r="W18" s="393"/>
      <c r="X18" s="560">
        <f t="shared" si="24"/>
        <v>2470</v>
      </c>
      <c r="Y18" s="52">
        <f t="shared" si="25"/>
        <v>0</v>
      </c>
      <c r="Z18" s="560">
        <f t="shared" si="26"/>
        <v>139138.1</v>
      </c>
      <c r="AA18" s="65">
        <f t="shared" si="6"/>
        <v>0</v>
      </c>
      <c r="AB18" s="279">
        <f t="shared" ref="AB18:AB23" si="47">SUM(Y18*$AB$2)</f>
        <v>0</v>
      </c>
      <c r="AC18" s="560">
        <f t="shared" si="27"/>
        <v>1942</v>
      </c>
      <c r="AD18" s="45">
        <f t="shared" si="7"/>
        <v>0</v>
      </c>
      <c r="AE18" s="560">
        <f t="shared" si="28"/>
        <v>366072</v>
      </c>
      <c r="AF18" s="301">
        <f t="shared" si="29"/>
        <v>0</v>
      </c>
      <c r="AG18" s="209">
        <f t="shared" si="39"/>
        <v>0</v>
      </c>
      <c r="AH18" s="62">
        <f t="shared" si="40"/>
        <v>0</v>
      </c>
      <c r="AI18" s="312">
        <f t="shared" si="30"/>
        <v>0</v>
      </c>
      <c r="AJ18" s="312">
        <f>-tanks!AW19</f>
        <v>0</v>
      </c>
      <c r="AK18" s="312">
        <f t="shared" si="31"/>
        <v>0</v>
      </c>
      <c r="AL18" s="312">
        <f t="shared" si="8"/>
        <v>0</v>
      </c>
      <c r="AM18" s="312">
        <f t="shared" si="32"/>
        <v>0</v>
      </c>
      <c r="AN18" s="560">
        <f t="shared" si="9"/>
        <v>65</v>
      </c>
      <c r="AO18" s="314">
        <f t="shared" si="33"/>
        <v>1950</v>
      </c>
      <c r="AP18" s="560">
        <f t="shared" si="10"/>
        <v>55</v>
      </c>
      <c r="AQ18" s="314">
        <f t="shared" si="34"/>
        <v>1650.0000000000002</v>
      </c>
      <c r="AR18" s="560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5"/>
        <v>0.8</v>
      </c>
    </row>
    <row r="19" spans="1:50">
      <c r="A19" s="63">
        <f>ELEC!C18</f>
        <v>44484</v>
      </c>
      <c r="B19" s="560">
        <f t="shared" si="12"/>
        <v>157</v>
      </c>
      <c r="C19" s="560">
        <f t="shared" si="13"/>
        <v>164</v>
      </c>
      <c r="D19" s="45">
        <f t="shared" si="36"/>
        <v>0</v>
      </c>
      <c r="E19" s="45">
        <f t="shared" si="14"/>
        <v>0</v>
      </c>
      <c r="F19" s="560">
        <f t="shared" si="15"/>
        <v>1891</v>
      </c>
      <c r="G19" s="52">
        <f t="shared" si="0"/>
        <v>0</v>
      </c>
      <c r="H19" s="560">
        <f t="shared" si="16"/>
        <v>17176</v>
      </c>
      <c r="I19" s="389">
        <f t="shared" si="1"/>
        <v>0</v>
      </c>
      <c r="J19" s="66">
        <f t="shared" si="17"/>
        <v>0</v>
      </c>
      <c r="K19" s="560">
        <f t="shared" si="18"/>
        <v>2356</v>
      </c>
      <c r="L19" s="52">
        <f t="shared" si="19"/>
        <v>0</v>
      </c>
      <c r="M19" s="560">
        <f t="shared" si="20"/>
        <v>173915</v>
      </c>
      <c r="N19" s="389">
        <f t="shared" si="2"/>
        <v>0</v>
      </c>
      <c r="O19" s="64">
        <f t="shared" ref="O19:O35" si="48">O18</f>
        <v>1869</v>
      </c>
      <c r="P19" s="560">
        <f t="shared" si="45"/>
        <v>2129</v>
      </c>
      <c r="Q19" s="560">
        <f t="shared" si="46"/>
        <v>178720</v>
      </c>
      <c r="R19" s="388">
        <f t="shared" si="44"/>
        <v>0</v>
      </c>
      <c r="S19" s="52">
        <f t="shared" si="5"/>
        <v>0</v>
      </c>
      <c r="T19" s="67">
        <f t="shared" si="37"/>
        <v>0</v>
      </c>
      <c r="U19" s="395">
        <f t="shared" si="21"/>
        <v>0</v>
      </c>
      <c r="V19" s="62">
        <f t="shared" si="22"/>
        <v>0</v>
      </c>
      <c r="W19" s="393"/>
      <c r="X19" s="560">
        <f t="shared" si="24"/>
        <v>2470</v>
      </c>
      <c r="Y19" s="52">
        <f t="shared" si="25"/>
        <v>0</v>
      </c>
      <c r="Z19" s="560">
        <f t="shared" si="26"/>
        <v>139138.1</v>
      </c>
      <c r="AA19" s="65">
        <f t="shared" si="6"/>
        <v>0</v>
      </c>
      <c r="AB19" s="279">
        <f t="shared" si="47"/>
        <v>0</v>
      </c>
      <c r="AC19" s="560">
        <f t="shared" si="27"/>
        <v>1942</v>
      </c>
      <c r="AD19" s="45">
        <f t="shared" si="7"/>
        <v>0</v>
      </c>
      <c r="AE19" s="560">
        <f t="shared" si="28"/>
        <v>366072</v>
      </c>
      <c r="AF19" s="301">
        <f t="shared" si="29"/>
        <v>0</v>
      </c>
      <c r="AG19" s="209">
        <f t="shared" si="39"/>
        <v>0</v>
      </c>
      <c r="AH19" s="62">
        <f t="shared" si="40"/>
        <v>0</v>
      </c>
      <c r="AI19" s="312">
        <f t="shared" si="30"/>
        <v>0</v>
      </c>
      <c r="AJ19" s="312">
        <f>-tanks!AW20</f>
        <v>0</v>
      </c>
      <c r="AK19" s="312">
        <f t="shared" si="31"/>
        <v>0</v>
      </c>
      <c r="AL19" s="312">
        <f t="shared" si="8"/>
        <v>0</v>
      </c>
      <c r="AM19" s="312">
        <f t="shared" si="32"/>
        <v>0</v>
      </c>
      <c r="AN19" s="560">
        <f t="shared" si="9"/>
        <v>65</v>
      </c>
      <c r="AO19" s="314">
        <f t="shared" si="33"/>
        <v>1950</v>
      </c>
      <c r="AP19" s="560">
        <f t="shared" si="10"/>
        <v>55</v>
      </c>
      <c r="AQ19" s="314">
        <f t="shared" si="34"/>
        <v>1650.0000000000002</v>
      </c>
      <c r="AR19" s="560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5"/>
        <v>0.8</v>
      </c>
    </row>
    <row r="20" spans="1:50">
      <c r="A20" s="63">
        <f>ELEC!C19</f>
        <v>44485</v>
      </c>
      <c r="B20" s="560">
        <f t="shared" si="12"/>
        <v>157</v>
      </c>
      <c r="C20" s="560">
        <f t="shared" si="13"/>
        <v>164</v>
      </c>
      <c r="D20" s="45">
        <f>C19-C20</f>
        <v>0</v>
      </c>
      <c r="E20" s="45">
        <f t="shared" si="14"/>
        <v>0</v>
      </c>
      <c r="F20" s="560">
        <f t="shared" si="15"/>
        <v>1891</v>
      </c>
      <c r="G20" s="52">
        <f t="shared" si="0"/>
        <v>0</v>
      </c>
      <c r="H20" s="560">
        <f t="shared" si="16"/>
        <v>17176</v>
      </c>
      <c r="I20" s="389">
        <f t="shared" si="1"/>
        <v>0</v>
      </c>
      <c r="J20" s="66">
        <f t="shared" si="17"/>
        <v>0</v>
      </c>
      <c r="K20" s="560">
        <f t="shared" si="18"/>
        <v>2356</v>
      </c>
      <c r="L20" s="52">
        <f t="shared" si="19"/>
        <v>0</v>
      </c>
      <c r="M20" s="560">
        <f t="shared" si="20"/>
        <v>173915</v>
      </c>
      <c r="N20" s="389">
        <f t="shared" si="2"/>
        <v>0</v>
      </c>
      <c r="O20" s="64">
        <f t="shared" si="48"/>
        <v>1869</v>
      </c>
      <c r="P20" s="560">
        <f t="shared" si="45"/>
        <v>2129</v>
      </c>
      <c r="Q20" s="560">
        <f t="shared" si="46"/>
        <v>178720</v>
      </c>
      <c r="R20" s="388">
        <f t="shared" si="44"/>
        <v>0</v>
      </c>
      <c r="S20" s="52">
        <f t="shared" si="5"/>
        <v>0</v>
      </c>
      <c r="T20" s="67">
        <f t="shared" si="37"/>
        <v>0</v>
      </c>
      <c r="U20" s="395">
        <f t="shared" si="21"/>
        <v>0</v>
      </c>
      <c r="V20" s="62">
        <f t="shared" si="22"/>
        <v>0</v>
      </c>
      <c r="W20" s="393"/>
      <c r="X20" s="560">
        <f t="shared" si="24"/>
        <v>2470</v>
      </c>
      <c r="Y20" s="52">
        <f t="shared" si="25"/>
        <v>0</v>
      </c>
      <c r="Z20" s="560">
        <f t="shared" si="26"/>
        <v>139138.1</v>
      </c>
      <c r="AA20" s="65">
        <f t="shared" si="6"/>
        <v>0</v>
      </c>
      <c r="AB20" s="279">
        <f t="shared" si="47"/>
        <v>0</v>
      </c>
      <c r="AC20" s="560">
        <f t="shared" si="27"/>
        <v>1942</v>
      </c>
      <c r="AD20" s="45">
        <f t="shared" si="7"/>
        <v>0</v>
      </c>
      <c r="AE20" s="560">
        <f t="shared" si="28"/>
        <v>366072</v>
      </c>
      <c r="AF20" s="301">
        <f t="shared" si="29"/>
        <v>0</v>
      </c>
      <c r="AG20" s="209">
        <f t="shared" si="39"/>
        <v>0</v>
      </c>
      <c r="AH20" s="62">
        <f t="shared" si="40"/>
        <v>0</v>
      </c>
      <c r="AI20" s="312">
        <f t="shared" si="30"/>
        <v>0</v>
      </c>
      <c r="AJ20" s="312">
        <f>-tanks!AW21</f>
        <v>0</v>
      </c>
      <c r="AK20" s="312">
        <f t="shared" si="31"/>
        <v>0</v>
      </c>
      <c r="AL20" s="312">
        <f t="shared" si="8"/>
        <v>0</v>
      </c>
      <c r="AM20" s="312">
        <f t="shared" si="32"/>
        <v>0</v>
      </c>
      <c r="AN20" s="560">
        <f t="shared" si="9"/>
        <v>65</v>
      </c>
      <c r="AO20" s="314">
        <f t="shared" si="33"/>
        <v>1950</v>
      </c>
      <c r="AP20" s="560">
        <f t="shared" si="10"/>
        <v>55</v>
      </c>
      <c r="AQ20" s="314">
        <f t="shared" si="34"/>
        <v>1650.0000000000002</v>
      </c>
      <c r="AR20" s="560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5"/>
        <v>0.8</v>
      </c>
    </row>
    <row r="21" spans="1:50">
      <c r="A21" s="63">
        <f>ELEC!C20</f>
        <v>44486</v>
      </c>
      <c r="B21" s="560">
        <f t="shared" si="12"/>
        <v>157</v>
      </c>
      <c r="C21" s="560">
        <f t="shared" si="13"/>
        <v>164</v>
      </c>
      <c r="D21" s="45">
        <f t="shared" ref="D21:D32" si="49">C20-C21</f>
        <v>0</v>
      </c>
      <c r="E21" s="45">
        <f t="shared" si="14"/>
        <v>0</v>
      </c>
      <c r="F21" s="560">
        <f t="shared" si="15"/>
        <v>1891</v>
      </c>
      <c r="G21" s="52">
        <f t="shared" si="0"/>
        <v>0</v>
      </c>
      <c r="H21" s="560">
        <f t="shared" si="16"/>
        <v>17176</v>
      </c>
      <c r="I21" s="389">
        <f t="shared" si="1"/>
        <v>0</v>
      </c>
      <c r="J21" s="66">
        <f t="shared" si="17"/>
        <v>0</v>
      </c>
      <c r="K21" s="560">
        <f t="shared" si="18"/>
        <v>2356</v>
      </c>
      <c r="L21" s="52">
        <f t="shared" si="19"/>
        <v>0</v>
      </c>
      <c r="M21" s="560">
        <f t="shared" si="20"/>
        <v>173915</v>
      </c>
      <c r="N21" s="389">
        <f t="shared" si="2"/>
        <v>0</v>
      </c>
      <c r="O21" s="64">
        <f t="shared" si="48"/>
        <v>1869</v>
      </c>
      <c r="P21" s="560">
        <f t="shared" si="45"/>
        <v>2129</v>
      </c>
      <c r="Q21" s="560">
        <f t="shared" si="46"/>
        <v>178720</v>
      </c>
      <c r="R21" s="388">
        <f t="shared" si="44"/>
        <v>0</v>
      </c>
      <c r="S21" s="52">
        <f t="shared" si="5"/>
        <v>0</v>
      </c>
      <c r="T21" s="67">
        <f t="shared" si="37"/>
        <v>0</v>
      </c>
      <c r="U21" s="395">
        <f t="shared" si="21"/>
        <v>0</v>
      </c>
      <c r="V21" s="62">
        <f t="shared" si="22"/>
        <v>0</v>
      </c>
      <c r="W21" s="393"/>
      <c r="X21" s="560">
        <f t="shared" si="24"/>
        <v>2470</v>
      </c>
      <c r="Y21" s="52">
        <f t="shared" si="25"/>
        <v>0</v>
      </c>
      <c r="Z21" s="560">
        <f t="shared" si="26"/>
        <v>139138.1</v>
      </c>
      <c r="AA21" s="65">
        <f t="shared" si="6"/>
        <v>0</v>
      </c>
      <c r="AB21" s="279">
        <f t="shared" si="47"/>
        <v>0</v>
      </c>
      <c r="AC21" s="560">
        <f t="shared" si="27"/>
        <v>1942</v>
      </c>
      <c r="AD21" s="45">
        <f t="shared" si="7"/>
        <v>0</v>
      </c>
      <c r="AE21" s="560">
        <f t="shared" si="28"/>
        <v>366072</v>
      </c>
      <c r="AF21" s="301">
        <f t="shared" si="29"/>
        <v>0</v>
      </c>
      <c r="AG21" s="209">
        <f t="shared" si="39"/>
        <v>0</v>
      </c>
      <c r="AH21" s="62">
        <f t="shared" si="40"/>
        <v>0</v>
      </c>
      <c r="AI21" s="312">
        <f t="shared" si="30"/>
        <v>0</v>
      </c>
      <c r="AJ21" s="312">
        <f>-tanks!AW22</f>
        <v>0</v>
      </c>
      <c r="AK21" s="312">
        <f t="shared" si="31"/>
        <v>0</v>
      </c>
      <c r="AL21" s="312">
        <f t="shared" si="8"/>
        <v>0</v>
      </c>
      <c r="AM21" s="312">
        <f t="shared" si="32"/>
        <v>0</v>
      </c>
      <c r="AN21" s="560">
        <f t="shared" si="9"/>
        <v>65</v>
      </c>
      <c r="AO21" s="314">
        <f t="shared" si="33"/>
        <v>1950</v>
      </c>
      <c r="AP21" s="560">
        <f t="shared" si="10"/>
        <v>55</v>
      </c>
      <c r="AQ21" s="314">
        <f t="shared" si="34"/>
        <v>1650.0000000000002</v>
      </c>
      <c r="AR21" s="560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5"/>
        <v>0.8</v>
      </c>
    </row>
    <row r="22" spans="1:50" ht="16.5" customHeight="1">
      <c r="A22" s="63">
        <f>ELEC!C21</f>
        <v>44487</v>
      </c>
      <c r="B22" s="560">
        <f t="shared" si="12"/>
        <v>157</v>
      </c>
      <c r="C22" s="560">
        <f t="shared" si="13"/>
        <v>164</v>
      </c>
      <c r="D22" s="45">
        <f t="shared" si="49"/>
        <v>0</v>
      </c>
      <c r="E22" s="45">
        <f t="shared" si="14"/>
        <v>0</v>
      </c>
      <c r="F22" s="560">
        <f t="shared" si="15"/>
        <v>1891</v>
      </c>
      <c r="G22" s="52">
        <f t="shared" si="0"/>
        <v>0</v>
      </c>
      <c r="H22" s="560">
        <f t="shared" si="16"/>
        <v>17176</v>
      </c>
      <c r="I22" s="389">
        <f t="shared" si="1"/>
        <v>0</v>
      </c>
      <c r="J22" s="66">
        <f t="shared" si="17"/>
        <v>0</v>
      </c>
      <c r="K22" s="560">
        <f t="shared" si="18"/>
        <v>2356</v>
      </c>
      <c r="L22" s="52">
        <f t="shared" si="19"/>
        <v>0</v>
      </c>
      <c r="M22" s="560">
        <f t="shared" si="20"/>
        <v>173915</v>
      </c>
      <c r="N22" s="389">
        <f t="shared" si="2"/>
        <v>0</v>
      </c>
      <c r="O22" s="64">
        <f t="shared" si="48"/>
        <v>1869</v>
      </c>
      <c r="P22" s="560">
        <f t="shared" si="45"/>
        <v>2129</v>
      </c>
      <c r="Q22" s="560">
        <f t="shared" si="46"/>
        <v>178720</v>
      </c>
      <c r="R22" s="388">
        <f t="shared" si="44"/>
        <v>0</v>
      </c>
      <c r="S22" s="52">
        <f t="shared" si="5"/>
        <v>0</v>
      </c>
      <c r="T22" s="67">
        <f t="shared" si="37"/>
        <v>0</v>
      </c>
      <c r="U22" s="395">
        <f t="shared" si="21"/>
        <v>0</v>
      </c>
      <c r="V22" s="62">
        <f t="shared" si="22"/>
        <v>0</v>
      </c>
      <c r="W22" s="393"/>
      <c r="X22" s="560">
        <f t="shared" si="24"/>
        <v>2470</v>
      </c>
      <c r="Y22" s="52">
        <f t="shared" si="25"/>
        <v>0</v>
      </c>
      <c r="Z22" s="560">
        <f t="shared" si="26"/>
        <v>139138.1</v>
      </c>
      <c r="AA22" s="65">
        <f t="shared" si="6"/>
        <v>0</v>
      </c>
      <c r="AB22" s="279">
        <f t="shared" si="47"/>
        <v>0</v>
      </c>
      <c r="AC22" s="560">
        <f t="shared" si="27"/>
        <v>1942</v>
      </c>
      <c r="AD22" s="45">
        <f t="shared" si="7"/>
        <v>0</v>
      </c>
      <c r="AE22" s="560">
        <f t="shared" si="28"/>
        <v>366072</v>
      </c>
      <c r="AF22" s="301">
        <f t="shared" si="29"/>
        <v>0</v>
      </c>
      <c r="AG22" s="209">
        <f t="shared" si="39"/>
        <v>0</v>
      </c>
      <c r="AH22" s="62">
        <f t="shared" si="40"/>
        <v>0</v>
      </c>
      <c r="AI22" s="312">
        <f t="shared" si="30"/>
        <v>0</v>
      </c>
      <c r="AJ22" s="312">
        <f>-tanks!AW23</f>
        <v>0</v>
      </c>
      <c r="AK22" s="312">
        <f t="shared" si="31"/>
        <v>0</v>
      </c>
      <c r="AL22" s="312">
        <f t="shared" si="8"/>
        <v>0</v>
      </c>
      <c r="AM22" s="312">
        <f t="shared" si="32"/>
        <v>0</v>
      </c>
      <c r="AN22" s="560">
        <f t="shared" si="9"/>
        <v>65</v>
      </c>
      <c r="AO22" s="314">
        <f t="shared" si="33"/>
        <v>1950</v>
      </c>
      <c r="AP22" s="560">
        <f t="shared" si="10"/>
        <v>55</v>
      </c>
      <c r="AQ22" s="314">
        <f t="shared" si="34"/>
        <v>1650.0000000000002</v>
      </c>
      <c r="AR22" s="560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5"/>
        <v>0.8</v>
      </c>
    </row>
    <row r="23" spans="1:50">
      <c r="A23" s="63">
        <f>ELEC!C22</f>
        <v>44488</v>
      </c>
      <c r="B23" s="560">
        <f t="shared" si="12"/>
        <v>157</v>
      </c>
      <c r="C23" s="560">
        <f t="shared" si="13"/>
        <v>164</v>
      </c>
      <c r="D23" s="45">
        <f t="shared" si="49"/>
        <v>0</v>
      </c>
      <c r="E23" s="45">
        <f t="shared" si="14"/>
        <v>0</v>
      </c>
      <c r="F23" s="560">
        <f t="shared" si="15"/>
        <v>1891</v>
      </c>
      <c r="G23" s="52">
        <f t="shared" si="0"/>
        <v>0</v>
      </c>
      <c r="H23" s="560">
        <f t="shared" si="16"/>
        <v>17176</v>
      </c>
      <c r="I23" s="389">
        <f t="shared" si="1"/>
        <v>0</v>
      </c>
      <c r="J23" s="66">
        <f t="shared" si="17"/>
        <v>0</v>
      </c>
      <c r="K23" s="560">
        <f t="shared" si="18"/>
        <v>2356</v>
      </c>
      <c r="L23" s="52">
        <f t="shared" si="19"/>
        <v>0</v>
      </c>
      <c r="M23" s="560">
        <f t="shared" si="20"/>
        <v>173915</v>
      </c>
      <c r="N23" s="389">
        <f t="shared" si="2"/>
        <v>0</v>
      </c>
      <c r="O23" s="64">
        <f t="shared" si="48"/>
        <v>1869</v>
      </c>
      <c r="P23" s="560">
        <f t="shared" si="45"/>
        <v>2129</v>
      </c>
      <c r="Q23" s="560">
        <f t="shared" si="46"/>
        <v>178720</v>
      </c>
      <c r="R23" s="388">
        <f t="shared" si="44"/>
        <v>0</v>
      </c>
      <c r="S23" s="52">
        <f t="shared" si="5"/>
        <v>0</v>
      </c>
      <c r="T23" s="67">
        <f t="shared" si="37"/>
        <v>0</v>
      </c>
      <c r="U23" s="395">
        <f t="shared" si="21"/>
        <v>0</v>
      </c>
      <c r="V23" s="62">
        <f t="shared" si="22"/>
        <v>0</v>
      </c>
      <c r="W23" s="393"/>
      <c r="X23" s="560">
        <f t="shared" si="24"/>
        <v>2470</v>
      </c>
      <c r="Y23" s="52">
        <f t="shared" si="25"/>
        <v>0</v>
      </c>
      <c r="Z23" s="560">
        <f t="shared" si="26"/>
        <v>139138.1</v>
      </c>
      <c r="AA23" s="65">
        <f t="shared" si="6"/>
        <v>0</v>
      </c>
      <c r="AB23" s="279">
        <f t="shared" si="47"/>
        <v>0</v>
      </c>
      <c r="AC23" s="560">
        <f t="shared" si="27"/>
        <v>1942</v>
      </c>
      <c r="AD23" s="45">
        <f t="shared" si="7"/>
        <v>0</v>
      </c>
      <c r="AE23" s="560">
        <f t="shared" si="28"/>
        <v>366072</v>
      </c>
      <c r="AF23" s="301">
        <f t="shared" si="29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0">
        <f t="shared" si="9"/>
        <v>65</v>
      </c>
      <c r="AO23" s="314">
        <f t="shared" si="33"/>
        <v>1950</v>
      </c>
      <c r="AP23" s="560">
        <f t="shared" si="10"/>
        <v>55</v>
      </c>
      <c r="AQ23" s="314">
        <f t="shared" si="34"/>
        <v>1650.0000000000002</v>
      </c>
      <c r="AR23" s="560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5"/>
        <v>0.8</v>
      </c>
    </row>
    <row r="24" spans="1:50">
      <c r="A24" s="63">
        <f>ELEC!C23</f>
        <v>44489</v>
      </c>
      <c r="B24" s="560">
        <f t="shared" si="12"/>
        <v>157</v>
      </c>
      <c r="C24" s="560">
        <f t="shared" si="13"/>
        <v>164</v>
      </c>
      <c r="D24" s="45">
        <f t="shared" si="49"/>
        <v>0</v>
      </c>
      <c r="E24" s="45">
        <f t="shared" si="14"/>
        <v>0</v>
      </c>
      <c r="F24" s="560">
        <f t="shared" si="15"/>
        <v>1891</v>
      </c>
      <c r="G24" s="52">
        <f t="shared" si="0"/>
        <v>0</v>
      </c>
      <c r="H24" s="560">
        <f t="shared" si="16"/>
        <v>17176</v>
      </c>
      <c r="I24" s="389">
        <f t="shared" si="1"/>
        <v>0</v>
      </c>
      <c r="J24" s="66">
        <f t="shared" si="17"/>
        <v>0</v>
      </c>
      <c r="K24" s="560">
        <f t="shared" si="18"/>
        <v>2356</v>
      </c>
      <c r="L24" s="52">
        <f t="shared" si="19"/>
        <v>0</v>
      </c>
      <c r="M24" s="560">
        <f t="shared" si="20"/>
        <v>173915</v>
      </c>
      <c r="N24" s="389">
        <f t="shared" si="2"/>
        <v>0</v>
      </c>
      <c r="O24" s="64">
        <f t="shared" si="48"/>
        <v>1869</v>
      </c>
      <c r="P24" s="560">
        <f t="shared" si="45"/>
        <v>2129</v>
      </c>
      <c r="Q24" s="560">
        <f t="shared" si="46"/>
        <v>178720</v>
      </c>
      <c r="R24" s="388">
        <f t="shared" si="44"/>
        <v>0</v>
      </c>
      <c r="S24" s="52">
        <f t="shared" si="5"/>
        <v>0</v>
      </c>
      <c r="T24" s="67">
        <f t="shared" si="37"/>
        <v>0</v>
      </c>
      <c r="U24" s="395">
        <f t="shared" si="21"/>
        <v>0</v>
      </c>
      <c r="V24" s="62">
        <f t="shared" si="22"/>
        <v>0</v>
      </c>
      <c r="W24" s="393"/>
      <c r="X24" s="560">
        <f t="shared" si="24"/>
        <v>2470</v>
      </c>
      <c r="Y24" s="52">
        <f t="shared" si="25"/>
        <v>0</v>
      </c>
      <c r="Z24" s="560">
        <f t="shared" si="26"/>
        <v>139138.1</v>
      </c>
      <c r="AA24" s="65">
        <f t="shared" si="6"/>
        <v>0</v>
      </c>
      <c r="AB24" s="279">
        <f t="shared" ref="AB24:AB32" si="50">SUM(Y24*$AB$2)</f>
        <v>0</v>
      </c>
      <c r="AC24" s="560">
        <f t="shared" si="27"/>
        <v>1942</v>
      </c>
      <c r="AD24" s="45">
        <f t="shared" si="7"/>
        <v>0</v>
      </c>
      <c r="AE24" s="560">
        <f t="shared" si="28"/>
        <v>366072</v>
      </c>
      <c r="AF24" s="301">
        <f t="shared" si="29"/>
        <v>0</v>
      </c>
      <c r="AG24" s="209">
        <f t="shared" si="39"/>
        <v>0</v>
      </c>
      <c r="AH24" s="62">
        <f t="shared" si="40"/>
        <v>0</v>
      </c>
      <c r="AI24" s="312">
        <f t="shared" si="30"/>
        <v>0</v>
      </c>
      <c r="AJ24" s="312">
        <f>-tanks!AW25</f>
        <v>0</v>
      </c>
      <c r="AK24" s="312">
        <f t="shared" si="31"/>
        <v>0</v>
      </c>
      <c r="AL24" s="312">
        <f t="shared" si="8"/>
        <v>0</v>
      </c>
      <c r="AM24" s="312">
        <f t="shared" si="32"/>
        <v>0</v>
      </c>
      <c r="AN24" s="560">
        <f t="shared" si="9"/>
        <v>65</v>
      </c>
      <c r="AO24" s="314">
        <f t="shared" si="33"/>
        <v>1950</v>
      </c>
      <c r="AP24" s="560">
        <f t="shared" si="10"/>
        <v>55</v>
      </c>
      <c r="AQ24" s="314">
        <f t="shared" si="34"/>
        <v>1650.0000000000002</v>
      </c>
      <c r="AR24" s="560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5"/>
        <v>0.8</v>
      </c>
    </row>
    <row r="25" spans="1:50" ht="13.5" customHeight="1">
      <c r="A25" s="63">
        <f>ELEC!C24</f>
        <v>44490</v>
      </c>
      <c r="B25" s="560">
        <f t="shared" si="12"/>
        <v>157</v>
      </c>
      <c r="C25" s="560">
        <f t="shared" si="13"/>
        <v>164</v>
      </c>
      <c r="D25" s="45">
        <f t="shared" si="49"/>
        <v>0</v>
      </c>
      <c r="E25" s="45">
        <f t="shared" si="14"/>
        <v>0</v>
      </c>
      <c r="F25" s="560">
        <f t="shared" si="15"/>
        <v>1891</v>
      </c>
      <c r="G25" s="52">
        <f t="shared" si="0"/>
        <v>0</v>
      </c>
      <c r="H25" s="560">
        <f t="shared" si="16"/>
        <v>17176</v>
      </c>
      <c r="I25" s="389">
        <f t="shared" si="1"/>
        <v>0</v>
      </c>
      <c r="J25" s="66">
        <f t="shared" si="17"/>
        <v>0</v>
      </c>
      <c r="K25" s="560">
        <f t="shared" si="18"/>
        <v>2356</v>
      </c>
      <c r="L25" s="52">
        <f t="shared" si="19"/>
        <v>0</v>
      </c>
      <c r="M25" s="560">
        <f t="shared" si="20"/>
        <v>173915</v>
      </c>
      <c r="N25" s="389">
        <f t="shared" si="2"/>
        <v>0</v>
      </c>
      <c r="O25" s="64">
        <f t="shared" si="48"/>
        <v>1869</v>
      </c>
      <c r="P25" s="560">
        <f t="shared" si="45"/>
        <v>2129</v>
      </c>
      <c r="Q25" s="560">
        <f t="shared" si="46"/>
        <v>178720</v>
      </c>
      <c r="R25" s="388">
        <f t="shared" si="44"/>
        <v>0</v>
      </c>
      <c r="S25" s="52">
        <f t="shared" si="5"/>
        <v>0</v>
      </c>
      <c r="T25" s="67">
        <f t="shared" si="37"/>
        <v>0</v>
      </c>
      <c r="U25" s="395">
        <f t="shared" si="21"/>
        <v>0</v>
      </c>
      <c r="V25" s="62">
        <f t="shared" si="22"/>
        <v>0</v>
      </c>
      <c r="W25" s="393"/>
      <c r="X25" s="560">
        <f t="shared" si="24"/>
        <v>2470</v>
      </c>
      <c r="Y25" s="52">
        <f t="shared" si="25"/>
        <v>0</v>
      </c>
      <c r="Z25" s="560">
        <f t="shared" si="26"/>
        <v>139138.1</v>
      </c>
      <c r="AA25" s="65">
        <f t="shared" si="6"/>
        <v>0</v>
      </c>
      <c r="AB25" s="279">
        <f t="shared" si="50"/>
        <v>0</v>
      </c>
      <c r="AC25" s="560">
        <f t="shared" si="27"/>
        <v>1942</v>
      </c>
      <c r="AD25" s="45">
        <f t="shared" si="7"/>
        <v>0</v>
      </c>
      <c r="AE25" s="560">
        <f t="shared" si="28"/>
        <v>366072</v>
      </c>
      <c r="AF25" s="301">
        <f t="shared" si="29"/>
        <v>0</v>
      </c>
      <c r="AG25" s="209">
        <f t="shared" si="39"/>
        <v>0</v>
      </c>
      <c r="AH25" s="62">
        <f t="shared" si="40"/>
        <v>0</v>
      </c>
      <c r="AI25" s="312">
        <f t="shared" si="30"/>
        <v>0</v>
      </c>
      <c r="AJ25" s="312">
        <f>-tanks!AW26</f>
        <v>0</v>
      </c>
      <c r="AK25" s="312">
        <f t="shared" si="31"/>
        <v>0</v>
      </c>
      <c r="AL25" s="312">
        <f t="shared" si="8"/>
        <v>0</v>
      </c>
      <c r="AM25" s="312">
        <f t="shared" si="32"/>
        <v>0</v>
      </c>
      <c r="AN25" s="560">
        <f t="shared" si="9"/>
        <v>65</v>
      </c>
      <c r="AO25" s="314">
        <f t="shared" si="33"/>
        <v>1950</v>
      </c>
      <c r="AP25" s="560">
        <f t="shared" si="10"/>
        <v>55</v>
      </c>
      <c r="AQ25" s="314">
        <f t="shared" ref="AQ25:AQ32" si="52">(AP25/100)*3000</f>
        <v>1650.0000000000002</v>
      </c>
      <c r="AR25" s="560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5"/>
        <v>0.8</v>
      </c>
    </row>
    <row r="26" spans="1:50" ht="14.25" customHeight="1">
      <c r="A26" s="63">
        <f>ELEC!C25</f>
        <v>44491</v>
      </c>
      <c r="B26" s="560">
        <f t="shared" si="12"/>
        <v>157</v>
      </c>
      <c r="C26" s="560">
        <f t="shared" si="13"/>
        <v>164</v>
      </c>
      <c r="D26" s="45">
        <f t="shared" si="49"/>
        <v>0</v>
      </c>
      <c r="E26" s="45">
        <f t="shared" si="14"/>
        <v>0</v>
      </c>
      <c r="F26" s="560">
        <f t="shared" si="15"/>
        <v>1891</v>
      </c>
      <c r="G26" s="52">
        <f t="shared" si="0"/>
        <v>0</v>
      </c>
      <c r="H26" s="560">
        <f t="shared" si="16"/>
        <v>17176</v>
      </c>
      <c r="I26" s="389">
        <f t="shared" si="1"/>
        <v>0</v>
      </c>
      <c r="J26" s="66">
        <f t="shared" si="17"/>
        <v>0</v>
      </c>
      <c r="K26" s="560">
        <f t="shared" si="18"/>
        <v>2356</v>
      </c>
      <c r="L26" s="52">
        <f t="shared" si="19"/>
        <v>0</v>
      </c>
      <c r="M26" s="560">
        <f t="shared" si="20"/>
        <v>173915</v>
      </c>
      <c r="N26" s="389">
        <f t="shared" si="2"/>
        <v>0</v>
      </c>
      <c r="O26" s="64">
        <f t="shared" si="48"/>
        <v>1869</v>
      </c>
      <c r="P26" s="560">
        <f t="shared" si="45"/>
        <v>2129</v>
      </c>
      <c r="Q26" s="560">
        <f t="shared" si="46"/>
        <v>178720</v>
      </c>
      <c r="R26" s="388">
        <f t="shared" si="44"/>
        <v>0</v>
      </c>
      <c r="S26" s="52">
        <f t="shared" si="5"/>
        <v>0</v>
      </c>
      <c r="T26" s="67">
        <f t="shared" si="37"/>
        <v>0</v>
      </c>
      <c r="U26" s="395">
        <f t="shared" si="21"/>
        <v>0</v>
      </c>
      <c r="V26" s="62">
        <f t="shared" si="22"/>
        <v>0</v>
      </c>
      <c r="W26" s="393"/>
      <c r="X26" s="560">
        <f t="shared" si="24"/>
        <v>2470</v>
      </c>
      <c r="Y26" s="52">
        <f t="shared" si="25"/>
        <v>0</v>
      </c>
      <c r="Z26" s="560">
        <v>139138.1</v>
      </c>
      <c r="AA26" s="65">
        <f t="shared" si="6"/>
        <v>0</v>
      </c>
      <c r="AB26" s="279">
        <f t="shared" si="50"/>
        <v>0</v>
      </c>
      <c r="AC26" s="560">
        <f t="shared" si="27"/>
        <v>1942</v>
      </c>
      <c r="AD26" s="45">
        <f t="shared" si="7"/>
        <v>0</v>
      </c>
      <c r="AE26" s="560">
        <f t="shared" si="28"/>
        <v>366072</v>
      </c>
      <c r="AF26" s="301">
        <f t="shared" si="29"/>
        <v>0</v>
      </c>
      <c r="AG26" s="209">
        <f t="shared" si="39"/>
        <v>0</v>
      </c>
      <c r="AH26" s="62">
        <f t="shared" si="40"/>
        <v>0</v>
      </c>
      <c r="AI26" s="312">
        <f t="shared" si="30"/>
        <v>0</v>
      </c>
      <c r="AJ26" s="312">
        <f>-tanks!AW27</f>
        <v>0</v>
      </c>
      <c r="AK26" s="312">
        <f t="shared" si="31"/>
        <v>0</v>
      </c>
      <c r="AL26" s="312">
        <f t="shared" si="8"/>
        <v>0</v>
      </c>
      <c r="AM26" s="312">
        <f t="shared" si="32"/>
        <v>0</v>
      </c>
      <c r="AN26" s="560">
        <f t="shared" si="9"/>
        <v>65</v>
      </c>
      <c r="AO26" s="314">
        <f t="shared" si="33"/>
        <v>1950</v>
      </c>
      <c r="AP26" s="560">
        <f t="shared" si="10"/>
        <v>55</v>
      </c>
      <c r="AQ26" s="314">
        <f t="shared" si="52"/>
        <v>1650.0000000000002</v>
      </c>
      <c r="AR26" s="560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5"/>
        <v>0.8</v>
      </c>
    </row>
    <row r="27" spans="1:50">
      <c r="A27" s="63">
        <f>ELEC!C26</f>
        <v>44492</v>
      </c>
      <c r="B27" s="560">
        <f t="shared" si="12"/>
        <v>157</v>
      </c>
      <c r="C27" s="560">
        <f t="shared" si="13"/>
        <v>164</v>
      </c>
      <c r="D27" s="45">
        <f t="shared" si="49"/>
        <v>0</v>
      </c>
      <c r="E27" s="45">
        <f t="shared" si="14"/>
        <v>0</v>
      </c>
      <c r="F27" s="560">
        <f t="shared" si="15"/>
        <v>1891</v>
      </c>
      <c r="G27" s="52">
        <f t="shared" si="0"/>
        <v>0</v>
      </c>
      <c r="H27" s="560">
        <f t="shared" si="16"/>
        <v>17176</v>
      </c>
      <c r="I27" s="389">
        <f t="shared" si="1"/>
        <v>0</v>
      </c>
      <c r="J27" s="66">
        <f t="shared" si="17"/>
        <v>0</v>
      </c>
      <c r="K27" s="560">
        <f t="shared" si="18"/>
        <v>2356</v>
      </c>
      <c r="L27" s="52">
        <f t="shared" si="19"/>
        <v>0</v>
      </c>
      <c r="M27" s="560">
        <f t="shared" si="20"/>
        <v>173915</v>
      </c>
      <c r="N27" s="389">
        <f t="shared" si="2"/>
        <v>0</v>
      </c>
      <c r="O27" s="64">
        <f t="shared" si="48"/>
        <v>1869</v>
      </c>
      <c r="P27" s="560">
        <f t="shared" si="45"/>
        <v>2129</v>
      </c>
      <c r="Q27" s="560">
        <f t="shared" si="46"/>
        <v>178720</v>
      </c>
      <c r="R27" s="388">
        <f t="shared" si="44"/>
        <v>0</v>
      </c>
      <c r="S27" s="52">
        <f t="shared" si="5"/>
        <v>0</v>
      </c>
      <c r="T27" s="67">
        <f t="shared" si="37"/>
        <v>0</v>
      </c>
      <c r="U27" s="395">
        <f t="shared" si="21"/>
        <v>0</v>
      </c>
      <c r="V27" s="62">
        <f t="shared" si="22"/>
        <v>0</v>
      </c>
      <c r="W27" s="393"/>
      <c r="X27" s="560">
        <f t="shared" si="24"/>
        <v>2470</v>
      </c>
      <c r="Y27" s="52">
        <f t="shared" si="25"/>
        <v>0</v>
      </c>
      <c r="Z27" s="560">
        <f t="shared" si="26"/>
        <v>139138.1</v>
      </c>
      <c r="AA27" s="65">
        <f t="shared" si="6"/>
        <v>0</v>
      </c>
      <c r="AB27" s="279">
        <f t="shared" si="50"/>
        <v>0</v>
      </c>
      <c r="AC27" s="560">
        <f t="shared" si="27"/>
        <v>1942</v>
      </c>
      <c r="AD27" s="45">
        <f t="shared" si="7"/>
        <v>0</v>
      </c>
      <c r="AE27" s="560">
        <f t="shared" si="28"/>
        <v>366072</v>
      </c>
      <c r="AF27" s="301">
        <f t="shared" si="29"/>
        <v>0</v>
      </c>
      <c r="AG27" s="209">
        <f t="shared" si="39"/>
        <v>0</v>
      </c>
      <c r="AH27" s="62">
        <f t="shared" si="40"/>
        <v>0</v>
      </c>
      <c r="AI27" s="312">
        <f t="shared" si="30"/>
        <v>0</v>
      </c>
      <c r="AJ27" s="312">
        <f>-tanks!AW28</f>
        <v>0</v>
      </c>
      <c r="AK27" s="312">
        <f t="shared" si="31"/>
        <v>0</v>
      </c>
      <c r="AL27" s="312">
        <f t="shared" si="8"/>
        <v>0</v>
      </c>
      <c r="AM27" s="312">
        <f t="shared" si="32"/>
        <v>0</v>
      </c>
      <c r="AN27" s="560">
        <f t="shared" si="9"/>
        <v>65</v>
      </c>
      <c r="AO27" s="314">
        <f t="shared" ref="AO27:AO34" si="53">(AN27/100)*3000</f>
        <v>1950</v>
      </c>
      <c r="AP27" s="560">
        <f t="shared" si="10"/>
        <v>55</v>
      </c>
      <c r="AQ27" s="314">
        <f t="shared" si="52"/>
        <v>1650.0000000000002</v>
      </c>
      <c r="AR27" s="560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8"/>
      <c r="AX27" s="307">
        <f t="shared" si="35"/>
        <v>0.8</v>
      </c>
    </row>
    <row r="28" spans="1:50">
      <c r="A28" s="63">
        <f>ELEC!C27</f>
        <v>44493</v>
      </c>
      <c r="B28" s="560">
        <f t="shared" si="12"/>
        <v>157</v>
      </c>
      <c r="C28" s="560">
        <f t="shared" si="13"/>
        <v>164</v>
      </c>
      <c r="D28" s="45">
        <f t="shared" si="49"/>
        <v>0</v>
      </c>
      <c r="E28" s="45">
        <f t="shared" si="14"/>
        <v>0</v>
      </c>
      <c r="F28" s="560">
        <f t="shared" si="15"/>
        <v>1891</v>
      </c>
      <c r="G28" s="52">
        <f t="shared" si="0"/>
        <v>0</v>
      </c>
      <c r="H28" s="560">
        <f t="shared" si="16"/>
        <v>17176</v>
      </c>
      <c r="I28" s="389">
        <f t="shared" si="1"/>
        <v>0</v>
      </c>
      <c r="J28" s="66">
        <f t="shared" si="17"/>
        <v>0</v>
      </c>
      <c r="K28" s="560">
        <f t="shared" si="18"/>
        <v>2356</v>
      </c>
      <c r="L28" s="52">
        <f t="shared" si="19"/>
        <v>0</v>
      </c>
      <c r="M28" s="560">
        <f t="shared" si="20"/>
        <v>173915</v>
      </c>
      <c r="N28" s="389">
        <f t="shared" si="2"/>
        <v>0</v>
      </c>
      <c r="O28" s="64">
        <f t="shared" si="48"/>
        <v>1869</v>
      </c>
      <c r="P28" s="560">
        <f t="shared" si="45"/>
        <v>2129</v>
      </c>
      <c r="Q28" s="560">
        <f t="shared" si="46"/>
        <v>178720</v>
      </c>
      <c r="R28" s="388">
        <f t="shared" si="44"/>
        <v>0</v>
      </c>
      <c r="S28" s="52">
        <f t="shared" si="5"/>
        <v>0</v>
      </c>
      <c r="T28" s="67">
        <f t="shared" si="37"/>
        <v>0</v>
      </c>
      <c r="U28" s="395">
        <f t="shared" si="21"/>
        <v>0</v>
      </c>
      <c r="V28" s="62">
        <f t="shared" si="22"/>
        <v>0</v>
      </c>
      <c r="W28" s="393"/>
      <c r="X28" s="560">
        <f t="shared" si="24"/>
        <v>2470</v>
      </c>
      <c r="Y28" s="52">
        <f t="shared" si="25"/>
        <v>0</v>
      </c>
      <c r="Z28" s="560">
        <f t="shared" si="26"/>
        <v>139138.1</v>
      </c>
      <c r="AA28" s="65">
        <f t="shared" si="6"/>
        <v>0</v>
      </c>
      <c r="AB28" s="279">
        <f t="shared" si="50"/>
        <v>0</v>
      </c>
      <c r="AC28" s="560">
        <f t="shared" si="27"/>
        <v>1942</v>
      </c>
      <c r="AD28" s="45">
        <f t="shared" si="7"/>
        <v>0</v>
      </c>
      <c r="AE28" s="560">
        <f t="shared" si="28"/>
        <v>366072</v>
      </c>
      <c r="AF28" s="301">
        <f t="shared" si="29"/>
        <v>0</v>
      </c>
      <c r="AG28" s="209">
        <f t="shared" si="39"/>
        <v>0</v>
      </c>
      <c r="AH28" s="62">
        <f t="shared" si="40"/>
        <v>0</v>
      </c>
      <c r="AI28" s="312">
        <f t="shared" si="30"/>
        <v>0</v>
      </c>
      <c r="AJ28" s="312">
        <f>-tanks!AW29</f>
        <v>0</v>
      </c>
      <c r="AK28" s="312">
        <f t="shared" si="31"/>
        <v>0</v>
      </c>
      <c r="AL28" s="312">
        <f t="shared" si="8"/>
        <v>0</v>
      </c>
      <c r="AM28" s="312">
        <f t="shared" si="32"/>
        <v>0</v>
      </c>
      <c r="AN28" s="560">
        <f t="shared" si="9"/>
        <v>65</v>
      </c>
      <c r="AO28" s="314">
        <f t="shared" si="53"/>
        <v>1950</v>
      </c>
      <c r="AP28" s="560">
        <f t="shared" si="10"/>
        <v>55</v>
      </c>
      <c r="AQ28" s="314">
        <f t="shared" si="52"/>
        <v>1650.0000000000002</v>
      </c>
      <c r="AR28" s="560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5"/>
        <v>0.8</v>
      </c>
    </row>
    <row r="29" spans="1:50">
      <c r="A29" s="63">
        <f>ELEC!C28</f>
        <v>44494</v>
      </c>
      <c r="B29" s="560">
        <f t="shared" si="12"/>
        <v>157</v>
      </c>
      <c r="C29" s="560">
        <f t="shared" si="13"/>
        <v>164</v>
      </c>
      <c r="D29" s="45">
        <f t="shared" si="49"/>
        <v>0</v>
      </c>
      <c r="E29" s="45">
        <f t="shared" si="14"/>
        <v>0</v>
      </c>
      <c r="F29" s="560">
        <f t="shared" si="15"/>
        <v>1891</v>
      </c>
      <c r="G29" s="52">
        <f t="shared" si="0"/>
        <v>0</v>
      </c>
      <c r="H29" s="560">
        <f t="shared" si="16"/>
        <v>17176</v>
      </c>
      <c r="I29" s="389">
        <f t="shared" si="1"/>
        <v>0</v>
      </c>
      <c r="J29" s="66">
        <f t="shared" si="17"/>
        <v>0</v>
      </c>
      <c r="K29" s="560">
        <f t="shared" si="18"/>
        <v>2356</v>
      </c>
      <c r="L29" s="52">
        <f t="shared" si="19"/>
        <v>0</v>
      </c>
      <c r="M29" s="560">
        <f t="shared" si="20"/>
        <v>173915</v>
      </c>
      <c r="N29" s="389">
        <f t="shared" si="2"/>
        <v>0</v>
      </c>
      <c r="O29" s="64">
        <f t="shared" si="48"/>
        <v>1869</v>
      </c>
      <c r="P29" s="560">
        <f t="shared" si="45"/>
        <v>2129</v>
      </c>
      <c r="Q29" s="560">
        <f t="shared" si="46"/>
        <v>178720</v>
      </c>
      <c r="R29" s="388">
        <f t="shared" si="44"/>
        <v>0</v>
      </c>
      <c r="S29" s="52">
        <f t="shared" si="5"/>
        <v>0</v>
      </c>
      <c r="T29" s="67">
        <f t="shared" si="37"/>
        <v>0</v>
      </c>
      <c r="U29" s="395">
        <f t="shared" si="21"/>
        <v>0</v>
      </c>
      <c r="V29" s="62">
        <f t="shared" si="22"/>
        <v>0</v>
      </c>
      <c r="W29" s="393"/>
      <c r="X29" s="560">
        <f t="shared" si="24"/>
        <v>2470</v>
      </c>
      <c r="Y29" s="52">
        <f t="shared" si="25"/>
        <v>0</v>
      </c>
      <c r="Z29" s="560">
        <f t="shared" si="26"/>
        <v>139138.1</v>
      </c>
      <c r="AA29" s="65">
        <f t="shared" si="6"/>
        <v>0</v>
      </c>
      <c r="AB29" s="279">
        <f t="shared" si="50"/>
        <v>0</v>
      </c>
      <c r="AC29" s="560">
        <f t="shared" si="27"/>
        <v>1942</v>
      </c>
      <c r="AD29" s="45">
        <f t="shared" si="7"/>
        <v>0</v>
      </c>
      <c r="AE29" s="560">
        <f t="shared" si="28"/>
        <v>366072</v>
      </c>
      <c r="AF29" s="301">
        <f t="shared" si="29"/>
        <v>0</v>
      </c>
      <c r="AG29" s="209">
        <f t="shared" si="39"/>
        <v>0</v>
      </c>
      <c r="AH29" s="62">
        <f t="shared" si="40"/>
        <v>0</v>
      </c>
      <c r="AI29" s="312">
        <f t="shared" si="30"/>
        <v>0</v>
      </c>
      <c r="AJ29" s="312">
        <f>-tanks!AW30</f>
        <v>0</v>
      </c>
      <c r="AK29" s="312">
        <f t="shared" si="31"/>
        <v>0</v>
      </c>
      <c r="AL29" s="312">
        <f t="shared" si="8"/>
        <v>0</v>
      </c>
      <c r="AM29" s="312">
        <f t="shared" si="32"/>
        <v>0</v>
      </c>
      <c r="AN29" s="560">
        <f t="shared" si="9"/>
        <v>65</v>
      </c>
      <c r="AO29" s="314">
        <f t="shared" si="53"/>
        <v>1950</v>
      </c>
      <c r="AP29" s="560">
        <f t="shared" si="10"/>
        <v>55</v>
      </c>
      <c r="AQ29" s="314">
        <f t="shared" si="52"/>
        <v>1650.0000000000002</v>
      </c>
      <c r="AR29" s="560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5"/>
        <v>0.8</v>
      </c>
    </row>
    <row r="30" spans="1:50">
      <c r="A30" s="63">
        <f>ELEC!C29</f>
        <v>44495</v>
      </c>
      <c r="B30" s="560">
        <f t="shared" si="12"/>
        <v>157</v>
      </c>
      <c r="C30" s="560">
        <f t="shared" si="13"/>
        <v>164</v>
      </c>
      <c r="D30" s="45">
        <f t="shared" ref="D30" si="54">C29-C30</f>
        <v>0</v>
      </c>
      <c r="E30" s="45">
        <f t="shared" ref="E30" si="55">D30*8.38</f>
        <v>0</v>
      </c>
      <c r="F30" s="560">
        <f t="shared" si="15"/>
        <v>1891</v>
      </c>
      <c r="G30" s="52">
        <f t="shared" ref="G30" si="56">F30-F29</f>
        <v>0</v>
      </c>
      <c r="H30" s="560">
        <f t="shared" si="16"/>
        <v>17176</v>
      </c>
      <c r="I30" s="389">
        <f t="shared" ref="I30" si="57">SUM(H30-H29)</f>
        <v>0</v>
      </c>
      <c r="J30" s="66">
        <f t="shared" ref="J30" si="58">IF(G30&gt;0,I30/G30,0)</f>
        <v>0</v>
      </c>
      <c r="K30" s="560">
        <f t="shared" si="18"/>
        <v>2356</v>
      </c>
      <c r="L30" s="52">
        <f t="shared" ref="L30" si="59">K30-K29</f>
        <v>0</v>
      </c>
      <c r="M30" s="560">
        <f t="shared" si="20"/>
        <v>173915</v>
      </c>
      <c r="N30" s="389">
        <f t="shared" ref="N30" si="60">M30-M29</f>
        <v>0</v>
      </c>
      <c r="O30" s="64">
        <f t="shared" si="48"/>
        <v>1869</v>
      </c>
      <c r="P30" s="560">
        <f t="shared" si="45"/>
        <v>2129</v>
      </c>
      <c r="Q30" s="560">
        <f t="shared" si="46"/>
        <v>178720</v>
      </c>
      <c r="R30" s="388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5">
        <f t="shared" ref="U30" si="64">SUM(G30+L30+S30)</f>
        <v>0</v>
      </c>
      <c r="V30" s="62">
        <f t="shared" ref="V30" si="65">R30+N30+I30:I30</f>
        <v>0</v>
      </c>
      <c r="W30" s="393"/>
      <c r="X30" s="560">
        <f t="shared" si="24"/>
        <v>2470</v>
      </c>
      <c r="Y30" s="52">
        <f t="shared" ref="Y30" si="66">X30-X29</f>
        <v>0</v>
      </c>
      <c r="Z30" s="560">
        <f t="shared" si="26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60">
        <f t="shared" si="27"/>
        <v>1942</v>
      </c>
      <c r="AD30" s="265">
        <f t="shared" ref="AD30" si="69">AC30-AC29</f>
        <v>0</v>
      </c>
      <c r="AE30" s="560">
        <f t="shared" si="28"/>
        <v>366072</v>
      </c>
      <c r="AF30" s="301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2">
        <f t="shared" si="30"/>
        <v>0</v>
      </c>
      <c r="AJ30" s="312">
        <f>-tanks!AW31</f>
        <v>0</v>
      </c>
      <c r="AK30" s="312">
        <f t="shared" si="31"/>
        <v>0</v>
      </c>
      <c r="AL30" s="312">
        <f t="shared" si="8"/>
        <v>0</v>
      </c>
      <c r="AM30" s="312">
        <f t="shared" si="32"/>
        <v>0</v>
      </c>
      <c r="AN30" s="560">
        <f t="shared" si="9"/>
        <v>65</v>
      </c>
      <c r="AO30" s="314">
        <f t="shared" si="53"/>
        <v>1950</v>
      </c>
      <c r="AP30" s="560">
        <f t="shared" si="10"/>
        <v>55</v>
      </c>
      <c r="AQ30" s="314">
        <f t="shared" si="52"/>
        <v>1650.0000000000002</v>
      </c>
      <c r="AR30" s="560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5"/>
        <v>0.8</v>
      </c>
    </row>
    <row r="31" spans="1:50">
      <c r="A31" s="63">
        <f>ELEC!C30</f>
        <v>44496</v>
      </c>
      <c r="B31" s="560">
        <f t="shared" si="12"/>
        <v>157</v>
      </c>
      <c r="C31" s="560">
        <f t="shared" si="13"/>
        <v>164</v>
      </c>
      <c r="D31" s="45">
        <f t="shared" si="49"/>
        <v>0</v>
      </c>
      <c r="E31" s="45">
        <f t="shared" si="14"/>
        <v>0</v>
      </c>
      <c r="F31" s="560">
        <f t="shared" si="15"/>
        <v>1891</v>
      </c>
      <c r="G31" s="52">
        <f t="shared" si="0"/>
        <v>0</v>
      </c>
      <c r="H31" s="560">
        <f t="shared" si="16"/>
        <v>17176</v>
      </c>
      <c r="I31" s="389">
        <f t="shared" si="1"/>
        <v>0</v>
      </c>
      <c r="J31" s="66">
        <f t="shared" si="17"/>
        <v>0</v>
      </c>
      <c r="K31" s="560">
        <f t="shared" si="18"/>
        <v>2356</v>
      </c>
      <c r="L31" s="52">
        <f t="shared" si="19"/>
        <v>0</v>
      </c>
      <c r="M31" s="560">
        <f t="shared" si="20"/>
        <v>173915</v>
      </c>
      <c r="N31" s="389">
        <f t="shared" si="2"/>
        <v>0</v>
      </c>
      <c r="O31" s="64">
        <f t="shared" si="48"/>
        <v>1869</v>
      </c>
      <c r="P31" s="560">
        <f t="shared" si="45"/>
        <v>2129</v>
      </c>
      <c r="Q31" s="560">
        <f t="shared" si="46"/>
        <v>178720</v>
      </c>
      <c r="R31" s="388">
        <f t="shared" si="44"/>
        <v>0</v>
      </c>
      <c r="S31" s="52">
        <f t="shared" si="5"/>
        <v>0</v>
      </c>
      <c r="T31" s="67">
        <f t="shared" si="37"/>
        <v>0</v>
      </c>
      <c r="U31" s="395">
        <f t="shared" si="21"/>
        <v>0</v>
      </c>
      <c r="V31" s="62">
        <f t="shared" si="22"/>
        <v>0</v>
      </c>
      <c r="W31" s="393"/>
      <c r="X31" s="560">
        <f t="shared" si="24"/>
        <v>2470</v>
      </c>
      <c r="Y31" s="52">
        <f t="shared" si="25"/>
        <v>0</v>
      </c>
      <c r="Z31" s="560">
        <f t="shared" si="26"/>
        <v>139138.1</v>
      </c>
      <c r="AA31" s="65">
        <f t="shared" si="6"/>
        <v>0</v>
      </c>
      <c r="AB31" s="279">
        <f t="shared" si="50"/>
        <v>0</v>
      </c>
      <c r="AC31" s="560">
        <f t="shared" si="27"/>
        <v>1942</v>
      </c>
      <c r="AD31" s="265">
        <f t="shared" si="7"/>
        <v>0</v>
      </c>
      <c r="AE31" s="560">
        <f t="shared" si="28"/>
        <v>366072</v>
      </c>
      <c r="AF31" s="301">
        <f t="shared" si="29"/>
        <v>0</v>
      </c>
      <c r="AG31" s="209">
        <f t="shared" si="39"/>
        <v>0</v>
      </c>
      <c r="AH31" s="62">
        <f t="shared" si="40"/>
        <v>0</v>
      </c>
      <c r="AI31" s="312">
        <f t="shared" si="30"/>
        <v>0</v>
      </c>
      <c r="AJ31" s="312">
        <f>-tanks!AW32</f>
        <v>0</v>
      </c>
      <c r="AK31" s="312">
        <f t="shared" si="31"/>
        <v>0</v>
      </c>
      <c r="AL31" s="312">
        <f t="shared" si="8"/>
        <v>0</v>
      </c>
      <c r="AM31" s="312">
        <f t="shared" si="32"/>
        <v>0</v>
      </c>
      <c r="AN31" s="560">
        <f t="shared" si="9"/>
        <v>65</v>
      </c>
      <c r="AO31" s="314">
        <f t="shared" si="53"/>
        <v>1950</v>
      </c>
      <c r="AP31" s="560">
        <f t="shared" si="10"/>
        <v>55</v>
      </c>
      <c r="AQ31" s="314">
        <f t="shared" si="52"/>
        <v>1650.0000000000002</v>
      </c>
      <c r="AR31" s="560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5"/>
        <v>0.8</v>
      </c>
    </row>
    <row r="32" spans="1:50">
      <c r="A32" s="63">
        <f>ELEC!C31</f>
        <v>44497</v>
      </c>
      <c r="B32" s="560">
        <f t="shared" si="12"/>
        <v>157</v>
      </c>
      <c r="C32" s="560">
        <f t="shared" si="13"/>
        <v>164</v>
      </c>
      <c r="D32" s="45">
        <f t="shared" si="49"/>
        <v>0</v>
      </c>
      <c r="E32" s="45">
        <f t="shared" si="14"/>
        <v>0</v>
      </c>
      <c r="F32" s="560">
        <f t="shared" si="15"/>
        <v>1891</v>
      </c>
      <c r="G32" s="52">
        <f t="shared" si="0"/>
        <v>0</v>
      </c>
      <c r="H32" s="560">
        <f t="shared" si="16"/>
        <v>17176</v>
      </c>
      <c r="I32" s="389">
        <f t="shared" si="1"/>
        <v>0</v>
      </c>
      <c r="J32" s="66">
        <f t="shared" si="17"/>
        <v>0</v>
      </c>
      <c r="K32" s="560">
        <f t="shared" si="18"/>
        <v>2356</v>
      </c>
      <c r="L32" s="52">
        <f t="shared" si="19"/>
        <v>0</v>
      </c>
      <c r="M32" s="560">
        <f t="shared" si="20"/>
        <v>173915</v>
      </c>
      <c r="N32" s="389">
        <f t="shared" si="2"/>
        <v>0</v>
      </c>
      <c r="O32" s="64">
        <f t="shared" si="48"/>
        <v>1869</v>
      </c>
      <c r="P32" s="560">
        <f t="shared" si="45"/>
        <v>2129</v>
      </c>
      <c r="Q32" s="560">
        <f t="shared" si="46"/>
        <v>178720</v>
      </c>
      <c r="R32" s="388">
        <f t="shared" si="44"/>
        <v>0</v>
      </c>
      <c r="S32" s="52">
        <f t="shared" si="5"/>
        <v>0</v>
      </c>
      <c r="T32" s="67">
        <f t="shared" si="37"/>
        <v>0</v>
      </c>
      <c r="U32" s="395">
        <f t="shared" si="21"/>
        <v>0</v>
      </c>
      <c r="V32" s="62">
        <f t="shared" si="22"/>
        <v>0</v>
      </c>
      <c r="W32" s="393"/>
      <c r="X32" s="560">
        <f t="shared" si="24"/>
        <v>2470</v>
      </c>
      <c r="Y32" s="52">
        <f t="shared" si="25"/>
        <v>0</v>
      </c>
      <c r="Z32" s="560">
        <f t="shared" si="26"/>
        <v>139138.1</v>
      </c>
      <c r="AA32" s="65">
        <f t="shared" si="6"/>
        <v>0</v>
      </c>
      <c r="AB32" s="279">
        <f t="shared" si="50"/>
        <v>0</v>
      </c>
      <c r="AC32" s="560">
        <f t="shared" si="27"/>
        <v>1942</v>
      </c>
      <c r="AD32" s="265">
        <f t="shared" si="7"/>
        <v>0</v>
      </c>
      <c r="AE32" s="560">
        <f t="shared" si="28"/>
        <v>366072</v>
      </c>
      <c r="AF32" s="301">
        <f t="shared" si="29"/>
        <v>0</v>
      </c>
      <c r="AG32" s="209">
        <f t="shared" si="39"/>
        <v>0</v>
      </c>
      <c r="AH32" s="62">
        <f t="shared" si="40"/>
        <v>0</v>
      </c>
      <c r="AI32" s="312">
        <f t="shared" si="30"/>
        <v>0</v>
      </c>
      <c r="AJ32" s="312">
        <f>-tanks!AW33</f>
        <v>0</v>
      </c>
      <c r="AK32" s="312">
        <f t="shared" si="31"/>
        <v>0</v>
      </c>
      <c r="AL32" s="312">
        <f t="shared" si="8"/>
        <v>0</v>
      </c>
      <c r="AM32" s="312">
        <f t="shared" si="32"/>
        <v>0</v>
      </c>
      <c r="AN32" s="560">
        <f t="shared" si="9"/>
        <v>65</v>
      </c>
      <c r="AO32" s="314">
        <f t="shared" si="53"/>
        <v>1950</v>
      </c>
      <c r="AP32" s="560">
        <f t="shared" si="10"/>
        <v>55</v>
      </c>
      <c r="AQ32" s="314">
        <f t="shared" si="52"/>
        <v>1650.0000000000002</v>
      </c>
      <c r="AR32" s="560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5"/>
        <v>0.8</v>
      </c>
    </row>
    <row r="33" spans="1:50">
      <c r="A33" s="63">
        <f>ELEC!C32</f>
        <v>44498</v>
      </c>
      <c r="B33" s="560">
        <f t="shared" si="12"/>
        <v>157</v>
      </c>
      <c r="C33" s="560">
        <f t="shared" si="13"/>
        <v>164</v>
      </c>
      <c r="D33" s="45">
        <f>C32-C33</f>
        <v>0</v>
      </c>
      <c r="E33" s="45">
        <f>D33*8.38</f>
        <v>0</v>
      </c>
      <c r="F33" s="560">
        <f t="shared" si="15"/>
        <v>1891</v>
      </c>
      <c r="G33" s="52">
        <f>F33-F32</f>
        <v>0</v>
      </c>
      <c r="H33" s="560">
        <f t="shared" si="16"/>
        <v>17176</v>
      </c>
      <c r="I33" s="389">
        <f>SUM(H33-H32)</f>
        <v>0</v>
      </c>
      <c r="J33" s="66">
        <f>IF(G33&gt;0,I33/G33,0)</f>
        <v>0</v>
      </c>
      <c r="K33" s="560">
        <f t="shared" si="18"/>
        <v>2356</v>
      </c>
      <c r="L33" s="52">
        <f>K33-K32</f>
        <v>0</v>
      </c>
      <c r="M33" s="560">
        <f t="shared" si="20"/>
        <v>173915</v>
      </c>
      <c r="N33" s="389">
        <f>M33-M32</f>
        <v>0</v>
      </c>
      <c r="O33" s="64">
        <f t="shared" si="48"/>
        <v>1869</v>
      </c>
      <c r="P33" s="560">
        <f t="shared" si="45"/>
        <v>2129</v>
      </c>
      <c r="Q33" s="560">
        <f t="shared" si="46"/>
        <v>178720</v>
      </c>
      <c r="R33" s="388">
        <f>Q33-Q32</f>
        <v>0</v>
      </c>
      <c r="S33" s="52">
        <f>SUM(P33-P32)</f>
        <v>0</v>
      </c>
      <c r="T33" s="67">
        <f>SUM(S33*$T$2)</f>
        <v>0</v>
      </c>
      <c r="U33" s="395">
        <f>SUM(G33+L33+S33)</f>
        <v>0</v>
      </c>
      <c r="V33" s="62">
        <f>R33+N33+I33:I33</f>
        <v>0</v>
      </c>
      <c r="W33" s="393"/>
      <c r="X33" s="560">
        <f t="shared" si="24"/>
        <v>2470</v>
      </c>
      <c r="Y33" s="52">
        <f>X33-X32</f>
        <v>0</v>
      </c>
      <c r="Z33" s="560">
        <f t="shared" si="26"/>
        <v>139138.1</v>
      </c>
      <c r="AA33" s="65">
        <f>Z33-Z32</f>
        <v>0</v>
      </c>
      <c r="AB33" s="279">
        <f>SUM(Y33*$AB$2)</f>
        <v>0</v>
      </c>
      <c r="AC33" s="560">
        <f t="shared" si="27"/>
        <v>1942</v>
      </c>
      <c r="AD33" s="265">
        <f>AC33-AC32</f>
        <v>0</v>
      </c>
      <c r="AE33" s="560">
        <f t="shared" si="28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0">
        <f t="shared" si="9"/>
        <v>65</v>
      </c>
      <c r="AO33" s="314">
        <f t="shared" si="53"/>
        <v>1950</v>
      </c>
      <c r="AP33" s="560">
        <f t="shared" si="10"/>
        <v>55</v>
      </c>
      <c r="AQ33" s="314">
        <f>(AP33/100)*3000</f>
        <v>1650.0000000000002</v>
      </c>
      <c r="AR33" s="560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5"/>
        <v>0.8</v>
      </c>
    </row>
    <row r="34" spans="1:50">
      <c r="A34" s="63">
        <f>ELEC!C33</f>
        <v>44499</v>
      </c>
      <c r="B34" s="560">
        <f t="shared" si="12"/>
        <v>157</v>
      </c>
      <c r="C34" s="560">
        <f t="shared" si="13"/>
        <v>164</v>
      </c>
      <c r="D34" s="45">
        <f>C33-C34</f>
        <v>0</v>
      </c>
      <c r="E34" s="45">
        <f>D34*8.38</f>
        <v>0</v>
      </c>
      <c r="F34" s="560">
        <f t="shared" si="15"/>
        <v>1891</v>
      </c>
      <c r="G34" s="52">
        <f>F34-F33</f>
        <v>0</v>
      </c>
      <c r="H34" s="560">
        <f t="shared" si="16"/>
        <v>17176</v>
      </c>
      <c r="I34" s="389">
        <f>SUM(H34-H33)</f>
        <v>0</v>
      </c>
      <c r="J34" s="66">
        <f>IF(G34&gt;0,I34/G34,0)</f>
        <v>0</v>
      </c>
      <c r="K34" s="560">
        <f t="shared" si="18"/>
        <v>2356</v>
      </c>
      <c r="L34" s="52">
        <f>K34-K33</f>
        <v>0</v>
      </c>
      <c r="M34" s="560">
        <f t="shared" si="20"/>
        <v>173915</v>
      </c>
      <c r="N34" s="389">
        <f>M34-M33</f>
        <v>0</v>
      </c>
      <c r="O34" s="64">
        <f t="shared" si="48"/>
        <v>1869</v>
      </c>
      <c r="P34" s="560">
        <f t="shared" si="45"/>
        <v>2129</v>
      </c>
      <c r="Q34" s="560">
        <f t="shared" si="46"/>
        <v>178720</v>
      </c>
      <c r="R34" s="388">
        <f>Q34-Q33</f>
        <v>0</v>
      </c>
      <c r="S34" s="52">
        <f>SUM(P34-P33)</f>
        <v>0</v>
      </c>
      <c r="T34" s="67">
        <f>SUM(S34*$T$2)</f>
        <v>0</v>
      </c>
      <c r="U34" s="395">
        <f>SUM(G34+L34+S34)</f>
        <v>0</v>
      </c>
      <c r="V34" s="62">
        <f>R34+N34+I34:I34</f>
        <v>0</v>
      </c>
      <c r="W34" s="393"/>
      <c r="X34" s="560">
        <f t="shared" si="24"/>
        <v>2470</v>
      </c>
      <c r="Y34" s="52">
        <f>X34-X33</f>
        <v>0</v>
      </c>
      <c r="Z34" s="560">
        <f t="shared" si="26"/>
        <v>139138.1</v>
      </c>
      <c r="AA34" s="65">
        <f>Z34-Z33</f>
        <v>0</v>
      </c>
      <c r="AB34" s="279">
        <f>SUM(Y34*$AB$2)</f>
        <v>0</v>
      </c>
      <c r="AC34" s="560">
        <f t="shared" si="27"/>
        <v>1942</v>
      </c>
      <c r="AD34" s="265">
        <f>AC34-AC33</f>
        <v>0</v>
      </c>
      <c r="AE34" s="560">
        <f t="shared" si="28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0">
        <f t="shared" ref="AN34:AP35" si="71">AN33</f>
        <v>65</v>
      </c>
      <c r="AO34" s="314">
        <f t="shared" si="53"/>
        <v>1950</v>
      </c>
      <c r="AP34" s="560">
        <f t="shared" si="71"/>
        <v>55</v>
      </c>
      <c r="AQ34" s="314">
        <f>(AP34/100)*3000</f>
        <v>1650.0000000000002</v>
      </c>
      <c r="AR34" s="560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5"/>
        <v>0.8</v>
      </c>
    </row>
    <row r="35" spans="1:50">
      <c r="A35" s="63">
        <f>ELEC!C34</f>
        <v>44500</v>
      </c>
      <c r="B35" s="560">
        <f t="shared" si="12"/>
        <v>157</v>
      </c>
      <c r="C35" s="560">
        <f t="shared" si="13"/>
        <v>164</v>
      </c>
      <c r="D35" s="45">
        <f>C34-C35</f>
        <v>0</v>
      </c>
      <c r="E35" s="45">
        <f>D35*8.38</f>
        <v>0</v>
      </c>
      <c r="F35" s="560">
        <f t="shared" si="15"/>
        <v>1891</v>
      </c>
      <c r="G35" s="52">
        <f>F35-F34</f>
        <v>0</v>
      </c>
      <c r="H35" s="560">
        <f t="shared" si="16"/>
        <v>17176</v>
      </c>
      <c r="I35" s="389">
        <f>SUM(H35-H34)</f>
        <v>0</v>
      </c>
      <c r="J35" s="66">
        <f>IF(G35&gt;0,I35/G35,0)</f>
        <v>0</v>
      </c>
      <c r="K35" s="560">
        <f t="shared" si="18"/>
        <v>2356</v>
      </c>
      <c r="L35" s="52">
        <f>K35-K34</f>
        <v>0</v>
      </c>
      <c r="M35" s="560">
        <f t="shared" si="20"/>
        <v>173915</v>
      </c>
      <c r="N35" s="389">
        <f>M35-M34</f>
        <v>0</v>
      </c>
      <c r="O35" s="64">
        <f t="shared" si="48"/>
        <v>1869</v>
      </c>
      <c r="P35" s="560">
        <f t="shared" si="45"/>
        <v>2129</v>
      </c>
      <c r="Q35" s="560">
        <f t="shared" si="46"/>
        <v>178720</v>
      </c>
      <c r="R35" s="388">
        <f>Q35-Q34</f>
        <v>0</v>
      </c>
      <c r="S35" s="52">
        <f>SUM(P35-P34)</f>
        <v>0</v>
      </c>
      <c r="T35" s="67">
        <f>SUM(S35*$T$2)</f>
        <v>0</v>
      </c>
      <c r="U35" s="395">
        <f>SUM(G35+L35+S35)</f>
        <v>0</v>
      </c>
      <c r="V35" s="62">
        <f>R35+N35+I35:I35</f>
        <v>0</v>
      </c>
      <c r="W35" s="393"/>
      <c r="X35" s="560">
        <f t="shared" si="24"/>
        <v>2470</v>
      </c>
      <c r="Y35" s="52">
        <f>X35-X34</f>
        <v>0</v>
      </c>
      <c r="Z35" s="560">
        <f t="shared" si="26"/>
        <v>139138.1</v>
      </c>
      <c r="AA35" s="65">
        <f>Z35-Z34</f>
        <v>0</v>
      </c>
      <c r="AB35" s="279">
        <f>SUM(Y35*$AB$2)</f>
        <v>0</v>
      </c>
      <c r="AC35" s="560">
        <f t="shared" si="27"/>
        <v>1942</v>
      </c>
      <c r="AD35" s="265">
        <f>AC35-AC34</f>
        <v>0</v>
      </c>
      <c r="AE35" s="560">
        <f t="shared" si="28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0">
        <f t="shared" si="71"/>
        <v>65</v>
      </c>
      <c r="AO35" s="314">
        <f t="shared" ref="AO35" si="72">(AN35/100)*3000</f>
        <v>1950</v>
      </c>
      <c r="AP35" s="560">
        <f t="shared" si="71"/>
        <v>55</v>
      </c>
      <c r="AQ35" s="314">
        <f>(AP35/100)*3000</f>
        <v>1650.0000000000002</v>
      </c>
      <c r="AR35" s="560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73">IF(AV35&gt;0,AW35,AX34)</f>
        <v>0.8</v>
      </c>
    </row>
    <row r="36" spans="1:50">
      <c r="J36" s="278">
        <f>SUM(J5:J32)/(COUNT(J5:J32)-COUNTIF(J5:J32,0))</f>
        <v>41</v>
      </c>
      <c r="V36" s="62" t="e">
        <f>SUM(V5:W35)</f>
        <v>#DIV/0!</v>
      </c>
      <c r="AE36" s="71" t="s">
        <v>382</v>
      </c>
      <c r="AG36" s="338"/>
      <c r="AH36" s="62">
        <f>SUM(AH5:AH35)</f>
        <v>0</v>
      </c>
      <c r="AL36" s="62">
        <f>SUM(AL5:AL35)</f>
        <v>1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81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0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="90" zoomScaleNormal="90" workbookViewId="0">
      <pane ySplit="3" topLeftCell="A5" activePane="bottomLeft" state="frozen"/>
      <selection pane="bottomLeft" activeCell="AY8" sqref="AY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79" customWidth="1"/>
    <col min="14" max="14" width="10.7109375" style="481" customWidth="1"/>
    <col min="15" max="15" width="11.28515625" style="479" customWidth="1"/>
    <col min="16" max="16" width="11.28515625" style="481" customWidth="1"/>
    <col min="17" max="17" width="17.28515625" style="479" customWidth="1"/>
    <col min="18" max="19" width="10.7109375" style="479" customWidth="1"/>
    <col min="20" max="20" width="13.28515625" style="399" customWidth="1"/>
    <col min="21" max="21" width="8.7109375" style="402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2" customFormat="1" ht="15.75" thickBot="1">
      <c r="B1" s="353"/>
      <c r="C1" s="353"/>
      <c r="D1" s="409">
        <f>SUM(G21:G33)</f>
        <v>8121399</v>
      </c>
      <c r="E1" s="354"/>
      <c r="F1" s="354"/>
      <c r="G1" s="353"/>
      <c r="H1" s="353"/>
      <c r="I1" s="353"/>
      <c r="J1" s="354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5"/>
      <c r="AI1" s="355"/>
      <c r="AJ1" s="355"/>
      <c r="AK1" s="355"/>
      <c r="AL1" s="355"/>
      <c r="AM1" s="355"/>
      <c r="AN1" s="353"/>
      <c r="AR1" s="356" t="s">
        <v>92</v>
      </c>
      <c r="AS1" s="357"/>
      <c r="AT1" s="357" t="s">
        <v>60</v>
      </c>
      <c r="AU1" s="357"/>
      <c r="AV1" s="358" t="s">
        <v>61</v>
      </c>
    </row>
    <row r="2" spans="1:65" s="352" customFormat="1" ht="15.75" customHeight="1" thickBot="1">
      <c r="B2" s="353"/>
      <c r="C2" s="353"/>
      <c r="D2" s="353"/>
      <c r="E2" s="354"/>
      <c r="F2" s="354"/>
      <c r="G2" s="353"/>
      <c r="H2" s="353"/>
      <c r="I2" s="353"/>
      <c r="J2" s="354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  <c r="AN2" s="353"/>
      <c r="AR2" s="658" t="s">
        <v>95</v>
      </c>
      <c r="AS2" s="659"/>
      <c r="AT2" s="659"/>
      <c r="AU2" s="659"/>
      <c r="AV2" s="660"/>
      <c r="AW2" s="658" t="s">
        <v>96</v>
      </c>
      <c r="AX2" s="659"/>
      <c r="AY2" s="660"/>
      <c r="AZ2" s="658" t="s">
        <v>98</v>
      </c>
      <c r="BA2" s="659"/>
      <c r="BB2" s="660"/>
      <c r="BC2" s="359"/>
      <c r="BE2" s="360"/>
    </row>
    <row r="3" spans="1:65" s="352" customFormat="1" ht="48" customHeight="1" thickBot="1">
      <c r="A3" s="361" t="s">
        <v>51</v>
      </c>
      <c r="B3" s="362" t="s">
        <v>52</v>
      </c>
      <c r="C3" s="362" t="s">
        <v>53</v>
      </c>
      <c r="D3" s="362" t="s">
        <v>54</v>
      </c>
      <c r="E3" s="363"/>
      <c r="F3" s="364" t="s">
        <v>80</v>
      </c>
      <c r="G3" s="362" t="s">
        <v>55</v>
      </c>
      <c r="H3" s="362" t="s">
        <v>56</v>
      </c>
      <c r="I3" s="362" t="s">
        <v>100</v>
      </c>
      <c r="J3" s="363"/>
      <c r="K3" s="362" t="s">
        <v>391</v>
      </c>
      <c r="L3" s="365" t="s">
        <v>326</v>
      </c>
      <c r="M3" s="497" t="s">
        <v>398</v>
      </c>
      <c r="N3" s="498"/>
      <c r="O3" s="499" t="s">
        <v>399</v>
      </c>
      <c r="P3" s="499"/>
      <c r="Q3" s="499" t="s">
        <v>395</v>
      </c>
      <c r="R3" s="499" t="s">
        <v>397</v>
      </c>
      <c r="S3" s="499" t="s">
        <v>396</v>
      </c>
      <c r="T3" s="362" t="s">
        <v>379</v>
      </c>
      <c r="U3" s="362" t="s">
        <v>381</v>
      </c>
      <c r="V3" s="366" t="s">
        <v>330</v>
      </c>
      <c r="W3" s="367" t="s">
        <v>331</v>
      </c>
      <c r="X3" s="366" t="s">
        <v>334</v>
      </c>
      <c r="Y3" s="367" t="s">
        <v>335</v>
      </c>
      <c r="Z3" s="368" t="s">
        <v>336</v>
      </c>
      <c r="AA3" s="369" t="s">
        <v>394</v>
      </c>
      <c r="AB3" s="433" t="s">
        <v>393</v>
      </c>
      <c r="AC3" s="431" t="s">
        <v>392</v>
      </c>
      <c r="AD3" s="431"/>
      <c r="AE3" s="370" t="s">
        <v>402</v>
      </c>
      <c r="AF3" s="370" t="s">
        <v>403</v>
      </c>
      <c r="AG3" s="370" t="s">
        <v>404</v>
      </c>
      <c r="AH3" s="370" t="s">
        <v>405</v>
      </c>
      <c r="AI3" s="369" t="s">
        <v>406</v>
      </c>
      <c r="AJ3" s="369" t="s">
        <v>337</v>
      </c>
      <c r="AK3" s="370" t="s">
        <v>339</v>
      </c>
      <c r="AL3" s="370" t="s">
        <v>338</v>
      </c>
      <c r="AM3" s="371" t="s">
        <v>125</v>
      </c>
      <c r="AN3" s="655" t="s">
        <v>126</v>
      </c>
      <c r="AO3" s="656"/>
      <c r="AP3" s="657"/>
      <c r="AR3" s="372" t="s">
        <v>51</v>
      </c>
      <c r="AS3" s="373"/>
      <c r="AT3" s="372" t="s">
        <v>94</v>
      </c>
      <c r="AU3" s="373"/>
      <c r="AV3" s="374" t="s">
        <v>57</v>
      </c>
      <c r="AW3" s="375"/>
      <c r="AX3" s="373" t="s">
        <v>59</v>
      </c>
      <c r="AY3" s="376" t="s">
        <v>93</v>
      </c>
      <c r="AZ3" s="374" t="s">
        <v>57</v>
      </c>
      <c r="BA3" s="377" t="s">
        <v>59</v>
      </c>
      <c r="BB3" s="378" t="s">
        <v>57</v>
      </c>
      <c r="BC3" s="378" t="s">
        <v>58</v>
      </c>
      <c r="BD3" s="379" t="s">
        <v>59</v>
      </c>
      <c r="BE3" s="380" t="s">
        <v>99</v>
      </c>
      <c r="BF3" s="379" t="s">
        <v>97</v>
      </c>
      <c r="BG3" s="381"/>
      <c r="BI3" s="382"/>
      <c r="BJ3" s="382"/>
      <c r="BK3" s="382"/>
      <c r="BL3" s="382"/>
      <c r="BM3" s="382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0"/>
      <c r="N4" s="500"/>
      <c r="O4" s="500"/>
      <c r="P4" s="500"/>
      <c r="Q4" s="500"/>
      <c r="R4" s="500"/>
      <c r="S4" s="500"/>
      <c r="T4" s="83"/>
      <c r="U4" s="83"/>
      <c r="V4" s="317"/>
      <c r="W4" s="318"/>
      <c r="X4" s="317"/>
      <c r="Y4" s="318"/>
      <c r="Z4" s="319"/>
      <c r="AA4" s="432"/>
      <c r="AB4" s="434"/>
      <c r="AC4" s="432"/>
      <c r="AD4" s="432"/>
      <c r="AE4" s="432"/>
      <c r="AF4" s="432"/>
      <c r="AG4" s="432"/>
      <c r="AH4" s="432"/>
      <c r="AI4" s="432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3">
        <f>[2]WATER!B35</f>
        <v>109443</v>
      </c>
      <c r="C5" s="403">
        <f>[2]WATER!C35</f>
        <v>0</v>
      </c>
      <c r="D5" s="403">
        <f>[2]WATER!D35</f>
        <v>0</v>
      </c>
      <c r="E5" s="403">
        <f>[2]WATER!E35</f>
        <v>250</v>
      </c>
      <c r="F5" s="403">
        <f>[2]WATER!F35</f>
        <v>0</v>
      </c>
      <c r="G5" s="403">
        <f>[2]WATER!G35</f>
        <v>624723</v>
      </c>
      <c r="H5" s="403">
        <f>[2]WATER!H35</f>
        <v>0</v>
      </c>
      <c r="I5" s="403">
        <f>[2]WATER!I35</f>
        <v>0</v>
      </c>
      <c r="J5" s="403">
        <f>[2]WATER!J35</f>
        <v>0</v>
      </c>
      <c r="K5" s="403">
        <f>[2]WATER!K35</f>
        <v>6884</v>
      </c>
      <c r="L5" s="403">
        <f>[2]WATER!L35</f>
        <v>2</v>
      </c>
      <c r="M5" s="403">
        <f>[2]WATER!M35</f>
        <v>457.44</v>
      </c>
      <c r="N5" s="403">
        <f>[2]WATER!N35</f>
        <v>0</v>
      </c>
      <c r="O5" s="403">
        <f>[2]WATER!O35</f>
        <v>529.52</v>
      </c>
      <c r="P5" s="403">
        <f>[2]WATER!P35</f>
        <v>0</v>
      </c>
      <c r="Q5" s="403">
        <f>[2]WATER!Q35</f>
        <v>0</v>
      </c>
      <c r="R5" s="403">
        <f>[2]WATER!R35</f>
        <v>0</v>
      </c>
      <c r="S5" s="403">
        <f>[2]WATER!S35</f>
        <v>0</v>
      </c>
      <c r="T5" s="403">
        <f>[2]WATER!T35</f>
        <v>5180</v>
      </c>
      <c r="U5" s="403">
        <f>[2]WATER!U35</f>
        <v>4</v>
      </c>
      <c r="V5" s="403">
        <f>[2]WATER!V35</f>
        <v>477</v>
      </c>
      <c r="W5" s="403">
        <f>[2]WATER!W35</f>
        <v>1</v>
      </c>
      <c r="X5" s="403">
        <f>[2]WATER!X35</f>
        <v>153815</v>
      </c>
      <c r="Y5" s="403">
        <f>[2]WATER!Y35</f>
        <v>85</v>
      </c>
      <c r="Z5" s="403">
        <f>[2]WATER!Z35</f>
        <v>99258</v>
      </c>
      <c r="AA5" s="403">
        <f>[2]WATER!AA35</f>
        <v>0</v>
      </c>
      <c r="AB5" s="403">
        <f>[2]WATER!AB35</f>
        <v>238</v>
      </c>
      <c r="AC5" s="403">
        <f>[2]WATER!AC35</f>
        <v>779</v>
      </c>
      <c r="AD5" s="403">
        <f>[2]WATER!AD35</f>
        <v>0</v>
      </c>
      <c r="AE5" s="403">
        <f>[2]WATER!AE35</f>
        <v>238.2</v>
      </c>
      <c r="AF5" s="403">
        <f>[2]WATER!AF35</f>
        <v>0</v>
      </c>
      <c r="AG5" s="403">
        <f>[2]WATER!AG35</f>
        <v>2215.8000000000002</v>
      </c>
      <c r="AH5" s="403">
        <f>[2]WATER!AH35</f>
        <v>0</v>
      </c>
      <c r="AI5" s="403">
        <f>[2]WATER!AI35</f>
        <v>0</v>
      </c>
      <c r="AJ5" s="403">
        <f>[2]WATER!AJ35</f>
        <v>0</v>
      </c>
      <c r="AK5" s="403">
        <f>[2]WATER!AK35</f>
        <v>83</v>
      </c>
      <c r="AL5" s="403">
        <f>[2]WATER!AL35</f>
        <v>-1</v>
      </c>
      <c r="AM5" s="403">
        <f>[2]WATER!AM35</f>
        <v>26</v>
      </c>
      <c r="AN5" s="403">
        <f>[2]WATER!AN35</f>
        <v>0</v>
      </c>
      <c r="AO5" s="403">
        <f>[2]WATER!AO35</f>
        <v>0</v>
      </c>
      <c r="AP5" s="403">
        <f>[2]WATER!AP35</f>
        <v>0</v>
      </c>
      <c r="AR5" s="571">
        <f>[2]WATER!$AR$35</f>
        <v>44469</v>
      </c>
      <c r="AS5" s="403">
        <f>[2]WATER!AS35</f>
        <v>0.9</v>
      </c>
      <c r="AT5" s="403">
        <f>[2]WATER!AT35</f>
        <v>107</v>
      </c>
      <c r="AU5" s="403">
        <f>[2]WATER!AU35</f>
        <v>1.1000000000000001</v>
      </c>
      <c r="AV5" s="403">
        <f>[2]WATER!AV35</f>
        <v>155</v>
      </c>
      <c r="AW5" s="403">
        <f>[2]WATER!AW35</f>
        <v>2.9</v>
      </c>
      <c r="AX5" s="403">
        <f>[2]WATER!AX35</f>
        <v>131</v>
      </c>
      <c r="AY5" s="403">
        <f>[2]WATER!AY35</f>
        <v>96.3</v>
      </c>
      <c r="AZ5" s="403">
        <f>[2]WATER!AZ35</f>
        <v>170.5</v>
      </c>
      <c r="BA5" s="403">
        <f>[2]WATER!BA35</f>
        <v>379.9</v>
      </c>
      <c r="BB5" s="403">
        <f>[2]WATER!BB35</f>
        <v>-60.3</v>
      </c>
      <c r="BC5" s="403">
        <f>[2]WATER!BC35</f>
        <v>-2.2000000000000171</v>
      </c>
      <c r="BD5" s="403">
        <f>[2]WATER!BD35</f>
        <v>43.5</v>
      </c>
      <c r="BE5" s="403">
        <f>[2]WATER!BE35</f>
        <v>-19.000000000000014</v>
      </c>
      <c r="BF5" s="403">
        <f>[2]WATER!BF35</f>
        <v>19.000000000000014</v>
      </c>
      <c r="BG5" s="403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12">
        <f>C6/27</f>
        <v>0</v>
      </c>
      <c r="E6" s="327">
        <f>SUM((C6*$E$4)+(7500/'EDl log'!$A$37))</f>
        <v>241.93548387096774</v>
      </c>
      <c r="F6" s="411"/>
      <c r="G6" s="5">
        <f>G5</f>
        <v>624723</v>
      </c>
      <c r="H6" s="5">
        <f>G6-G5</f>
        <v>0</v>
      </c>
      <c r="I6" s="5">
        <f>C6+H6</f>
        <v>0</v>
      </c>
      <c r="J6" s="328">
        <f t="shared" ref="J6:J33" si="0">IF(I6&gt;0,E6/I6,0)</f>
        <v>0</v>
      </c>
      <c r="K6" s="5">
        <f>'Swimming Pool quality check '!H6</f>
        <v>6884</v>
      </c>
      <c r="L6" s="83">
        <v>0</v>
      </c>
      <c r="M6" s="403">
        <f>M5</f>
        <v>457.44</v>
      </c>
      <c r="N6" s="500">
        <f t="shared" ref="N6:N13" si="1">SUM(M6-M5)</f>
        <v>0</v>
      </c>
      <c r="O6" s="403">
        <f>O5</f>
        <v>529.52</v>
      </c>
      <c r="P6" s="500">
        <f t="shared" ref="P6:P13" si="2">SUM(O6-O5)</f>
        <v>0</v>
      </c>
      <c r="Q6" s="501">
        <f>P6+N6</f>
        <v>0</v>
      </c>
      <c r="R6" s="500"/>
      <c r="S6" s="500"/>
      <c r="T6" s="5">
        <v>5176</v>
      </c>
      <c r="U6" s="5">
        <f t="shared" ref="U6:U33" si="3">SUM(T6-T5)</f>
        <v>-4</v>
      </c>
      <c r="V6" s="5">
        <f>V5</f>
        <v>477</v>
      </c>
      <c r="W6" s="318">
        <f>+V6-V5</f>
        <v>0</v>
      </c>
      <c r="X6" s="5">
        <f>X5</f>
        <v>153815</v>
      </c>
      <c r="Y6" s="318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0</v>
      </c>
      <c r="AL6" s="321">
        <f>SUM(AJ6-W6)</f>
        <v>0</v>
      </c>
      <c r="AM6" s="321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2">
        <f>A6</f>
        <v>44470</v>
      </c>
      <c r="AS6" s="417">
        <f>AS5</f>
        <v>0.9</v>
      </c>
      <c r="AT6" s="201">
        <f>AT5</f>
        <v>107</v>
      </c>
      <c r="AU6" s="418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9">
        <f>AY5</f>
        <v>96.3</v>
      </c>
      <c r="AZ6" s="419">
        <f>AU6*AV6</f>
        <v>170.5</v>
      </c>
      <c r="BA6" s="419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12">
        <f t="shared" ref="D7:D33" si="8">C7/27</f>
        <v>0</v>
      </c>
      <c r="E7" s="327">
        <f>SUM((C7*$E$4)+(7500/'EDl log'!$A$37))</f>
        <v>241.93548387096774</v>
      </c>
      <c r="F7" s="411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6884</v>
      </c>
      <c r="L7" s="83">
        <f>K7-K6</f>
        <v>0</v>
      </c>
      <c r="M7" s="403">
        <f t="shared" ref="M7:M36" si="12">M6</f>
        <v>457.44</v>
      </c>
      <c r="N7" s="500">
        <f t="shared" si="1"/>
        <v>0</v>
      </c>
      <c r="O7" s="403">
        <f t="shared" ref="O7:O36" si="13">O6</f>
        <v>529.52</v>
      </c>
      <c r="P7" s="500">
        <f t="shared" si="2"/>
        <v>0</v>
      </c>
      <c r="Q7" s="501">
        <f>P7+N7</f>
        <v>0</v>
      </c>
      <c r="R7" s="500"/>
      <c r="S7" s="500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8">
        <f t="shared" ref="W7:W33" si="16">+V7-V6</f>
        <v>0</v>
      </c>
      <c r="X7" s="5">
        <f t="shared" ref="X7:X36" si="17">X6</f>
        <v>153815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2">
        <f t="shared" ref="AR7:AR33" si="29">A7</f>
        <v>44471</v>
      </c>
      <c r="AS7" s="417">
        <f t="shared" ref="AS7:AT21" si="30">AS6</f>
        <v>0.9</v>
      </c>
      <c r="AT7" s="201">
        <f t="shared" si="30"/>
        <v>107</v>
      </c>
      <c r="AU7" s="418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9">
        <f t="shared" ref="AY7:AY35" si="33">AS7*AT7</f>
        <v>96.3</v>
      </c>
      <c r="AZ7" s="419">
        <f t="shared" ref="AZ7:AZ33" si="34">AU7*AV7</f>
        <v>170.5</v>
      </c>
      <c r="BA7" s="419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12">
        <f t="shared" si="8"/>
        <v>0</v>
      </c>
      <c r="E8" s="327">
        <f>SUM((C8*$E$4)+(7500/'EDl log'!$A$37))</f>
        <v>241.93548387096774</v>
      </c>
      <c r="F8" s="411"/>
      <c r="G8" s="5">
        <f t="shared" si="9"/>
        <v>624723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6886</v>
      </c>
      <c r="L8" s="83">
        <f>K8-K7</f>
        <v>2</v>
      </c>
      <c r="M8" s="403">
        <f t="shared" si="12"/>
        <v>457.44</v>
      </c>
      <c r="N8" s="500">
        <f t="shared" si="1"/>
        <v>0</v>
      </c>
      <c r="O8" s="403">
        <f t="shared" si="13"/>
        <v>529.52</v>
      </c>
      <c r="P8" s="500">
        <f t="shared" si="2"/>
        <v>0</v>
      </c>
      <c r="Q8" s="501">
        <f>P8+N8</f>
        <v>0</v>
      </c>
      <c r="R8" s="500"/>
      <c r="S8" s="500"/>
      <c r="T8" s="5">
        <f t="shared" si="14"/>
        <v>5176</v>
      </c>
      <c r="U8" s="5">
        <f t="shared" si="3"/>
        <v>0</v>
      </c>
      <c r="V8" s="5">
        <f t="shared" si="15"/>
        <v>477</v>
      </c>
      <c r="W8" s="318">
        <f t="shared" si="16"/>
        <v>0</v>
      </c>
      <c r="X8" s="5">
        <f t="shared" si="17"/>
        <v>153815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20">
        <f t="shared" si="27"/>
        <v>0</v>
      </c>
      <c r="AK8" s="321">
        <f t="shared" ref="AK8:AK33" si="40">SUM(Y8-L8)</f>
        <v>-2</v>
      </c>
      <c r="AL8" s="321">
        <f t="shared" si="28"/>
        <v>0</v>
      </c>
      <c r="AM8" s="321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2">
        <f t="shared" si="29"/>
        <v>44472</v>
      </c>
      <c r="AS8" s="417">
        <f t="shared" si="30"/>
        <v>0.9</v>
      </c>
      <c r="AT8" s="201">
        <v>120</v>
      </c>
      <c r="AU8" s="418">
        <v>1.1000000000000001</v>
      </c>
      <c r="AV8" s="201">
        <v>154</v>
      </c>
      <c r="AW8" s="5">
        <v>2.9</v>
      </c>
      <c r="AX8" s="201">
        <v>125</v>
      </c>
      <c r="AY8" s="419">
        <f t="shared" si="33"/>
        <v>108</v>
      </c>
      <c r="AZ8" s="419">
        <f t="shared" si="34"/>
        <v>169.4</v>
      </c>
      <c r="BA8" s="419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12">
        <f t="shared" si="8"/>
        <v>0</v>
      </c>
      <c r="E9" s="327">
        <f>SUM((C9*$E$4)+(7500/'EDl log'!$A$37))</f>
        <v>241.93548387096774</v>
      </c>
      <c r="F9" s="411"/>
      <c r="G9" s="5">
        <f t="shared" si="9"/>
        <v>624723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6886</v>
      </c>
      <c r="L9" s="83">
        <f t="shared" ref="L9:L33" si="41">K9-K8</f>
        <v>0</v>
      </c>
      <c r="M9" s="403">
        <f t="shared" si="12"/>
        <v>457.44</v>
      </c>
      <c r="N9" s="500">
        <f t="shared" si="1"/>
        <v>0</v>
      </c>
      <c r="O9" s="403">
        <f t="shared" si="13"/>
        <v>529.52</v>
      </c>
      <c r="P9" s="500">
        <f t="shared" si="2"/>
        <v>0</v>
      </c>
      <c r="Q9" s="501">
        <f>P9+N9</f>
        <v>0</v>
      </c>
      <c r="R9" s="500"/>
      <c r="S9" s="500"/>
      <c r="T9" s="5">
        <f t="shared" si="14"/>
        <v>5176</v>
      </c>
      <c r="U9" s="5">
        <f t="shared" si="3"/>
        <v>0</v>
      </c>
      <c r="V9" s="5">
        <f t="shared" si="15"/>
        <v>477</v>
      </c>
      <c r="W9" s="318">
        <f t="shared" si="16"/>
        <v>0</v>
      </c>
      <c r="X9" s="5">
        <f t="shared" si="17"/>
        <v>153815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f t="shared" si="21"/>
        <v>779</v>
      </c>
      <c r="AD9" s="83">
        <f t="shared" si="39"/>
        <v>0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40"/>
        <v>0</v>
      </c>
      <c r="AL9" s="321">
        <f t="shared" si="28"/>
        <v>0</v>
      </c>
      <c r="AM9" s="321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72">
        <f t="shared" si="29"/>
        <v>44473</v>
      </c>
      <c r="AS9" s="417">
        <f t="shared" si="30"/>
        <v>0.9</v>
      </c>
      <c r="AT9" s="201">
        <f t="shared" si="30"/>
        <v>120</v>
      </c>
      <c r="AU9" s="418">
        <f t="shared" ref="AU9:AU33" si="43">AU8</f>
        <v>1.1000000000000001</v>
      </c>
      <c r="AV9" s="201">
        <f t="shared" si="31"/>
        <v>154</v>
      </c>
      <c r="AW9" s="5">
        <v>2.9</v>
      </c>
      <c r="AX9" s="201">
        <f t="shared" si="32"/>
        <v>125</v>
      </c>
      <c r="AY9" s="419">
        <f t="shared" si="33"/>
        <v>108</v>
      </c>
      <c r="AZ9" s="419">
        <f t="shared" si="34"/>
        <v>169.4</v>
      </c>
      <c r="BA9" s="419">
        <f t="shared" si="35"/>
        <v>362.5</v>
      </c>
      <c r="BB9" s="21">
        <f t="shared" si="36"/>
        <v>0</v>
      </c>
      <c r="BC9" s="21">
        <f t="shared" si="37"/>
        <v>0</v>
      </c>
      <c r="BD9" s="21">
        <f t="shared" si="37"/>
        <v>0</v>
      </c>
      <c r="BE9" s="24">
        <f t="shared" si="38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12">
        <f t="shared" si="8"/>
        <v>0</v>
      </c>
      <c r="E10" s="327">
        <f>SUM((C10*$E$4)+(7500/'EDl log'!$A$37))</f>
        <v>241.93548387096774</v>
      </c>
      <c r="F10" s="411"/>
      <c r="G10" s="5">
        <f t="shared" si="9"/>
        <v>624723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6886</v>
      </c>
      <c r="L10" s="83">
        <f>K10-K9</f>
        <v>0</v>
      </c>
      <c r="M10" s="403">
        <f t="shared" si="12"/>
        <v>457.44</v>
      </c>
      <c r="N10" s="500">
        <f t="shared" si="1"/>
        <v>0</v>
      </c>
      <c r="O10" s="403">
        <f t="shared" si="13"/>
        <v>529.52</v>
      </c>
      <c r="P10" s="500">
        <f t="shared" si="2"/>
        <v>0</v>
      </c>
      <c r="Q10" s="501">
        <f>P10+N10</f>
        <v>0</v>
      </c>
      <c r="R10" s="500"/>
      <c r="S10" s="500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8">
        <f t="shared" si="16"/>
        <v>0</v>
      </c>
      <c r="X10" s="5">
        <f t="shared" si="17"/>
        <v>153815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779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0</v>
      </c>
      <c r="AL10" s="321">
        <f t="shared" si="28"/>
        <v>0</v>
      </c>
      <c r="AM10" s="321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2">
        <f t="shared" si="29"/>
        <v>44474</v>
      </c>
      <c r="AS10" s="417">
        <f t="shared" si="30"/>
        <v>0.9</v>
      </c>
      <c r="AT10" s="201">
        <f t="shared" si="30"/>
        <v>120</v>
      </c>
      <c r="AU10" s="418">
        <f t="shared" si="43"/>
        <v>1.1000000000000001</v>
      </c>
      <c r="AV10" s="201">
        <f t="shared" si="31"/>
        <v>154</v>
      </c>
      <c r="AW10" s="5">
        <v>2.9</v>
      </c>
      <c r="AX10" s="201">
        <f t="shared" si="32"/>
        <v>125</v>
      </c>
      <c r="AY10" s="419">
        <f t="shared" si="33"/>
        <v>108</v>
      </c>
      <c r="AZ10" s="419">
        <f t="shared" si="34"/>
        <v>169.4</v>
      </c>
      <c r="BA10" s="419">
        <f t="shared" si="35"/>
        <v>362.5</v>
      </c>
      <c r="BB10" s="21">
        <f t="shared" si="36"/>
        <v>0</v>
      </c>
      <c r="BC10" s="21">
        <f t="shared" si="37"/>
        <v>0</v>
      </c>
      <c r="BD10" s="21">
        <f t="shared" si="37"/>
        <v>0</v>
      </c>
      <c r="BE10" s="24">
        <f t="shared" si="38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12">
        <f t="shared" si="8"/>
        <v>0</v>
      </c>
      <c r="E11" s="327">
        <f>SUM((C11*$E$4)+(7500/'EDl log'!$A$37))</f>
        <v>241.93548387096774</v>
      </c>
      <c r="F11" s="411"/>
      <c r="G11" s="5">
        <f t="shared" si="9"/>
        <v>624723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6886</v>
      </c>
      <c r="L11" s="83">
        <f t="shared" si="41"/>
        <v>0</v>
      </c>
      <c r="M11" s="403">
        <f t="shared" si="12"/>
        <v>457.44</v>
      </c>
      <c r="N11" s="500">
        <f t="shared" si="1"/>
        <v>0</v>
      </c>
      <c r="O11" s="403">
        <f t="shared" si="13"/>
        <v>529.52</v>
      </c>
      <c r="P11" s="500">
        <f t="shared" si="2"/>
        <v>0</v>
      </c>
      <c r="Q11" s="500">
        <f>SUM(P11+N11)</f>
        <v>0</v>
      </c>
      <c r="R11" s="500"/>
      <c r="S11" s="500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8">
        <f t="shared" si="16"/>
        <v>0</v>
      </c>
      <c r="X11" s="5">
        <f t="shared" si="17"/>
        <v>153815</v>
      </c>
      <c r="Y11" s="318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779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40"/>
        <v>0</v>
      </c>
      <c r="AL11" s="321">
        <f t="shared" si="28"/>
        <v>0</v>
      </c>
      <c r="AM11" s="32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2">
        <f t="shared" si="29"/>
        <v>44475</v>
      </c>
      <c r="AS11" s="417">
        <f t="shared" si="30"/>
        <v>0.9</v>
      </c>
      <c r="AT11" s="201">
        <f t="shared" si="30"/>
        <v>120</v>
      </c>
      <c r="AU11" s="418">
        <f t="shared" si="43"/>
        <v>1.1000000000000001</v>
      </c>
      <c r="AV11" s="201">
        <f t="shared" si="31"/>
        <v>154</v>
      </c>
      <c r="AW11" s="5">
        <v>2.9</v>
      </c>
      <c r="AX11" s="201">
        <f t="shared" si="32"/>
        <v>125</v>
      </c>
      <c r="AY11" s="419">
        <f t="shared" si="33"/>
        <v>108</v>
      </c>
      <c r="AZ11" s="419">
        <f t="shared" si="34"/>
        <v>169.4</v>
      </c>
      <c r="BA11" s="419">
        <f t="shared" si="35"/>
        <v>362.5</v>
      </c>
      <c r="BB11" s="21">
        <f t="shared" si="36"/>
        <v>0</v>
      </c>
      <c r="BC11" s="21">
        <f t="shared" si="37"/>
        <v>0</v>
      </c>
      <c r="BD11" s="21">
        <f t="shared" si="37"/>
        <v>0</v>
      </c>
      <c r="BE11" s="24">
        <f t="shared" si="38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12">
        <f t="shared" si="8"/>
        <v>0</v>
      </c>
      <c r="E12" s="327">
        <f>SUM((C12*$E$4)+(7500/'EDl log'!$A$37))</f>
        <v>241.93548387096774</v>
      </c>
      <c r="F12" s="411"/>
      <c r="G12" s="5">
        <f t="shared" si="9"/>
        <v>624723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6886</v>
      </c>
      <c r="L12" s="83">
        <f t="shared" si="41"/>
        <v>0</v>
      </c>
      <c r="M12" s="403">
        <f t="shared" si="12"/>
        <v>457.44</v>
      </c>
      <c r="N12" s="500">
        <f t="shared" si="1"/>
        <v>0</v>
      </c>
      <c r="O12" s="403">
        <f t="shared" si="13"/>
        <v>529.52</v>
      </c>
      <c r="P12" s="500">
        <f t="shared" si="2"/>
        <v>0</v>
      </c>
      <c r="Q12" s="500">
        <f>SUM(P12+N12)</f>
        <v>0</v>
      </c>
      <c r="R12" s="500"/>
      <c r="S12" s="500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8">
        <f t="shared" si="16"/>
        <v>0</v>
      </c>
      <c r="X12" s="5">
        <f t="shared" si="17"/>
        <v>153815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779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40"/>
        <v>0</v>
      </c>
      <c r="AL12" s="321">
        <f t="shared" si="28"/>
        <v>0</v>
      </c>
      <c r="AM12" s="321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2">
        <f t="shared" si="29"/>
        <v>44476</v>
      </c>
      <c r="AS12" s="417">
        <f t="shared" si="30"/>
        <v>0.9</v>
      </c>
      <c r="AT12" s="201">
        <f t="shared" si="30"/>
        <v>120</v>
      </c>
      <c r="AU12" s="418">
        <f t="shared" si="43"/>
        <v>1.1000000000000001</v>
      </c>
      <c r="AV12" s="201">
        <f t="shared" si="31"/>
        <v>154</v>
      </c>
      <c r="AW12" s="5">
        <v>2.9</v>
      </c>
      <c r="AX12" s="201">
        <f t="shared" si="32"/>
        <v>125</v>
      </c>
      <c r="AY12" s="419">
        <f t="shared" si="33"/>
        <v>108</v>
      </c>
      <c r="AZ12" s="419">
        <f t="shared" si="34"/>
        <v>169.4</v>
      </c>
      <c r="BA12" s="419">
        <f t="shared" si="35"/>
        <v>362.5</v>
      </c>
      <c r="BB12" s="21">
        <f t="shared" si="36"/>
        <v>0</v>
      </c>
      <c r="BC12" s="21">
        <f t="shared" si="37"/>
        <v>0</v>
      </c>
      <c r="BD12" s="21">
        <f t="shared" si="37"/>
        <v>0</v>
      </c>
      <c r="BE12" s="24">
        <f t="shared" si="38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12">
        <f t="shared" si="8"/>
        <v>0</v>
      </c>
      <c r="E13" s="327">
        <f>SUM((C13*$E$4)+(7500/'EDl log'!$A$37))</f>
        <v>241.93548387096774</v>
      </c>
      <c r="F13" s="411"/>
      <c r="G13" s="5">
        <f t="shared" si="9"/>
        <v>624723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6886</v>
      </c>
      <c r="L13" s="83">
        <f t="shared" si="41"/>
        <v>0</v>
      </c>
      <c r="M13" s="403">
        <f t="shared" si="12"/>
        <v>457.44</v>
      </c>
      <c r="N13" s="500">
        <f t="shared" si="1"/>
        <v>0</v>
      </c>
      <c r="O13" s="403">
        <f t="shared" si="13"/>
        <v>529.52</v>
      </c>
      <c r="P13" s="500">
        <f t="shared" si="2"/>
        <v>0</v>
      </c>
      <c r="Q13" s="500">
        <f>SUM(P13+N13)</f>
        <v>0</v>
      </c>
      <c r="R13" s="500"/>
      <c r="S13" s="500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8">
        <f t="shared" si="16"/>
        <v>0</v>
      </c>
      <c r="X13" s="5">
        <f t="shared" si="17"/>
        <v>153815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779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40"/>
        <v>0</v>
      </c>
      <c r="AL13" s="321">
        <f t="shared" si="28"/>
        <v>0</v>
      </c>
      <c r="AM13" s="32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2">
        <f t="shared" si="29"/>
        <v>44477</v>
      </c>
      <c r="AS13" s="417">
        <f t="shared" si="30"/>
        <v>0.9</v>
      </c>
      <c r="AT13" s="201">
        <f t="shared" si="30"/>
        <v>120</v>
      </c>
      <c r="AU13" s="418">
        <f t="shared" si="43"/>
        <v>1.1000000000000001</v>
      </c>
      <c r="AV13" s="201">
        <f t="shared" si="31"/>
        <v>154</v>
      </c>
      <c r="AW13" s="5">
        <v>2.9</v>
      </c>
      <c r="AX13" s="201">
        <f t="shared" si="32"/>
        <v>125</v>
      </c>
      <c r="AY13" s="419">
        <f t="shared" si="33"/>
        <v>108</v>
      </c>
      <c r="AZ13" s="419">
        <f t="shared" si="34"/>
        <v>169.4</v>
      </c>
      <c r="BA13" s="419">
        <f t="shared" si="35"/>
        <v>362.5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12">
        <f t="shared" si="8"/>
        <v>0</v>
      </c>
      <c r="E14" s="327">
        <f>SUM((C14*$E$4)+(7500/'EDl log'!$A$37))</f>
        <v>241.93548387096774</v>
      </c>
      <c r="F14" s="411"/>
      <c r="G14" s="5">
        <f t="shared" si="9"/>
        <v>624723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6886</v>
      </c>
      <c r="L14" s="83">
        <f t="shared" si="41"/>
        <v>0</v>
      </c>
      <c r="M14" s="403">
        <f t="shared" si="12"/>
        <v>457.44</v>
      </c>
      <c r="N14" s="500">
        <f t="shared" ref="N14:N33" si="44">SUM(M14-M13)</f>
        <v>0</v>
      </c>
      <c r="O14" s="403">
        <f t="shared" si="13"/>
        <v>529.52</v>
      </c>
      <c r="P14" s="500">
        <f t="shared" ref="P14:P33" si="45">SUM(O14-O13)</f>
        <v>0</v>
      </c>
      <c r="Q14" s="500">
        <f t="shared" ref="Q14:Q33" si="46">SUM(P14+N14)</f>
        <v>0</v>
      </c>
      <c r="R14" s="500"/>
      <c r="S14" s="500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8">
        <f t="shared" si="16"/>
        <v>0</v>
      </c>
      <c r="X14" s="5">
        <f t="shared" si="17"/>
        <v>153815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779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40"/>
        <v>0</v>
      </c>
      <c r="AL14" s="321">
        <f t="shared" si="28"/>
        <v>0</v>
      </c>
      <c r="AM14" s="32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2">
        <f t="shared" si="29"/>
        <v>44478</v>
      </c>
      <c r="AS14" s="417">
        <f t="shared" si="30"/>
        <v>0.9</v>
      </c>
      <c r="AT14" s="201">
        <f t="shared" si="30"/>
        <v>120</v>
      </c>
      <c r="AU14" s="418">
        <f t="shared" si="43"/>
        <v>1.1000000000000001</v>
      </c>
      <c r="AV14" s="201">
        <f t="shared" si="31"/>
        <v>154</v>
      </c>
      <c r="AW14" s="5">
        <v>2.9</v>
      </c>
      <c r="AX14" s="201">
        <f t="shared" si="32"/>
        <v>125</v>
      </c>
      <c r="AY14" s="419">
        <f t="shared" si="33"/>
        <v>108</v>
      </c>
      <c r="AZ14" s="419">
        <f t="shared" si="34"/>
        <v>169.4</v>
      </c>
      <c r="BA14" s="419">
        <f t="shared" si="35"/>
        <v>362.5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12">
        <f t="shared" si="8"/>
        <v>0</v>
      </c>
      <c r="E15" s="327">
        <f>SUM((C15*$E$4)+(7500/'EDl log'!$A$37))</f>
        <v>241.93548387096774</v>
      </c>
      <c r="F15" s="411"/>
      <c r="G15" s="5">
        <f t="shared" si="9"/>
        <v>624723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6886</v>
      </c>
      <c r="L15" s="83">
        <f t="shared" si="41"/>
        <v>0</v>
      </c>
      <c r="M15" s="403">
        <f t="shared" si="12"/>
        <v>457.44</v>
      </c>
      <c r="N15" s="500">
        <f t="shared" si="44"/>
        <v>0</v>
      </c>
      <c r="O15" s="403">
        <f t="shared" si="13"/>
        <v>529.52</v>
      </c>
      <c r="P15" s="500">
        <f t="shared" si="45"/>
        <v>0</v>
      </c>
      <c r="Q15" s="500">
        <f t="shared" si="46"/>
        <v>0</v>
      </c>
      <c r="R15" s="500"/>
      <c r="S15" s="500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8">
        <f t="shared" si="16"/>
        <v>0</v>
      </c>
      <c r="X15" s="5">
        <f t="shared" si="17"/>
        <v>153815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779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40"/>
        <v>0</v>
      </c>
      <c r="AL15" s="321">
        <f t="shared" si="28"/>
        <v>0</v>
      </c>
      <c r="AM15" s="32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2">
        <f t="shared" si="29"/>
        <v>44479</v>
      </c>
      <c r="AS15" s="417">
        <f t="shared" si="30"/>
        <v>0.9</v>
      </c>
      <c r="AT15" s="201">
        <f t="shared" si="30"/>
        <v>120</v>
      </c>
      <c r="AU15" s="418">
        <f t="shared" si="43"/>
        <v>1.1000000000000001</v>
      </c>
      <c r="AV15" s="201">
        <f t="shared" si="31"/>
        <v>154</v>
      </c>
      <c r="AW15" s="5">
        <v>2.9</v>
      </c>
      <c r="AX15" s="201">
        <f t="shared" si="32"/>
        <v>125</v>
      </c>
      <c r="AY15" s="419">
        <f t="shared" si="33"/>
        <v>108</v>
      </c>
      <c r="AZ15" s="419">
        <f t="shared" si="34"/>
        <v>169.4</v>
      </c>
      <c r="BA15" s="419">
        <f t="shared" si="35"/>
        <v>362.5</v>
      </c>
      <c r="BB15" s="21">
        <f t="shared" si="36"/>
        <v>0</v>
      </c>
      <c r="BC15" s="21">
        <f t="shared" si="37"/>
        <v>0</v>
      </c>
      <c r="BD15" s="21">
        <f t="shared" si="37"/>
        <v>0</v>
      </c>
      <c r="BE15" s="24">
        <f t="shared" si="38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12">
        <f t="shared" si="8"/>
        <v>0</v>
      </c>
      <c r="E16" s="327">
        <f>SUM((C16*$E$4)+(7500/'EDl log'!$A$37))</f>
        <v>241.93548387096774</v>
      </c>
      <c r="F16" s="411"/>
      <c r="G16" s="5">
        <f t="shared" si="9"/>
        <v>624723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6886</v>
      </c>
      <c r="L16" s="269">
        <f t="shared" si="41"/>
        <v>0</v>
      </c>
      <c r="M16" s="403">
        <f t="shared" si="12"/>
        <v>457.44</v>
      </c>
      <c r="N16" s="500">
        <f t="shared" si="44"/>
        <v>0</v>
      </c>
      <c r="O16" s="403">
        <f t="shared" si="13"/>
        <v>529.52</v>
      </c>
      <c r="P16" s="500">
        <f t="shared" si="45"/>
        <v>0</v>
      </c>
      <c r="Q16" s="500">
        <f t="shared" si="46"/>
        <v>0</v>
      </c>
      <c r="R16" s="502"/>
      <c r="S16" s="502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8">
        <f t="shared" si="16"/>
        <v>0</v>
      </c>
      <c r="X16" s="5">
        <f t="shared" si="17"/>
        <v>153815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779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40"/>
        <v>0</v>
      </c>
      <c r="AL16" s="321">
        <f t="shared" si="28"/>
        <v>0</v>
      </c>
      <c r="AM16" s="32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2">
        <f t="shared" si="29"/>
        <v>44480</v>
      </c>
      <c r="AS16" s="417">
        <f t="shared" si="30"/>
        <v>0.9</v>
      </c>
      <c r="AT16" s="201">
        <f t="shared" si="30"/>
        <v>120</v>
      </c>
      <c r="AU16" s="418">
        <f t="shared" si="43"/>
        <v>1.1000000000000001</v>
      </c>
      <c r="AV16" s="201">
        <f t="shared" si="31"/>
        <v>154</v>
      </c>
      <c r="AW16" s="5">
        <v>2.9</v>
      </c>
      <c r="AX16" s="201">
        <f t="shared" si="32"/>
        <v>125</v>
      </c>
      <c r="AY16" s="419">
        <f t="shared" si="33"/>
        <v>108</v>
      </c>
      <c r="AZ16" s="419">
        <f t="shared" si="34"/>
        <v>169.4</v>
      </c>
      <c r="BA16" s="419">
        <f t="shared" si="35"/>
        <v>362.5</v>
      </c>
      <c r="BB16" s="21">
        <f t="shared" si="36"/>
        <v>0</v>
      </c>
      <c r="BC16" s="21">
        <f t="shared" si="37"/>
        <v>0</v>
      </c>
      <c r="BD16" s="21">
        <f t="shared" si="37"/>
        <v>0</v>
      </c>
      <c r="BE16" s="24">
        <f t="shared" si="38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12">
        <f t="shared" si="8"/>
        <v>0</v>
      </c>
      <c r="E17" s="327">
        <f>SUM((C17*$E$4)+(7500/'EDl log'!$A$37))</f>
        <v>241.93548387096774</v>
      </c>
      <c r="F17" s="411"/>
      <c r="G17" s="5">
        <f t="shared" si="9"/>
        <v>624723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6886</v>
      </c>
      <c r="L17" s="83">
        <f t="shared" si="41"/>
        <v>0</v>
      </c>
      <c r="M17" s="403">
        <f t="shared" si="12"/>
        <v>457.44</v>
      </c>
      <c r="N17" s="500">
        <f t="shared" si="44"/>
        <v>0</v>
      </c>
      <c r="O17" s="403">
        <f t="shared" si="13"/>
        <v>529.52</v>
      </c>
      <c r="P17" s="500">
        <f t="shared" si="45"/>
        <v>0</v>
      </c>
      <c r="Q17" s="500">
        <f t="shared" si="46"/>
        <v>0</v>
      </c>
      <c r="R17" s="500"/>
      <c r="S17" s="500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8">
        <f t="shared" si="16"/>
        <v>0</v>
      </c>
      <c r="X17" s="5">
        <f t="shared" si="17"/>
        <v>153815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f t="shared" si="21"/>
        <v>779</v>
      </c>
      <c r="AD17" s="83">
        <f t="shared" si="39"/>
        <v>0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2">
        <f t="shared" si="29"/>
        <v>44481</v>
      </c>
      <c r="AS17" s="417">
        <f t="shared" si="30"/>
        <v>0.9</v>
      </c>
      <c r="AT17" s="201">
        <f t="shared" si="30"/>
        <v>120</v>
      </c>
      <c r="AU17" s="418">
        <f t="shared" si="43"/>
        <v>1.1000000000000001</v>
      </c>
      <c r="AV17" s="201">
        <f t="shared" si="31"/>
        <v>154</v>
      </c>
      <c r="AW17" s="5">
        <v>2.9</v>
      </c>
      <c r="AX17" s="201">
        <f t="shared" si="32"/>
        <v>125</v>
      </c>
      <c r="AY17" s="419">
        <f t="shared" si="33"/>
        <v>108</v>
      </c>
      <c r="AZ17" s="419">
        <f t="shared" si="34"/>
        <v>169.4</v>
      </c>
      <c r="BA17" s="419">
        <f t="shared" si="35"/>
        <v>362.5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12">
        <f t="shared" si="8"/>
        <v>0</v>
      </c>
      <c r="E18" s="327">
        <f>SUM((C18*$E$4)+(7500/'EDl log'!$A$37))</f>
        <v>241.93548387096774</v>
      </c>
      <c r="F18" s="411"/>
      <c r="G18" s="5">
        <f t="shared" si="9"/>
        <v>624723</v>
      </c>
      <c r="H18" s="5">
        <f t="shared" si="10"/>
        <v>0</v>
      </c>
      <c r="I18" s="5">
        <f t="shared" si="11"/>
        <v>0</v>
      </c>
      <c r="J18" s="328">
        <f t="shared" si="0"/>
        <v>0</v>
      </c>
      <c r="K18" s="5">
        <f>'Swimming Pool quality check '!H18</f>
        <v>6886</v>
      </c>
      <c r="L18" s="83">
        <f t="shared" si="41"/>
        <v>0</v>
      </c>
      <c r="M18" s="403">
        <f t="shared" si="12"/>
        <v>457.44</v>
      </c>
      <c r="N18" s="500">
        <f t="shared" si="44"/>
        <v>0</v>
      </c>
      <c r="O18" s="403">
        <f t="shared" si="13"/>
        <v>529.52</v>
      </c>
      <c r="P18" s="500">
        <f t="shared" si="45"/>
        <v>0</v>
      </c>
      <c r="Q18" s="500">
        <f t="shared" si="46"/>
        <v>0</v>
      </c>
      <c r="R18" s="500"/>
      <c r="S18" s="500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8">
        <f t="shared" si="16"/>
        <v>0</v>
      </c>
      <c r="X18" s="5">
        <f t="shared" si="17"/>
        <v>153815</v>
      </c>
      <c r="Y18" s="318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779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0</v>
      </c>
      <c r="AL18" s="321">
        <f t="shared" si="28"/>
        <v>0</v>
      </c>
      <c r="AM18" s="32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2">
        <f t="shared" si="29"/>
        <v>44482</v>
      </c>
      <c r="AS18" s="417">
        <f t="shared" si="30"/>
        <v>0.9</v>
      </c>
      <c r="AT18" s="201">
        <f t="shared" si="30"/>
        <v>120</v>
      </c>
      <c r="AU18" s="418">
        <f t="shared" si="43"/>
        <v>1.1000000000000001</v>
      </c>
      <c r="AV18" s="201">
        <f t="shared" si="31"/>
        <v>154</v>
      </c>
      <c r="AW18" s="5">
        <v>2.9</v>
      </c>
      <c r="AX18" s="201">
        <f t="shared" si="32"/>
        <v>125</v>
      </c>
      <c r="AY18" s="419">
        <f t="shared" si="33"/>
        <v>108</v>
      </c>
      <c r="AZ18" s="419">
        <f t="shared" si="34"/>
        <v>169.4</v>
      </c>
      <c r="BA18" s="419">
        <f t="shared" si="35"/>
        <v>362.5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12">
        <f t="shared" si="8"/>
        <v>0</v>
      </c>
      <c r="E19" s="327">
        <f>SUM((C19*$E$4)+(7500/'EDl log'!$A$37))</f>
        <v>241.93548387096774</v>
      </c>
      <c r="F19" s="411"/>
      <c r="G19" s="5">
        <f t="shared" si="9"/>
        <v>624723</v>
      </c>
      <c r="H19" s="5">
        <f t="shared" si="10"/>
        <v>0</v>
      </c>
      <c r="I19" s="5">
        <f t="shared" si="11"/>
        <v>0</v>
      </c>
      <c r="J19" s="328">
        <f t="shared" si="0"/>
        <v>0</v>
      </c>
      <c r="K19" s="5">
        <f>'Swimming Pool quality check '!H19</f>
        <v>6886</v>
      </c>
      <c r="L19" s="83">
        <f t="shared" si="41"/>
        <v>0</v>
      </c>
      <c r="M19" s="403">
        <f t="shared" si="12"/>
        <v>457.44</v>
      </c>
      <c r="N19" s="500">
        <f t="shared" si="44"/>
        <v>0</v>
      </c>
      <c r="O19" s="403">
        <f t="shared" si="13"/>
        <v>529.52</v>
      </c>
      <c r="P19" s="500">
        <f t="shared" si="45"/>
        <v>0</v>
      </c>
      <c r="Q19" s="500">
        <f t="shared" si="46"/>
        <v>0</v>
      </c>
      <c r="R19" s="500"/>
      <c r="S19" s="500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8">
        <f t="shared" si="16"/>
        <v>0</v>
      </c>
      <c r="X19" s="5">
        <f t="shared" si="17"/>
        <v>153815</v>
      </c>
      <c r="Y19" s="318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779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40"/>
        <v>0</v>
      </c>
      <c r="AL19" s="321">
        <f t="shared" si="28"/>
        <v>0</v>
      </c>
      <c r="AM19" s="32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2">
        <f t="shared" si="29"/>
        <v>44483</v>
      </c>
      <c r="AS19" s="417">
        <f t="shared" si="30"/>
        <v>0.9</v>
      </c>
      <c r="AT19" s="201">
        <f t="shared" si="30"/>
        <v>120</v>
      </c>
      <c r="AU19" s="418">
        <f t="shared" si="43"/>
        <v>1.1000000000000001</v>
      </c>
      <c r="AV19" s="201">
        <f t="shared" si="31"/>
        <v>154</v>
      </c>
      <c r="AW19" s="5">
        <v>2.9</v>
      </c>
      <c r="AX19" s="201">
        <f t="shared" si="32"/>
        <v>125</v>
      </c>
      <c r="AY19" s="419">
        <f>AS19*AT19</f>
        <v>108</v>
      </c>
      <c r="AZ19" s="419">
        <f>AU19*AV19</f>
        <v>169.4</v>
      </c>
      <c r="BA19" s="419">
        <f>AW19*AX19</f>
        <v>362.5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12">
        <f t="shared" si="8"/>
        <v>0</v>
      </c>
      <c r="E20" s="327">
        <f>SUM((C20*$E$4)+(7500/'EDl log'!$A$37))</f>
        <v>241.93548387096774</v>
      </c>
      <c r="F20" s="411"/>
      <c r="G20" s="5">
        <f t="shared" si="9"/>
        <v>624723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6886</v>
      </c>
      <c r="L20" s="83">
        <f t="shared" si="41"/>
        <v>0</v>
      </c>
      <c r="M20" s="403">
        <f t="shared" si="12"/>
        <v>457.44</v>
      </c>
      <c r="N20" s="500">
        <f t="shared" si="44"/>
        <v>0</v>
      </c>
      <c r="O20" s="403">
        <f t="shared" si="13"/>
        <v>529.52</v>
      </c>
      <c r="P20" s="500">
        <f t="shared" si="45"/>
        <v>0</v>
      </c>
      <c r="Q20" s="500">
        <f t="shared" si="46"/>
        <v>0</v>
      </c>
      <c r="R20" s="500"/>
      <c r="S20" s="500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8">
        <f t="shared" si="16"/>
        <v>0</v>
      </c>
      <c r="X20" s="5">
        <f t="shared" si="17"/>
        <v>153815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779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40"/>
        <v>0</v>
      </c>
      <c r="AL20" s="321">
        <f t="shared" si="28"/>
        <v>0</v>
      </c>
      <c r="AM20" s="32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2">
        <f t="shared" si="29"/>
        <v>44484</v>
      </c>
      <c r="AS20" s="417">
        <f t="shared" si="30"/>
        <v>0.9</v>
      </c>
      <c r="AT20" s="201">
        <f t="shared" si="30"/>
        <v>120</v>
      </c>
      <c r="AU20" s="418">
        <f t="shared" si="43"/>
        <v>1.1000000000000001</v>
      </c>
      <c r="AV20" s="201">
        <f t="shared" si="31"/>
        <v>154</v>
      </c>
      <c r="AW20" s="5">
        <v>2.9</v>
      </c>
      <c r="AX20" s="201">
        <f t="shared" si="32"/>
        <v>125</v>
      </c>
      <c r="AY20" s="419">
        <f>AS20*AT20</f>
        <v>108</v>
      </c>
      <c r="AZ20" s="419">
        <f>AU20*AV20</f>
        <v>169.4</v>
      </c>
      <c r="BA20" s="419">
        <f>AW20*AX20</f>
        <v>362.5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12">
        <f t="shared" si="8"/>
        <v>0</v>
      </c>
      <c r="E21" s="327">
        <f>SUM((C21*$E$4)+(7500/'EDl log'!$A$37))</f>
        <v>241.93548387096774</v>
      </c>
      <c r="F21" s="321"/>
      <c r="G21" s="5">
        <f t="shared" si="9"/>
        <v>624723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6886</v>
      </c>
      <c r="L21" s="83">
        <f t="shared" si="41"/>
        <v>0</v>
      </c>
      <c r="M21" s="403">
        <f t="shared" si="12"/>
        <v>457.44</v>
      </c>
      <c r="N21" s="500">
        <f t="shared" si="44"/>
        <v>0</v>
      </c>
      <c r="O21" s="403">
        <f t="shared" si="13"/>
        <v>529.52</v>
      </c>
      <c r="P21" s="500">
        <f t="shared" si="45"/>
        <v>0</v>
      </c>
      <c r="Q21" s="500">
        <f t="shared" si="46"/>
        <v>0</v>
      </c>
      <c r="R21" s="500"/>
      <c r="S21" s="500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8">
        <f t="shared" si="16"/>
        <v>0</v>
      </c>
      <c r="X21" s="5">
        <f t="shared" si="17"/>
        <v>153815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779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20">
        <f t="shared" si="27"/>
        <v>0</v>
      </c>
      <c r="AK21" s="321">
        <f>SUM(Y21-L21)</f>
        <v>0</v>
      </c>
      <c r="AL21" s="321">
        <f t="shared" si="28"/>
        <v>0</v>
      </c>
      <c r="AM21" s="32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2">
        <f t="shared" si="29"/>
        <v>44485</v>
      </c>
      <c r="AS21" s="417">
        <f t="shared" si="30"/>
        <v>0.9</v>
      </c>
      <c r="AT21" s="201">
        <f t="shared" si="30"/>
        <v>120</v>
      </c>
      <c r="AU21" s="418">
        <f t="shared" si="43"/>
        <v>1.1000000000000001</v>
      </c>
      <c r="AV21" s="201">
        <f t="shared" si="31"/>
        <v>154</v>
      </c>
      <c r="AW21" s="5">
        <v>2.9</v>
      </c>
      <c r="AX21" s="201">
        <f t="shared" si="32"/>
        <v>125</v>
      </c>
      <c r="AY21" s="419">
        <f>AS21*AT21</f>
        <v>108</v>
      </c>
      <c r="AZ21" s="419">
        <f>AU21*AV21</f>
        <v>169.4</v>
      </c>
      <c r="BA21" s="419">
        <f>AW21*AX21</f>
        <v>362.5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12">
        <f t="shared" si="8"/>
        <v>0</v>
      </c>
      <c r="E22" s="327">
        <f>SUM((C22*$E$4)+(7500/'EDl log'!$A$37))</f>
        <v>241.93548387096774</v>
      </c>
      <c r="F22" s="321"/>
      <c r="G22" s="5">
        <f t="shared" si="9"/>
        <v>624723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6886</v>
      </c>
      <c r="L22" s="83">
        <f t="shared" si="41"/>
        <v>0</v>
      </c>
      <c r="M22" s="403">
        <f t="shared" si="12"/>
        <v>457.44</v>
      </c>
      <c r="N22" s="500">
        <f t="shared" si="44"/>
        <v>0</v>
      </c>
      <c r="O22" s="403">
        <f t="shared" si="13"/>
        <v>529.52</v>
      </c>
      <c r="P22" s="500">
        <f t="shared" si="45"/>
        <v>0</v>
      </c>
      <c r="Q22" s="500">
        <f t="shared" si="46"/>
        <v>0</v>
      </c>
      <c r="R22" s="500"/>
      <c r="S22" s="500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8">
        <f t="shared" si="16"/>
        <v>0</v>
      </c>
      <c r="X22" s="5">
        <f t="shared" si="17"/>
        <v>153815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779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40"/>
        <v>0</v>
      </c>
      <c r="AL22" s="321">
        <f t="shared" si="28"/>
        <v>0</v>
      </c>
      <c r="AM22" s="321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2">
        <f t="shared" si="29"/>
        <v>44486</v>
      </c>
      <c r="AS22" s="417">
        <f t="shared" ref="AS22:AT33" si="48">AS21</f>
        <v>0.9</v>
      </c>
      <c r="AT22" s="201">
        <f t="shared" si="48"/>
        <v>120</v>
      </c>
      <c r="AU22" s="418">
        <f t="shared" si="43"/>
        <v>1.1000000000000001</v>
      </c>
      <c r="AV22" s="201">
        <f t="shared" si="31"/>
        <v>154</v>
      </c>
      <c r="AW22" s="5">
        <v>2.9</v>
      </c>
      <c r="AX22" s="201">
        <f t="shared" si="32"/>
        <v>125</v>
      </c>
      <c r="AY22" s="419">
        <f t="shared" si="33"/>
        <v>108</v>
      </c>
      <c r="AZ22" s="419">
        <f t="shared" si="34"/>
        <v>169.4</v>
      </c>
      <c r="BA22" s="419">
        <f t="shared" si="35"/>
        <v>362.5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12">
        <f t="shared" si="8"/>
        <v>0</v>
      </c>
      <c r="E23" s="327">
        <f>SUM((C23*$E$4)+(7500/'EDl log'!$A$37))</f>
        <v>241.93548387096774</v>
      </c>
      <c r="F23" s="321"/>
      <c r="G23" s="5">
        <f t="shared" si="9"/>
        <v>624723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6886</v>
      </c>
      <c r="L23" s="269">
        <f t="shared" si="41"/>
        <v>0</v>
      </c>
      <c r="M23" s="403">
        <f t="shared" si="12"/>
        <v>457.44</v>
      </c>
      <c r="N23" s="500">
        <f t="shared" si="44"/>
        <v>0</v>
      </c>
      <c r="O23" s="403">
        <f t="shared" si="13"/>
        <v>529.52</v>
      </c>
      <c r="P23" s="500">
        <f t="shared" si="45"/>
        <v>0</v>
      </c>
      <c r="Q23" s="500">
        <f t="shared" si="46"/>
        <v>0</v>
      </c>
      <c r="R23" s="502"/>
      <c r="S23" s="502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8">
        <f t="shared" si="16"/>
        <v>0</v>
      </c>
      <c r="X23" s="5">
        <f t="shared" si="17"/>
        <v>153815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779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40"/>
        <v>0</v>
      </c>
      <c r="AL23" s="321">
        <f t="shared" si="28"/>
        <v>0</v>
      </c>
      <c r="AM23" s="321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72">
        <f t="shared" si="29"/>
        <v>44487</v>
      </c>
      <c r="AS23" s="417">
        <f t="shared" si="48"/>
        <v>0.9</v>
      </c>
      <c r="AT23" s="201">
        <f t="shared" si="48"/>
        <v>120</v>
      </c>
      <c r="AU23" s="418">
        <f t="shared" si="43"/>
        <v>1.1000000000000001</v>
      </c>
      <c r="AV23" s="201">
        <f t="shared" si="31"/>
        <v>154</v>
      </c>
      <c r="AW23" s="5">
        <v>2.9</v>
      </c>
      <c r="AX23" s="201">
        <f t="shared" si="32"/>
        <v>125</v>
      </c>
      <c r="AY23" s="419">
        <f t="shared" si="33"/>
        <v>108</v>
      </c>
      <c r="AZ23" s="419">
        <f t="shared" si="34"/>
        <v>169.4</v>
      </c>
      <c r="BA23" s="419">
        <f t="shared" si="35"/>
        <v>362.5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12">
        <f t="shared" si="8"/>
        <v>0</v>
      </c>
      <c r="E24" s="327">
        <f>SUM((C24*$E$4)+(7500/'EDl log'!$A$37))</f>
        <v>241.93548387096774</v>
      </c>
      <c r="F24" s="321"/>
      <c r="G24" s="5">
        <f t="shared" si="9"/>
        <v>624723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6886</v>
      </c>
      <c r="L24" s="269">
        <f t="shared" si="41"/>
        <v>0</v>
      </c>
      <c r="M24" s="403">
        <f t="shared" si="12"/>
        <v>457.44</v>
      </c>
      <c r="N24" s="500">
        <f t="shared" si="44"/>
        <v>0</v>
      </c>
      <c r="O24" s="403">
        <f t="shared" si="13"/>
        <v>529.52</v>
      </c>
      <c r="P24" s="500">
        <f t="shared" si="45"/>
        <v>0</v>
      </c>
      <c r="Q24" s="500">
        <f t="shared" si="46"/>
        <v>0</v>
      </c>
      <c r="R24" s="502"/>
      <c r="S24" s="502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8">
        <f t="shared" si="16"/>
        <v>0</v>
      </c>
      <c r="X24" s="5">
        <f t="shared" si="17"/>
        <v>153815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779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40"/>
        <v>0</v>
      </c>
      <c r="AL24" s="321">
        <f t="shared" si="28"/>
        <v>0</v>
      </c>
      <c r="AM24" s="321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44488</v>
      </c>
      <c r="AS24" s="417">
        <f t="shared" si="48"/>
        <v>0.9</v>
      </c>
      <c r="AT24" s="201">
        <f t="shared" si="48"/>
        <v>120</v>
      </c>
      <c r="AU24" s="418">
        <f t="shared" si="43"/>
        <v>1.1000000000000001</v>
      </c>
      <c r="AV24" s="201">
        <f t="shared" si="31"/>
        <v>154</v>
      </c>
      <c r="AW24" s="5">
        <v>2.9</v>
      </c>
      <c r="AX24" s="201">
        <f t="shared" si="32"/>
        <v>125</v>
      </c>
      <c r="AY24" s="419">
        <f t="shared" si="33"/>
        <v>108</v>
      </c>
      <c r="AZ24" s="419">
        <f t="shared" si="34"/>
        <v>169.4</v>
      </c>
      <c r="BA24" s="419">
        <f t="shared" si="35"/>
        <v>362.5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12">
        <f t="shared" si="8"/>
        <v>0</v>
      </c>
      <c r="E25" s="327">
        <f>SUM((C25*$E$4)+(7500/'EDl log'!$A$37))</f>
        <v>241.93548387096774</v>
      </c>
      <c r="F25" s="321"/>
      <c r="G25" s="5">
        <f t="shared" si="9"/>
        <v>624723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6886</v>
      </c>
      <c r="L25" s="269">
        <f t="shared" si="41"/>
        <v>0</v>
      </c>
      <c r="M25" s="403">
        <f t="shared" si="12"/>
        <v>457.44</v>
      </c>
      <c r="N25" s="500">
        <f t="shared" si="44"/>
        <v>0</v>
      </c>
      <c r="O25" s="403">
        <f t="shared" si="13"/>
        <v>529.52</v>
      </c>
      <c r="P25" s="500">
        <f t="shared" si="45"/>
        <v>0</v>
      </c>
      <c r="Q25" s="500">
        <f t="shared" si="46"/>
        <v>0</v>
      </c>
      <c r="R25" s="502"/>
      <c r="S25" s="502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8">
        <f t="shared" si="16"/>
        <v>0</v>
      </c>
      <c r="X25" s="5">
        <f t="shared" si="17"/>
        <v>153815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779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40"/>
        <v>0</v>
      </c>
      <c r="AL25" s="321">
        <f t="shared" si="28"/>
        <v>0</v>
      </c>
      <c r="AM25" s="32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72">
        <f t="shared" si="29"/>
        <v>44489</v>
      </c>
      <c r="AS25" s="417">
        <f t="shared" si="48"/>
        <v>0.9</v>
      </c>
      <c r="AT25" s="201">
        <f t="shared" si="48"/>
        <v>120</v>
      </c>
      <c r="AU25" s="418">
        <f t="shared" si="43"/>
        <v>1.1000000000000001</v>
      </c>
      <c r="AV25" s="201">
        <f t="shared" si="31"/>
        <v>154</v>
      </c>
      <c r="AW25" s="5">
        <v>2.9</v>
      </c>
      <c r="AX25" s="201">
        <f t="shared" si="32"/>
        <v>125</v>
      </c>
      <c r="AY25" s="419">
        <f t="shared" si="33"/>
        <v>108</v>
      </c>
      <c r="AZ25" s="419">
        <f t="shared" si="34"/>
        <v>169.4</v>
      </c>
      <c r="BA25" s="419">
        <f t="shared" si="35"/>
        <v>362.5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12">
        <f t="shared" si="8"/>
        <v>0</v>
      </c>
      <c r="E26" s="327">
        <f>SUM((C26*$E$4)+(7500/'EDl log'!$A$37))</f>
        <v>241.93548387096774</v>
      </c>
      <c r="F26" s="321"/>
      <c r="G26" s="5">
        <f t="shared" si="9"/>
        <v>624723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6886</v>
      </c>
      <c r="L26" s="269">
        <f t="shared" si="41"/>
        <v>0</v>
      </c>
      <c r="M26" s="403">
        <f t="shared" si="12"/>
        <v>457.44</v>
      </c>
      <c r="N26" s="500">
        <f t="shared" si="44"/>
        <v>0</v>
      </c>
      <c r="O26" s="403">
        <f t="shared" si="13"/>
        <v>529.52</v>
      </c>
      <c r="P26" s="500">
        <f t="shared" si="45"/>
        <v>0</v>
      </c>
      <c r="Q26" s="500">
        <f t="shared" si="46"/>
        <v>0</v>
      </c>
      <c r="R26" s="502"/>
      <c r="S26" s="502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8">
        <f t="shared" si="16"/>
        <v>0</v>
      </c>
      <c r="X26" s="5">
        <f t="shared" si="17"/>
        <v>153815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779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0</v>
      </c>
      <c r="AL26" s="321">
        <f>SUM(AJ26-W26)</f>
        <v>0</v>
      </c>
      <c r="AM26" s="32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72">
        <f t="shared" si="29"/>
        <v>44490</v>
      </c>
      <c r="AS26" s="417">
        <f t="shared" si="48"/>
        <v>0.9</v>
      </c>
      <c r="AT26" s="201">
        <f t="shared" si="48"/>
        <v>120</v>
      </c>
      <c r="AU26" s="418">
        <f t="shared" si="43"/>
        <v>1.1000000000000001</v>
      </c>
      <c r="AV26" s="201">
        <f t="shared" si="31"/>
        <v>154</v>
      </c>
      <c r="AW26" s="5">
        <v>2.9</v>
      </c>
      <c r="AX26" s="201">
        <f t="shared" si="32"/>
        <v>125</v>
      </c>
      <c r="AY26" s="419">
        <f t="shared" si="33"/>
        <v>108</v>
      </c>
      <c r="AZ26" s="419">
        <f t="shared" si="34"/>
        <v>169.4</v>
      </c>
      <c r="BA26" s="419">
        <f t="shared" si="35"/>
        <v>362.5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12">
        <f t="shared" si="8"/>
        <v>0</v>
      </c>
      <c r="E27" s="327">
        <f>SUM((C27*$E$4)+(7500/'EDl log'!$A$37))</f>
        <v>241.93548387096774</v>
      </c>
      <c r="F27" s="321"/>
      <c r="G27" s="5">
        <f t="shared" si="9"/>
        <v>624723</v>
      </c>
      <c r="H27" s="5">
        <f t="shared" si="10"/>
        <v>0</v>
      </c>
      <c r="I27" s="5">
        <f t="shared" si="11"/>
        <v>0</v>
      </c>
      <c r="J27" s="328">
        <f t="shared" si="0"/>
        <v>0</v>
      </c>
      <c r="K27" s="5">
        <f>'Swimming Pool quality check '!H27</f>
        <v>6886</v>
      </c>
      <c r="L27" s="269">
        <f t="shared" si="41"/>
        <v>0</v>
      </c>
      <c r="M27" s="403">
        <f t="shared" si="12"/>
        <v>457.44</v>
      </c>
      <c r="N27" s="500">
        <f t="shared" si="44"/>
        <v>0</v>
      </c>
      <c r="O27" s="403">
        <f t="shared" si="13"/>
        <v>529.52</v>
      </c>
      <c r="P27" s="500">
        <f t="shared" si="45"/>
        <v>0</v>
      </c>
      <c r="Q27" s="500">
        <f t="shared" si="46"/>
        <v>0</v>
      </c>
      <c r="R27" s="502"/>
      <c r="S27" s="502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8">
        <f t="shared" si="16"/>
        <v>0</v>
      </c>
      <c r="X27" s="5">
        <f t="shared" si="17"/>
        <v>153815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779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40"/>
        <v>0</v>
      </c>
      <c r="AL27" s="321">
        <f t="shared" si="28"/>
        <v>0</v>
      </c>
      <c r="AM27" s="32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2">
        <f t="shared" si="29"/>
        <v>44491</v>
      </c>
      <c r="AS27" s="417">
        <f t="shared" si="48"/>
        <v>0.9</v>
      </c>
      <c r="AT27" s="201">
        <f t="shared" si="48"/>
        <v>120</v>
      </c>
      <c r="AU27" s="418">
        <f t="shared" si="43"/>
        <v>1.1000000000000001</v>
      </c>
      <c r="AV27" s="201">
        <f t="shared" si="31"/>
        <v>154</v>
      </c>
      <c r="AW27" s="5">
        <v>2.9</v>
      </c>
      <c r="AX27" s="201">
        <f t="shared" si="32"/>
        <v>125</v>
      </c>
      <c r="AY27" s="419">
        <f t="shared" si="33"/>
        <v>108</v>
      </c>
      <c r="AZ27" s="419">
        <f t="shared" si="34"/>
        <v>169.4</v>
      </c>
      <c r="BA27" s="419">
        <f t="shared" si="35"/>
        <v>362.5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12">
        <f t="shared" si="8"/>
        <v>0</v>
      </c>
      <c r="E28" s="327">
        <f>SUM((C28*$E$4)+(7500/'EDl log'!$A$37))</f>
        <v>241.93548387096774</v>
      </c>
      <c r="F28" s="321"/>
      <c r="G28" s="5">
        <f t="shared" si="9"/>
        <v>624723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6886</v>
      </c>
      <c r="L28" s="269">
        <f t="shared" si="41"/>
        <v>0</v>
      </c>
      <c r="M28" s="403">
        <f t="shared" si="12"/>
        <v>457.44</v>
      </c>
      <c r="N28" s="500">
        <f t="shared" si="44"/>
        <v>0</v>
      </c>
      <c r="O28" s="403">
        <f t="shared" si="13"/>
        <v>529.52</v>
      </c>
      <c r="P28" s="500">
        <f t="shared" si="45"/>
        <v>0</v>
      </c>
      <c r="Q28" s="500">
        <f t="shared" si="46"/>
        <v>0</v>
      </c>
      <c r="R28" s="502"/>
      <c r="S28" s="502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8">
        <f t="shared" si="16"/>
        <v>0</v>
      </c>
      <c r="X28" s="5">
        <f t="shared" si="17"/>
        <v>153815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779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40"/>
        <v>0</v>
      </c>
      <c r="AL28" s="321">
        <f t="shared" si="28"/>
        <v>0</v>
      </c>
      <c r="AM28" s="32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2">
        <f t="shared" si="29"/>
        <v>44492</v>
      </c>
      <c r="AS28" s="417">
        <f t="shared" si="48"/>
        <v>0.9</v>
      </c>
      <c r="AT28" s="201">
        <f t="shared" si="48"/>
        <v>120</v>
      </c>
      <c r="AU28" s="418">
        <f t="shared" si="43"/>
        <v>1.1000000000000001</v>
      </c>
      <c r="AV28" s="201">
        <f t="shared" si="31"/>
        <v>154</v>
      </c>
      <c r="AW28" s="5">
        <v>2.9</v>
      </c>
      <c r="AX28" s="201">
        <f t="shared" si="32"/>
        <v>125</v>
      </c>
      <c r="AY28" s="419">
        <f t="shared" si="33"/>
        <v>108</v>
      </c>
      <c r="AZ28" s="419">
        <f t="shared" si="34"/>
        <v>169.4</v>
      </c>
      <c r="BA28" s="419">
        <f t="shared" si="35"/>
        <v>362.5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12">
        <f t="shared" si="8"/>
        <v>0</v>
      </c>
      <c r="E29" s="327">
        <f>SUM((C29*$E$4)+(7500/'EDl log'!$A$37))</f>
        <v>241.93548387096774</v>
      </c>
      <c r="F29" s="321"/>
      <c r="G29" s="5">
        <f t="shared" si="9"/>
        <v>624723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6886</v>
      </c>
      <c r="L29" s="269">
        <f t="shared" si="41"/>
        <v>0</v>
      </c>
      <c r="M29" s="403">
        <f t="shared" si="12"/>
        <v>457.44</v>
      </c>
      <c r="N29" s="500">
        <f t="shared" si="44"/>
        <v>0</v>
      </c>
      <c r="O29" s="403">
        <f t="shared" si="13"/>
        <v>529.52</v>
      </c>
      <c r="P29" s="500">
        <f t="shared" si="45"/>
        <v>0</v>
      </c>
      <c r="Q29" s="500">
        <f t="shared" si="46"/>
        <v>0</v>
      </c>
      <c r="R29" s="502"/>
      <c r="S29" s="502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8">
        <f t="shared" si="16"/>
        <v>0</v>
      </c>
      <c r="X29" s="5">
        <f t="shared" si="17"/>
        <v>153815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779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40"/>
        <v>0</v>
      </c>
      <c r="AL29" s="321">
        <f t="shared" si="28"/>
        <v>0</v>
      </c>
      <c r="AM29" s="32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72">
        <f t="shared" si="29"/>
        <v>44493</v>
      </c>
      <c r="AS29" s="417">
        <f t="shared" si="48"/>
        <v>0.9</v>
      </c>
      <c r="AT29" s="201">
        <f t="shared" si="48"/>
        <v>120</v>
      </c>
      <c r="AU29" s="418">
        <f t="shared" si="43"/>
        <v>1.1000000000000001</v>
      </c>
      <c r="AV29" s="201">
        <f t="shared" si="31"/>
        <v>154</v>
      </c>
      <c r="AW29" s="5">
        <v>2.9</v>
      </c>
      <c r="AX29" s="201">
        <f t="shared" si="32"/>
        <v>125</v>
      </c>
      <c r="AY29" s="419">
        <f t="shared" si="33"/>
        <v>108</v>
      </c>
      <c r="AZ29" s="419">
        <f t="shared" si="34"/>
        <v>169.4</v>
      </c>
      <c r="BA29" s="419">
        <f t="shared" si="35"/>
        <v>362.5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12">
        <f t="shared" si="8"/>
        <v>0</v>
      </c>
      <c r="E30" s="327">
        <f>SUM((C30*$E$4)+(7500/'EDl log'!$A$37))</f>
        <v>241.93548387096774</v>
      </c>
      <c r="F30" s="321"/>
      <c r="G30" s="5">
        <f t="shared" si="9"/>
        <v>624723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6886</v>
      </c>
      <c r="L30" s="269">
        <f t="shared" si="41"/>
        <v>0</v>
      </c>
      <c r="M30" s="403">
        <f t="shared" si="12"/>
        <v>457.44</v>
      </c>
      <c r="N30" s="500">
        <f t="shared" si="44"/>
        <v>0</v>
      </c>
      <c r="O30" s="403">
        <f t="shared" si="13"/>
        <v>529.52</v>
      </c>
      <c r="P30" s="500">
        <f t="shared" si="45"/>
        <v>0</v>
      </c>
      <c r="Q30" s="500">
        <f t="shared" si="46"/>
        <v>0</v>
      </c>
      <c r="R30" s="502"/>
      <c r="S30" s="502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8">
        <f t="shared" si="16"/>
        <v>0</v>
      </c>
      <c r="X30" s="5">
        <f t="shared" si="17"/>
        <v>153815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779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40"/>
        <v>0</v>
      </c>
      <c r="AL30" s="321">
        <f t="shared" si="28"/>
        <v>0</v>
      </c>
      <c r="AM30" s="32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72">
        <f t="shared" si="29"/>
        <v>44494</v>
      </c>
      <c r="AS30" s="417">
        <f t="shared" si="48"/>
        <v>0.9</v>
      </c>
      <c r="AT30" s="201">
        <f t="shared" si="48"/>
        <v>120</v>
      </c>
      <c r="AU30" s="418">
        <f t="shared" si="43"/>
        <v>1.1000000000000001</v>
      </c>
      <c r="AV30" s="201">
        <f t="shared" si="31"/>
        <v>154</v>
      </c>
      <c r="AW30" s="5">
        <v>2.9</v>
      </c>
      <c r="AX30" s="201">
        <f t="shared" si="32"/>
        <v>125</v>
      </c>
      <c r="AY30" s="419">
        <f t="shared" si="33"/>
        <v>108</v>
      </c>
      <c r="AZ30" s="419">
        <f t="shared" si="34"/>
        <v>169.4</v>
      </c>
      <c r="BA30" s="419">
        <f t="shared" si="35"/>
        <v>362.5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12">
        <f t="shared" si="8"/>
        <v>0</v>
      </c>
      <c r="E31" s="327">
        <f>SUM((C31*$E$4)+(7500/'EDl log'!$A$37))</f>
        <v>241.93548387096774</v>
      </c>
      <c r="F31" s="321"/>
      <c r="G31" s="5">
        <f t="shared" si="9"/>
        <v>624723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6886</v>
      </c>
      <c r="L31" s="269">
        <f t="shared" si="41"/>
        <v>0</v>
      </c>
      <c r="M31" s="403">
        <f t="shared" si="12"/>
        <v>457.44</v>
      </c>
      <c r="N31" s="500">
        <f t="shared" si="44"/>
        <v>0</v>
      </c>
      <c r="O31" s="403">
        <f t="shared" si="13"/>
        <v>529.52</v>
      </c>
      <c r="P31" s="500">
        <f t="shared" si="45"/>
        <v>0</v>
      </c>
      <c r="Q31" s="500">
        <f t="shared" si="46"/>
        <v>0</v>
      </c>
      <c r="R31" s="502"/>
      <c r="S31" s="502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8">
        <f t="shared" si="16"/>
        <v>0</v>
      </c>
      <c r="X31" s="5">
        <f t="shared" si="17"/>
        <v>153815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779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40"/>
        <v>0</v>
      </c>
      <c r="AL31" s="321">
        <f t="shared" si="28"/>
        <v>0</v>
      </c>
      <c r="AM31" s="32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72">
        <f t="shared" si="29"/>
        <v>44495</v>
      </c>
      <c r="AS31" s="417">
        <f t="shared" si="48"/>
        <v>0.9</v>
      </c>
      <c r="AT31" s="201">
        <f t="shared" si="48"/>
        <v>120</v>
      </c>
      <c r="AU31" s="418">
        <f t="shared" si="43"/>
        <v>1.1000000000000001</v>
      </c>
      <c r="AV31" s="201">
        <f t="shared" si="31"/>
        <v>154</v>
      </c>
      <c r="AW31" s="5">
        <v>2.9</v>
      </c>
      <c r="AX31" s="201">
        <f t="shared" si="32"/>
        <v>125</v>
      </c>
      <c r="AY31" s="419">
        <f t="shared" si="33"/>
        <v>108</v>
      </c>
      <c r="AZ31" s="419">
        <f>AU31*AV31</f>
        <v>169.4</v>
      </c>
      <c r="BA31" s="419">
        <f t="shared" si="35"/>
        <v>362.5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12">
        <f t="shared" si="8"/>
        <v>0</v>
      </c>
      <c r="E32" s="327">
        <f>SUM((C32*$E$4)+(7500/'EDl log'!$A$37))</f>
        <v>241.93548387096774</v>
      </c>
      <c r="F32" s="321"/>
      <c r="G32" s="5">
        <f t="shared" si="9"/>
        <v>624723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6886</v>
      </c>
      <c r="L32" s="269">
        <f t="shared" si="41"/>
        <v>0</v>
      </c>
      <c r="M32" s="403">
        <f t="shared" si="12"/>
        <v>457.44</v>
      </c>
      <c r="N32" s="500">
        <f t="shared" si="44"/>
        <v>0</v>
      </c>
      <c r="O32" s="403">
        <f t="shared" si="13"/>
        <v>529.52</v>
      </c>
      <c r="P32" s="500">
        <f t="shared" si="45"/>
        <v>0</v>
      </c>
      <c r="Q32" s="500">
        <f t="shared" si="46"/>
        <v>0</v>
      </c>
      <c r="R32" s="502"/>
      <c r="S32" s="502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8">
        <f t="shared" si="16"/>
        <v>0</v>
      </c>
      <c r="X32" s="5">
        <f t="shared" si="17"/>
        <v>153815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779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40"/>
        <v>0</v>
      </c>
      <c r="AL32" s="321">
        <f t="shared" si="28"/>
        <v>0</v>
      </c>
      <c r="AM32" s="32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72">
        <f t="shared" si="29"/>
        <v>44496</v>
      </c>
      <c r="AS32" s="417">
        <f t="shared" si="48"/>
        <v>0.9</v>
      </c>
      <c r="AT32" s="201">
        <f t="shared" si="48"/>
        <v>120</v>
      </c>
      <c r="AU32" s="418">
        <f t="shared" si="43"/>
        <v>1.1000000000000001</v>
      </c>
      <c r="AV32" s="201">
        <f t="shared" si="31"/>
        <v>154</v>
      </c>
      <c r="AW32" s="5">
        <v>2.9</v>
      </c>
      <c r="AX32" s="201">
        <f t="shared" si="32"/>
        <v>125</v>
      </c>
      <c r="AY32" s="419">
        <f t="shared" si="33"/>
        <v>108</v>
      </c>
      <c r="AZ32" s="419">
        <f t="shared" si="34"/>
        <v>169.4</v>
      </c>
      <c r="BA32" s="419">
        <f t="shared" si="35"/>
        <v>362.5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12">
        <f t="shared" si="8"/>
        <v>0</v>
      </c>
      <c r="E33" s="327">
        <f>SUM((C33*$E$4)+(7500/'EDl log'!$A$37))</f>
        <v>241.93548387096774</v>
      </c>
      <c r="F33" s="321"/>
      <c r="G33" s="5">
        <f t="shared" si="9"/>
        <v>624723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6886</v>
      </c>
      <c r="L33" s="269">
        <f t="shared" si="41"/>
        <v>0</v>
      </c>
      <c r="M33" s="403">
        <f t="shared" si="12"/>
        <v>457.44</v>
      </c>
      <c r="N33" s="500">
        <f t="shared" si="44"/>
        <v>0</v>
      </c>
      <c r="O33" s="403">
        <f t="shared" si="13"/>
        <v>529.52</v>
      </c>
      <c r="P33" s="500">
        <f t="shared" si="45"/>
        <v>0</v>
      </c>
      <c r="Q33" s="500">
        <f t="shared" si="46"/>
        <v>0</v>
      </c>
      <c r="R33" s="502"/>
      <c r="S33" s="502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8">
        <f t="shared" si="16"/>
        <v>0</v>
      </c>
      <c r="X33" s="5">
        <f t="shared" si="17"/>
        <v>153815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779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40"/>
        <v>0</v>
      </c>
      <c r="AL33" s="321">
        <f t="shared" si="28"/>
        <v>0</v>
      </c>
      <c r="AM33" s="32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72">
        <f t="shared" si="29"/>
        <v>44497</v>
      </c>
      <c r="AS33" s="417">
        <f t="shared" si="48"/>
        <v>0.9</v>
      </c>
      <c r="AT33" s="201">
        <f t="shared" si="48"/>
        <v>120</v>
      </c>
      <c r="AU33" s="418">
        <f t="shared" si="43"/>
        <v>1.1000000000000001</v>
      </c>
      <c r="AV33" s="201">
        <f t="shared" si="31"/>
        <v>154</v>
      </c>
      <c r="AW33" s="5">
        <v>2.9</v>
      </c>
      <c r="AX33" s="201">
        <f t="shared" si="32"/>
        <v>125</v>
      </c>
      <c r="AY33" s="419">
        <f t="shared" si="33"/>
        <v>108</v>
      </c>
      <c r="AZ33" s="419">
        <f t="shared" si="34"/>
        <v>169.4</v>
      </c>
      <c r="BA33" s="419">
        <f t="shared" si="35"/>
        <v>362.5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12">
        <f>C34/27</f>
        <v>0</v>
      </c>
      <c r="E34" s="327">
        <f>SUM((C34*$E$4)+(7500/'EDl log'!$A$37))</f>
        <v>241.93548387096774</v>
      </c>
      <c r="F34" s="321"/>
      <c r="G34" s="5">
        <f t="shared" si="9"/>
        <v>624723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6886</v>
      </c>
      <c r="L34" s="269">
        <f>K34-K33</f>
        <v>0</v>
      </c>
      <c r="M34" s="403">
        <f t="shared" si="12"/>
        <v>457.44</v>
      </c>
      <c r="N34" s="500">
        <f>SUM(M34-M33)</f>
        <v>0</v>
      </c>
      <c r="O34" s="403">
        <f t="shared" si="13"/>
        <v>529.52</v>
      </c>
      <c r="P34" s="500">
        <f>SUM(O34-O33)</f>
        <v>0</v>
      </c>
      <c r="Q34" s="500">
        <f>SUM(P34+N34)</f>
        <v>0</v>
      </c>
      <c r="R34" s="502"/>
      <c r="S34" s="502"/>
      <c r="T34" s="5">
        <f t="shared" si="14"/>
        <v>5176</v>
      </c>
      <c r="U34" s="5">
        <f>SUM(T34-T33)</f>
        <v>0</v>
      </c>
      <c r="V34" s="5">
        <f t="shared" si="15"/>
        <v>477</v>
      </c>
      <c r="W34" s="318">
        <f>+V34-V33</f>
        <v>0</v>
      </c>
      <c r="X34" s="5">
        <f t="shared" si="17"/>
        <v>153815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2">
        <f>A34</f>
        <v>44498</v>
      </c>
      <c r="AS34" s="417">
        <f>AS33</f>
        <v>0.9</v>
      </c>
      <c r="AT34" s="201">
        <f t="shared" ref="AT34:AT36" si="49">AT33</f>
        <v>120</v>
      </c>
      <c r="AU34" s="418">
        <f>AU33</f>
        <v>1.1000000000000001</v>
      </c>
      <c r="AV34" s="201">
        <f t="shared" si="31"/>
        <v>154</v>
      </c>
      <c r="AW34" s="5">
        <v>2.9</v>
      </c>
      <c r="AX34" s="201">
        <f t="shared" si="32"/>
        <v>125</v>
      </c>
      <c r="AY34" s="419">
        <f t="shared" si="33"/>
        <v>108</v>
      </c>
      <c r="AZ34" s="419">
        <f>AU34*AV34</f>
        <v>169.4</v>
      </c>
      <c r="BA34" s="419">
        <f>AW34*AX34</f>
        <v>362.5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12">
        <f>C35/27</f>
        <v>0</v>
      </c>
      <c r="E35" s="327">
        <f>SUM((C35*$E$4)+(7500/'EDl log'!$A$37))</f>
        <v>241.93548387096774</v>
      </c>
      <c r="F35" s="321"/>
      <c r="G35" s="5">
        <f t="shared" si="9"/>
        <v>624723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6886</v>
      </c>
      <c r="L35" s="269">
        <f>K35-K34</f>
        <v>0</v>
      </c>
      <c r="M35" s="403">
        <f t="shared" si="12"/>
        <v>457.44</v>
      </c>
      <c r="N35" s="500">
        <f>SUM(M35-M34)</f>
        <v>0</v>
      </c>
      <c r="O35" s="403">
        <f t="shared" si="13"/>
        <v>529.52</v>
      </c>
      <c r="P35" s="500">
        <f>SUM(O35-O34)</f>
        <v>0</v>
      </c>
      <c r="Q35" s="500">
        <f>SUM(P35+N35)</f>
        <v>0</v>
      </c>
      <c r="R35" s="502"/>
      <c r="S35" s="502"/>
      <c r="T35" s="5">
        <f t="shared" si="14"/>
        <v>5176</v>
      </c>
      <c r="U35" s="5">
        <f>SUM(T35-T34)</f>
        <v>0</v>
      </c>
      <c r="V35" s="5">
        <f t="shared" si="15"/>
        <v>477</v>
      </c>
      <c r="W35" s="318">
        <f>+V35-V34</f>
        <v>0</v>
      </c>
      <c r="X35" s="5">
        <f t="shared" si="17"/>
        <v>153815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2">
        <f>A35</f>
        <v>44499</v>
      </c>
      <c r="AS35" s="417">
        <f>AS34</f>
        <v>0.9</v>
      </c>
      <c r="AT35" s="201">
        <f t="shared" si="49"/>
        <v>120</v>
      </c>
      <c r="AU35" s="418">
        <f>AU34</f>
        <v>1.1000000000000001</v>
      </c>
      <c r="AV35" s="201">
        <f t="shared" si="31"/>
        <v>154</v>
      </c>
      <c r="AW35" s="5">
        <v>2.9</v>
      </c>
      <c r="AX35" s="201">
        <f t="shared" si="32"/>
        <v>125</v>
      </c>
      <c r="AY35" s="419">
        <f t="shared" si="33"/>
        <v>108</v>
      </c>
      <c r="AZ35" s="419">
        <f>AU35*AV35</f>
        <v>169.4</v>
      </c>
      <c r="BA35" s="419">
        <f>AW35*AX35</f>
        <v>362.5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12">
        <f>C36/27</f>
        <v>0</v>
      </c>
      <c r="E36" s="327">
        <f>SUM((C36*$E$4)+(7500/'EDl log'!$A$37))</f>
        <v>241.93548387096774</v>
      </c>
      <c r="F36" s="321"/>
      <c r="G36" s="5">
        <f t="shared" si="9"/>
        <v>624723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6886</v>
      </c>
      <c r="L36" s="269">
        <f>K36-K35</f>
        <v>0</v>
      </c>
      <c r="M36" s="403">
        <f t="shared" si="12"/>
        <v>457.44</v>
      </c>
      <c r="N36" s="500">
        <f>SUM(M36-M35)</f>
        <v>0</v>
      </c>
      <c r="O36" s="403">
        <f t="shared" si="13"/>
        <v>529.52</v>
      </c>
      <c r="P36" s="500">
        <f>SUM(O36-O35)</f>
        <v>0</v>
      </c>
      <c r="Q36" s="500">
        <f>SUM(P36+N36)</f>
        <v>0</v>
      </c>
      <c r="R36" s="502"/>
      <c r="S36" s="502"/>
      <c r="T36" s="5">
        <f t="shared" si="14"/>
        <v>5176</v>
      </c>
      <c r="U36" s="5">
        <f>SUM(T36-T35)</f>
        <v>0</v>
      </c>
      <c r="V36" s="5">
        <f t="shared" si="15"/>
        <v>477</v>
      </c>
      <c r="W36" s="318">
        <f>+V36-V35</f>
        <v>0</v>
      </c>
      <c r="X36" s="5">
        <f t="shared" si="17"/>
        <v>153815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244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72">
        <f>A36</f>
        <v>44500</v>
      </c>
      <c r="AS36" s="417">
        <f>AS35</f>
        <v>0.9</v>
      </c>
      <c r="AT36" s="201">
        <f t="shared" si="49"/>
        <v>120</v>
      </c>
      <c r="AU36" s="418">
        <f>AU35</f>
        <v>1.1000000000000001</v>
      </c>
      <c r="AV36" s="201">
        <f t="shared" si="31"/>
        <v>154</v>
      </c>
      <c r="AW36" s="5">
        <v>2.9</v>
      </c>
      <c r="AX36" s="201">
        <f t="shared" si="32"/>
        <v>125</v>
      </c>
      <c r="AY36" s="419">
        <f t="shared" ref="AY36" si="53">AS36*AT36</f>
        <v>108</v>
      </c>
      <c r="AZ36" s="419">
        <f>AU36*AV36</f>
        <v>169.4</v>
      </c>
      <c r="BA36" s="419">
        <f>AW36*AX36</f>
        <v>362.5</v>
      </c>
      <c r="BB36" s="21">
        <f t="shared" ref="BB36" si="54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5">
        <f>SUM(C6:C36)</f>
        <v>0</v>
      </c>
      <c r="D37" s="316">
        <f>SUM(D6:D36)</f>
        <v>0</v>
      </c>
      <c r="F37" s="407">
        <f>SUM(F6:F36)</f>
        <v>0</v>
      </c>
      <c r="H37" s="405">
        <f>SUM(H6:H36)</f>
        <v>0</v>
      </c>
      <c r="I37" s="405">
        <f>SUM(I6:I36)</f>
        <v>0</v>
      </c>
      <c r="L37" s="264">
        <f>SUM(L7:L36)</f>
        <v>2</v>
      </c>
      <c r="M37" s="580"/>
      <c r="N37" s="580"/>
      <c r="O37" s="580"/>
      <c r="P37" s="580"/>
      <c r="Q37" s="407">
        <f>SUM(Q6:Q36)</f>
        <v>0</v>
      </c>
      <c r="R37" s="580"/>
      <c r="S37" s="580"/>
      <c r="T37" s="580"/>
      <c r="U37" s="580">
        <f>SUM(U6:U36)</f>
        <v>-4</v>
      </c>
      <c r="X37" s="317"/>
      <c r="Y37" s="316">
        <f>SUM(Y6,Y33,Y31,Y29,Y27,Y25,Y23,Y21,Y19,Y17,Y15,Y13,Y11,Y9,Y7,Y34,Y35,Y36)</f>
        <v>0</v>
      </c>
      <c r="AJ37" s="316">
        <f>SUM(AJ6:AJ36)</f>
        <v>0</v>
      </c>
      <c r="AK37" s="321">
        <f>SUM(Y37-L37)</f>
        <v>-2</v>
      </c>
      <c r="AL37" s="316">
        <f>SUM(AL6:AL36)</f>
        <v>0</v>
      </c>
      <c r="AP37" s="17"/>
      <c r="AQ37" s="17"/>
      <c r="AR37" s="17"/>
      <c r="AS37" s="599"/>
      <c r="AT37" s="201"/>
      <c r="AU37" s="599"/>
      <c r="AV37" s="601"/>
      <c r="AW37" s="600"/>
      <c r="AX37" s="600"/>
      <c r="AY37" s="600"/>
      <c r="AZ37" s="601"/>
      <c r="BA37" s="601"/>
      <c r="BB37" s="601"/>
      <c r="BC37" s="601"/>
      <c r="BD37" s="601"/>
      <c r="BE37" s="602"/>
    </row>
    <row r="38" spans="1:59">
      <c r="C38" s="1">
        <f>+C37*1.66</f>
        <v>0</v>
      </c>
      <c r="E38" s="326">
        <f>SUM(E6:E33)</f>
        <v>6774.1935483870975</v>
      </c>
      <c r="F38" s="410">
        <f>SUM(F6:F35)</f>
        <v>0</v>
      </c>
      <c r="H38" s="157">
        <v>7500</v>
      </c>
      <c r="I38" s="406" t="e">
        <f>SUM('General information '!G36/WATER!I37)</f>
        <v>#DIV/0!</v>
      </c>
      <c r="L38" s="157"/>
      <c r="O38" s="479">
        <f>SUM(Q37+I37)</f>
        <v>0</v>
      </c>
      <c r="Z38" s="316">
        <f>SUM(Y37:AJ37)</f>
        <v>0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9*31</f>
        <v>279</v>
      </c>
      <c r="D39" s="407">
        <f>SUM(D6:D35)</f>
        <v>0</v>
      </c>
      <c r="F39" s="40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abSelected="1" zoomScale="110" zoomScaleNormal="110" workbookViewId="0">
      <pane ySplit="1" topLeftCell="A2" activePane="bottomLeft" state="frozen"/>
      <selection pane="bottomLeft" activeCell="D6" sqref="D6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1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1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1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[2]GEN!A32</f>
        <v>44469</v>
      </c>
      <c r="B2" s="266">
        <f>[2]GEN!B32</f>
        <v>10965</v>
      </c>
      <c r="C2" s="266">
        <f>[2]GEN!C32</f>
        <v>8</v>
      </c>
      <c r="D2" s="266">
        <f>[2]GEN!D32</f>
        <v>522014.3</v>
      </c>
      <c r="E2" s="266">
        <f>[2]GEN!E32</f>
        <v>982.29999999998836</v>
      </c>
      <c r="F2" s="266">
        <f>[2]GEN!F32</f>
        <v>122.78749999999854</v>
      </c>
      <c r="G2" s="266">
        <f>[2]GEN!G32</f>
        <v>0</v>
      </c>
      <c r="H2" s="266">
        <f>[2]GEN!H32</f>
        <v>11055</v>
      </c>
      <c r="I2" s="266" t="str">
        <f>[2]GEN!I32</f>
        <v>ok</v>
      </c>
      <c r="J2" s="266">
        <f>[2]GEN!J32</f>
        <v>10698</v>
      </c>
      <c r="K2" s="266">
        <f>[2]GEN!K32</f>
        <v>0</v>
      </c>
      <c r="L2" s="266">
        <f>[2]GEN!L32</f>
        <v>357691</v>
      </c>
      <c r="M2" s="266">
        <f>[2]GEN!M32</f>
        <v>0</v>
      </c>
      <c r="N2" s="266">
        <f>[2]GEN!N32</f>
        <v>0</v>
      </c>
      <c r="O2" s="266">
        <f>[2]GEN!O32</f>
        <v>0</v>
      </c>
      <c r="P2" s="266">
        <f>[2]GEN!P32</f>
        <v>10873</v>
      </c>
      <c r="Q2" s="266" t="str">
        <f>[2]GEN!Q32</f>
        <v>ok</v>
      </c>
      <c r="R2" s="266">
        <f>[2]GEN!R32</f>
        <v>13131</v>
      </c>
      <c r="S2" s="266">
        <f>[2]GEN!S32</f>
        <v>2</v>
      </c>
      <c r="T2" s="266">
        <f>[2]GEN!T32</f>
        <v>222244</v>
      </c>
      <c r="U2" s="266">
        <f>[2]GEN!U32</f>
        <v>500</v>
      </c>
      <c r="V2" s="266">
        <f>[2]GEN!V32</f>
        <v>250</v>
      </c>
      <c r="W2" s="266">
        <f>[2]GEN!W32</f>
        <v>0</v>
      </c>
      <c r="X2" s="266">
        <f>[2]GEN!X32</f>
        <v>13229</v>
      </c>
      <c r="Y2" s="266" t="str">
        <f>[2]GEN!Y32</f>
        <v>ok</v>
      </c>
      <c r="Z2" s="266">
        <f>[2]GEN!Z32</f>
        <v>10</v>
      </c>
      <c r="AA2" s="266">
        <f>[2]GEN!AA32</f>
        <v>1482.2999999999884</v>
      </c>
      <c r="AB2" s="266">
        <f>[2]GEN!AB32</f>
        <v>372.78749999999854</v>
      </c>
      <c r="AC2" s="266">
        <f>[2]GEN!AC32</f>
        <v>148.22999999999882</v>
      </c>
      <c r="AD2" s="266">
        <f>[2]GEN!AD32</f>
        <v>6333.0000000023574</v>
      </c>
      <c r="AE2" s="266">
        <f>[2]GEN!AE32</f>
        <v>633.30000000023574</v>
      </c>
      <c r="AF2" s="266">
        <f>[2]GEN!AF32</f>
        <v>0.39581250000014734</v>
      </c>
      <c r="AG2" s="266">
        <f>[2]GEN!AG32</f>
        <v>126.66000000004715</v>
      </c>
      <c r="AH2" s="266">
        <f>[2]GEN!AH32</f>
        <v>21.569999999951676</v>
      </c>
      <c r="AI2" s="266">
        <f>[2]GEN!AI32</f>
        <v>1630.0126582284549</v>
      </c>
      <c r="AJ2" s="266">
        <f>[2]GEN!AJ32</f>
        <v>0.25738396624472576</v>
      </c>
      <c r="AK2" s="266">
        <f>[2]GEN!AK32</f>
        <v>163.00126582284548</v>
      </c>
    </row>
    <row r="3" spans="1:37" ht="15.75" thickBot="1">
      <c r="A3" s="4">
        <f>ELEC!C4</f>
        <v>44470</v>
      </c>
      <c r="B3" s="522">
        <f>B2</f>
        <v>10965</v>
      </c>
      <c r="C3" s="282">
        <f>B3-B2</f>
        <v>0</v>
      </c>
      <c r="D3" s="523">
        <f>D2</f>
        <v>522014.3</v>
      </c>
      <c r="E3" s="282">
        <f>SUM(D3-D2)</f>
        <v>0</v>
      </c>
      <c r="F3" s="282">
        <f t="shared" ref="F3:F30" si="0">IF(C3&gt;0,E3/C3,0)</f>
        <v>0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3">
        <f>J2</f>
        <v>10698</v>
      </c>
      <c r="K3" s="282">
        <f t="shared" ref="K3:K30" si="2">J3-J2</f>
        <v>0</v>
      </c>
      <c r="L3" s="523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3">
        <f>R2</f>
        <v>13131</v>
      </c>
      <c r="S3" s="282">
        <f t="shared" ref="S3:S30" si="4">R3-R2</f>
        <v>0</v>
      </c>
      <c r="T3" s="523">
        <f>T2</f>
        <v>222244</v>
      </c>
      <c r="U3" s="282">
        <f>V3*S3</f>
        <v>0</v>
      </c>
      <c r="V3" s="282">
        <v>250</v>
      </c>
      <c r="W3" s="266">
        <f>[4]GEN!W32</f>
        <v>0</v>
      </c>
      <c r="X3" s="266">
        <v>13068</v>
      </c>
      <c r="Y3" s="282" t="str">
        <f t="shared" ref="Y3:Y9" si="5">IF(R3-X3&lt;=0,"ok","oil change")</f>
        <v>oil change</v>
      </c>
      <c r="Z3" s="282">
        <f t="shared" ref="Z3:Z30" si="6">C3+K3+S3</f>
        <v>0</v>
      </c>
      <c r="AA3" s="282">
        <f>U3+M3+E3</f>
        <v>0</v>
      </c>
      <c r="AB3" s="282">
        <f>V3+N3+F3</f>
        <v>250</v>
      </c>
      <c r="AC3" s="282">
        <f>IF(Z3&gt;0,AA3/Z3,0)</f>
        <v>0</v>
      </c>
      <c r="AD3" s="73">
        <f>ELEC!Q4</f>
        <v>0</v>
      </c>
      <c r="AE3" s="73" t="e">
        <f>SUM(AD3/Z3)</f>
        <v>#DIV/0!</v>
      </c>
      <c r="AF3" s="396" t="e">
        <f>SUM(AE3/1600)</f>
        <v>#DIV/0!</v>
      </c>
      <c r="AG3" s="397" t="e">
        <f>SUM(360*AF3)</f>
        <v>#DIV/0!</v>
      </c>
      <c r="AH3" s="397" t="e">
        <f>SUM(AC3-AG3)</f>
        <v>#DIV/0!</v>
      </c>
      <c r="AI3" s="73">
        <f>AD3*AJ3</f>
        <v>0</v>
      </c>
      <c r="AJ3" s="284">
        <f t="shared" ref="AJ3:AJ33" si="7">305/1185</f>
        <v>0.25738396624472576</v>
      </c>
      <c r="AK3" s="284" t="e">
        <f t="shared" ref="AK3:AK32" si="8">AI3/Z3</f>
        <v>#DIV/0!</v>
      </c>
    </row>
    <row r="4" spans="1:37" ht="15.75" thickBot="1">
      <c r="A4" s="4">
        <f>ELEC!C5</f>
        <v>44471</v>
      </c>
      <c r="B4" s="522">
        <f t="shared" ref="B4:B33" si="9">B3</f>
        <v>10965</v>
      </c>
      <c r="C4" s="282">
        <f t="shared" ref="C4:C30" si="10">B4-B3</f>
        <v>0</v>
      </c>
      <c r="D4" s="523">
        <f t="shared" ref="D4:D33" si="11">D3</f>
        <v>522014.3</v>
      </c>
      <c r="E4" s="282">
        <f t="shared" ref="E4:E25" si="12">SUM(D4-D3)</f>
        <v>0</v>
      </c>
      <c r="F4" s="282">
        <f t="shared" si="0"/>
        <v>0</v>
      </c>
      <c r="G4" s="196"/>
      <c r="H4" s="266">
        <f t="shared" ref="H4:H33" si="13">H3</f>
        <v>11055</v>
      </c>
      <c r="I4" s="282" t="str">
        <f t="shared" si="1"/>
        <v>ok</v>
      </c>
      <c r="J4" s="523">
        <f t="shared" ref="J4:J33" si="14">J3</f>
        <v>10698</v>
      </c>
      <c r="K4" s="282">
        <f t="shared" si="2"/>
        <v>0</v>
      </c>
      <c r="L4" s="523">
        <f t="shared" ref="L4:L33" si="15">L3</f>
        <v>357691</v>
      </c>
      <c r="M4" s="282">
        <f t="shared" ref="M4:M30" si="16">SUM(L4-L3)</f>
        <v>0</v>
      </c>
      <c r="N4" s="282">
        <f t="shared" ref="N4:N30" si="17">IF(K4&gt;0,M4/K4,0)</f>
        <v>0</v>
      </c>
      <c r="O4" s="196"/>
      <c r="P4" s="283">
        <f t="shared" ref="P4:P33" si="18">P3</f>
        <v>10873</v>
      </c>
      <c r="Q4" s="282" t="str">
        <f t="shared" si="3"/>
        <v>ok</v>
      </c>
      <c r="R4" s="523">
        <f t="shared" ref="R4:R33" si="19">R3</f>
        <v>13131</v>
      </c>
      <c r="S4" s="282">
        <f t="shared" si="4"/>
        <v>0</v>
      </c>
      <c r="T4" s="523">
        <f t="shared" ref="T4:T33" si="20">T3+U4</f>
        <v>222244</v>
      </c>
      <c r="U4" s="282">
        <f t="shared" ref="U4:U33" si="21">V4*S4</f>
        <v>0</v>
      </c>
      <c r="V4" s="282">
        <v>250</v>
      </c>
      <c r="W4" s="196"/>
      <c r="X4" s="283">
        <f t="shared" ref="X4:X33" si="22">X3</f>
        <v>13068</v>
      </c>
      <c r="Y4" s="282" t="str">
        <f t="shared" si="5"/>
        <v>oil change</v>
      </c>
      <c r="Z4" s="282">
        <f t="shared" si="6"/>
        <v>0</v>
      </c>
      <c r="AA4" s="282">
        <f t="shared" ref="AA4:AA30" si="23">U4+M4+E4</f>
        <v>0</v>
      </c>
      <c r="AB4" s="282">
        <f t="shared" ref="AB4:AB30" si="24">V4+N4+F4</f>
        <v>250</v>
      </c>
      <c r="AC4" s="282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6" t="e">
        <f>SUM(AE4/1600)</f>
        <v>#DIV/0!</v>
      </c>
      <c r="AG4" s="397" t="e">
        <f>SUM(360*AF4)</f>
        <v>#DIV/0!</v>
      </c>
      <c r="AH4" s="397" t="e">
        <f t="shared" ref="AH4:AH30" si="26">SUM(AC4-AG4)</f>
        <v>#DIV/0!</v>
      </c>
      <c r="AI4" s="73">
        <f>AD4*AJ4</f>
        <v>0</v>
      </c>
      <c r="AJ4" s="284">
        <f t="shared" si="7"/>
        <v>0.25738396624472576</v>
      </c>
      <c r="AK4" s="284" t="e">
        <f t="shared" si="8"/>
        <v>#DIV/0!</v>
      </c>
    </row>
    <row r="5" spans="1:37" ht="15.75" thickBot="1">
      <c r="A5" s="4">
        <f>ELEC!C6</f>
        <v>44472</v>
      </c>
      <c r="B5" s="522">
        <v>10971</v>
      </c>
      <c r="C5" s="282">
        <f t="shared" si="10"/>
        <v>6</v>
      </c>
      <c r="D5" s="523">
        <v>522800</v>
      </c>
      <c r="E5" s="282">
        <f t="shared" si="12"/>
        <v>785.70000000001164</v>
      </c>
      <c r="F5" s="282">
        <f t="shared" si="0"/>
        <v>130.95000000000195</v>
      </c>
      <c r="G5" s="280"/>
      <c r="H5" s="266">
        <f t="shared" si="13"/>
        <v>11055</v>
      </c>
      <c r="I5" s="282" t="str">
        <f t="shared" si="1"/>
        <v>ok</v>
      </c>
      <c r="J5" s="523">
        <f t="shared" si="14"/>
        <v>10698</v>
      </c>
      <c r="K5" s="282">
        <f t="shared" si="2"/>
        <v>0</v>
      </c>
      <c r="L5" s="523">
        <f t="shared" si="15"/>
        <v>357691</v>
      </c>
      <c r="M5" s="282">
        <f t="shared" si="16"/>
        <v>0</v>
      </c>
      <c r="N5" s="282">
        <f t="shared" si="17"/>
        <v>0</v>
      </c>
      <c r="O5" s="196"/>
      <c r="P5" s="283">
        <f t="shared" si="18"/>
        <v>10873</v>
      </c>
      <c r="Q5" s="282" t="str">
        <f t="shared" si="3"/>
        <v>ok</v>
      </c>
      <c r="R5" s="523">
        <v>13134</v>
      </c>
      <c r="S5" s="282">
        <f t="shared" si="4"/>
        <v>3</v>
      </c>
      <c r="T5" s="523">
        <f t="shared" si="20"/>
        <v>222994</v>
      </c>
      <c r="U5" s="282">
        <f t="shared" si="21"/>
        <v>750</v>
      </c>
      <c r="V5" s="282">
        <v>250</v>
      </c>
      <c r="W5" s="196"/>
      <c r="X5" s="283">
        <f t="shared" si="22"/>
        <v>13068</v>
      </c>
      <c r="Y5" s="282" t="str">
        <f t="shared" si="5"/>
        <v>oil change</v>
      </c>
      <c r="Z5" s="282">
        <f t="shared" si="6"/>
        <v>9</v>
      </c>
      <c r="AA5" s="282">
        <f t="shared" si="23"/>
        <v>1535.7000000000116</v>
      </c>
      <c r="AB5" s="282">
        <f t="shared" si="24"/>
        <v>380.95000000000198</v>
      </c>
      <c r="AC5" s="282">
        <f t="shared" si="25"/>
        <v>170.63333333333463</v>
      </c>
      <c r="AD5" s="73">
        <f>ELEC!Q6</f>
        <v>6615.9999999981665</v>
      </c>
      <c r="AE5" s="73">
        <f t="shared" ref="AE5:AE30" si="27">SUM(AD5/Z5)</f>
        <v>735.11111111090736</v>
      </c>
      <c r="AF5" s="396">
        <f t="shared" ref="AF5:AG30" si="28">SUM(AE5/1600)</f>
        <v>0.45944444444431709</v>
      </c>
      <c r="AG5" s="397">
        <f t="shared" ref="AG5:AG30" si="29">SUM(320*AF5)</f>
        <v>147.02222222218148</v>
      </c>
      <c r="AH5" s="397">
        <f t="shared" si="26"/>
        <v>23.61111111115315</v>
      </c>
      <c r="AI5" s="73">
        <f t="shared" ref="AI5:AI30" si="30">AD5*AJ5</f>
        <v>1702.8523206746338</v>
      </c>
      <c r="AJ5" s="284">
        <f t="shared" si="7"/>
        <v>0.25738396624472576</v>
      </c>
      <c r="AK5" s="284">
        <f t="shared" si="8"/>
        <v>189.20581340829264</v>
      </c>
    </row>
    <row r="6" spans="1:37" ht="15.75" thickBot="1">
      <c r="A6" s="4">
        <f>ELEC!C7</f>
        <v>44473</v>
      </c>
      <c r="B6" s="522">
        <f t="shared" si="9"/>
        <v>10971</v>
      </c>
      <c r="C6" s="282">
        <f t="shared" si="10"/>
        <v>0</v>
      </c>
      <c r="D6" s="523">
        <f t="shared" si="11"/>
        <v>522800</v>
      </c>
      <c r="E6" s="282">
        <f t="shared" si="12"/>
        <v>0</v>
      </c>
      <c r="F6" s="282">
        <f t="shared" si="0"/>
        <v>0</v>
      </c>
      <c r="G6" s="196"/>
      <c r="H6" s="266">
        <f t="shared" si="13"/>
        <v>11055</v>
      </c>
      <c r="I6" s="282" t="str">
        <f t="shared" si="1"/>
        <v>ok</v>
      </c>
      <c r="J6" s="523">
        <f t="shared" si="14"/>
        <v>10698</v>
      </c>
      <c r="K6" s="282">
        <f t="shared" si="2"/>
        <v>0</v>
      </c>
      <c r="L6" s="523">
        <f t="shared" si="15"/>
        <v>357691</v>
      </c>
      <c r="M6" s="282">
        <f>SUM(L6-L5)</f>
        <v>0</v>
      </c>
      <c r="N6" s="282">
        <f t="shared" si="17"/>
        <v>0</v>
      </c>
      <c r="O6" s="302"/>
      <c r="P6" s="283">
        <f t="shared" si="18"/>
        <v>10873</v>
      </c>
      <c r="Q6" s="282" t="str">
        <f t="shared" si="3"/>
        <v>ok</v>
      </c>
      <c r="R6" s="523">
        <f t="shared" si="19"/>
        <v>13134</v>
      </c>
      <c r="S6" s="282">
        <f t="shared" si="4"/>
        <v>0</v>
      </c>
      <c r="T6" s="523">
        <f t="shared" si="20"/>
        <v>222994</v>
      </c>
      <c r="U6" s="282">
        <f>V6*S6</f>
        <v>0</v>
      </c>
      <c r="V6" s="282">
        <v>250</v>
      </c>
      <c r="W6" s="302"/>
      <c r="X6" s="283">
        <f t="shared" si="22"/>
        <v>13068</v>
      </c>
      <c r="Y6" s="282" t="str">
        <f t="shared" si="5"/>
        <v>oil change</v>
      </c>
      <c r="Z6" s="282">
        <f t="shared" si="6"/>
        <v>0</v>
      </c>
      <c r="AA6" s="282">
        <f t="shared" si="23"/>
        <v>0</v>
      </c>
      <c r="AB6" s="282">
        <f t="shared" si="24"/>
        <v>250</v>
      </c>
      <c r="AC6" s="282">
        <f t="shared" si="25"/>
        <v>0</v>
      </c>
      <c r="AD6" s="73">
        <f>ELEC!Q7</f>
        <v>0</v>
      </c>
      <c r="AE6" s="73" t="e">
        <f>SUM(AD6/Z6)</f>
        <v>#DIV/0!</v>
      </c>
      <c r="AF6" s="396" t="e">
        <f t="shared" si="28"/>
        <v>#DIV/0!</v>
      </c>
      <c r="AG6" s="397" t="e">
        <f>SUM(320*AF6)</f>
        <v>#DIV/0!</v>
      </c>
      <c r="AH6" s="397" t="e">
        <f t="shared" si="26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44474</v>
      </c>
      <c r="B7" s="522">
        <f t="shared" si="9"/>
        <v>10971</v>
      </c>
      <c r="C7" s="282">
        <f t="shared" si="10"/>
        <v>0</v>
      </c>
      <c r="D7" s="523">
        <f t="shared" si="11"/>
        <v>522800</v>
      </c>
      <c r="E7" s="282">
        <f t="shared" si="12"/>
        <v>0</v>
      </c>
      <c r="F7" s="282">
        <f t="shared" si="0"/>
        <v>0</v>
      </c>
      <c r="G7" s="196"/>
      <c r="H7" s="266">
        <f>H6</f>
        <v>11055</v>
      </c>
      <c r="I7" s="282" t="str">
        <f t="shared" si="1"/>
        <v>ok</v>
      </c>
      <c r="J7" s="523">
        <f t="shared" si="14"/>
        <v>10698</v>
      </c>
      <c r="K7" s="282">
        <f t="shared" si="2"/>
        <v>0</v>
      </c>
      <c r="L7" s="523">
        <f t="shared" si="15"/>
        <v>357691</v>
      </c>
      <c r="M7" s="282">
        <f t="shared" si="16"/>
        <v>0</v>
      </c>
      <c r="N7" s="282">
        <f t="shared" si="17"/>
        <v>0</v>
      </c>
      <c r="O7" s="302"/>
      <c r="P7" s="283">
        <f t="shared" si="18"/>
        <v>10873</v>
      </c>
      <c r="Q7" s="282" t="str">
        <f t="shared" si="3"/>
        <v>ok</v>
      </c>
      <c r="R7" s="523">
        <f t="shared" si="19"/>
        <v>13134</v>
      </c>
      <c r="S7" s="282">
        <f t="shared" si="4"/>
        <v>0</v>
      </c>
      <c r="T7" s="523">
        <f t="shared" si="20"/>
        <v>222994</v>
      </c>
      <c r="U7" s="282">
        <f>V7*S7</f>
        <v>0</v>
      </c>
      <c r="V7" s="282">
        <v>250</v>
      </c>
      <c r="W7" s="196"/>
      <c r="X7" s="283">
        <f t="shared" si="22"/>
        <v>13068</v>
      </c>
      <c r="Y7" s="282" t="str">
        <f t="shared" si="5"/>
        <v>oil change</v>
      </c>
      <c r="Z7" s="282">
        <f t="shared" si="6"/>
        <v>0</v>
      </c>
      <c r="AA7" s="282">
        <f>U7+M7+E7</f>
        <v>0</v>
      </c>
      <c r="AB7" s="282">
        <f t="shared" si="24"/>
        <v>250</v>
      </c>
      <c r="AC7" s="282">
        <f t="shared" si="25"/>
        <v>0</v>
      </c>
      <c r="AD7" s="73">
        <f>ELEC!Q8</f>
        <v>0</v>
      </c>
      <c r="AE7" s="73" t="e">
        <f t="shared" si="27"/>
        <v>#DIV/0!</v>
      </c>
      <c r="AF7" s="396" t="e">
        <f t="shared" si="28"/>
        <v>#DIV/0!</v>
      </c>
      <c r="AG7" s="396" t="e">
        <f t="shared" si="28"/>
        <v>#DIV/0!</v>
      </c>
      <c r="AH7" s="397" t="e">
        <f t="shared" si="26"/>
        <v>#DIV/0!</v>
      </c>
      <c r="AI7" s="73">
        <f t="shared" si="30"/>
        <v>0</v>
      </c>
      <c r="AJ7" s="284">
        <f t="shared" si="7"/>
        <v>0.25738396624472576</v>
      </c>
      <c r="AK7" s="284" t="e">
        <f t="shared" si="8"/>
        <v>#DIV/0!</v>
      </c>
    </row>
    <row r="8" spans="1:37" ht="15.75" thickBot="1">
      <c r="A8" s="4">
        <f>ELEC!C9</f>
        <v>44475</v>
      </c>
      <c r="B8" s="522">
        <f t="shared" si="9"/>
        <v>10971</v>
      </c>
      <c r="C8" s="282">
        <f t="shared" si="10"/>
        <v>0</v>
      </c>
      <c r="D8" s="523">
        <f t="shared" si="11"/>
        <v>522800</v>
      </c>
      <c r="E8" s="282">
        <f t="shared" si="12"/>
        <v>0</v>
      </c>
      <c r="F8" s="282">
        <f t="shared" si="0"/>
        <v>0</v>
      </c>
      <c r="G8" s="196"/>
      <c r="H8" s="266">
        <f t="shared" si="13"/>
        <v>11055</v>
      </c>
      <c r="I8" s="282" t="str">
        <f t="shared" si="1"/>
        <v>ok</v>
      </c>
      <c r="J8" s="523">
        <f t="shared" si="14"/>
        <v>10698</v>
      </c>
      <c r="K8" s="282">
        <f t="shared" si="2"/>
        <v>0</v>
      </c>
      <c r="L8" s="523">
        <f t="shared" si="15"/>
        <v>357691</v>
      </c>
      <c r="M8" s="282">
        <f t="shared" si="16"/>
        <v>0</v>
      </c>
      <c r="N8" s="282">
        <f t="shared" si="17"/>
        <v>0</v>
      </c>
      <c r="O8" s="196"/>
      <c r="P8" s="283">
        <f t="shared" si="18"/>
        <v>10873</v>
      </c>
      <c r="Q8" s="282" t="str">
        <f t="shared" si="3"/>
        <v>ok</v>
      </c>
      <c r="R8" s="523">
        <f t="shared" si="19"/>
        <v>13134</v>
      </c>
      <c r="S8" s="282">
        <f t="shared" si="4"/>
        <v>0</v>
      </c>
      <c r="T8" s="523">
        <f>T7+U8</f>
        <v>222994</v>
      </c>
      <c r="U8" s="282">
        <f>V8*S8</f>
        <v>0</v>
      </c>
      <c r="V8" s="282">
        <v>250</v>
      </c>
      <c r="W8" s="196"/>
      <c r="X8" s="283">
        <f t="shared" si="22"/>
        <v>13068</v>
      </c>
      <c r="Y8" s="282" t="str">
        <f t="shared" si="5"/>
        <v>oil change</v>
      </c>
      <c r="Z8" s="282">
        <f t="shared" si="6"/>
        <v>0</v>
      </c>
      <c r="AA8" s="282">
        <f t="shared" si="23"/>
        <v>0</v>
      </c>
      <c r="AB8" s="282">
        <f t="shared" si="24"/>
        <v>250</v>
      </c>
      <c r="AC8" s="282">
        <f t="shared" si="25"/>
        <v>0</v>
      </c>
      <c r="AD8" s="73">
        <f>ELEC!Q9</f>
        <v>0</v>
      </c>
      <c r="AE8" s="73" t="e">
        <f t="shared" si="27"/>
        <v>#DIV/0!</v>
      </c>
      <c r="AF8" s="396" t="e">
        <f t="shared" si="28"/>
        <v>#DIV/0!</v>
      </c>
      <c r="AG8" s="397" t="e">
        <f t="shared" si="29"/>
        <v>#DIV/0!</v>
      </c>
      <c r="AH8" s="397" t="e">
        <f t="shared" si="26"/>
        <v>#DIV/0!</v>
      </c>
      <c r="AI8" s="73">
        <f t="shared" si="30"/>
        <v>0</v>
      </c>
      <c r="AJ8" s="284">
        <f t="shared" si="7"/>
        <v>0.25738396624472576</v>
      </c>
      <c r="AK8" s="284" t="e">
        <f t="shared" si="8"/>
        <v>#DIV/0!</v>
      </c>
    </row>
    <row r="9" spans="1:37" ht="15.75" thickBot="1">
      <c r="A9" s="4">
        <f>ELEC!C10</f>
        <v>44476</v>
      </c>
      <c r="B9" s="522">
        <f t="shared" si="9"/>
        <v>10971</v>
      </c>
      <c r="C9" s="282">
        <f t="shared" si="10"/>
        <v>0</v>
      </c>
      <c r="D9" s="523">
        <f t="shared" si="11"/>
        <v>522800</v>
      </c>
      <c r="E9" s="282">
        <f t="shared" si="12"/>
        <v>0</v>
      </c>
      <c r="F9" s="282">
        <f t="shared" si="0"/>
        <v>0</v>
      </c>
      <c r="G9" s="196"/>
      <c r="H9" s="266">
        <f t="shared" si="13"/>
        <v>11055</v>
      </c>
      <c r="I9" s="282" t="str">
        <f t="shared" si="1"/>
        <v>ok</v>
      </c>
      <c r="J9" s="523">
        <f t="shared" si="14"/>
        <v>10698</v>
      </c>
      <c r="K9" s="282">
        <f t="shared" si="2"/>
        <v>0</v>
      </c>
      <c r="L9" s="523">
        <f t="shared" si="15"/>
        <v>357691</v>
      </c>
      <c r="M9" s="282">
        <f t="shared" si="16"/>
        <v>0</v>
      </c>
      <c r="N9" s="282">
        <f t="shared" si="17"/>
        <v>0</v>
      </c>
      <c r="O9" s="196"/>
      <c r="P9" s="283">
        <f t="shared" si="18"/>
        <v>10873</v>
      </c>
      <c r="Q9" s="282" t="str">
        <f t="shared" si="3"/>
        <v>ok</v>
      </c>
      <c r="R9" s="523">
        <f t="shared" si="19"/>
        <v>13134</v>
      </c>
      <c r="S9" s="282">
        <f t="shared" si="4"/>
        <v>0</v>
      </c>
      <c r="T9" s="523">
        <f t="shared" si="20"/>
        <v>222994</v>
      </c>
      <c r="U9" s="282">
        <f t="shared" si="21"/>
        <v>0</v>
      </c>
      <c r="V9" s="282">
        <v>250</v>
      </c>
      <c r="W9" s="196"/>
      <c r="X9" s="283">
        <f t="shared" si="22"/>
        <v>13068</v>
      </c>
      <c r="Y9" s="282" t="str">
        <f t="shared" si="5"/>
        <v>oil change</v>
      </c>
      <c r="Z9" s="282">
        <f t="shared" si="6"/>
        <v>0</v>
      </c>
      <c r="AA9" s="282">
        <f t="shared" si="23"/>
        <v>0</v>
      </c>
      <c r="AB9" s="282">
        <f t="shared" si="24"/>
        <v>250</v>
      </c>
      <c r="AC9" s="282">
        <f t="shared" si="25"/>
        <v>0</v>
      </c>
      <c r="AD9" s="73">
        <f>ELEC!Q10</f>
        <v>0</v>
      </c>
      <c r="AE9" s="73" t="e">
        <f t="shared" si="27"/>
        <v>#DIV/0!</v>
      </c>
      <c r="AF9" s="396" t="e">
        <f t="shared" si="28"/>
        <v>#DIV/0!</v>
      </c>
      <c r="AG9" s="397" t="e">
        <f t="shared" si="29"/>
        <v>#DIV/0!</v>
      </c>
      <c r="AH9" s="397" t="e">
        <f t="shared" si="26"/>
        <v>#DIV/0!</v>
      </c>
      <c r="AI9" s="73">
        <f t="shared" si="30"/>
        <v>0</v>
      </c>
      <c r="AJ9" s="284">
        <f t="shared" si="7"/>
        <v>0.25738396624472576</v>
      </c>
      <c r="AK9" s="284" t="e">
        <f t="shared" si="8"/>
        <v>#DIV/0!</v>
      </c>
    </row>
    <row r="10" spans="1:37" ht="15.75" thickBot="1">
      <c r="A10" s="4">
        <f>ELEC!C11</f>
        <v>44477</v>
      </c>
      <c r="B10" s="522">
        <f t="shared" si="9"/>
        <v>10971</v>
      </c>
      <c r="C10" s="282">
        <f t="shared" si="10"/>
        <v>0</v>
      </c>
      <c r="D10" s="523">
        <f t="shared" si="11"/>
        <v>522800</v>
      </c>
      <c r="E10" s="282">
        <f t="shared" si="12"/>
        <v>0</v>
      </c>
      <c r="F10" s="282">
        <f t="shared" si="0"/>
        <v>0</v>
      </c>
      <c r="G10" s="196"/>
      <c r="H10" s="266">
        <f t="shared" si="13"/>
        <v>11055</v>
      </c>
      <c r="I10" s="282" t="str">
        <f t="shared" si="1"/>
        <v>ok</v>
      </c>
      <c r="J10" s="523">
        <f t="shared" si="14"/>
        <v>10698</v>
      </c>
      <c r="K10" s="282">
        <f t="shared" si="2"/>
        <v>0</v>
      </c>
      <c r="L10" s="523">
        <f t="shared" si="15"/>
        <v>357691</v>
      </c>
      <c r="M10" s="282">
        <f t="shared" si="16"/>
        <v>0</v>
      </c>
      <c r="N10" s="282">
        <f t="shared" si="17"/>
        <v>0</v>
      </c>
      <c r="O10" s="196"/>
      <c r="P10" s="283">
        <f t="shared" si="18"/>
        <v>10873</v>
      </c>
      <c r="Q10" s="282" t="str">
        <f t="shared" si="3"/>
        <v>ok</v>
      </c>
      <c r="R10" s="523">
        <f t="shared" si="19"/>
        <v>13134</v>
      </c>
      <c r="S10" s="282">
        <f t="shared" si="4"/>
        <v>0</v>
      </c>
      <c r="T10" s="523">
        <f t="shared" si="20"/>
        <v>222994</v>
      </c>
      <c r="U10" s="282">
        <f t="shared" si="21"/>
        <v>0</v>
      </c>
      <c r="V10" s="282">
        <v>250</v>
      </c>
      <c r="W10" s="332"/>
      <c r="X10" s="283">
        <f t="shared" si="22"/>
        <v>13068</v>
      </c>
      <c r="Y10" s="282" t="str">
        <f t="shared" ref="Y10:Y20" si="31">IF(R10-X10&lt;=0,"ok","oil change")</f>
        <v>oil change</v>
      </c>
      <c r="Z10" s="282">
        <f t="shared" si="6"/>
        <v>0</v>
      </c>
      <c r="AA10" s="282">
        <f t="shared" si="23"/>
        <v>0</v>
      </c>
      <c r="AB10" s="282">
        <f t="shared" si="24"/>
        <v>250</v>
      </c>
      <c r="AC10" s="282">
        <f t="shared" si="25"/>
        <v>0</v>
      </c>
      <c r="AD10" s="73">
        <f>ELEC!Q11</f>
        <v>0</v>
      </c>
      <c r="AE10" s="73" t="e">
        <f t="shared" si="27"/>
        <v>#DIV/0!</v>
      </c>
      <c r="AF10" s="396" t="e">
        <f t="shared" si="28"/>
        <v>#DIV/0!</v>
      </c>
      <c r="AG10" s="397" t="e">
        <f t="shared" si="29"/>
        <v>#DIV/0!</v>
      </c>
      <c r="AH10" s="397" t="e">
        <f t="shared" si="26"/>
        <v>#DIV/0!</v>
      </c>
      <c r="AI10" s="73">
        <f t="shared" si="30"/>
        <v>0</v>
      </c>
      <c r="AJ10" s="284">
        <f t="shared" si="7"/>
        <v>0.25738396624472576</v>
      </c>
      <c r="AK10" s="284" t="e">
        <f t="shared" si="8"/>
        <v>#DIV/0!</v>
      </c>
    </row>
    <row r="11" spans="1:37" ht="15.75" thickBot="1">
      <c r="A11" s="4">
        <f>ELEC!C12</f>
        <v>44478</v>
      </c>
      <c r="B11" s="522">
        <f t="shared" si="9"/>
        <v>10971</v>
      </c>
      <c r="C11" s="282">
        <f t="shared" si="10"/>
        <v>0</v>
      </c>
      <c r="D11" s="523">
        <f t="shared" si="11"/>
        <v>522800</v>
      </c>
      <c r="E11" s="282">
        <f t="shared" si="12"/>
        <v>0</v>
      </c>
      <c r="F11" s="282">
        <f t="shared" si="0"/>
        <v>0</v>
      </c>
      <c r="G11" s="196"/>
      <c r="H11" s="266">
        <f t="shared" si="13"/>
        <v>11055</v>
      </c>
      <c r="I11" s="282" t="str">
        <f t="shared" si="1"/>
        <v>ok</v>
      </c>
      <c r="J11" s="523">
        <f t="shared" si="14"/>
        <v>10698</v>
      </c>
      <c r="K11" s="282">
        <f t="shared" si="2"/>
        <v>0</v>
      </c>
      <c r="L11" s="523">
        <f t="shared" si="15"/>
        <v>357691</v>
      </c>
      <c r="M11" s="282">
        <f t="shared" si="16"/>
        <v>0</v>
      </c>
      <c r="N11" s="282">
        <f t="shared" si="17"/>
        <v>0</v>
      </c>
      <c r="O11" s="196"/>
      <c r="P11" s="283">
        <f t="shared" si="18"/>
        <v>10873</v>
      </c>
      <c r="Q11" s="282" t="str">
        <f t="shared" si="3"/>
        <v>ok</v>
      </c>
      <c r="R11" s="523">
        <f t="shared" si="19"/>
        <v>13134</v>
      </c>
      <c r="S11" s="282">
        <f t="shared" si="4"/>
        <v>0</v>
      </c>
      <c r="T11" s="523">
        <f t="shared" si="20"/>
        <v>222994</v>
      </c>
      <c r="U11" s="282">
        <f t="shared" si="21"/>
        <v>0</v>
      </c>
      <c r="V11" s="282">
        <v>250</v>
      </c>
      <c r="W11" s="332"/>
      <c r="X11" s="283">
        <f t="shared" si="22"/>
        <v>13068</v>
      </c>
      <c r="Y11" s="282" t="str">
        <f t="shared" si="31"/>
        <v>oil change</v>
      </c>
      <c r="Z11" s="282">
        <f t="shared" si="6"/>
        <v>0</v>
      </c>
      <c r="AA11" s="282">
        <f t="shared" si="23"/>
        <v>0</v>
      </c>
      <c r="AB11" s="282">
        <f t="shared" si="24"/>
        <v>250</v>
      </c>
      <c r="AC11" s="282">
        <f t="shared" si="25"/>
        <v>0</v>
      </c>
      <c r="AD11" s="73">
        <f>ELEC!Q12</f>
        <v>0</v>
      </c>
      <c r="AE11" s="73" t="e">
        <f t="shared" si="27"/>
        <v>#DIV/0!</v>
      </c>
      <c r="AF11" s="396" t="e">
        <f t="shared" si="28"/>
        <v>#DIV/0!</v>
      </c>
      <c r="AG11" s="397" t="e">
        <f t="shared" si="29"/>
        <v>#DIV/0!</v>
      </c>
      <c r="AH11" s="397" t="e">
        <f t="shared" si="26"/>
        <v>#DIV/0!</v>
      </c>
      <c r="AI11" s="73">
        <f t="shared" si="30"/>
        <v>0</v>
      </c>
      <c r="AJ11" s="284">
        <f t="shared" si="7"/>
        <v>0.25738396624472576</v>
      </c>
      <c r="AK11" s="284" t="e">
        <f t="shared" si="8"/>
        <v>#DIV/0!</v>
      </c>
    </row>
    <row r="12" spans="1:37" ht="15.75" thickBot="1">
      <c r="A12" s="4">
        <f>ELEC!C13</f>
        <v>44479</v>
      </c>
      <c r="B12" s="522">
        <f t="shared" si="9"/>
        <v>10971</v>
      </c>
      <c r="C12" s="282">
        <f t="shared" si="10"/>
        <v>0</v>
      </c>
      <c r="D12" s="523">
        <f t="shared" si="11"/>
        <v>522800</v>
      </c>
      <c r="E12" s="282">
        <f t="shared" si="12"/>
        <v>0</v>
      </c>
      <c r="F12" s="282">
        <f t="shared" si="0"/>
        <v>0</v>
      </c>
      <c r="G12" s="196"/>
      <c r="H12" s="266">
        <f t="shared" si="13"/>
        <v>11055</v>
      </c>
      <c r="I12" s="282" t="str">
        <f t="shared" si="1"/>
        <v>ok</v>
      </c>
      <c r="J12" s="523">
        <f t="shared" si="14"/>
        <v>10698</v>
      </c>
      <c r="K12" s="282">
        <f t="shared" si="2"/>
        <v>0</v>
      </c>
      <c r="L12" s="523">
        <f t="shared" si="15"/>
        <v>357691</v>
      </c>
      <c r="M12" s="282">
        <f t="shared" si="16"/>
        <v>0</v>
      </c>
      <c r="N12" s="282">
        <f t="shared" si="17"/>
        <v>0</v>
      </c>
      <c r="O12" s="196"/>
      <c r="P12" s="283">
        <f t="shared" si="18"/>
        <v>10873</v>
      </c>
      <c r="Q12" s="282" t="str">
        <f t="shared" si="3"/>
        <v>ok</v>
      </c>
      <c r="R12" s="523">
        <f t="shared" si="19"/>
        <v>13134</v>
      </c>
      <c r="S12" s="282">
        <f t="shared" si="4"/>
        <v>0</v>
      </c>
      <c r="T12" s="523">
        <f t="shared" si="20"/>
        <v>222994</v>
      </c>
      <c r="U12" s="282">
        <f t="shared" si="21"/>
        <v>0</v>
      </c>
      <c r="V12" s="282">
        <v>250</v>
      </c>
      <c r="W12" s="332"/>
      <c r="X12" s="283">
        <f t="shared" si="22"/>
        <v>13068</v>
      </c>
      <c r="Y12" s="282" t="str">
        <f t="shared" si="31"/>
        <v>oil change</v>
      </c>
      <c r="Z12" s="282">
        <f t="shared" si="6"/>
        <v>0</v>
      </c>
      <c r="AA12" s="282">
        <f t="shared" si="23"/>
        <v>0</v>
      </c>
      <c r="AB12" s="282">
        <f t="shared" si="24"/>
        <v>250</v>
      </c>
      <c r="AC12" s="282">
        <f t="shared" si="25"/>
        <v>0</v>
      </c>
      <c r="AD12" s="73">
        <f>ELEC!Q13</f>
        <v>0</v>
      </c>
      <c r="AE12" s="73" t="e">
        <f t="shared" si="27"/>
        <v>#DIV/0!</v>
      </c>
      <c r="AF12" s="396" t="e">
        <f t="shared" si="28"/>
        <v>#DIV/0!</v>
      </c>
      <c r="AG12" s="397" t="e">
        <f t="shared" si="29"/>
        <v>#DIV/0!</v>
      </c>
      <c r="AH12" s="397" t="e">
        <f t="shared" si="26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44480</v>
      </c>
      <c r="B13" s="522">
        <f t="shared" si="9"/>
        <v>10971</v>
      </c>
      <c r="C13" s="282">
        <f t="shared" si="10"/>
        <v>0</v>
      </c>
      <c r="D13" s="523">
        <f t="shared" si="11"/>
        <v>522800</v>
      </c>
      <c r="E13" s="282">
        <f t="shared" si="12"/>
        <v>0</v>
      </c>
      <c r="F13" s="282">
        <f t="shared" si="0"/>
        <v>0</v>
      </c>
      <c r="G13" s="196"/>
      <c r="H13" s="266">
        <f t="shared" si="13"/>
        <v>11055</v>
      </c>
      <c r="I13" s="282" t="str">
        <f t="shared" si="1"/>
        <v>ok</v>
      </c>
      <c r="J13" s="523">
        <f t="shared" si="14"/>
        <v>10698</v>
      </c>
      <c r="K13" s="282">
        <f t="shared" si="2"/>
        <v>0</v>
      </c>
      <c r="L13" s="523">
        <f t="shared" si="15"/>
        <v>357691</v>
      </c>
      <c r="M13" s="282">
        <f t="shared" si="16"/>
        <v>0</v>
      </c>
      <c r="N13" s="282">
        <f t="shared" si="17"/>
        <v>0</v>
      </c>
      <c r="O13" s="196"/>
      <c r="P13" s="283">
        <f t="shared" si="18"/>
        <v>10873</v>
      </c>
      <c r="Q13" s="282" t="str">
        <f t="shared" si="3"/>
        <v>ok</v>
      </c>
      <c r="R13" s="523">
        <f t="shared" si="19"/>
        <v>13134</v>
      </c>
      <c r="S13" s="282">
        <f t="shared" si="4"/>
        <v>0</v>
      </c>
      <c r="T13" s="523">
        <f t="shared" si="20"/>
        <v>222994</v>
      </c>
      <c r="U13" s="282">
        <f t="shared" si="21"/>
        <v>0</v>
      </c>
      <c r="V13" s="282">
        <v>250</v>
      </c>
      <c r="W13" s="332"/>
      <c r="X13" s="283">
        <f t="shared" si="22"/>
        <v>13068</v>
      </c>
      <c r="Y13" s="282" t="str">
        <f t="shared" si="31"/>
        <v>oil change</v>
      </c>
      <c r="Z13" s="282">
        <f t="shared" si="6"/>
        <v>0</v>
      </c>
      <c r="AA13" s="282">
        <f t="shared" si="23"/>
        <v>0</v>
      </c>
      <c r="AB13" s="282">
        <f t="shared" si="24"/>
        <v>250</v>
      </c>
      <c r="AC13" s="282">
        <f t="shared" si="25"/>
        <v>0</v>
      </c>
      <c r="AD13" s="73">
        <f>ELEC!Q14</f>
        <v>0</v>
      </c>
      <c r="AE13" s="73" t="e">
        <f t="shared" si="27"/>
        <v>#DIV/0!</v>
      </c>
      <c r="AF13" s="396" t="e">
        <f t="shared" si="28"/>
        <v>#DIV/0!</v>
      </c>
      <c r="AG13" s="397" t="e">
        <f t="shared" si="29"/>
        <v>#DIV/0!</v>
      </c>
      <c r="AH13" s="397" t="e">
        <f t="shared" si="26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44481</v>
      </c>
      <c r="B14" s="522">
        <f t="shared" si="9"/>
        <v>10971</v>
      </c>
      <c r="C14" s="282">
        <f t="shared" si="10"/>
        <v>0</v>
      </c>
      <c r="D14" s="523">
        <f t="shared" si="11"/>
        <v>522800</v>
      </c>
      <c r="E14" s="282">
        <f t="shared" si="12"/>
        <v>0</v>
      </c>
      <c r="F14" s="282">
        <f t="shared" si="0"/>
        <v>0</v>
      </c>
      <c r="G14" s="196"/>
      <c r="H14" s="266">
        <v>11055</v>
      </c>
      <c r="I14" s="282" t="str">
        <f t="shared" si="1"/>
        <v>ok</v>
      </c>
      <c r="J14" s="523">
        <f t="shared" si="14"/>
        <v>10698</v>
      </c>
      <c r="K14" s="282">
        <f t="shared" si="2"/>
        <v>0</v>
      </c>
      <c r="L14" s="523">
        <f t="shared" si="15"/>
        <v>357691</v>
      </c>
      <c r="M14" s="282">
        <f t="shared" si="16"/>
        <v>0</v>
      </c>
      <c r="N14" s="282">
        <f t="shared" si="17"/>
        <v>0</v>
      </c>
      <c r="O14" s="196"/>
      <c r="P14" s="283">
        <f t="shared" si="18"/>
        <v>10873</v>
      </c>
      <c r="Q14" s="282" t="str">
        <f t="shared" si="3"/>
        <v>ok</v>
      </c>
      <c r="R14" s="523">
        <f t="shared" si="19"/>
        <v>13134</v>
      </c>
      <c r="S14" s="282">
        <f t="shared" si="4"/>
        <v>0</v>
      </c>
      <c r="T14" s="523">
        <f t="shared" si="20"/>
        <v>222994</v>
      </c>
      <c r="U14" s="282">
        <f t="shared" si="21"/>
        <v>0</v>
      </c>
      <c r="V14" s="282">
        <v>250</v>
      </c>
      <c r="W14" s="332"/>
      <c r="X14" s="283">
        <f t="shared" si="22"/>
        <v>13068</v>
      </c>
      <c r="Y14" s="282" t="str">
        <f t="shared" si="31"/>
        <v>oil change</v>
      </c>
      <c r="Z14" s="282">
        <f t="shared" si="6"/>
        <v>0</v>
      </c>
      <c r="AA14" s="282">
        <f t="shared" si="23"/>
        <v>0</v>
      </c>
      <c r="AB14" s="282">
        <f t="shared" si="24"/>
        <v>250</v>
      </c>
      <c r="AC14" s="282">
        <f t="shared" si="25"/>
        <v>0</v>
      </c>
      <c r="AD14" s="73">
        <f>ELEC!Q15</f>
        <v>0</v>
      </c>
      <c r="AE14" s="73" t="e">
        <f t="shared" si="27"/>
        <v>#DIV/0!</v>
      </c>
      <c r="AF14" s="396" t="e">
        <f t="shared" si="28"/>
        <v>#DIV/0!</v>
      </c>
      <c r="AG14" s="397" t="e">
        <f t="shared" si="29"/>
        <v>#DIV/0!</v>
      </c>
      <c r="AH14" s="397" t="e">
        <f t="shared" si="26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44482</v>
      </c>
      <c r="B15" s="522">
        <f t="shared" si="9"/>
        <v>10971</v>
      </c>
      <c r="C15" s="282">
        <f t="shared" si="10"/>
        <v>0</v>
      </c>
      <c r="D15" s="523">
        <f t="shared" si="11"/>
        <v>522800</v>
      </c>
      <c r="E15" s="282">
        <f t="shared" si="12"/>
        <v>0</v>
      </c>
      <c r="F15" s="282">
        <f t="shared" si="0"/>
        <v>0</v>
      </c>
      <c r="G15" s="196"/>
      <c r="H15" s="266">
        <v>11055</v>
      </c>
      <c r="I15" s="282" t="str">
        <f t="shared" si="1"/>
        <v>ok</v>
      </c>
      <c r="J15" s="523">
        <f t="shared" si="14"/>
        <v>10698</v>
      </c>
      <c r="K15" s="282">
        <f t="shared" si="2"/>
        <v>0</v>
      </c>
      <c r="L15" s="523">
        <f t="shared" si="15"/>
        <v>357691</v>
      </c>
      <c r="M15" s="282">
        <f t="shared" si="16"/>
        <v>0</v>
      </c>
      <c r="N15" s="282">
        <f t="shared" si="17"/>
        <v>0</v>
      </c>
      <c r="O15" s="196"/>
      <c r="P15" s="283">
        <f t="shared" si="18"/>
        <v>10873</v>
      </c>
      <c r="Q15" s="282" t="str">
        <f t="shared" si="3"/>
        <v>ok</v>
      </c>
      <c r="R15" s="523">
        <f t="shared" si="19"/>
        <v>13134</v>
      </c>
      <c r="S15" s="282">
        <f t="shared" si="4"/>
        <v>0</v>
      </c>
      <c r="T15" s="523">
        <f t="shared" si="20"/>
        <v>222994</v>
      </c>
      <c r="U15" s="282">
        <f t="shared" si="21"/>
        <v>0</v>
      </c>
      <c r="V15" s="282">
        <v>250</v>
      </c>
      <c r="W15" s="332"/>
      <c r="X15" s="283">
        <f t="shared" si="22"/>
        <v>13068</v>
      </c>
      <c r="Y15" s="282" t="str">
        <f t="shared" si="31"/>
        <v>oil change</v>
      </c>
      <c r="Z15" s="282">
        <f t="shared" si="6"/>
        <v>0</v>
      </c>
      <c r="AA15" s="282">
        <f t="shared" si="23"/>
        <v>0</v>
      </c>
      <c r="AB15" s="282">
        <f t="shared" si="24"/>
        <v>250</v>
      </c>
      <c r="AC15" s="282">
        <f t="shared" si="25"/>
        <v>0</v>
      </c>
      <c r="AD15" s="73">
        <f>ELEC!Q16</f>
        <v>0</v>
      </c>
      <c r="AE15" s="73" t="e">
        <f t="shared" si="27"/>
        <v>#DIV/0!</v>
      </c>
      <c r="AF15" s="396" t="e">
        <f t="shared" si="28"/>
        <v>#DIV/0!</v>
      </c>
      <c r="AG15" s="397" t="e">
        <f t="shared" si="29"/>
        <v>#DIV/0!</v>
      </c>
      <c r="AH15" s="397" t="e">
        <f t="shared" si="26"/>
        <v>#DIV/0!</v>
      </c>
      <c r="AI15" s="73">
        <f t="shared" si="30"/>
        <v>0</v>
      </c>
      <c r="AJ15" s="284">
        <f t="shared" si="7"/>
        <v>0.25738396624472576</v>
      </c>
      <c r="AK15" s="284" t="e">
        <f t="shared" si="8"/>
        <v>#DIV/0!</v>
      </c>
    </row>
    <row r="16" spans="1:37" ht="15.75" thickBot="1">
      <c r="A16" s="4">
        <f>ELEC!C17</f>
        <v>44483</v>
      </c>
      <c r="B16" s="522">
        <f t="shared" si="9"/>
        <v>10971</v>
      </c>
      <c r="C16" s="282">
        <f t="shared" si="10"/>
        <v>0</v>
      </c>
      <c r="D16" s="523">
        <f t="shared" si="11"/>
        <v>522800</v>
      </c>
      <c r="E16" s="282">
        <f t="shared" si="12"/>
        <v>0</v>
      </c>
      <c r="F16" s="282">
        <f t="shared" si="0"/>
        <v>0</v>
      </c>
      <c r="G16" s="196"/>
      <c r="H16" s="266">
        <v>11055</v>
      </c>
      <c r="I16" s="282" t="str">
        <f t="shared" si="1"/>
        <v>ok</v>
      </c>
      <c r="J16" s="523">
        <f t="shared" si="14"/>
        <v>10698</v>
      </c>
      <c r="K16" s="282">
        <f t="shared" si="2"/>
        <v>0</v>
      </c>
      <c r="L16" s="523">
        <f t="shared" si="15"/>
        <v>357691</v>
      </c>
      <c r="M16" s="282">
        <f t="shared" si="16"/>
        <v>0</v>
      </c>
      <c r="N16" s="282">
        <f t="shared" si="17"/>
        <v>0</v>
      </c>
      <c r="O16" s="196"/>
      <c r="P16" s="283">
        <f t="shared" si="18"/>
        <v>10873</v>
      </c>
      <c r="Q16" s="282" t="str">
        <f t="shared" si="3"/>
        <v>ok</v>
      </c>
      <c r="R16" s="523">
        <f t="shared" si="19"/>
        <v>13134</v>
      </c>
      <c r="S16" s="282">
        <f t="shared" si="4"/>
        <v>0</v>
      </c>
      <c r="T16" s="523">
        <f t="shared" si="20"/>
        <v>222994</v>
      </c>
      <c r="U16" s="282">
        <f t="shared" si="21"/>
        <v>0</v>
      </c>
      <c r="V16" s="282">
        <v>250</v>
      </c>
      <c r="W16" s="332"/>
      <c r="X16" s="283">
        <f t="shared" si="22"/>
        <v>13068</v>
      </c>
      <c r="Y16" s="282" t="str">
        <f t="shared" si="31"/>
        <v>oil change</v>
      </c>
      <c r="Z16" s="282">
        <f t="shared" si="6"/>
        <v>0</v>
      </c>
      <c r="AA16" s="282">
        <f t="shared" si="23"/>
        <v>0</v>
      </c>
      <c r="AB16" s="282">
        <f t="shared" si="24"/>
        <v>250</v>
      </c>
      <c r="AC16" s="282">
        <f t="shared" si="25"/>
        <v>0</v>
      </c>
      <c r="AD16" s="73">
        <f>ELEC!Q17</f>
        <v>0</v>
      </c>
      <c r="AE16" s="73" t="e">
        <f t="shared" si="27"/>
        <v>#DIV/0!</v>
      </c>
      <c r="AF16" s="396" t="e">
        <f t="shared" si="28"/>
        <v>#DIV/0!</v>
      </c>
      <c r="AG16" s="397" t="e">
        <f t="shared" si="29"/>
        <v>#DIV/0!</v>
      </c>
      <c r="AH16" s="397" t="e">
        <f t="shared" si="26"/>
        <v>#DIV/0!</v>
      </c>
      <c r="AI16" s="73">
        <f t="shared" si="30"/>
        <v>0</v>
      </c>
      <c r="AJ16" s="284">
        <f t="shared" si="7"/>
        <v>0.25738396624472576</v>
      </c>
      <c r="AK16" s="284" t="e">
        <f t="shared" si="8"/>
        <v>#DIV/0!</v>
      </c>
    </row>
    <row r="17" spans="1:37" ht="15.75" thickBot="1">
      <c r="A17" s="4">
        <f>ELEC!C18</f>
        <v>44484</v>
      </c>
      <c r="B17" s="522">
        <f t="shared" si="9"/>
        <v>10971</v>
      </c>
      <c r="C17" s="282">
        <f t="shared" si="10"/>
        <v>0</v>
      </c>
      <c r="D17" s="523">
        <f t="shared" si="11"/>
        <v>522800</v>
      </c>
      <c r="E17" s="282">
        <f t="shared" si="12"/>
        <v>0</v>
      </c>
      <c r="F17" s="282">
        <f t="shared" si="0"/>
        <v>0</v>
      </c>
      <c r="G17" s="196"/>
      <c r="H17" s="266">
        <f t="shared" si="13"/>
        <v>11055</v>
      </c>
      <c r="I17" s="282" t="str">
        <f t="shared" si="1"/>
        <v>ok</v>
      </c>
      <c r="J17" s="523">
        <f t="shared" si="14"/>
        <v>10698</v>
      </c>
      <c r="K17" s="282">
        <f t="shared" si="2"/>
        <v>0</v>
      </c>
      <c r="L17" s="523">
        <f t="shared" si="15"/>
        <v>357691</v>
      </c>
      <c r="M17" s="282">
        <f t="shared" si="16"/>
        <v>0</v>
      </c>
      <c r="N17" s="282">
        <f t="shared" si="17"/>
        <v>0</v>
      </c>
      <c r="O17" s="196"/>
      <c r="P17" s="283">
        <f t="shared" si="18"/>
        <v>10873</v>
      </c>
      <c r="Q17" s="282" t="str">
        <f t="shared" si="3"/>
        <v>ok</v>
      </c>
      <c r="R17" s="523">
        <f t="shared" si="19"/>
        <v>13134</v>
      </c>
      <c r="S17" s="282">
        <f t="shared" si="4"/>
        <v>0</v>
      </c>
      <c r="T17" s="523">
        <f t="shared" si="20"/>
        <v>222994</v>
      </c>
      <c r="U17" s="282">
        <f t="shared" si="21"/>
        <v>0</v>
      </c>
      <c r="V17" s="282">
        <v>250</v>
      </c>
      <c r="W17" s="332"/>
      <c r="X17" s="283">
        <f t="shared" si="22"/>
        <v>13068</v>
      </c>
      <c r="Y17" s="282" t="str">
        <f t="shared" si="31"/>
        <v>oil change</v>
      </c>
      <c r="Z17" s="282">
        <f t="shared" si="6"/>
        <v>0</v>
      </c>
      <c r="AA17" s="282">
        <f t="shared" si="23"/>
        <v>0</v>
      </c>
      <c r="AB17" s="282">
        <f t="shared" si="24"/>
        <v>250</v>
      </c>
      <c r="AC17" s="282">
        <f t="shared" si="25"/>
        <v>0</v>
      </c>
      <c r="AD17" s="73">
        <f>ELEC!Q18</f>
        <v>0</v>
      </c>
      <c r="AE17" s="73" t="e">
        <f t="shared" si="27"/>
        <v>#DIV/0!</v>
      </c>
      <c r="AF17" s="396" t="e">
        <f t="shared" si="28"/>
        <v>#DIV/0!</v>
      </c>
      <c r="AG17" s="397" t="e">
        <f t="shared" si="29"/>
        <v>#DIV/0!</v>
      </c>
      <c r="AH17" s="397" t="e">
        <f t="shared" si="26"/>
        <v>#DIV/0!</v>
      </c>
      <c r="AI17" s="73">
        <f t="shared" si="30"/>
        <v>0</v>
      </c>
      <c r="AJ17" s="284">
        <f t="shared" si="7"/>
        <v>0.25738396624472576</v>
      </c>
      <c r="AK17" s="284" t="e">
        <f t="shared" si="8"/>
        <v>#DIV/0!</v>
      </c>
    </row>
    <row r="18" spans="1:37" ht="15.75" thickBot="1">
      <c r="A18" s="4">
        <f>ELEC!C19</f>
        <v>44485</v>
      </c>
      <c r="B18" s="522">
        <f t="shared" si="9"/>
        <v>10971</v>
      </c>
      <c r="C18" s="282">
        <f t="shared" si="10"/>
        <v>0</v>
      </c>
      <c r="D18" s="523">
        <f t="shared" si="11"/>
        <v>522800</v>
      </c>
      <c r="E18" s="282">
        <f t="shared" si="12"/>
        <v>0</v>
      </c>
      <c r="F18" s="282">
        <f t="shared" si="0"/>
        <v>0</v>
      </c>
      <c r="G18" s="196"/>
      <c r="H18" s="266">
        <f t="shared" si="13"/>
        <v>11055</v>
      </c>
      <c r="I18" s="282" t="str">
        <f t="shared" si="1"/>
        <v>ok</v>
      </c>
      <c r="J18" s="523">
        <f t="shared" si="14"/>
        <v>10698</v>
      </c>
      <c r="K18" s="282">
        <f t="shared" si="2"/>
        <v>0</v>
      </c>
      <c r="L18" s="523">
        <f t="shared" si="15"/>
        <v>357691</v>
      </c>
      <c r="M18" s="282">
        <f t="shared" si="16"/>
        <v>0</v>
      </c>
      <c r="N18" s="282">
        <f t="shared" si="17"/>
        <v>0</v>
      </c>
      <c r="O18" s="196"/>
      <c r="P18" s="283">
        <f t="shared" si="18"/>
        <v>10873</v>
      </c>
      <c r="Q18" s="282" t="str">
        <f>IF(J18-P14&lt;=0,"ok","oil change")</f>
        <v>ok</v>
      </c>
      <c r="R18" s="523">
        <f t="shared" si="19"/>
        <v>13134</v>
      </c>
      <c r="S18" s="282">
        <f t="shared" si="4"/>
        <v>0</v>
      </c>
      <c r="T18" s="523">
        <f t="shared" si="20"/>
        <v>222994</v>
      </c>
      <c r="U18" s="282">
        <f t="shared" si="21"/>
        <v>0</v>
      </c>
      <c r="V18" s="282">
        <v>250</v>
      </c>
      <c r="W18" s="332"/>
      <c r="X18" s="283">
        <f t="shared" si="22"/>
        <v>13068</v>
      </c>
      <c r="Y18" s="282" t="str">
        <f t="shared" si="31"/>
        <v>oil change</v>
      </c>
      <c r="Z18" s="282">
        <f t="shared" si="6"/>
        <v>0</v>
      </c>
      <c r="AA18" s="282">
        <f t="shared" si="23"/>
        <v>0</v>
      </c>
      <c r="AB18" s="282">
        <f t="shared" si="24"/>
        <v>250</v>
      </c>
      <c r="AC18" s="282">
        <f t="shared" si="25"/>
        <v>0</v>
      </c>
      <c r="AD18" s="73">
        <f>ELEC!Q19</f>
        <v>0</v>
      </c>
      <c r="AE18" s="73" t="e">
        <f t="shared" si="27"/>
        <v>#DIV/0!</v>
      </c>
      <c r="AF18" s="396" t="e">
        <f t="shared" si="28"/>
        <v>#DIV/0!</v>
      </c>
      <c r="AG18" s="397" t="e">
        <f t="shared" si="29"/>
        <v>#DIV/0!</v>
      </c>
      <c r="AH18" s="397" t="e">
        <f t="shared" si="26"/>
        <v>#DIV/0!</v>
      </c>
      <c r="AI18" s="73">
        <f t="shared" si="30"/>
        <v>0</v>
      </c>
      <c r="AJ18" s="284">
        <f t="shared" si="7"/>
        <v>0.25738396624472576</v>
      </c>
      <c r="AK18" s="284" t="e">
        <f t="shared" si="8"/>
        <v>#DIV/0!</v>
      </c>
    </row>
    <row r="19" spans="1:37" ht="15.75" thickBot="1">
      <c r="A19" s="4">
        <f>ELEC!C20</f>
        <v>44486</v>
      </c>
      <c r="B19" s="522">
        <f t="shared" si="9"/>
        <v>10971</v>
      </c>
      <c r="C19" s="282">
        <f t="shared" si="10"/>
        <v>0</v>
      </c>
      <c r="D19" s="523">
        <f t="shared" si="11"/>
        <v>522800</v>
      </c>
      <c r="E19" s="282">
        <f t="shared" si="12"/>
        <v>0</v>
      </c>
      <c r="F19" s="282">
        <f t="shared" si="0"/>
        <v>0</v>
      </c>
      <c r="G19" s="196"/>
      <c r="H19" s="266">
        <f t="shared" si="13"/>
        <v>11055</v>
      </c>
      <c r="I19" s="282" t="str">
        <f t="shared" si="1"/>
        <v>ok</v>
      </c>
      <c r="J19" s="523">
        <f t="shared" si="14"/>
        <v>10698</v>
      </c>
      <c r="K19" s="282">
        <f t="shared" si="2"/>
        <v>0</v>
      </c>
      <c r="L19" s="523">
        <f t="shared" si="15"/>
        <v>357691</v>
      </c>
      <c r="M19" s="282">
        <f t="shared" si="16"/>
        <v>0</v>
      </c>
      <c r="N19" s="282">
        <f t="shared" si="17"/>
        <v>0</v>
      </c>
      <c r="O19" s="196"/>
      <c r="P19" s="283">
        <f t="shared" si="18"/>
        <v>10873</v>
      </c>
      <c r="Q19" s="282" t="str">
        <f t="shared" ref="Q19:Q30" si="32">IF(J19-P19&lt;=0,"ok","oil change")</f>
        <v>ok</v>
      </c>
      <c r="R19" s="523">
        <f t="shared" si="19"/>
        <v>13134</v>
      </c>
      <c r="S19" s="282">
        <f t="shared" si="4"/>
        <v>0</v>
      </c>
      <c r="T19" s="523">
        <f t="shared" si="20"/>
        <v>222994</v>
      </c>
      <c r="U19" s="282">
        <f t="shared" si="21"/>
        <v>0</v>
      </c>
      <c r="V19" s="282">
        <v>250</v>
      </c>
      <c r="W19" s="332"/>
      <c r="X19" s="283">
        <f t="shared" si="22"/>
        <v>13068</v>
      </c>
      <c r="Y19" s="282" t="str">
        <f t="shared" si="31"/>
        <v>oil change</v>
      </c>
      <c r="Z19" s="282">
        <f t="shared" si="6"/>
        <v>0</v>
      </c>
      <c r="AA19" s="282">
        <f t="shared" si="23"/>
        <v>0</v>
      </c>
      <c r="AB19" s="282">
        <f t="shared" si="24"/>
        <v>250</v>
      </c>
      <c r="AC19" s="282">
        <f t="shared" si="25"/>
        <v>0</v>
      </c>
      <c r="AD19" s="73">
        <f>ELEC!Q20</f>
        <v>0</v>
      </c>
      <c r="AE19" s="73" t="e">
        <f t="shared" si="27"/>
        <v>#DIV/0!</v>
      </c>
      <c r="AF19" s="396" t="e">
        <f t="shared" si="28"/>
        <v>#DIV/0!</v>
      </c>
      <c r="AG19" s="397" t="e">
        <f t="shared" si="29"/>
        <v>#DIV/0!</v>
      </c>
      <c r="AH19" s="397" t="e">
        <f t="shared" si="26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44487</v>
      </c>
      <c r="B20" s="522">
        <f t="shared" si="9"/>
        <v>10971</v>
      </c>
      <c r="C20" s="282">
        <f>B20-B19</f>
        <v>0</v>
      </c>
      <c r="D20" s="523">
        <f t="shared" si="11"/>
        <v>522800</v>
      </c>
      <c r="E20" s="282">
        <f t="shared" si="12"/>
        <v>0</v>
      </c>
      <c r="F20" s="282">
        <f t="shared" si="0"/>
        <v>0</v>
      </c>
      <c r="G20" s="196"/>
      <c r="H20" s="266">
        <f t="shared" si="13"/>
        <v>11055</v>
      </c>
      <c r="I20" s="282" t="str">
        <f t="shared" si="1"/>
        <v>ok</v>
      </c>
      <c r="J20" s="523">
        <f t="shared" si="14"/>
        <v>10698</v>
      </c>
      <c r="K20" s="282">
        <f t="shared" si="2"/>
        <v>0</v>
      </c>
      <c r="L20" s="523">
        <f t="shared" si="15"/>
        <v>357691</v>
      </c>
      <c r="M20" s="282">
        <f t="shared" si="16"/>
        <v>0</v>
      </c>
      <c r="N20" s="282">
        <f t="shared" si="17"/>
        <v>0</v>
      </c>
      <c r="O20" s="196"/>
      <c r="P20" s="283">
        <f t="shared" si="18"/>
        <v>10873</v>
      </c>
      <c r="Q20" s="282" t="str">
        <f t="shared" si="32"/>
        <v>ok</v>
      </c>
      <c r="R20" s="523">
        <f t="shared" si="19"/>
        <v>13134</v>
      </c>
      <c r="S20" s="282">
        <f t="shared" si="4"/>
        <v>0</v>
      </c>
      <c r="T20" s="523">
        <f t="shared" si="20"/>
        <v>222994</v>
      </c>
      <c r="U20" s="282">
        <f t="shared" si="21"/>
        <v>0</v>
      </c>
      <c r="V20" s="282">
        <v>250</v>
      </c>
      <c r="W20" s="332"/>
      <c r="X20" s="283">
        <f t="shared" si="22"/>
        <v>13068</v>
      </c>
      <c r="Y20" s="282" t="str">
        <f t="shared" si="31"/>
        <v>oil change</v>
      </c>
      <c r="Z20" s="282">
        <f t="shared" si="6"/>
        <v>0</v>
      </c>
      <c r="AA20" s="282">
        <f t="shared" si="23"/>
        <v>0</v>
      </c>
      <c r="AB20" s="282">
        <f t="shared" si="24"/>
        <v>250</v>
      </c>
      <c r="AC20" s="282">
        <f t="shared" si="25"/>
        <v>0</v>
      </c>
      <c r="AD20" s="73">
        <f>ELEC!Q21</f>
        <v>0</v>
      </c>
      <c r="AE20" s="73" t="e">
        <f t="shared" si="27"/>
        <v>#DIV/0!</v>
      </c>
      <c r="AF20" s="396" t="e">
        <f t="shared" si="28"/>
        <v>#DIV/0!</v>
      </c>
      <c r="AG20" s="397" t="e">
        <f t="shared" si="29"/>
        <v>#DIV/0!</v>
      </c>
      <c r="AH20" s="397" t="e">
        <f t="shared" si="26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44488</v>
      </c>
      <c r="B21" s="522">
        <f t="shared" si="9"/>
        <v>10971</v>
      </c>
      <c r="C21" s="282">
        <f>B21-B20</f>
        <v>0</v>
      </c>
      <c r="D21" s="523">
        <f t="shared" si="11"/>
        <v>522800</v>
      </c>
      <c r="E21" s="282">
        <f t="shared" si="12"/>
        <v>0</v>
      </c>
      <c r="F21" s="282">
        <f t="shared" si="0"/>
        <v>0</v>
      </c>
      <c r="G21" s="196"/>
      <c r="H21" s="266">
        <f t="shared" si="13"/>
        <v>11055</v>
      </c>
      <c r="I21" s="282" t="str">
        <f t="shared" si="1"/>
        <v>ok</v>
      </c>
      <c r="J21" s="523">
        <f t="shared" si="14"/>
        <v>10698</v>
      </c>
      <c r="K21" s="282">
        <f t="shared" si="2"/>
        <v>0</v>
      </c>
      <c r="L21" s="523">
        <f t="shared" si="15"/>
        <v>357691</v>
      </c>
      <c r="M21" s="282">
        <f t="shared" si="16"/>
        <v>0</v>
      </c>
      <c r="N21" s="282">
        <f t="shared" si="17"/>
        <v>0</v>
      </c>
      <c r="O21" s="196"/>
      <c r="P21" s="283">
        <f t="shared" si="18"/>
        <v>10873</v>
      </c>
      <c r="Q21" s="282" t="str">
        <f t="shared" si="32"/>
        <v>ok</v>
      </c>
      <c r="R21" s="523">
        <f t="shared" si="19"/>
        <v>13134</v>
      </c>
      <c r="S21" s="282">
        <f t="shared" si="4"/>
        <v>0</v>
      </c>
      <c r="T21" s="523">
        <f t="shared" si="20"/>
        <v>222994</v>
      </c>
      <c r="U21" s="282">
        <f t="shared" si="21"/>
        <v>0</v>
      </c>
      <c r="V21" s="282">
        <v>250</v>
      </c>
      <c r="W21" s="196"/>
      <c r="X21" s="283">
        <f t="shared" si="22"/>
        <v>13068</v>
      </c>
      <c r="Y21" s="282" t="str">
        <f>Y20</f>
        <v>oil change</v>
      </c>
      <c r="Z21" s="282">
        <f t="shared" si="6"/>
        <v>0</v>
      </c>
      <c r="AA21" s="282">
        <f t="shared" si="23"/>
        <v>0</v>
      </c>
      <c r="AB21" s="282">
        <f t="shared" si="24"/>
        <v>250</v>
      </c>
      <c r="AC21" s="282">
        <f t="shared" si="25"/>
        <v>0</v>
      </c>
      <c r="AD21" s="73">
        <f>ELEC!Q22</f>
        <v>0</v>
      </c>
      <c r="AE21" s="73" t="e">
        <f t="shared" si="27"/>
        <v>#DIV/0!</v>
      </c>
      <c r="AF21" s="396" t="e">
        <f t="shared" si="28"/>
        <v>#DIV/0!</v>
      </c>
      <c r="AG21" s="397" t="e">
        <f t="shared" si="29"/>
        <v>#DIV/0!</v>
      </c>
      <c r="AH21" s="397" t="e">
        <f t="shared" si="26"/>
        <v>#DIV/0!</v>
      </c>
      <c r="AI21" s="73">
        <f t="shared" si="30"/>
        <v>0</v>
      </c>
      <c r="AJ21" s="284">
        <f t="shared" si="7"/>
        <v>0.25738396624472576</v>
      </c>
      <c r="AK21" s="284" t="e">
        <f t="shared" si="8"/>
        <v>#DIV/0!</v>
      </c>
    </row>
    <row r="22" spans="1:37" ht="15.75" thickBot="1">
      <c r="A22" s="4">
        <f>ELEC!C23</f>
        <v>44489</v>
      </c>
      <c r="B22" s="522">
        <f t="shared" si="9"/>
        <v>10971</v>
      </c>
      <c r="C22" s="282">
        <f t="shared" si="10"/>
        <v>0</v>
      </c>
      <c r="D22" s="523">
        <f t="shared" si="11"/>
        <v>522800</v>
      </c>
      <c r="E22" s="282">
        <f>150*C22</f>
        <v>0</v>
      </c>
      <c r="F22" s="282">
        <f t="shared" si="0"/>
        <v>0</v>
      </c>
      <c r="G22" s="196"/>
      <c r="H22" s="266">
        <f t="shared" si="13"/>
        <v>11055</v>
      </c>
      <c r="I22" s="282" t="str">
        <f t="shared" si="1"/>
        <v>ok</v>
      </c>
      <c r="J22" s="523">
        <f t="shared" si="14"/>
        <v>10698</v>
      </c>
      <c r="K22" s="282">
        <f t="shared" si="2"/>
        <v>0</v>
      </c>
      <c r="L22" s="523">
        <f t="shared" si="15"/>
        <v>357691</v>
      </c>
      <c r="M22" s="282">
        <f t="shared" si="16"/>
        <v>0</v>
      </c>
      <c r="N22" s="282">
        <f t="shared" si="17"/>
        <v>0</v>
      </c>
      <c r="O22" s="196"/>
      <c r="P22" s="283">
        <f t="shared" si="18"/>
        <v>10873</v>
      </c>
      <c r="Q22" s="282" t="str">
        <f t="shared" si="32"/>
        <v>ok</v>
      </c>
      <c r="R22" s="523">
        <f t="shared" si="19"/>
        <v>13134</v>
      </c>
      <c r="S22" s="282">
        <f t="shared" si="4"/>
        <v>0</v>
      </c>
      <c r="T22" s="523">
        <f t="shared" si="20"/>
        <v>222994</v>
      </c>
      <c r="U22" s="282">
        <f t="shared" si="21"/>
        <v>0</v>
      </c>
      <c r="V22" s="282">
        <v>250</v>
      </c>
      <c r="W22" s="196"/>
      <c r="X22" s="283">
        <v>13229</v>
      </c>
      <c r="Y22" s="282" t="str">
        <f t="shared" ref="Y22:Y30" si="33">IF(R22-X22&lt;=0,"ok","oil change")</f>
        <v>ok</v>
      </c>
      <c r="Z22" s="282">
        <f t="shared" si="6"/>
        <v>0</v>
      </c>
      <c r="AA22" s="282">
        <f t="shared" si="23"/>
        <v>0</v>
      </c>
      <c r="AB22" s="282">
        <f t="shared" si="24"/>
        <v>250</v>
      </c>
      <c r="AC22" s="282">
        <f t="shared" si="25"/>
        <v>0</v>
      </c>
      <c r="AD22" s="73">
        <f>ELEC!Q23</f>
        <v>0</v>
      </c>
      <c r="AE22" s="73" t="e">
        <f t="shared" si="27"/>
        <v>#DIV/0!</v>
      </c>
      <c r="AF22" s="396" t="e">
        <f t="shared" si="28"/>
        <v>#DIV/0!</v>
      </c>
      <c r="AG22" s="397" t="e">
        <f t="shared" si="29"/>
        <v>#DIV/0!</v>
      </c>
      <c r="AH22" s="397" t="e">
        <f t="shared" si="26"/>
        <v>#DIV/0!</v>
      </c>
      <c r="AI22" s="73">
        <f t="shared" si="30"/>
        <v>0</v>
      </c>
      <c r="AJ22" s="284">
        <f t="shared" si="7"/>
        <v>0.25738396624472576</v>
      </c>
      <c r="AK22" s="284" t="e">
        <f t="shared" si="8"/>
        <v>#DIV/0!</v>
      </c>
    </row>
    <row r="23" spans="1:37" ht="15.75" thickBot="1">
      <c r="A23" s="4">
        <f>ELEC!C24</f>
        <v>44490</v>
      </c>
      <c r="B23" s="522">
        <f t="shared" si="9"/>
        <v>10971</v>
      </c>
      <c r="C23" s="282">
        <f t="shared" si="10"/>
        <v>0</v>
      </c>
      <c r="D23" s="523">
        <f t="shared" si="11"/>
        <v>522800</v>
      </c>
      <c r="E23" s="282">
        <f>150*C23</f>
        <v>0</v>
      </c>
      <c r="F23" s="282">
        <f t="shared" si="0"/>
        <v>0</v>
      </c>
      <c r="G23" s="196"/>
      <c r="H23" s="266">
        <f t="shared" si="13"/>
        <v>11055</v>
      </c>
      <c r="I23" s="282" t="str">
        <f t="shared" si="1"/>
        <v>ok</v>
      </c>
      <c r="J23" s="523">
        <f t="shared" si="14"/>
        <v>10698</v>
      </c>
      <c r="K23" s="282">
        <f t="shared" si="2"/>
        <v>0</v>
      </c>
      <c r="L23" s="523">
        <f t="shared" si="15"/>
        <v>357691</v>
      </c>
      <c r="M23" s="282">
        <f t="shared" si="16"/>
        <v>0</v>
      </c>
      <c r="N23" s="282">
        <f t="shared" si="17"/>
        <v>0</v>
      </c>
      <c r="O23" s="196"/>
      <c r="P23" s="283">
        <f t="shared" si="18"/>
        <v>10873</v>
      </c>
      <c r="Q23" s="282" t="str">
        <f t="shared" si="32"/>
        <v>ok</v>
      </c>
      <c r="R23" s="523">
        <f t="shared" si="19"/>
        <v>13134</v>
      </c>
      <c r="S23" s="282">
        <f>R23-R22</f>
        <v>0</v>
      </c>
      <c r="T23" s="523">
        <f t="shared" si="20"/>
        <v>222994</v>
      </c>
      <c r="U23" s="282">
        <f>V23*S23</f>
        <v>0</v>
      </c>
      <c r="V23" s="282">
        <v>250</v>
      </c>
      <c r="W23" s="196"/>
      <c r="X23" s="283">
        <v>13229</v>
      </c>
      <c r="Y23" s="282" t="str">
        <f t="shared" si="33"/>
        <v>ok</v>
      </c>
      <c r="Z23" s="282">
        <f t="shared" si="6"/>
        <v>0</v>
      </c>
      <c r="AA23" s="282">
        <f t="shared" si="23"/>
        <v>0</v>
      </c>
      <c r="AB23" s="282">
        <f t="shared" si="24"/>
        <v>250</v>
      </c>
      <c r="AC23" s="282">
        <f t="shared" si="25"/>
        <v>0</v>
      </c>
      <c r="AD23" s="73">
        <f>ELEC!Q24</f>
        <v>0</v>
      </c>
      <c r="AE23" s="73" t="e">
        <f t="shared" si="27"/>
        <v>#DIV/0!</v>
      </c>
      <c r="AF23" s="396" t="e">
        <f t="shared" si="28"/>
        <v>#DIV/0!</v>
      </c>
      <c r="AG23" s="397" t="e">
        <f t="shared" si="29"/>
        <v>#DIV/0!</v>
      </c>
      <c r="AH23" s="397" t="e">
        <f t="shared" si="26"/>
        <v>#DIV/0!</v>
      </c>
      <c r="AI23" s="73">
        <f t="shared" si="30"/>
        <v>0</v>
      </c>
      <c r="AJ23" s="284">
        <f t="shared" si="7"/>
        <v>0.25738396624472576</v>
      </c>
      <c r="AK23" s="284" t="e">
        <f t="shared" si="8"/>
        <v>#DIV/0!</v>
      </c>
    </row>
    <row r="24" spans="1:37" ht="15.75" thickBot="1">
      <c r="A24" s="4">
        <f>ELEC!C25</f>
        <v>44491</v>
      </c>
      <c r="B24" s="522">
        <f t="shared" si="9"/>
        <v>10971</v>
      </c>
      <c r="C24" s="282">
        <f t="shared" si="10"/>
        <v>0</v>
      </c>
      <c r="D24" s="523">
        <f t="shared" si="11"/>
        <v>522800</v>
      </c>
      <c r="E24" s="282">
        <f t="shared" si="12"/>
        <v>0</v>
      </c>
      <c r="F24" s="282">
        <f t="shared" si="0"/>
        <v>0</v>
      </c>
      <c r="G24" s="196"/>
      <c r="H24" s="266">
        <f t="shared" si="13"/>
        <v>11055</v>
      </c>
      <c r="I24" s="282" t="str">
        <f t="shared" si="1"/>
        <v>ok</v>
      </c>
      <c r="J24" s="523">
        <f t="shared" si="14"/>
        <v>10698</v>
      </c>
      <c r="K24" s="282">
        <f t="shared" si="2"/>
        <v>0</v>
      </c>
      <c r="L24" s="523">
        <f t="shared" si="15"/>
        <v>357691</v>
      </c>
      <c r="M24" s="282">
        <f t="shared" si="16"/>
        <v>0</v>
      </c>
      <c r="N24" s="282">
        <f t="shared" si="17"/>
        <v>0</v>
      </c>
      <c r="O24" s="196"/>
      <c r="P24" s="283">
        <f t="shared" si="18"/>
        <v>10873</v>
      </c>
      <c r="Q24" s="282" t="str">
        <f t="shared" si="32"/>
        <v>ok</v>
      </c>
      <c r="R24" s="523">
        <f t="shared" si="19"/>
        <v>13134</v>
      </c>
      <c r="S24" s="282">
        <f t="shared" si="4"/>
        <v>0</v>
      </c>
      <c r="T24" s="523">
        <f t="shared" si="20"/>
        <v>222994</v>
      </c>
      <c r="U24" s="282">
        <f t="shared" si="21"/>
        <v>0</v>
      </c>
      <c r="V24" s="282">
        <v>250</v>
      </c>
      <c r="W24" s="196"/>
      <c r="X24" s="283">
        <f t="shared" si="22"/>
        <v>13229</v>
      </c>
      <c r="Y24" s="282" t="str">
        <f t="shared" si="33"/>
        <v>ok</v>
      </c>
      <c r="Z24" s="282">
        <f t="shared" si="6"/>
        <v>0</v>
      </c>
      <c r="AA24" s="282">
        <f t="shared" si="23"/>
        <v>0</v>
      </c>
      <c r="AB24" s="282">
        <f t="shared" si="24"/>
        <v>250</v>
      </c>
      <c r="AC24" s="282">
        <f t="shared" si="25"/>
        <v>0</v>
      </c>
      <c r="AD24" s="73">
        <f>ELEC!Q25</f>
        <v>0</v>
      </c>
      <c r="AE24" s="73" t="e">
        <f t="shared" si="27"/>
        <v>#DIV/0!</v>
      </c>
      <c r="AF24" s="396" t="e">
        <f t="shared" si="28"/>
        <v>#DIV/0!</v>
      </c>
      <c r="AG24" s="397" t="e">
        <f t="shared" si="29"/>
        <v>#DIV/0!</v>
      </c>
      <c r="AH24" s="397" t="e">
        <f t="shared" si="26"/>
        <v>#DIV/0!</v>
      </c>
      <c r="AI24" s="73">
        <f t="shared" si="30"/>
        <v>0</v>
      </c>
      <c r="AJ24" s="284">
        <f t="shared" si="7"/>
        <v>0.25738396624472576</v>
      </c>
      <c r="AK24" s="284" t="e">
        <f t="shared" si="8"/>
        <v>#DIV/0!</v>
      </c>
    </row>
    <row r="25" spans="1:37" ht="15.75" thickBot="1">
      <c r="A25" s="4">
        <f>ELEC!C26</f>
        <v>44492</v>
      </c>
      <c r="B25" s="522">
        <f t="shared" si="9"/>
        <v>10971</v>
      </c>
      <c r="C25" s="282">
        <f t="shared" si="10"/>
        <v>0</v>
      </c>
      <c r="D25" s="523">
        <f t="shared" si="11"/>
        <v>522800</v>
      </c>
      <c r="E25" s="282">
        <f t="shared" si="12"/>
        <v>0</v>
      </c>
      <c r="F25" s="282">
        <f t="shared" si="0"/>
        <v>0</v>
      </c>
      <c r="G25" s="196"/>
      <c r="H25" s="266">
        <f t="shared" si="13"/>
        <v>11055</v>
      </c>
      <c r="I25" s="282" t="str">
        <f t="shared" si="1"/>
        <v>ok</v>
      </c>
      <c r="J25" s="523">
        <f t="shared" si="14"/>
        <v>10698</v>
      </c>
      <c r="K25" s="282">
        <f t="shared" si="2"/>
        <v>0</v>
      </c>
      <c r="L25" s="523">
        <f t="shared" si="15"/>
        <v>357691</v>
      </c>
      <c r="M25" s="282">
        <f t="shared" si="16"/>
        <v>0</v>
      </c>
      <c r="N25" s="282">
        <f t="shared" si="17"/>
        <v>0</v>
      </c>
      <c r="O25" s="196"/>
      <c r="P25" s="283">
        <f t="shared" si="18"/>
        <v>10873</v>
      </c>
      <c r="Q25" s="282" t="str">
        <f t="shared" si="32"/>
        <v>ok</v>
      </c>
      <c r="R25" s="523">
        <f t="shared" si="19"/>
        <v>13134</v>
      </c>
      <c r="S25" s="282">
        <f t="shared" si="4"/>
        <v>0</v>
      </c>
      <c r="T25" s="523">
        <f t="shared" si="20"/>
        <v>222994</v>
      </c>
      <c r="U25" s="282">
        <f t="shared" si="21"/>
        <v>0</v>
      </c>
      <c r="V25" s="282">
        <v>250</v>
      </c>
      <c r="W25" s="196"/>
      <c r="X25" s="283">
        <f t="shared" si="22"/>
        <v>13229</v>
      </c>
      <c r="Y25" s="282" t="str">
        <f t="shared" si="33"/>
        <v>ok</v>
      </c>
      <c r="Z25" s="282">
        <f t="shared" si="6"/>
        <v>0</v>
      </c>
      <c r="AA25" s="282">
        <f t="shared" si="23"/>
        <v>0</v>
      </c>
      <c r="AB25" s="282">
        <f t="shared" si="24"/>
        <v>250</v>
      </c>
      <c r="AC25" s="282">
        <f t="shared" si="25"/>
        <v>0</v>
      </c>
      <c r="AD25" s="73">
        <f>ELEC!Q26</f>
        <v>0</v>
      </c>
      <c r="AE25" s="73" t="e">
        <f t="shared" si="27"/>
        <v>#DIV/0!</v>
      </c>
      <c r="AF25" s="396" t="e">
        <f t="shared" si="28"/>
        <v>#DIV/0!</v>
      </c>
      <c r="AG25" s="397" t="e">
        <f t="shared" si="29"/>
        <v>#DIV/0!</v>
      </c>
      <c r="AH25" s="397" t="e">
        <f t="shared" si="26"/>
        <v>#DIV/0!</v>
      </c>
      <c r="AI25" s="73">
        <f t="shared" si="30"/>
        <v>0</v>
      </c>
      <c r="AJ25" s="284">
        <f t="shared" si="7"/>
        <v>0.25738396624472576</v>
      </c>
      <c r="AK25" s="284" t="e">
        <f t="shared" si="8"/>
        <v>#DIV/0!</v>
      </c>
    </row>
    <row r="26" spans="1:37" ht="15.75" thickBot="1">
      <c r="A26" s="4">
        <f>ELEC!C27</f>
        <v>44493</v>
      </c>
      <c r="B26" s="522">
        <f t="shared" si="9"/>
        <v>10971</v>
      </c>
      <c r="C26" s="282">
        <f>B26-B25</f>
        <v>0</v>
      </c>
      <c r="D26" s="523">
        <f t="shared" si="11"/>
        <v>522800</v>
      </c>
      <c r="E26" s="282">
        <f>SUM(D26-D25)</f>
        <v>0</v>
      </c>
      <c r="F26" s="282">
        <f t="shared" si="0"/>
        <v>0</v>
      </c>
      <c r="G26" s="196"/>
      <c r="H26" s="266">
        <f t="shared" si="13"/>
        <v>11055</v>
      </c>
      <c r="I26" s="282" t="str">
        <f t="shared" si="1"/>
        <v>ok</v>
      </c>
      <c r="J26" s="523">
        <f t="shared" si="14"/>
        <v>10698</v>
      </c>
      <c r="K26" s="282">
        <f t="shared" si="2"/>
        <v>0</v>
      </c>
      <c r="L26" s="523">
        <f t="shared" si="15"/>
        <v>357691</v>
      </c>
      <c r="M26" s="282">
        <f t="shared" si="16"/>
        <v>0</v>
      </c>
      <c r="N26" s="282">
        <f t="shared" si="17"/>
        <v>0</v>
      </c>
      <c r="O26" s="196"/>
      <c r="P26" s="283">
        <f t="shared" si="18"/>
        <v>10873</v>
      </c>
      <c r="Q26" s="282" t="str">
        <f t="shared" si="32"/>
        <v>ok</v>
      </c>
      <c r="R26" s="523">
        <f t="shared" si="19"/>
        <v>13134</v>
      </c>
      <c r="S26" s="282">
        <f t="shared" ref="S26" si="34">R26-R25</f>
        <v>0</v>
      </c>
      <c r="T26" s="523">
        <f t="shared" si="20"/>
        <v>222994</v>
      </c>
      <c r="U26" s="282">
        <f t="shared" si="21"/>
        <v>0</v>
      </c>
      <c r="V26" s="282">
        <v>250</v>
      </c>
      <c r="W26" s="196"/>
      <c r="X26" s="283">
        <f t="shared" si="22"/>
        <v>13229</v>
      </c>
      <c r="Y26" s="282" t="str">
        <f t="shared" si="33"/>
        <v>ok</v>
      </c>
      <c r="Z26" s="282">
        <f t="shared" si="6"/>
        <v>0</v>
      </c>
      <c r="AA26" s="282">
        <f t="shared" si="23"/>
        <v>0</v>
      </c>
      <c r="AB26" s="282">
        <f t="shared" si="24"/>
        <v>250</v>
      </c>
      <c r="AC26" s="282">
        <f t="shared" si="25"/>
        <v>0</v>
      </c>
      <c r="AD26" s="73">
        <f>ELEC!Q27</f>
        <v>0</v>
      </c>
      <c r="AE26" s="73" t="e">
        <f t="shared" si="27"/>
        <v>#DIV/0!</v>
      </c>
      <c r="AF26" s="396" t="e">
        <f t="shared" si="28"/>
        <v>#DIV/0!</v>
      </c>
      <c r="AG26" s="397" t="e">
        <f t="shared" si="29"/>
        <v>#DIV/0!</v>
      </c>
      <c r="AH26" s="397" t="e">
        <f t="shared" si="26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44494</v>
      </c>
      <c r="B27" s="522">
        <f t="shared" si="9"/>
        <v>10971</v>
      </c>
      <c r="C27" s="282">
        <f>B27-B26</f>
        <v>0</v>
      </c>
      <c r="D27" s="523">
        <f t="shared" si="11"/>
        <v>522800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3"/>
        <v>11055</v>
      </c>
      <c r="I27" s="282" t="str">
        <f>IF(B27-H27&lt;=0,"ok","oil change")</f>
        <v>ok</v>
      </c>
      <c r="J27" s="523">
        <f t="shared" si="14"/>
        <v>10698</v>
      </c>
      <c r="K27" s="282">
        <f t="shared" si="2"/>
        <v>0</v>
      </c>
      <c r="L27" s="523">
        <f t="shared" si="15"/>
        <v>357691</v>
      </c>
      <c r="M27" s="282">
        <f t="shared" si="16"/>
        <v>0</v>
      </c>
      <c r="N27" s="282">
        <f t="shared" si="17"/>
        <v>0</v>
      </c>
      <c r="O27" s="196"/>
      <c r="P27" s="283">
        <f t="shared" si="18"/>
        <v>10873</v>
      </c>
      <c r="Q27" s="282" t="str">
        <f t="shared" si="32"/>
        <v>ok</v>
      </c>
      <c r="R27" s="523">
        <f t="shared" si="19"/>
        <v>13134</v>
      </c>
      <c r="S27" s="282">
        <f t="shared" si="4"/>
        <v>0</v>
      </c>
      <c r="T27" s="523">
        <f t="shared" si="20"/>
        <v>222994</v>
      </c>
      <c r="U27" s="282">
        <f t="shared" si="21"/>
        <v>0</v>
      </c>
      <c r="V27" s="282">
        <v>250</v>
      </c>
      <c r="W27" s="196"/>
      <c r="X27" s="283">
        <f t="shared" si="22"/>
        <v>13229</v>
      </c>
      <c r="Y27" s="282" t="str">
        <f t="shared" si="33"/>
        <v>ok</v>
      </c>
      <c r="Z27" s="282">
        <f t="shared" si="6"/>
        <v>0</v>
      </c>
      <c r="AA27" s="282">
        <f t="shared" si="23"/>
        <v>0</v>
      </c>
      <c r="AB27" s="282">
        <f t="shared" si="24"/>
        <v>250</v>
      </c>
      <c r="AC27" s="282">
        <f t="shared" si="25"/>
        <v>0</v>
      </c>
      <c r="AD27" s="73">
        <f>ELEC!Q28</f>
        <v>0</v>
      </c>
      <c r="AE27" s="73" t="e">
        <f t="shared" si="27"/>
        <v>#DIV/0!</v>
      </c>
      <c r="AF27" s="396" t="e">
        <f t="shared" si="28"/>
        <v>#DIV/0!</v>
      </c>
      <c r="AG27" s="397" t="e">
        <f t="shared" si="29"/>
        <v>#DIV/0!</v>
      </c>
      <c r="AH27" s="397" t="e">
        <f t="shared" si="26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44495</v>
      </c>
      <c r="B28" s="522">
        <f t="shared" si="9"/>
        <v>10971</v>
      </c>
      <c r="C28" s="282">
        <f t="shared" si="10"/>
        <v>0</v>
      </c>
      <c r="D28" s="523">
        <f t="shared" si="11"/>
        <v>522800</v>
      </c>
      <c r="E28" s="282">
        <f t="shared" si="35"/>
        <v>0</v>
      </c>
      <c r="F28" s="282">
        <f t="shared" si="0"/>
        <v>0</v>
      </c>
      <c r="G28" s="280"/>
      <c r="H28" s="266">
        <f t="shared" si="13"/>
        <v>11055</v>
      </c>
      <c r="I28" s="282" t="str">
        <f t="shared" si="1"/>
        <v>ok</v>
      </c>
      <c r="J28" s="523">
        <f t="shared" si="14"/>
        <v>10698</v>
      </c>
      <c r="K28" s="282">
        <f t="shared" si="2"/>
        <v>0</v>
      </c>
      <c r="L28" s="523">
        <f t="shared" si="15"/>
        <v>357691</v>
      </c>
      <c r="M28" s="282">
        <f t="shared" si="16"/>
        <v>0</v>
      </c>
      <c r="N28" s="282">
        <f t="shared" si="17"/>
        <v>0</v>
      </c>
      <c r="O28" s="196"/>
      <c r="P28" s="283">
        <f t="shared" si="18"/>
        <v>10873</v>
      </c>
      <c r="Q28" s="282" t="str">
        <f t="shared" si="32"/>
        <v>ok</v>
      </c>
      <c r="R28" s="523">
        <f t="shared" si="19"/>
        <v>13134</v>
      </c>
      <c r="S28" s="282">
        <f t="shared" si="4"/>
        <v>0</v>
      </c>
      <c r="T28" s="523">
        <f t="shared" si="20"/>
        <v>222994</v>
      </c>
      <c r="U28" s="282">
        <f t="shared" si="21"/>
        <v>0</v>
      </c>
      <c r="V28" s="282">
        <v>250</v>
      </c>
      <c r="W28" s="196"/>
      <c r="X28" s="283">
        <f t="shared" si="22"/>
        <v>13229</v>
      </c>
      <c r="Y28" s="282" t="str">
        <f t="shared" si="33"/>
        <v>ok</v>
      </c>
      <c r="Z28" s="282">
        <f t="shared" si="6"/>
        <v>0</v>
      </c>
      <c r="AA28" s="282">
        <f t="shared" si="23"/>
        <v>0</v>
      </c>
      <c r="AB28" s="282">
        <f t="shared" si="24"/>
        <v>250</v>
      </c>
      <c r="AC28" s="282">
        <f t="shared" si="25"/>
        <v>0</v>
      </c>
      <c r="AD28" s="73">
        <f>ELEC!Q29</f>
        <v>0</v>
      </c>
      <c r="AE28" s="73" t="e">
        <f t="shared" si="27"/>
        <v>#DIV/0!</v>
      </c>
      <c r="AF28" s="396" t="e">
        <f t="shared" si="28"/>
        <v>#DIV/0!</v>
      </c>
      <c r="AG28" s="397" t="e">
        <f t="shared" si="29"/>
        <v>#DIV/0!</v>
      </c>
      <c r="AH28" s="397" t="e">
        <f t="shared" si="26"/>
        <v>#DIV/0!</v>
      </c>
      <c r="AI28" s="73">
        <f t="shared" si="30"/>
        <v>0</v>
      </c>
      <c r="AJ28" s="284">
        <f t="shared" si="7"/>
        <v>0.25738396624472576</v>
      </c>
      <c r="AK28" s="284" t="e">
        <f t="shared" si="8"/>
        <v>#DIV/0!</v>
      </c>
    </row>
    <row r="29" spans="1:37" ht="15.75" thickBot="1">
      <c r="A29" s="4">
        <f>ELEC!C30</f>
        <v>44496</v>
      </c>
      <c r="B29" s="522">
        <f t="shared" si="9"/>
        <v>10971</v>
      </c>
      <c r="C29" s="282">
        <f t="shared" si="10"/>
        <v>0</v>
      </c>
      <c r="D29" s="523">
        <f t="shared" si="11"/>
        <v>522800</v>
      </c>
      <c r="E29" s="282">
        <f t="shared" si="35"/>
        <v>0</v>
      </c>
      <c r="F29" s="282">
        <f t="shared" si="0"/>
        <v>0</v>
      </c>
      <c r="G29" s="196"/>
      <c r="H29" s="266">
        <f t="shared" si="13"/>
        <v>11055</v>
      </c>
      <c r="I29" s="282" t="str">
        <f t="shared" si="1"/>
        <v>ok</v>
      </c>
      <c r="J29" s="523">
        <f t="shared" si="14"/>
        <v>10698</v>
      </c>
      <c r="K29" s="282">
        <f t="shared" si="2"/>
        <v>0</v>
      </c>
      <c r="L29" s="523">
        <f t="shared" si="15"/>
        <v>357691</v>
      </c>
      <c r="M29" s="282">
        <f t="shared" si="16"/>
        <v>0</v>
      </c>
      <c r="N29" s="282">
        <f t="shared" si="17"/>
        <v>0</v>
      </c>
      <c r="O29" s="196"/>
      <c r="P29" s="283">
        <f t="shared" si="18"/>
        <v>10873</v>
      </c>
      <c r="Q29" s="282" t="str">
        <f t="shared" si="32"/>
        <v>ok</v>
      </c>
      <c r="R29" s="523">
        <f t="shared" si="19"/>
        <v>13134</v>
      </c>
      <c r="S29" s="282">
        <f t="shared" si="4"/>
        <v>0</v>
      </c>
      <c r="T29" s="523">
        <f t="shared" si="20"/>
        <v>222994</v>
      </c>
      <c r="U29" s="282">
        <f t="shared" si="21"/>
        <v>0</v>
      </c>
      <c r="V29" s="282">
        <v>250</v>
      </c>
      <c r="W29" s="196"/>
      <c r="X29" s="283">
        <f t="shared" si="22"/>
        <v>13229</v>
      </c>
      <c r="Y29" s="282" t="str">
        <f t="shared" si="33"/>
        <v>ok</v>
      </c>
      <c r="Z29" s="282">
        <f t="shared" si="6"/>
        <v>0</v>
      </c>
      <c r="AA29" s="282">
        <f t="shared" si="23"/>
        <v>0</v>
      </c>
      <c r="AB29" s="282">
        <f t="shared" si="24"/>
        <v>250</v>
      </c>
      <c r="AC29" s="282">
        <f t="shared" si="25"/>
        <v>0</v>
      </c>
      <c r="AD29" s="73">
        <f>ELEC!Q30</f>
        <v>0</v>
      </c>
      <c r="AE29" s="73" t="e">
        <f t="shared" si="27"/>
        <v>#DIV/0!</v>
      </c>
      <c r="AF29" s="396" t="e">
        <f t="shared" si="28"/>
        <v>#DIV/0!</v>
      </c>
      <c r="AG29" s="397" t="e">
        <f t="shared" si="29"/>
        <v>#DIV/0!</v>
      </c>
      <c r="AH29" s="397" t="e">
        <f t="shared" si="26"/>
        <v>#DIV/0!</v>
      </c>
      <c r="AI29" s="73">
        <f t="shared" si="30"/>
        <v>0</v>
      </c>
      <c r="AJ29" s="284">
        <f t="shared" si="7"/>
        <v>0.25738396624472576</v>
      </c>
      <c r="AK29" s="284" t="e">
        <f t="shared" si="8"/>
        <v>#DIV/0!</v>
      </c>
    </row>
    <row r="30" spans="1:37" ht="15.75" thickBot="1">
      <c r="A30" s="4">
        <f>ELEC!C31</f>
        <v>44497</v>
      </c>
      <c r="B30" s="522">
        <f t="shared" si="9"/>
        <v>10971</v>
      </c>
      <c r="C30" s="282">
        <f t="shared" si="10"/>
        <v>0</v>
      </c>
      <c r="D30" s="523">
        <f t="shared" si="11"/>
        <v>522800</v>
      </c>
      <c r="E30" s="282">
        <f t="shared" si="35"/>
        <v>0</v>
      </c>
      <c r="F30" s="282">
        <f t="shared" si="0"/>
        <v>0</v>
      </c>
      <c r="G30" s="196"/>
      <c r="H30" s="266">
        <f t="shared" si="13"/>
        <v>11055</v>
      </c>
      <c r="I30" s="282" t="str">
        <f t="shared" si="1"/>
        <v>ok</v>
      </c>
      <c r="J30" s="523">
        <f t="shared" si="14"/>
        <v>10698</v>
      </c>
      <c r="K30" s="282">
        <f t="shared" si="2"/>
        <v>0</v>
      </c>
      <c r="L30" s="523">
        <f t="shared" si="15"/>
        <v>357691</v>
      </c>
      <c r="M30" s="282">
        <f t="shared" si="16"/>
        <v>0</v>
      </c>
      <c r="N30" s="282">
        <f t="shared" si="17"/>
        <v>0</v>
      </c>
      <c r="O30" s="196"/>
      <c r="P30" s="283">
        <f t="shared" si="18"/>
        <v>10873</v>
      </c>
      <c r="Q30" s="282" t="str">
        <f t="shared" si="32"/>
        <v>ok</v>
      </c>
      <c r="R30" s="523">
        <f t="shared" si="19"/>
        <v>13134</v>
      </c>
      <c r="S30" s="282">
        <f t="shared" si="4"/>
        <v>0</v>
      </c>
      <c r="T30" s="523">
        <f t="shared" si="20"/>
        <v>222994</v>
      </c>
      <c r="U30" s="282">
        <f t="shared" si="21"/>
        <v>0</v>
      </c>
      <c r="V30" s="282">
        <v>250</v>
      </c>
      <c r="W30" s="280"/>
      <c r="X30" s="283">
        <f t="shared" si="22"/>
        <v>13229</v>
      </c>
      <c r="Y30" s="282" t="str">
        <f t="shared" si="33"/>
        <v>ok</v>
      </c>
      <c r="Z30" s="282">
        <f t="shared" si="6"/>
        <v>0</v>
      </c>
      <c r="AA30" s="282">
        <f t="shared" si="23"/>
        <v>0</v>
      </c>
      <c r="AB30" s="282">
        <f t="shared" si="24"/>
        <v>250</v>
      </c>
      <c r="AC30" s="282">
        <f t="shared" si="25"/>
        <v>0</v>
      </c>
      <c r="AD30" s="73">
        <f>ELEC!Q31</f>
        <v>0</v>
      </c>
      <c r="AE30" s="73" t="e">
        <f t="shared" si="27"/>
        <v>#DIV/0!</v>
      </c>
      <c r="AF30" s="396" t="e">
        <f t="shared" si="28"/>
        <v>#DIV/0!</v>
      </c>
      <c r="AG30" s="397" t="e">
        <f t="shared" si="29"/>
        <v>#DIV/0!</v>
      </c>
      <c r="AH30" s="397" t="e">
        <f t="shared" si="26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44498</v>
      </c>
      <c r="B31" s="522">
        <f t="shared" si="9"/>
        <v>10971</v>
      </c>
      <c r="C31" s="282">
        <f>B31-B30</f>
        <v>0</v>
      </c>
      <c r="D31" s="523">
        <f t="shared" si="11"/>
        <v>522800</v>
      </c>
      <c r="E31" s="282">
        <f t="shared" si="35"/>
        <v>0</v>
      </c>
      <c r="F31" s="282">
        <f>IF(C31&gt;0,E31/C31,0)</f>
        <v>0</v>
      </c>
      <c r="G31" s="332"/>
      <c r="H31" s="266">
        <f t="shared" si="13"/>
        <v>11055</v>
      </c>
      <c r="I31" s="282" t="str">
        <f>IF(B31-H31&lt;=0,"ok","oil change")</f>
        <v>ok</v>
      </c>
      <c r="J31" s="523">
        <f t="shared" si="14"/>
        <v>10698</v>
      </c>
      <c r="K31" s="282">
        <f>J31-J30</f>
        <v>0</v>
      </c>
      <c r="L31" s="523">
        <f t="shared" si="15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8"/>
        <v>10873</v>
      </c>
      <c r="Q31" s="282" t="str">
        <f>IF(J31-P31&lt;=0,"ok","oil change")</f>
        <v>ok</v>
      </c>
      <c r="R31" s="523">
        <f t="shared" si="19"/>
        <v>13134</v>
      </c>
      <c r="S31" s="282">
        <f>R31-R30</f>
        <v>0</v>
      </c>
      <c r="T31" s="523">
        <f t="shared" si="20"/>
        <v>222994</v>
      </c>
      <c r="U31" s="282">
        <f t="shared" si="21"/>
        <v>0</v>
      </c>
      <c r="V31" s="282">
        <v>250</v>
      </c>
      <c r="W31" s="332"/>
      <c r="X31" s="283">
        <f t="shared" si="22"/>
        <v>13229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6" t="e">
        <f>SUM(AE31/1600)</f>
        <v>#DIV/0!</v>
      </c>
      <c r="AG31" s="490" t="e">
        <f>SUM(320*AF31)</f>
        <v>#DIV/0!</v>
      </c>
      <c r="AH31" s="490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44499</v>
      </c>
      <c r="B32" s="522">
        <f t="shared" si="9"/>
        <v>10971</v>
      </c>
      <c r="C32" s="282">
        <f>B32-B31</f>
        <v>0</v>
      </c>
      <c r="D32" s="523">
        <f t="shared" si="11"/>
        <v>522800</v>
      </c>
      <c r="E32" s="282">
        <f t="shared" si="35"/>
        <v>0</v>
      </c>
      <c r="F32" s="282">
        <f>IF(C32&gt;0,E32/C32,0)</f>
        <v>0</v>
      </c>
      <c r="G32" s="332"/>
      <c r="H32" s="266">
        <f t="shared" si="13"/>
        <v>11055</v>
      </c>
      <c r="I32" s="282" t="str">
        <f>IF(B32-H32&lt;=0,"ok","oil change")</f>
        <v>ok</v>
      </c>
      <c r="J32" s="523">
        <f t="shared" si="14"/>
        <v>10698</v>
      </c>
      <c r="K32" s="282">
        <f>J32-J31</f>
        <v>0</v>
      </c>
      <c r="L32" s="523">
        <f t="shared" si="15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8"/>
        <v>10873</v>
      </c>
      <c r="Q32" s="282" t="str">
        <f>IF(J32-P32&lt;=0,"ok","oil change")</f>
        <v>ok</v>
      </c>
      <c r="R32" s="523">
        <f t="shared" si="19"/>
        <v>13134</v>
      </c>
      <c r="S32" s="282">
        <f>R32-R31</f>
        <v>0</v>
      </c>
      <c r="T32" s="523">
        <f t="shared" si="20"/>
        <v>222994</v>
      </c>
      <c r="U32" s="282">
        <f t="shared" si="21"/>
        <v>0</v>
      </c>
      <c r="V32" s="282">
        <v>250</v>
      </c>
      <c r="W32" s="332"/>
      <c r="X32" s="283">
        <f t="shared" si="22"/>
        <v>13229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6" t="e">
        <f>SUM(AE32/1600)</f>
        <v>#DIV/0!</v>
      </c>
      <c r="AG32" s="490" t="e">
        <f>SUM(320*AF32)</f>
        <v>#DIV/0!</v>
      </c>
      <c r="AH32" s="490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44500</v>
      </c>
      <c r="B33" s="522">
        <f t="shared" si="9"/>
        <v>10971</v>
      </c>
      <c r="C33" s="282">
        <f>B33-B32</f>
        <v>0</v>
      </c>
      <c r="D33" s="523">
        <f t="shared" si="11"/>
        <v>522800</v>
      </c>
      <c r="E33" s="282">
        <f t="shared" si="35"/>
        <v>0</v>
      </c>
      <c r="F33" s="282">
        <f>IF(C33&gt;0,E33/C33,0)</f>
        <v>0</v>
      </c>
      <c r="G33" s="332"/>
      <c r="H33" s="266">
        <f t="shared" si="13"/>
        <v>11055</v>
      </c>
      <c r="I33" s="282" t="str">
        <f>IF(B33-H33&lt;=0,"ok","oil change")</f>
        <v>ok</v>
      </c>
      <c r="J33" s="523">
        <f t="shared" si="14"/>
        <v>10698</v>
      </c>
      <c r="K33" s="282">
        <f>J33-J32</f>
        <v>0</v>
      </c>
      <c r="L33" s="523">
        <f t="shared" si="15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8"/>
        <v>10873</v>
      </c>
      <c r="Q33" s="282" t="str">
        <f>IF(J33-P33&lt;=0,"ok","oil change")</f>
        <v>ok</v>
      </c>
      <c r="R33" s="523">
        <f t="shared" si="19"/>
        <v>13134</v>
      </c>
      <c r="S33" s="282">
        <f>R33-R32</f>
        <v>0</v>
      </c>
      <c r="T33" s="523">
        <f t="shared" si="20"/>
        <v>222994</v>
      </c>
      <c r="U33" s="282">
        <f t="shared" si="21"/>
        <v>0</v>
      </c>
      <c r="V33" s="282">
        <v>251</v>
      </c>
      <c r="W33" s="332"/>
      <c r="X33" s="283">
        <f t="shared" si="22"/>
        <v>13229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6" t="e">
        <f>SUM(AE33/1600)</f>
        <v>#DIV/0!</v>
      </c>
      <c r="AG33" s="490" t="e">
        <f>SUM(320*AF33)</f>
        <v>#DIV/0!</v>
      </c>
      <c r="AH33" s="490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9</v>
      </c>
      <c r="V34" s="40"/>
      <c r="X34">
        <v>341</v>
      </c>
      <c r="Z34" s="414">
        <f>SUM(Z3:Z33)</f>
        <v>9</v>
      </c>
    </row>
    <row r="35" spans="1:37">
      <c r="C35" s="40">
        <f>SUM(C3:C33)</f>
        <v>6</v>
      </c>
      <c r="K35" s="40">
        <f>SUM(K3:K33)</f>
        <v>0</v>
      </c>
      <c r="S35" s="40">
        <f>SUM(S3:S33)</f>
        <v>3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Q1" activePane="topRight" state="frozen"/>
      <selection pane="topRight" activeCell="AV6" sqref="AV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6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6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3" t="s">
        <v>108</v>
      </c>
      <c r="AS3" s="663" t="s">
        <v>232</v>
      </c>
      <c r="AT3" s="661" t="s">
        <v>300</v>
      </c>
      <c r="AU3" s="662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4"/>
      <c r="AS4" s="664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6">
        <f>[2]tanks!$A$35</f>
        <v>44469</v>
      </c>
      <c r="B5" s="517">
        <f>[2]tanks!B35</f>
        <v>146</v>
      </c>
      <c r="C5" s="517">
        <f>[2]tanks!C35</f>
        <v>3141.3548387096776</v>
      </c>
      <c r="D5" s="517">
        <f>[2]tanks!D35</f>
        <v>146</v>
      </c>
      <c r="E5" s="517">
        <f>[2]tanks!E35</f>
        <v>3141.3548387096776</v>
      </c>
      <c r="F5" s="517">
        <f>[2]tanks!F35</f>
        <v>146</v>
      </c>
      <c r="G5" s="517">
        <f>[2]tanks!G35</f>
        <v>3141.3548387096776</v>
      </c>
      <c r="H5" s="517">
        <f>[2]tanks!H35</f>
        <v>146</v>
      </c>
      <c r="I5" s="517">
        <f>[2]tanks!I35</f>
        <v>3141.3548387096776</v>
      </c>
      <c r="J5" s="517">
        <f>[2]tanks!J35</f>
        <v>146</v>
      </c>
      <c r="K5" s="517">
        <f>[2]tanks!K35</f>
        <v>3141.3548387096776</v>
      </c>
      <c r="L5" s="517">
        <f>[2]tanks!L35</f>
        <v>146</v>
      </c>
      <c r="M5" s="517">
        <f>[2]tanks!M35</f>
        <v>3141.3548387096776</v>
      </c>
      <c r="N5" s="517">
        <f>[2]tanks!N35</f>
        <v>146</v>
      </c>
      <c r="O5" s="517">
        <f>[2]tanks!O35</f>
        <v>3141.3548387096776</v>
      </c>
      <c r="P5" s="517">
        <f>[2]tanks!P35</f>
        <v>146</v>
      </c>
      <c r="Q5" s="517">
        <f>[2]tanks!Q35</f>
        <v>3141.3548387096776</v>
      </c>
      <c r="R5" s="517">
        <f>[2]tanks!R35</f>
        <v>146</v>
      </c>
      <c r="S5" s="517">
        <f>[2]tanks!S35</f>
        <v>3141.3548387096776</v>
      </c>
      <c r="T5" s="517">
        <f>[2]tanks!T35</f>
        <v>146</v>
      </c>
      <c r="U5" s="517">
        <f>[2]tanks!U35</f>
        <v>3141.3548387096776</v>
      </c>
      <c r="V5" s="517">
        <f>[2]tanks!V35</f>
        <v>146</v>
      </c>
      <c r="W5" s="517">
        <f>[2]tanks!W35</f>
        <v>3141.3548387096776</v>
      </c>
      <c r="X5" s="517">
        <f>[2]tanks!X35</f>
        <v>0.47096774193548391</v>
      </c>
      <c r="Y5" s="517">
        <f>[2]tanks!Y35</f>
        <v>34554.903225806454</v>
      </c>
      <c r="Z5" s="517">
        <f>[2]tanks!Z35</f>
        <v>153</v>
      </c>
      <c r="AA5" s="517">
        <f>[2]tanks!AA35</f>
        <v>1530</v>
      </c>
      <c r="AB5" s="517">
        <f>[2]tanks!AB35</f>
        <v>153</v>
      </c>
      <c r="AC5" s="517">
        <f>[2]tanks!AC35</f>
        <v>1530</v>
      </c>
      <c r="AD5" s="517">
        <f>[2]tanks!AD35</f>
        <v>153</v>
      </c>
      <c r="AE5" s="517">
        <f>[2]tanks!$AE$35</f>
        <v>1530</v>
      </c>
      <c r="AF5" s="517">
        <f>[2]tanks!AF35</f>
        <v>153</v>
      </c>
      <c r="AG5" s="517">
        <f>[2]tanks!AG35</f>
        <v>1530</v>
      </c>
      <c r="AH5" s="517">
        <f>[2]tanks!AH35</f>
        <v>153</v>
      </c>
      <c r="AI5" s="517">
        <f>[2]tanks!AI35</f>
        <v>1530</v>
      </c>
      <c r="AJ5" s="517">
        <f>[2]tanks!AJ35</f>
        <v>153</v>
      </c>
      <c r="AK5" s="517">
        <f>[2]tanks!AK35</f>
        <v>1530</v>
      </c>
      <c r="AL5" s="517">
        <f>[2]tanks!AL35</f>
        <v>153</v>
      </c>
      <c r="AM5" s="517">
        <f>[2]tanks!AM35</f>
        <v>1530</v>
      </c>
      <c r="AN5" s="491">
        <f>[2]tanks!AN35</f>
        <v>0.54642857142857137</v>
      </c>
      <c r="AO5" s="517">
        <f>[2]tanks!AO35</f>
        <v>10710</v>
      </c>
      <c r="AP5" s="517"/>
      <c r="AQ5" s="491">
        <f>[2]tanks!$AQ$35</f>
        <v>0.48687644644300798</v>
      </c>
      <c r="AR5" s="606">
        <f>[2]tanks!AR35</f>
        <v>45264.903225806454</v>
      </c>
      <c r="AS5" s="606">
        <f>[2]tanks!AS35</f>
        <v>-2383.4193548387047</v>
      </c>
      <c r="AT5" s="606">
        <f>[2]tanks!AT35</f>
        <v>0</v>
      </c>
      <c r="AU5" s="606">
        <f>[2]tanks!AU35</f>
        <v>0</v>
      </c>
      <c r="AV5" s="606">
        <f>[2]tanks!AV35</f>
        <v>0.60499999999999998</v>
      </c>
      <c r="AW5" s="606">
        <f>[2]tanks!AW35</f>
        <v>-57</v>
      </c>
      <c r="AX5" s="606">
        <f>[2]tanks!AX35</f>
        <v>-2326.4193548387047</v>
      </c>
      <c r="AY5" s="606">
        <f>[2]tanks!AY35</f>
        <v>-2383.4193548387047</v>
      </c>
      <c r="AZ5" s="491">
        <f>[2]tanks!AZ35</f>
        <v>0</v>
      </c>
      <c r="BA5" s="606">
        <f>[2]tanks!BA35</f>
        <v>26</v>
      </c>
      <c r="BB5" s="491">
        <f>[2]tanks!BB35</f>
        <v>0.65</v>
      </c>
      <c r="BC5" s="606">
        <f>[2]tanks!BC35</f>
        <v>0</v>
      </c>
      <c r="BD5" s="606">
        <f>[2]tanks!BD35</f>
        <v>0</v>
      </c>
      <c r="BE5" s="606">
        <f>[2]tanks!BE35</f>
        <v>0</v>
      </c>
      <c r="BF5" s="606">
        <f>[2]tanks!BF35</f>
        <v>0</v>
      </c>
      <c r="BG5" s="606">
        <f>[2]tanks!BG35</f>
        <v>0</v>
      </c>
      <c r="BH5" s="517">
        <f>[5]tanks!BH36</f>
        <v>0</v>
      </c>
      <c r="BI5" s="203"/>
    </row>
    <row r="6" spans="1:63">
      <c r="A6" s="436">
        <f>ELEC!C4</f>
        <v>44470</v>
      </c>
      <c r="B6" s="517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9">
        <v>5000</v>
      </c>
      <c r="AU6" s="578">
        <v>0.61499999999999999</v>
      </c>
      <c r="AV6" s="503">
        <f>IF(AT6&gt;0,AU6,AV5)</f>
        <v>0.61499999999999999</v>
      </c>
      <c r="AW6" s="285">
        <f>-SUM('B5'!AI5)</f>
        <v>0</v>
      </c>
      <c r="AX6" s="285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5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61" t="e">
        <f>GEN!AF3</f>
        <v>#DIV/0!</v>
      </c>
    </row>
    <row r="7" spans="1:63">
      <c r="A7" s="436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9"/>
      <c r="AU7" s="578"/>
      <c r="AV7" s="503">
        <f>IF(AT7&gt;0,AU7,AV6)</f>
        <v>0.61499999999999999</v>
      </c>
      <c r="AW7" s="285">
        <f>-SUM('B5'!AI6)</f>
        <v>0</v>
      </c>
      <c r="AX7" s="285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7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61" t="e">
        <f>GEN!AF4</f>
        <v>#DIV/0!</v>
      </c>
    </row>
    <row r="8" spans="1:63">
      <c r="A8" s="436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5" si="42">SUM(AR8-AR7-AT8)</f>
        <v>3373.4516129032199</v>
      </c>
      <c r="AT8" s="349"/>
      <c r="AU8" s="578"/>
      <c r="AV8" s="503">
        <f t="shared" ref="AV8:AV31" si="43">IF(AT8&gt;0,AU8,AV7)</f>
        <v>0.61499999999999999</v>
      </c>
      <c r="AW8" s="285">
        <f>-SUM('B5'!AI7)</f>
        <v>-81</v>
      </c>
      <c r="AX8" s="285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7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61">
        <f>GEN!AF5</f>
        <v>0.45944444444431709</v>
      </c>
    </row>
    <row r="9" spans="1:63">
      <c r="A9" s="436">
        <f>ELEC!C7</f>
        <v>44473</v>
      </c>
      <c r="B9">
        <f>'B5'!B8</f>
        <v>157</v>
      </c>
      <c r="C9" s="203">
        <f t="shared" si="20"/>
        <v>3378.0322580645161</v>
      </c>
      <c r="D9">
        <f t="shared" si="21"/>
        <v>157</v>
      </c>
      <c r="E9" s="203">
        <f t="shared" si="20"/>
        <v>3378.0322580645161</v>
      </c>
      <c r="F9">
        <f t="shared" si="22"/>
        <v>157</v>
      </c>
      <c r="G9" s="203">
        <f t="shared" si="1"/>
        <v>3378.0322580645161</v>
      </c>
      <c r="H9" s="203">
        <f t="shared" si="23"/>
        <v>157</v>
      </c>
      <c r="I9" s="203">
        <f t="shared" si="2"/>
        <v>3378.0322580645161</v>
      </c>
      <c r="J9" s="203">
        <f t="shared" si="24"/>
        <v>157</v>
      </c>
      <c r="K9" s="203">
        <f t="shared" si="3"/>
        <v>3378.0322580645161</v>
      </c>
      <c r="L9" s="203">
        <f t="shared" si="25"/>
        <v>157</v>
      </c>
      <c r="M9" s="203">
        <f t="shared" si="4"/>
        <v>3378.0322580645161</v>
      </c>
      <c r="N9" s="203">
        <f t="shared" si="26"/>
        <v>157</v>
      </c>
      <c r="O9" s="203">
        <f t="shared" si="5"/>
        <v>3378.0322580645161</v>
      </c>
      <c r="P9" s="203">
        <f t="shared" si="27"/>
        <v>157</v>
      </c>
      <c r="Q9" s="203">
        <f t="shared" si="6"/>
        <v>3378.0322580645161</v>
      </c>
      <c r="R9" s="203">
        <f t="shared" si="28"/>
        <v>157</v>
      </c>
      <c r="S9" s="203">
        <f t="shared" si="7"/>
        <v>3378.0322580645161</v>
      </c>
      <c r="T9" s="203">
        <f t="shared" si="29"/>
        <v>157</v>
      </c>
      <c r="U9" s="203">
        <f t="shared" si="8"/>
        <v>3378.0322580645161</v>
      </c>
      <c r="V9" s="203">
        <f t="shared" si="30"/>
        <v>157</v>
      </c>
      <c r="W9" s="203">
        <f t="shared" si="9"/>
        <v>3378.0322580645161</v>
      </c>
      <c r="X9" s="35">
        <f t="shared" si="10"/>
        <v>0.50645161290322571</v>
      </c>
      <c r="Y9" s="36">
        <f t="shared" si="31"/>
        <v>37158.354838709674</v>
      </c>
      <c r="Z9" s="203">
        <f>'B5'!C8</f>
        <v>164</v>
      </c>
      <c r="AA9" s="203">
        <f t="shared" si="32"/>
        <v>1640</v>
      </c>
      <c r="AB9" s="203">
        <f t="shared" si="33"/>
        <v>164</v>
      </c>
      <c r="AC9" s="203">
        <f t="shared" si="32"/>
        <v>1640</v>
      </c>
      <c r="AD9" s="203">
        <f t="shared" si="34"/>
        <v>164</v>
      </c>
      <c r="AE9" s="203">
        <f t="shared" si="11"/>
        <v>1640</v>
      </c>
      <c r="AF9" s="203">
        <f t="shared" si="35"/>
        <v>164</v>
      </c>
      <c r="AG9" s="203">
        <f t="shared" si="12"/>
        <v>1640</v>
      </c>
      <c r="AH9" s="203">
        <f t="shared" si="36"/>
        <v>164</v>
      </c>
      <c r="AI9" s="203">
        <f t="shared" si="13"/>
        <v>1640</v>
      </c>
      <c r="AJ9" s="203">
        <f t="shared" si="37"/>
        <v>164</v>
      </c>
      <c r="AK9" s="203">
        <f t="shared" si="14"/>
        <v>1640</v>
      </c>
      <c r="AL9" s="203">
        <f t="shared" si="38"/>
        <v>164</v>
      </c>
      <c r="AM9" s="203">
        <f t="shared" si="15"/>
        <v>1640</v>
      </c>
      <c r="AN9" s="35">
        <f t="shared" si="16"/>
        <v>0.58571428571428574</v>
      </c>
      <c r="AO9" s="36">
        <f>SUM(AA9+AC9+AE9+AG9+AI9+AK9+AM9)</f>
        <v>11480</v>
      </c>
      <c r="AQ9" s="223">
        <f t="shared" si="39"/>
        <v>0.52316182466074723</v>
      </c>
      <c r="AR9" s="38">
        <f t="shared" ref="AR9:AR36" si="45">Y9+AO9</f>
        <v>48638.354838709674</v>
      </c>
      <c r="AS9" s="197">
        <f t="shared" si="42"/>
        <v>0</v>
      </c>
      <c r="AT9" s="349"/>
      <c r="AU9" s="578"/>
      <c r="AV9" s="503">
        <f t="shared" si="43"/>
        <v>0.61499999999999999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'!D8</f>
        <v>0</v>
      </c>
      <c r="BB9" s="387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1" t="e">
        <f>GEN!AF6</f>
        <v>#DIV/0!</v>
      </c>
    </row>
    <row r="10" spans="1:63">
      <c r="A10" s="436">
        <f>ELEC!C8</f>
        <v>44474</v>
      </c>
      <c r="B10">
        <f>'B5'!B9</f>
        <v>157</v>
      </c>
      <c r="C10" s="203">
        <f t="shared" si="20"/>
        <v>3378.0322580645161</v>
      </c>
      <c r="D10">
        <f t="shared" si="21"/>
        <v>157</v>
      </c>
      <c r="E10" s="203">
        <f t="shared" si="20"/>
        <v>3378.0322580645161</v>
      </c>
      <c r="F10">
        <f t="shared" si="22"/>
        <v>157</v>
      </c>
      <c r="G10" s="203">
        <f t="shared" si="1"/>
        <v>3378.0322580645161</v>
      </c>
      <c r="H10" s="203">
        <f t="shared" si="23"/>
        <v>157</v>
      </c>
      <c r="I10" s="203">
        <f t="shared" si="2"/>
        <v>3378.0322580645161</v>
      </c>
      <c r="J10" s="203">
        <f t="shared" si="24"/>
        <v>157</v>
      </c>
      <c r="K10" s="203">
        <f t="shared" si="3"/>
        <v>3378.0322580645161</v>
      </c>
      <c r="L10" s="203">
        <f t="shared" si="25"/>
        <v>157</v>
      </c>
      <c r="M10" s="203">
        <f t="shared" si="4"/>
        <v>3378.0322580645161</v>
      </c>
      <c r="N10" s="203">
        <f t="shared" si="26"/>
        <v>157</v>
      </c>
      <c r="O10" s="203">
        <f t="shared" si="5"/>
        <v>3378.0322580645161</v>
      </c>
      <c r="P10" s="203">
        <f t="shared" si="27"/>
        <v>157</v>
      </c>
      <c r="Q10" s="203">
        <f t="shared" si="6"/>
        <v>3378.0322580645161</v>
      </c>
      <c r="R10" s="203">
        <f t="shared" si="28"/>
        <v>157</v>
      </c>
      <c r="S10" s="203">
        <f t="shared" si="7"/>
        <v>3378.0322580645161</v>
      </c>
      <c r="T10" s="203">
        <f t="shared" si="29"/>
        <v>157</v>
      </c>
      <c r="U10" s="203">
        <f t="shared" si="8"/>
        <v>3378.0322580645161</v>
      </c>
      <c r="V10" s="203">
        <f t="shared" si="30"/>
        <v>157</v>
      </c>
      <c r="W10" s="203">
        <f t="shared" si="9"/>
        <v>3378.0322580645161</v>
      </c>
      <c r="X10" s="35">
        <f t="shared" si="10"/>
        <v>0.50645161290322571</v>
      </c>
      <c r="Y10" s="36">
        <f t="shared" si="31"/>
        <v>37158.354838709674</v>
      </c>
      <c r="Z10" s="203">
        <f>'B5'!C9</f>
        <v>164</v>
      </c>
      <c r="AA10" s="203">
        <f t="shared" si="32"/>
        <v>1640</v>
      </c>
      <c r="AB10" s="203">
        <f t="shared" si="33"/>
        <v>164</v>
      </c>
      <c r="AC10" s="203">
        <f t="shared" si="32"/>
        <v>1640</v>
      </c>
      <c r="AD10" s="203">
        <f t="shared" si="34"/>
        <v>164</v>
      </c>
      <c r="AE10" s="203">
        <f t="shared" si="11"/>
        <v>1640</v>
      </c>
      <c r="AF10" s="203">
        <f t="shared" si="35"/>
        <v>164</v>
      </c>
      <c r="AG10" s="203">
        <f t="shared" si="12"/>
        <v>1640</v>
      </c>
      <c r="AH10" s="203">
        <f t="shared" si="36"/>
        <v>164</v>
      </c>
      <c r="AI10" s="203">
        <f t="shared" si="13"/>
        <v>1640</v>
      </c>
      <c r="AJ10" s="203">
        <f t="shared" si="37"/>
        <v>164</v>
      </c>
      <c r="AK10" s="203">
        <f t="shared" si="14"/>
        <v>1640</v>
      </c>
      <c r="AL10" s="203">
        <f t="shared" si="38"/>
        <v>164</v>
      </c>
      <c r="AM10" s="203">
        <f t="shared" si="15"/>
        <v>1640</v>
      </c>
      <c r="AN10" s="35">
        <f t="shared" si="16"/>
        <v>0.58571428571428574</v>
      </c>
      <c r="AO10" s="36">
        <f t="shared" si="17"/>
        <v>11480</v>
      </c>
      <c r="AQ10" s="223">
        <f t="shared" si="39"/>
        <v>0.52316182466074723</v>
      </c>
      <c r="AR10" s="38">
        <f t="shared" si="45"/>
        <v>48638.354838709674</v>
      </c>
      <c r="AS10" s="197">
        <f t="shared" si="42"/>
        <v>0</v>
      </c>
      <c r="AT10" s="349"/>
      <c r="AU10" s="578"/>
      <c r="AV10" s="503">
        <f>IF(AT10&gt;0,AU10,AV9)</f>
        <v>0.61499999999999999</v>
      </c>
      <c r="AW10" s="285">
        <f>-SUM('B5'!AI9)</f>
        <v>0</v>
      </c>
      <c r="AX10" s="285">
        <f t="shared" si="19"/>
        <v>0</v>
      </c>
      <c r="AY10" s="37">
        <f t="shared" si="40"/>
        <v>0</v>
      </c>
      <c r="AZ10" s="100">
        <f>ELEC!A8</f>
        <v>0</v>
      </c>
      <c r="BA10" s="118">
        <f>'General information '!D9</f>
        <v>0</v>
      </c>
      <c r="BB10" s="387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61" t="e">
        <f>GEN!AF7</f>
        <v>#DIV/0!</v>
      </c>
    </row>
    <row r="11" spans="1:63">
      <c r="A11" s="436">
        <f>ELEC!C9</f>
        <v>44475</v>
      </c>
      <c r="B11">
        <f>'B5'!B10</f>
        <v>157</v>
      </c>
      <c r="C11" s="203">
        <f t="shared" si="20"/>
        <v>3378.0322580645161</v>
      </c>
      <c r="D11">
        <f>SUM(B11)</f>
        <v>157</v>
      </c>
      <c r="E11" s="203">
        <f t="shared" si="20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164</v>
      </c>
      <c r="AA11" s="203">
        <f t="shared" si="32"/>
        <v>1640</v>
      </c>
      <c r="AB11" s="203">
        <f>SUM(Z11)</f>
        <v>164</v>
      </c>
      <c r="AC11" s="203">
        <f t="shared" si="32"/>
        <v>1640</v>
      </c>
      <c r="AD11" s="203">
        <f>SUM(AB11)</f>
        <v>164</v>
      </c>
      <c r="AE11" s="203">
        <f t="shared" si="11"/>
        <v>1640</v>
      </c>
      <c r="AF11" s="203">
        <f>SUM(AD11)</f>
        <v>164</v>
      </c>
      <c r="AG11" s="203">
        <f t="shared" si="12"/>
        <v>1640</v>
      </c>
      <c r="AH11" s="203">
        <f>SUM(AF11)</f>
        <v>164</v>
      </c>
      <c r="AI11" s="203">
        <f t="shared" si="13"/>
        <v>1640</v>
      </c>
      <c r="AJ11" s="203">
        <f>SUM(AH11)</f>
        <v>164</v>
      </c>
      <c r="AK11" s="203">
        <f t="shared" si="14"/>
        <v>1640</v>
      </c>
      <c r="AL11" s="203">
        <f>SUM(AJ11)</f>
        <v>164</v>
      </c>
      <c r="AM11" s="203">
        <f t="shared" si="15"/>
        <v>1640</v>
      </c>
      <c r="AN11" s="35">
        <f>SUM(AO11/19600)</f>
        <v>0.58571428571428574</v>
      </c>
      <c r="AO11" s="36">
        <f t="shared" si="17"/>
        <v>11480</v>
      </c>
      <c r="AP11" s="545"/>
      <c r="AQ11" s="223">
        <f t="shared" si="39"/>
        <v>0.52316182466074723</v>
      </c>
      <c r="AR11" s="38">
        <f>Y11+AO11</f>
        <v>48638.354838709674</v>
      </c>
      <c r="AS11" s="197">
        <f t="shared" si="42"/>
        <v>0</v>
      </c>
      <c r="AT11" s="349"/>
      <c r="AU11" s="578"/>
      <c r="AV11" s="503">
        <f>IF(AT11&gt;0,AU11,AV10)</f>
        <v>0.61499999999999999</v>
      </c>
      <c r="AW11" s="285">
        <f>-SUM('B5'!AI10)</f>
        <v>0</v>
      </c>
      <c r="AX11" s="285">
        <f t="shared" si="19"/>
        <v>0</v>
      </c>
      <c r="AY11" s="37">
        <f t="shared" si="40"/>
        <v>0</v>
      </c>
      <c r="AZ11" s="100">
        <f>ELEC!A9</f>
        <v>0</v>
      </c>
      <c r="BA11" s="118">
        <f>'General information '!D10</f>
        <v>0</v>
      </c>
      <c r="BB11" s="387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61" t="e">
        <f>GEN!AF8</f>
        <v>#DIV/0!</v>
      </c>
    </row>
    <row r="12" spans="1:63">
      <c r="A12" s="436">
        <f>ELEC!C10</f>
        <v>44476</v>
      </c>
      <c r="B12">
        <f>'B5'!B11</f>
        <v>157</v>
      </c>
      <c r="C12" s="203">
        <f t="shared" si="20"/>
        <v>3378.0322580645161</v>
      </c>
      <c r="D12">
        <f t="shared" si="21"/>
        <v>157</v>
      </c>
      <c r="E12" s="203">
        <f t="shared" si="20"/>
        <v>3378.0322580645161</v>
      </c>
      <c r="F12">
        <f t="shared" si="22"/>
        <v>157</v>
      </c>
      <c r="G12" s="203">
        <f t="shared" si="1"/>
        <v>3378.0322580645161</v>
      </c>
      <c r="H12" s="203">
        <f t="shared" si="23"/>
        <v>157</v>
      </c>
      <c r="I12" s="203">
        <f t="shared" si="2"/>
        <v>3378.0322580645161</v>
      </c>
      <c r="J12" s="203">
        <f t="shared" si="24"/>
        <v>157</v>
      </c>
      <c r="K12" s="203">
        <f t="shared" si="3"/>
        <v>3378.0322580645161</v>
      </c>
      <c r="L12" s="203">
        <f t="shared" si="25"/>
        <v>157</v>
      </c>
      <c r="M12" s="203">
        <f t="shared" si="4"/>
        <v>3378.0322580645161</v>
      </c>
      <c r="N12" s="203">
        <f t="shared" si="26"/>
        <v>157</v>
      </c>
      <c r="O12" s="203">
        <f t="shared" si="5"/>
        <v>3378.0322580645161</v>
      </c>
      <c r="P12" s="203">
        <f t="shared" si="27"/>
        <v>157</v>
      </c>
      <c r="Q12" s="203">
        <f t="shared" si="6"/>
        <v>3378.0322580645161</v>
      </c>
      <c r="R12" s="203">
        <f t="shared" si="28"/>
        <v>157</v>
      </c>
      <c r="S12" s="203">
        <f t="shared" si="7"/>
        <v>3378.0322580645161</v>
      </c>
      <c r="T12" s="203">
        <f t="shared" si="29"/>
        <v>157</v>
      </c>
      <c r="U12" s="203">
        <f t="shared" si="8"/>
        <v>3378.0322580645161</v>
      </c>
      <c r="V12" s="203">
        <f t="shared" si="30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31"/>
        <v>37158.354838709674</v>
      </c>
      <c r="Z12" s="203">
        <f>'B5'!C11</f>
        <v>164</v>
      </c>
      <c r="AA12" s="203">
        <f t="shared" si="32"/>
        <v>1640</v>
      </c>
      <c r="AB12" s="203">
        <f t="shared" si="33"/>
        <v>164</v>
      </c>
      <c r="AC12" s="203">
        <f t="shared" si="32"/>
        <v>1640</v>
      </c>
      <c r="AD12" s="203">
        <f t="shared" si="34"/>
        <v>164</v>
      </c>
      <c r="AE12" s="203">
        <f t="shared" si="11"/>
        <v>1640</v>
      </c>
      <c r="AF12" s="203">
        <f t="shared" si="35"/>
        <v>164</v>
      </c>
      <c r="AG12" s="203">
        <f t="shared" si="12"/>
        <v>1640</v>
      </c>
      <c r="AH12" s="203">
        <f t="shared" si="36"/>
        <v>164</v>
      </c>
      <c r="AI12" s="203">
        <f t="shared" si="13"/>
        <v>1640</v>
      </c>
      <c r="AJ12" s="203">
        <f t="shared" si="37"/>
        <v>164</v>
      </c>
      <c r="AK12" s="203">
        <f t="shared" si="14"/>
        <v>1640</v>
      </c>
      <c r="AL12" s="203">
        <f t="shared" si="38"/>
        <v>164</v>
      </c>
      <c r="AM12" s="203">
        <f t="shared" si="15"/>
        <v>1640</v>
      </c>
      <c r="AN12" s="35">
        <f t="shared" si="16"/>
        <v>0.58571428571428574</v>
      </c>
      <c r="AO12" s="36">
        <f t="shared" si="17"/>
        <v>11480</v>
      </c>
      <c r="AP12" s="545"/>
      <c r="AQ12" s="223">
        <f t="shared" si="39"/>
        <v>0.52316182466074723</v>
      </c>
      <c r="AR12" s="38">
        <f t="shared" si="45"/>
        <v>48638.354838709674</v>
      </c>
      <c r="AS12" s="197">
        <f t="shared" si="42"/>
        <v>0</v>
      </c>
      <c r="AT12" s="349"/>
      <c r="AU12" s="578"/>
      <c r="AV12" s="503">
        <f t="shared" si="43"/>
        <v>0.61499999999999999</v>
      </c>
      <c r="AW12" s="285">
        <f>-SUM('B5'!AI11)</f>
        <v>0</v>
      </c>
      <c r="AX12" s="285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'!D11</f>
        <v>0</v>
      </c>
      <c r="BB12" s="387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61" t="e">
        <f>GEN!AF9</f>
        <v>#DIV/0!</v>
      </c>
    </row>
    <row r="13" spans="1:63">
      <c r="A13" s="436">
        <f>ELEC!C11</f>
        <v>44477</v>
      </c>
      <c r="B13">
        <f>'B5'!B12</f>
        <v>157</v>
      </c>
      <c r="C13" s="203">
        <f t="shared" si="20"/>
        <v>3378.0322580645161</v>
      </c>
      <c r="D13">
        <f t="shared" si="21"/>
        <v>157</v>
      </c>
      <c r="E13" s="203">
        <f t="shared" si="20"/>
        <v>3378.0322580645161</v>
      </c>
      <c r="F13">
        <f t="shared" si="22"/>
        <v>157</v>
      </c>
      <c r="G13" s="203">
        <f t="shared" si="1"/>
        <v>3378.0322580645161</v>
      </c>
      <c r="H13" s="203">
        <f t="shared" si="23"/>
        <v>157</v>
      </c>
      <c r="I13" s="203">
        <f t="shared" si="2"/>
        <v>3378.0322580645161</v>
      </c>
      <c r="J13" s="203">
        <f t="shared" si="24"/>
        <v>157</v>
      </c>
      <c r="K13" s="203">
        <f t="shared" si="3"/>
        <v>3378.0322580645161</v>
      </c>
      <c r="L13" s="203">
        <f t="shared" si="25"/>
        <v>157</v>
      </c>
      <c r="M13" s="203">
        <f t="shared" si="4"/>
        <v>3378.0322580645161</v>
      </c>
      <c r="N13" s="203">
        <f t="shared" si="26"/>
        <v>157</v>
      </c>
      <c r="O13" s="203">
        <f t="shared" si="5"/>
        <v>3378.0322580645161</v>
      </c>
      <c r="P13" s="203">
        <f t="shared" si="27"/>
        <v>157</v>
      </c>
      <c r="Q13" s="203">
        <f t="shared" si="6"/>
        <v>3378.0322580645161</v>
      </c>
      <c r="R13" s="203">
        <f t="shared" si="28"/>
        <v>157</v>
      </c>
      <c r="S13" s="203">
        <f t="shared" si="7"/>
        <v>3378.0322580645161</v>
      </c>
      <c r="T13" s="203">
        <f t="shared" si="29"/>
        <v>157</v>
      </c>
      <c r="U13" s="203">
        <f t="shared" si="8"/>
        <v>3378.0322580645161</v>
      </c>
      <c r="V13" s="203">
        <f t="shared" si="30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31"/>
        <v>37158.354838709674</v>
      </c>
      <c r="Z13" s="203">
        <f>'B5'!C12</f>
        <v>164</v>
      </c>
      <c r="AA13" s="203">
        <f t="shared" si="32"/>
        <v>1640</v>
      </c>
      <c r="AB13" s="203">
        <f t="shared" si="33"/>
        <v>164</v>
      </c>
      <c r="AC13" s="203">
        <f t="shared" si="32"/>
        <v>1640</v>
      </c>
      <c r="AD13" s="203">
        <f t="shared" si="34"/>
        <v>164</v>
      </c>
      <c r="AE13" s="203">
        <f t="shared" si="11"/>
        <v>1640</v>
      </c>
      <c r="AF13" s="203">
        <f t="shared" si="35"/>
        <v>164</v>
      </c>
      <c r="AG13" s="203">
        <f t="shared" si="12"/>
        <v>1640</v>
      </c>
      <c r="AH13" s="203">
        <f t="shared" si="36"/>
        <v>164</v>
      </c>
      <c r="AI13" s="203">
        <f t="shared" si="13"/>
        <v>1640</v>
      </c>
      <c r="AJ13" s="203">
        <f t="shared" si="37"/>
        <v>164</v>
      </c>
      <c r="AK13" s="203">
        <f t="shared" si="14"/>
        <v>1640</v>
      </c>
      <c r="AL13" s="203">
        <f t="shared" si="38"/>
        <v>164</v>
      </c>
      <c r="AM13" s="203">
        <f t="shared" si="15"/>
        <v>1640</v>
      </c>
      <c r="AN13" s="35">
        <f t="shared" si="16"/>
        <v>0.58571428571428574</v>
      </c>
      <c r="AO13" s="36">
        <f t="shared" si="17"/>
        <v>11480</v>
      </c>
      <c r="AP13" s="545"/>
      <c r="AQ13" s="223">
        <f t="shared" si="39"/>
        <v>0.52316182466074723</v>
      </c>
      <c r="AR13" s="38">
        <f t="shared" si="45"/>
        <v>48638.354838709674</v>
      </c>
      <c r="AS13" s="197">
        <f t="shared" si="42"/>
        <v>0</v>
      </c>
      <c r="AT13" s="349"/>
      <c r="AU13" s="578"/>
      <c r="AV13" s="503">
        <f t="shared" si="43"/>
        <v>0.61499999999999999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61" t="e">
        <f>GEN!AF10</f>
        <v>#DIV/0!</v>
      </c>
    </row>
    <row r="14" spans="1:63">
      <c r="A14" s="436">
        <f>ELEC!C12</f>
        <v>44478</v>
      </c>
      <c r="B14">
        <f>'B5'!B13</f>
        <v>157</v>
      </c>
      <c r="C14" s="203">
        <f t="shared" si="20"/>
        <v>3378.0322580645161</v>
      </c>
      <c r="D14">
        <f t="shared" si="21"/>
        <v>157</v>
      </c>
      <c r="E14" s="203">
        <f t="shared" si="20"/>
        <v>3378.0322580645161</v>
      </c>
      <c r="F14">
        <f t="shared" si="22"/>
        <v>157</v>
      </c>
      <c r="G14" s="203">
        <f t="shared" si="1"/>
        <v>3378.0322580645161</v>
      </c>
      <c r="H14" s="203">
        <f t="shared" si="23"/>
        <v>157</v>
      </c>
      <c r="I14" s="203">
        <f t="shared" si="2"/>
        <v>3378.0322580645161</v>
      </c>
      <c r="J14" s="203">
        <f t="shared" si="24"/>
        <v>157</v>
      </c>
      <c r="K14" s="203">
        <f t="shared" si="3"/>
        <v>3378.0322580645161</v>
      </c>
      <c r="L14" s="203">
        <f t="shared" si="25"/>
        <v>157</v>
      </c>
      <c r="M14" s="203">
        <f t="shared" si="4"/>
        <v>3378.0322580645161</v>
      </c>
      <c r="N14" s="203">
        <f t="shared" si="26"/>
        <v>157</v>
      </c>
      <c r="O14" s="203">
        <f t="shared" si="5"/>
        <v>3378.0322580645161</v>
      </c>
      <c r="P14" s="203">
        <f t="shared" si="27"/>
        <v>157</v>
      </c>
      <c r="Q14" s="203">
        <f t="shared" si="6"/>
        <v>3378.0322580645161</v>
      </c>
      <c r="R14" s="203">
        <f t="shared" si="28"/>
        <v>157</v>
      </c>
      <c r="S14" s="203">
        <f t="shared" si="7"/>
        <v>3378.0322580645161</v>
      </c>
      <c r="T14" s="203">
        <f t="shared" si="29"/>
        <v>157</v>
      </c>
      <c r="U14" s="203">
        <f t="shared" si="8"/>
        <v>3378.0322580645161</v>
      </c>
      <c r="V14" s="203">
        <f t="shared" si="30"/>
        <v>157</v>
      </c>
      <c r="W14" s="203">
        <f t="shared" si="9"/>
        <v>3378.0322580645161</v>
      </c>
      <c r="X14" s="35">
        <f t="shared" si="10"/>
        <v>0.50645161290322571</v>
      </c>
      <c r="Y14" s="36">
        <f t="shared" si="31"/>
        <v>37158.354838709674</v>
      </c>
      <c r="Z14" s="203">
        <f>'B5'!C13</f>
        <v>164</v>
      </c>
      <c r="AA14" s="203">
        <f t="shared" si="32"/>
        <v>1640</v>
      </c>
      <c r="AB14" s="203">
        <f t="shared" si="33"/>
        <v>164</v>
      </c>
      <c r="AC14" s="203">
        <f t="shared" si="32"/>
        <v>1640</v>
      </c>
      <c r="AD14" s="203">
        <f t="shared" si="34"/>
        <v>164</v>
      </c>
      <c r="AE14" s="203">
        <f t="shared" si="11"/>
        <v>1640</v>
      </c>
      <c r="AF14" s="203">
        <f t="shared" si="35"/>
        <v>164</v>
      </c>
      <c r="AG14" s="203">
        <f t="shared" si="12"/>
        <v>1640</v>
      </c>
      <c r="AH14" s="203">
        <f t="shared" si="36"/>
        <v>164</v>
      </c>
      <c r="AI14" s="203">
        <f t="shared" si="13"/>
        <v>1640</v>
      </c>
      <c r="AJ14" s="203">
        <f t="shared" si="37"/>
        <v>164</v>
      </c>
      <c r="AK14" s="203">
        <f t="shared" si="14"/>
        <v>1640</v>
      </c>
      <c r="AL14" s="203">
        <f t="shared" si="38"/>
        <v>164</v>
      </c>
      <c r="AM14" s="203">
        <f t="shared" si="15"/>
        <v>1640</v>
      </c>
      <c r="AN14" s="35">
        <f t="shared" si="16"/>
        <v>0.58571428571428574</v>
      </c>
      <c r="AO14" s="36">
        <f t="shared" si="17"/>
        <v>11480</v>
      </c>
      <c r="AQ14" s="223">
        <f t="shared" si="39"/>
        <v>0.52316182466074723</v>
      </c>
      <c r="AR14" s="38">
        <f t="shared" si="45"/>
        <v>48638.354838709674</v>
      </c>
      <c r="AS14" s="197">
        <f t="shared" si="42"/>
        <v>0</v>
      </c>
      <c r="AT14" s="349"/>
      <c r="AU14" s="578"/>
      <c r="AV14" s="503">
        <f t="shared" si="43"/>
        <v>0.61499999999999999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61" t="e">
        <f>GEN!AF11</f>
        <v>#DIV/0!</v>
      </c>
    </row>
    <row r="15" spans="1:63" ht="13.5" customHeight="1">
      <c r="A15" s="436">
        <f>ELEC!C13</f>
        <v>44479</v>
      </c>
      <c r="B15">
        <f>'B5'!B14</f>
        <v>157</v>
      </c>
      <c r="C15" s="203">
        <f>B15*$B$4</f>
        <v>3378.0322580645161</v>
      </c>
      <c r="D15">
        <f t="shared" si="21"/>
        <v>157</v>
      </c>
      <c r="E15" s="203">
        <f t="shared" si="20"/>
        <v>3378.0322580645161</v>
      </c>
      <c r="F15">
        <f t="shared" si="22"/>
        <v>157</v>
      </c>
      <c r="G15" s="203">
        <f t="shared" si="1"/>
        <v>3378.0322580645161</v>
      </c>
      <c r="H15" s="203">
        <f t="shared" si="23"/>
        <v>157</v>
      </c>
      <c r="I15" s="203">
        <f t="shared" si="2"/>
        <v>3378.0322580645161</v>
      </c>
      <c r="J15" s="203">
        <f t="shared" si="24"/>
        <v>157</v>
      </c>
      <c r="K15" s="203">
        <f t="shared" si="3"/>
        <v>3378.0322580645161</v>
      </c>
      <c r="L15" s="203">
        <f t="shared" si="25"/>
        <v>157</v>
      </c>
      <c r="M15" s="203">
        <f t="shared" si="4"/>
        <v>3378.0322580645161</v>
      </c>
      <c r="N15" s="203">
        <f t="shared" si="26"/>
        <v>157</v>
      </c>
      <c r="O15" s="203">
        <f t="shared" si="5"/>
        <v>3378.0322580645161</v>
      </c>
      <c r="P15" s="203">
        <f t="shared" si="27"/>
        <v>157</v>
      </c>
      <c r="Q15" s="203">
        <f t="shared" si="6"/>
        <v>3378.0322580645161</v>
      </c>
      <c r="R15" s="203">
        <f t="shared" si="28"/>
        <v>157</v>
      </c>
      <c r="S15" s="203">
        <f t="shared" si="7"/>
        <v>3378.0322580645161</v>
      </c>
      <c r="T15" s="203">
        <f t="shared" si="29"/>
        <v>157</v>
      </c>
      <c r="U15" s="203">
        <f t="shared" si="8"/>
        <v>3378.0322580645161</v>
      </c>
      <c r="V15" s="203">
        <f t="shared" si="30"/>
        <v>157</v>
      </c>
      <c r="W15" s="203">
        <f t="shared" si="9"/>
        <v>3378.0322580645161</v>
      </c>
      <c r="X15" s="35">
        <f t="shared" si="10"/>
        <v>0.50645161290322571</v>
      </c>
      <c r="Y15" s="36">
        <f t="shared" si="31"/>
        <v>37158.354838709674</v>
      </c>
      <c r="Z15" s="203">
        <f>'B5'!C14</f>
        <v>164</v>
      </c>
      <c r="AA15" s="203">
        <f t="shared" si="32"/>
        <v>1640</v>
      </c>
      <c r="AB15" s="203">
        <f t="shared" si="33"/>
        <v>164</v>
      </c>
      <c r="AC15" s="203">
        <f t="shared" si="32"/>
        <v>1640</v>
      </c>
      <c r="AD15" s="203">
        <f t="shared" si="34"/>
        <v>164</v>
      </c>
      <c r="AE15" s="203">
        <f t="shared" si="11"/>
        <v>1640</v>
      </c>
      <c r="AF15" s="203">
        <f t="shared" si="35"/>
        <v>164</v>
      </c>
      <c r="AG15" s="203">
        <f t="shared" si="12"/>
        <v>1640</v>
      </c>
      <c r="AH15" s="203">
        <f t="shared" si="36"/>
        <v>164</v>
      </c>
      <c r="AI15" s="203">
        <f t="shared" si="13"/>
        <v>1640</v>
      </c>
      <c r="AJ15" s="203">
        <f t="shared" si="37"/>
        <v>164</v>
      </c>
      <c r="AK15" s="203">
        <f t="shared" si="14"/>
        <v>1640</v>
      </c>
      <c r="AL15" s="203">
        <f t="shared" si="38"/>
        <v>164</v>
      </c>
      <c r="AM15" s="203">
        <f t="shared" si="15"/>
        <v>1640</v>
      </c>
      <c r="AN15" s="35">
        <f t="shared" si="16"/>
        <v>0.58571428571428574</v>
      </c>
      <c r="AO15" s="36">
        <f t="shared" si="17"/>
        <v>11480</v>
      </c>
      <c r="AQ15" s="223">
        <f t="shared" si="39"/>
        <v>0.52316182466074723</v>
      </c>
      <c r="AR15" s="38">
        <f t="shared" si="45"/>
        <v>48638.354838709674</v>
      </c>
      <c r="AS15" s="197">
        <f t="shared" si="42"/>
        <v>0</v>
      </c>
      <c r="AT15" s="349"/>
      <c r="AU15" s="578"/>
      <c r="AV15" s="503">
        <f>IF(AT15&gt;0,AU15,AV14)</f>
        <v>0.61499999999999999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'!D14</f>
        <v>0</v>
      </c>
      <c r="BB15" s="38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1" t="e">
        <f>GEN!AF12</f>
        <v>#DIV/0!</v>
      </c>
    </row>
    <row r="16" spans="1:63">
      <c r="A16" s="436">
        <f>ELEC!C14</f>
        <v>44480</v>
      </c>
      <c r="B16">
        <f>'B5'!B15</f>
        <v>157</v>
      </c>
      <c r="C16" s="203">
        <f t="shared" si="20"/>
        <v>3378.0322580645161</v>
      </c>
      <c r="D16">
        <f t="shared" si="21"/>
        <v>157</v>
      </c>
      <c r="E16" s="203">
        <f t="shared" si="20"/>
        <v>3378.0322580645161</v>
      </c>
      <c r="F16">
        <f t="shared" si="22"/>
        <v>157</v>
      </c>
      <c r="G16" s="203">
        <f t="shared" si="1"/>
        <v>3378.0322580645161</v>
      </c>
      <c r="H16" s="203">
        <f t="shared" si="23"/>
        <v>157</v>
      </c>
      <c r="I16" s="203">
        <f t="shared" si="2"/>
        <v>3378.0322580645161</v>
      </c>
      <c r="J16" s="203">
        <f t="shared" si="24"/>
        <v>157</v>
      </c>
      <c r="K16" s="203">
        <f t="shared" si="3"/>
        <v>3378.0322580645161</v>
      </c>
      <c r="L16" s="203">
        <f t="shared" si="25"/>
        <v>157</v>
      </c>
      <c r="M16" s="203">
        <f t="shared" si="4"/>
        <v>3378.0322580645161</v>
      </c>
      <c r="N16" s="203">
        <f t="shared" si="26"/>
        <v>157</v>
      </c>
      <c r="O16" s="203">
        <f t="shared" si="5"/>
        <v>3378.0322580645161</v>
      </c>
      <c r="P16" s="203">
        <f t="shared" si="27"/>
        <v>157</v>
      </c>
      <c r="Q16" s="203">
        <f t="shared" si="6"/>
        <v>3378.0322580645161</v>
      </c>
      <c r="R16" s="203">
        <f t="shared" si="28"/>
        <v>157</v>
      </c>
      <c r="S16" s="203">
        <f t="shared" si="7"/>
        <v>3378.0322580645161</v>
      </c>
      <c r="T16" s="203">
        <f t="shared" si="29"/>
        <v>157</v>
      </c>
      <c r="U16" s="203">
        <f t="shared" si="8"/>
        <v>3378.0322580645161</v>
      </c>
      <c r="V16" s="203">
        <f t="shared" si="30"/>
        <v>157</v>
      </c>
      <c r="W16" s="203">
        <f t="shared" si="9"/>
        <v>3378.0322580645161</v>
      </c>
      <c r="X16" s="35">
        <f t="shared" si="10"/>
        <v>0.50645161290322571</v>
      </c>
      <c r="Y16" s="36">
        <f t="shared" si="31"/>
        <v>37158.354838709674</v>
      </c>
      <c r="Z16" s="203">
        <f>'B5'!C15</f>
        <v>164</v>
      </c>
      <c r="AA16" s="203">
        <f t="shared" si="32"/>
        <v>1640</v>
      </c>
      <c r="AB16" s="203">
        <f t="shared" si="33"/>
        <v>164</v>
      </c>
      <c r="AC16" s="203">
        <f t="shared" si="32"/>
        <v>1640</v>
      </c>
      <c r="AD16" s="203">
        <f t="shared" si="34"/>
        <v>164</v>
      </c>
      <c r="AE16" s="203">
        <f t="shared" si="11"/>
        <v>1640</v>
      </c>
      <c r="AF16" s="203">
        <f t="shared" si="35"/>
        <v>164</v>
      </c>
      <c r="AG16" s="203">
        <f t="shared" si="12"/>
        <v>1640</v>
      </c>
      <c r="AH16" s="203">
        <f t="shared" si="36"/>
        <v>164</v>
      </c>
      <c r="AI16" s="203">
        <f t="shared" si="13"/>
        <v>1640</v>
      </c>
      <c r="AJ16" s="203">
        <f t="shared" si="37"/>
        <v>164</v>
      </c>
      <c r="AK16" s="203">
        <f t="shared" si="14"/>
        <v>1640</v>
      </c>
      <c r="AL16" s="203">
        <f t="shared" si="38"/>
        <v>164</v>
      </c>
      <c r="AM16" s="203">
        <f t="shared" si="15"/>
        <v>1640</v>
      </c>
      <c r="AN16" s="35">
        <f t="shared" si="16"/>
        <v>0.58571428571428574</v>
      </c>
      <c r="AO16" s="36">
        <f t="shared" si="17"/>
        <v>11480</v>
      </c>
      <c r="AQ16" s="223">
        <f t="shared" si="39"/>
        <v>0.52316182466074723</v>
      </c>
      <c r="AR16" s="38">
        <f>Y16+AO16</f>
        <v>48638.354838709674</v>
      </c>
      <c r="AS16" s="197">
        <f>SUM(AR16-AR15-AT16)</f>
        <v>0</v>
      </c>
      <c r="AT16" s="349"/>
      <c r="AU16" s="579"/>
      <c r="AV16" s="503">
        <f>IF(AT16&gt;0,AU16,AV15)</f>
        <v>0.61499999999999999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'!D15</f>
        <v>0</v>
      </c>
      <c r="BB16" s="387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1" t="e">
        <f>GEN!AF13</f>
        <v>#DIV/0!</v>
      </c>
    </row>
    <row r="17" spans="1:64">
      <c r="A17" s="436">
        <f>ELEC!C15</f>
        <v>44481</v>
      </c>
      <c r="B17">
        <f>'B5'!B16</f>
        <v>157</v>
      </c>
      <c r="C17" s="203">
        <f t="shared" si="20"/>
        <v>3378.0322580645161</v>
      </c>
      <c r="D17">
        <f t="shared" si="21"/>
        <v>157</v>
      </c>
      <c r="E17" s="203">
        <f t="shared" si="20"/>
        <v>3378.0322580645161</v>
      </c>
      <c r="F17">
        <f t="shared" si="22"/>
        <v>157</v>
      </c>
      <c r="G17" s="203">
        <f t="shared" si="1"/>
        <v>3378.0322580645161</v>
      </c>
      <c r="H17" s="203">
        <f t="shared" si="23"/>
        <v>157</v>
      </c>
      <c r="I17" s="203">
        <f t="shared" si="2"/>
        <v>3378.0322580645161</v>
      </c>
      <c r="J17" s="203">
        <f t="shared" si="24"/>
        <v>157</v>
      </c>
      <c r="K17" s="203">
        <f t="shared" si="3"/>
        <v>3378.0322580645161</v>
      </c>
      <c r="L17" s="203">
        <f t="shared" si="25"/>
        <v>157</v>
      </c>
      <c r="M17" s="203">
        <f t="shared" si="4"/>
        <v>3378.0322580645161</v>
      </c>
      <c r="N17" s="203">
        <f t="shared" si="26"/>
        <v>157</v>
      </c>
      <c r="O17" s="203">
        <f t="shared" si="5"/>
        <v>3378.0322580645161</v>
      </c>
      <c r="P17" s="203">
        <f t="shared" si="27"/>
        <v>157</v>
      </c>
      <c r="Q17" s="203">
        <f t="shared" si="6"/>
        <v>3378.0322580645161</v>
      </c>
      <c r="R17" s="203">
        <f t="shared" si="28"/>
        <v>157</v>
      </c>
      <c r="S17" s="203">
        <f t="shared" si="7"/>
        <v>3378.0322580645161</v>
      </c>
      <c r="T17" s="203">
        <f t="shared" si="29"/>
        <v>157</v>
      </c>
      <c r="U17" s="203">
        <f t="shared" si="8"/>
        <v>3378.0322580645161</v>
      </c>
      <c r="V17" s="203">
        <f t="shared" si="30"/>
        <v>157</v>
      </c>
      <c r="W17" s="203">
        <f t="shared" si="9"/>
        <v>3378.0322580645161</v>
      </c>
      <c r="X17" s="35">
        <f t="shared" si="10"/>
        <v>0.50645161290322571</v>
      </c>
      <c r="Y17" s="36">
        <f t="shared" si="31"/>
        <v>37158.354838709674</v>
      </c>
      <c r="Z17" s="203">
        <f>'B5'!C16</f>
        <v>164</v>
      </c>
      <c r="AA17" s="203">
        <f t="shared" si="32"/>
        <v>1640</v>
      </c>
      <c r="AB17" s="203">
        <f t="shared" si="33"/>
        <v>164</v>
      </c>
      <c r="AC17" s="203">
        <f t="shared" si="32"/>
        <v>1640</v>
      </c>
      <c r="AD17" s="203">
        <f t="shared" si="34"/>
        <v>164</v>
      </c>
      <c r="AE17" s="203">
        <f t="shared" si="11"/>
        <v>1640</v>
      </c>
      <c r="AF17" s="203">
        <f t="shared" si="35"/>
        <v>164</v>
      </c>
      <c r="AG17" s="203">
        <f t="shared" si="12"/>
        <v>1640</v>
      </c>
      <c r="AH17" s="203">
        <f t="shared" si="36"/>
        <v>164</v>
      </c>
      <c r="AI17" s="203">
        <f t="shared" si="13"/>
        <v>1640</v>
      </c>
      <c r="AJ17" s="203">
        <f t="shared" si="37"/>
        <v>164</v>
      </c>
      <c r="AK17" s="203">
        <f t="shared" si="14"/>
        <v>1640</v>
      </c>
      <c r="AL17" s="203">
        <f t="shared" si="38"/>
        <v>164</v>
      </c>
      <c r="AM17" s="203">
        <f t="shared" si="15"/>
        <v>1640</v>
      </c>
      <c r="AN17" s="35">
        <f t="shared" si="16"/>
        <v>0.58571428571428574</v>
      </c>
      <c r="AO17" s="36">
        <f>SUM(AA17+AC17+AE17+AG17+AI17+AK17+AM17)</f>
        <v>11480</v>
      </c>
      <c r="AQ17" s="223">
        <f t="shared" si="39"/>
        <v>0.52316182466074723</v>
      </c>
      <c r="AR17" s="38">
        <f t="shared" si="45"/>
        <v>48638.354838709674</v>
      </c>
      <c r="AS17" s="197">
        <f>SUM(AR17-AR16-AT17)</f>
        <v>0</v>
      </c>
      <c r="AT17" s="349"/>
      <c r="AU17" s="578"/>
      <c r="AV17" s="503">
        <f t="shared" si="43"/>
        <v>0.61499999999999999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'!D16</f>
        <v>0</v>
      </c>
      <c r="BB17" s="387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6">
        <f>ELEC!C16</f>
        <v>44482</v>
      </c>
      <c r="B18">
        <f>'B5'!B17</f>
        <v>157</v>
      </c>
      <c r="C18" s="203">
        <f t="shared" si="20"/>
        <v>3378.0322580645161</v>
      </c>
      <c r="D18">
        <f t="shared" si="21"/>
        <v>157</v>
      </c>
      <c r="E18" s="203">
        <f t="shared" si="20"/>
        <v>3378.0322580645161</v>
      </c>
      <c r="F18">
        <f t="shared" si="22"/>
        <v>157</v>
      </c>
      <c r="G18" s="203">
        <f t="shared" si="1"/>
        <v>3378.0322580645161</v>
      </c>
      <c r="H18" s="203">
        <f t="shared" si="23"/>
        <v>157</v>
      </c>
      <c r="I18" s="203">
        <f t="shared" si="2"/>
        <v>3378.0322580645161</v>
      </c>
      <c r="J18" s="203">
        <f t="shared" si="24"/>
        <v>157</v>
      </c>
      <c r="K18" s="203">
        <f t="shared" si="3"/>
        <v>3378.0322580645161</v>
      </c>
      <c r="L18" s="203">
        <f t="shared" si="25"/>
        <v>157</v>
      </c>
      <c r="M18" s="203">
        <f t="shared" si="4"/>
        <v>3378.0322580645161</v>
      </c>
      <c r="N18" s="203">
        <f t="shared" si="26"/>
        <v>157</v>
      </c>
      <c r="O18" s="203">
        <f t="shared" si="5"/>
        <v>3378.0322580645161</v>
      </c>
      <c r="P18" s="203">
        <f t="shared" si="27"/>
        <v>157</v>
      </c>
      <c r="Q18" s="203">
        <f t="shared" si="6"/>
        <v>3378.0322580645161</v>
      </c>
      <c r="R18" s="203">
        <f t="shared" si="28"/>
        <v>157</v>
      </c>
      <c r="S18" s="203">
        <f t="shared" si="7"/>
        <v>3378.0322580645161</v>
      </c>
      <c r="T18" s="203">
        <f t="shared" si="29"/>
        <v>157</v>
      </c>
      <c r="U18" s="203">
        <f t="shared" si="8"/>
        <v>3378.0322580645161</v>
      </c>
      <c r="V18" s="203">
        <f t="shared" si="30"/>
        <v>157</v>
      </c>
      <c r="W18" s="203">
        <f t="shared" si="9"/>
        <v>3378.0322580645161</v>
      </c>
      <c r="X18" s="35">
        <f t="shared" si="10"/>
        <v>0.50645161290322571</v>
      </c>
      <c r="Y18" s="36">
        <f t="shared" si="31"/>
        <v>37158.354838709674</v>
      </c>
      <c r="Z18" s="203">
        <f>'B5'!C17</f>
        <v>164</v>
      </c>
      <c r="AA18" s="203">
        <f t="shared" si="32"/>
        <v>1640</v>
      </c>
      <c r="AB18" s="203">
        <f t="shared" si="33"/>
        <v>164</v>
      </c>
      <c r="AC18" s="203">
        <f t="shared" si="32"/>
        <v>1640</v>
      </c>
      <c r="AD18" s="203">
        <f t="shared" si="34"/>
        <v>164</v>
      </c>
      <c r="AE18" s="203">
        <f t="shared" si="11"/>
        <v>1640</v>
      </c>
      <c r="AF18" s="203">
        <f t="shared" si="35"/>
        <v>164</v>
      </c>
      <c r="AG18" s="203">
        <f t="shared" si="12"/>
        <v>1640</v>
      </c>
      <c r="AH18" s="203">
        <f t="shared" si="36"/>
        <v>164</v>
      </c>
      <c r="AI18" s="203">
        <f t="shared" si="13"/>
        <v>1640</v>
      </c>
      <c r="AJ18" s="203">
        <f t="shared" si="37"/>
        <v>164</v>
      </c>
      <c r="AK18" s="203">
        <f t="shared" si="14"/>
        <v>1640</v>
      </c>
      <c r="AL18" s="203">
        <f t="shared" si="38"/>
        <v>164</v>
      </c>
      <c r="AM18" s="203">
        <f t="shared" si="15"/>
        <v>1640</v>
      </c>
      <c r="AN18" s="35">
        <f t="shared" si="16"/>
        <v>0.58571428571428574</v>
      </c>
      <c r="AO18" s="36">
        <f t="shared" si="17"/>
        <v>11480</v>
      </c>
      <c r="AQ18" s="223">
        <f t="shared" si="39"/>
        <v>0.52316182466074723</v>
      </c>
      <c r="AR18" s="38">
        <f t="shared" si="45"/>
        <v>48638.354838709674</v>
      </c>
      <c r="AS18" s="197">
        <f>SUM(AR18-AR17-AT18)</f>
        <v>0</v>
      </c>
      <c r="AT18" s="349"/>
      <c r="AU18" s="578"/>
      <c r="AV18" s="503">
        <f>IF(AT18&gt;0,AU18,AV17)</f>
        <v>0.61499999999999999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6">
        <f>ELEC!C17</f>
        <v>44483</v>
      </c>
      <c r="B19">
        <f>'B5'!B18</f>
        <v>157</v>
      </c>
      <c r="C19" s="203">
        <f t="shared" si="20"/>
        <v>3378.0322580645161</v>
      </c>
      <c r="D19">
        <f t="shared" si="21"/>
        <v>157</v>
      </c>
      <c r="E19" s="203">
        <f t="shared" si="20"/>
        <v>3378.0322580645161</v>
      </c>
      <c r="F19">
        <f t="shared" si="22"/>
        <v>157</v>
      </c>
      <c r="G19" s="203">
        <f t="shared" si="1"/>
        <v>3378.0322580645161</v>
      </c>
      <c r="H19" s="203">
        <f t="shared" si="23"/>
        <v>157</v>
      </c>
      <c r="I19" s="203">
        <f t="shared" si="2"/>
        <v>3378.0322580645161</v>
      </c>
      <c r="J19" s="203">
        <f t="shared" si="24"/>
        <v>157</v>
      </c>
      <c r="K19" s="203">
        <f t="shared" si="3"/>
        <v>3378.0322580645161</v>
      </c>
      <c r="L19" s="203">
        <f t="shared" si="25"/>
        <v>157</v>
      </c>
      <c r="M19" s="203">
        <f t="shared" si="4"/>
        <v>3378.0322580645161</v>
      </c>
      <c r="N19" s="203">
        <f t="shared" si="26"/>
        <v>157</v>
      </c>
      <c r="O19" s="203">
        <f t="shared" si="5"/>
        <v>3378.0322580645161</v>
      </c>
      <c r="P19" s="203">
        <f t="shared" si="27"/>
        <v>157</v>
      </c>
      <c r="Q19" s="203">
        <f t="shared" si="6"/>
        <v>3378.0322580645161</v>
      </c>
      <c r="R19" s="203">
        <f t="shared" si="28"/>
        <v>157</v>
      </c>
      <c r="S19" s="203">
        <f t="shared" si="7"/>
        <v>3378.0322580645161</v>
      </c>
      <c r="T19" s="203">
        <f t="shared" si="29"/>
        <v>157</v>
      </c>
      <c r="U19" s="203">
        <f t="shared" si="8"/>
        <v>3378.0322580645161</v>
      </c>
      <c r="V19" s="203">
        <f t="shared" si="30"/>
        <v>157</v>
      </c>
      <c r="W19" s="203">
        <f t="shared" si="9"/>
        <v>3378.0322580645161</v>
      </c>
      <c r="X19" s="35">
        <f t="shared" si="10"/>
        <v>0.50645161290322571</v>
      </c>
      <c r="Y19" s="36">
        <f t="shared" si="31"/>
        <v>37158.354838709674</v>
      </c>
      <c r="Z19" s="203">
        <f>'B5'!C18</f>
        <v>164</v>
      </c>
      <c r="AA19" s="203">
        <f t="shared" si="32"/>
        <v>1640</v>
      </c>
      <c r="AB19" s="203">
        <f t="shared" si="33"/>
        <v>164</v>
      </c>
      <c r="AC19" s="203">
        <f t="shared" si="32"/>
        <v>1640</v>
      </c>
      <c r="AD19" s="203">
        <f t="shared" si="34"/>
        <v>164</v>
      </c>
      <c r="AE19" s="203">
        <f t="shared" si="11"/>
        <v>1640</v>
      </c>
      <c r="AF19" s="203">
        <f t="shared" si="35"/>
        <v>164</v>
      </c>
      <c r="AG19" s="203">
        <f t="shared" si="12"/>
        <v>1640</v>
      </c>
      <c r="AH19" s="203">
        <f t="shared" si="36"/>
        <v>164</v>
      </c>
      <c r="AI19" s="203">
        <f t="shared" si="13"/>
        <v>1640</v>
      </c>
      <c r="AJ19" s="203">
        <f t="shared" si="37"/>
        <v>164</v>
      </c>
      <c r="AK19" s="203">
        <f t="shared" si="14"/>
        <v>1640</v>
      </c>
      <c r="AL19" s="203">
        <f t="shared" si="38"/>
        <v>164</v>
      </c>
      <c r="AM19" s="203">
        <f t="shared" si="15"/>
        <v>1640</v>
      </c>
      <c r="AN19" s="35">
        <f t="shared" si="16"/>
        <v>0.58571428571428574</v>
      </c>
      <c r="AO19" s="36">
        <f t="shared" si="17"/>
        <v>11480</v>
      </c>
      <c r="AQ19" s="223">
        <f t="shared" si="39"/>
        <v>0.52316182466074723</v>
      </c>
      <c r="AR19" s="38">
        <f t="shared" si="45"/>
        <v>48638.354838709674</v>
      </c>
      <c r="AS19" s="197">
        <f t="shared" ref="AS19:AS36" si="46">SUM(AR19-AR18-AT19)</f>
        <v>0</v>
      </c>
      <c r="AT19" s="349"/>
      <c r="AU19" s="578"/>
      <c r="AV19" s="503">
        <f t="shared" si="43"/>
        <v>0.61499999999999999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6">
        <f>ELEC!C18</f>
        <v>44484</v>
      </c>
      <c r="B20">
        <f>'B5'!B19</f>
        <v>157</v>
      </c>
      <c r="C20" s="203">
        <f t="shared" si="20"/>
        <v>3378.0322580645161</v>
      </c>
      <c r="D20">
        <f t="shared" si="21"/>
        <v>157</v>
      </c>
      <c r="E20" s="203">
        <f t="shared" si="20"/>
        <v>3378.0322580645161</v>
      </c>
      <c r="F20">
        <f t="shared" si="22"/>
        <v>157</v>
      </c>
      <c r="G20" s="203">
        <f t="shared" si="1"/>
        <v>3378.0322580645161</v>
      </c>
      <c r="H20" s="203">
        <f t="shared" si="23"/>
        <v>157</v>
      </c>
      <c r="I20" s="203">
        <f t="shared" si="2"/>
        <v>3378.0322580645161</v>
      </c>
      <c r="J20" s="203">
        <f t="shared" si="24"/>
        <v>157</v>
      </c>
      <c r="K20" s="203">
        <f t="shared" si="3"/>
        <v>3378.0322580645161</v>
      </c>
      <c r="L20" s="203">
        <f t="shared" si="25"/>
        <v>157</v>
      </c>
      <c r="M20" s="203">
        <f t="shared" si="4"/>
        <v>3378.0322580645161</v>
      </c>
      <c r="N20" s="203">
        <f t="shared" si="26"/>
        <v>157</v>
      </c>
      <c r="O20" s="203">
        <f t="shared" si="5"/>
        <v>3378.0322580645161</v>
      </c>
      <c r="P20" s="203">
        <f t="shared" si="27"/>
        <v>157</v>
      </c>
      <c r="Q20" s="203">
        <f t="shared" si="6"/>
        <v>3378.0322580645161</v>
      </c>
      <c r="R20" s="203">
        <f t="shared" si="28"/>
        <v>157</v>
      </c>
      <c r="S20" s="203">
        <f t="shared" si="7"/>
        <v>3378.0322580645161</v>
      </c>
      <c r="T20" s="203">
        <f t="shared" si="29"/>
        <v>157</v>
      </c>
      <c r="U20" s="203">
        <f t="shared" si="8"/>
        <v>3378.0322580645161</v>
      </c>
      <c r="V20" s="203">
        <f t="shared" si="30"/>
        <v>157</v>
      </c>
      <c r="W20" s="203">
        <f t="shared" si="9"/>
        <v>3378.0322580645161</v>
      </c>
      <c r="X20" s="35">
        <f t="shared" si="10"/>
        <v>0.50645161290322571</v>
      </c>
      <c r="Y20" s="36">
        <f t="shared" si="31"/>
        <v>37158.354838709674</v>
      </c>
      <c r="Z20" s="203">
        <f>'B5'!C19</f>
        <v>164</v>
      </c>
      <c r="AA20" s="203">
        <f t="shared" si="32"/>
        <v>1640</v>
      </c>
      <c r="AB20" s="203">
        <f t="shared" si="33"/>
        <v>164</v>
      </c>
      <c r="AC20" s="203">
        <f t="shared" si="32"/>
        <v>1640</v>
      </c>
      <c r="AD20" s="203">
        <f t="shared" si="34"/>
        <v>164</v>
      </c>
      <c r="AE20" s="203">
        <f t="shared" si="11"/>
        <v>1640</v>
      </c>
      <c r="AF20" s="203">
        <f t="shared" si="35"/>
        <v>164</v>
      </c>
      <c r="AG20" s="203">
        <f t="shared" si="12"/>
        <v>1640</v>
      </c>
      <c r="AH20" s="203">
        <f t="shared" si="36"/>
        <v>164</v>
      </c>
      <c r="AI20" s="203">
        <f t="shared" si="13"/>
        <v>1640</v>
      </c>
      <c r="AJ20" s="203">
        <f t="shared" si="37"/>
        <v>164</v>
      </c>
      <c r="AK20" s="203">
        <f t="shared" si="14"/>
        <v>1640</v>
      </c>
      <c r="AL20" s="203">
        <f t="shared" si="38"/>
        <v>164</v>
      </c>
      <c r="AM20" s="203">
        <f t="shared" si="15"/>
        <v>1640</v>
      </c>
      <c r="AN20" s="35">
        <f t="shared" si="16"/>
        <v>0.58571428571428574</v>
      </c>
      <c r="AO20" s="36">
        <f t="shared" si="17"/>
        <v>11480</v>
      </c>
      <c r="AQ20" s="223">
        <f t="shared" si="39"/>
        <v>0.52316182466074723</v>
      </c>
      <c r="AR20" s="38">
        <f t="shared" si="45"/>
        <v>48638.354838709674</v>
      </c>
      <c r="AS20" s="197">
        <f t="shared" si="46"/>
        <v>0</v>
      </c>
      <c r="AT20" s="349"/>
      <c r="AU20" s="578"/>
      <c r="AV20" s="503">
        <f t="shared" si="43"/>
        <v>0.61499999999999999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6">
        <f>ELEC!C19</f>
        <v>44485</v>
      </c>
      <c r="B21">
        <f>'B5'!B20</f>
        <v>157</v>
      </c>
      <c r="C21" s="203">
        <f t="shared" si="20"/>
        <v>3378.0322580645161</v>
      </c>
      <c r="D21">
        <f t="shared" si="21"/>
        <v>157</v>
      </c>
      <c r="E21" s="203">
        <f t="shared" si="20"/>
        <v>3378.0322580645161</v>
      </c>
      <c r="F21">
        <f t="shared" si="22"/>
        <v>157</v>
      </c>
      <c r="G21" s="203">
        <f t="shared" si="1"/>
        <v>3378.0322580645161</v>
      </c>
      <c r="H21" s="203">
        <f t="shared" si="23"/>
        <v>157</v>
      </c>
      <c r="I21" s="203">
        <f t="shared" si="2"/>
        <v>3378.0322580645161</v>
      </c>
      <c r="J21" s="203">
        <f t="shared" si="24"/>
        <v>157</v>
      </c>
      <c r="K21" s="203">
        <f t="shared" si="3"/>
        <v>3378.0322580645161</v>
      </c>
      <c r="L21" s="203">
        <f t="shared" si="25"/>
        <v>157</v>
      </c>
      <c r="M21" s="203">
        <f t="shared" si="4"/>
        <v>3378.0322580645161</v>
      </c>
      <c r="N21" s="203">
        <f t="shared" si="26"/>
        <v>157</v>
      </c>
      <c r="O21" s="203">
        <f t="shared" si="5"/>
        <v>3378.0322580645161</v>
      </c>
      <c r="P21" s="203">
        <f t="shared" si="27"/>
        <v>157</v>
      </c>
      <c r="Q21" s="203">
        <f t="shared" si="6"/>
        <v>3378.0322580645161</v>
      </c>
      <c r="R21" s="203">
        <f t="shared" si="28"/>
        <v>157</v>
      </c>
      <c r="S21" s="203">
        <f t="shared" si="7"/>
        <v>3378.0322580645161</v>
      </c>
      <c r="T21" s="203">
        <f t="shared" si="29"/>
        <v>157</v>
      </c>
      <c r="U21" s="203">
        <f t="shared" si="8"/>
        <v>3378.0322580645161</v>
      </c>
      <c r="V21" s="203">
        <f t="shared" si="30"/>
        <v>157</v>
      </c>
      <c r="W21" s="203">
        <f t="shared" si="9"/>
        <v>3378.0322580645161</v>
      </c>
      <c r="X21" s="35">
        <f t="shared" si="10"/>
        <v>0.50645161290322571</v>
      </c>
      <c r="Y21" s="36">
        <f t="shared" si="31"/>
        <v>37158.354838709674</v>
      </c>
      <c r="Z21" s="203">
        <f>'B5'!C20</f>
        <v>164</v>
      </c>
      <c r="AA21" s="203">
        <f t="shared" si="32"/>
        <v>1640</v>
      </c>
      <c r="AB21" s="203">
        <f t="shared" si="33"/>
        <v>164</v>
      </c>
      <c r="AC21" s="203">
        <f t="shared" si="32"/>
        <v>1640</v>
      </c>
      <c r="AD21" s="203">
        <f t="shared" si="34"/>
        <v>164</v>
      </c>
      <c r="AE21" s="203">
        <f t="shared" si="11"/>
        <v>1640</v>
      </c>
      <c r="AF21" s="203">
        <f t="shared" si="35"/>
        <v>164</v>
      </c>
      <c r="AG21" s="203">
        <f t="shared" si="12"/>
        <v>1640</v>
      </c>
      <c r="AH21" s="203">
        <f t="shared" si="36"/>
        <v>164</v>
      </c>
      <c r="AI21" s="203">
        <f t="shared" si="13"/>
        <v>1640</v>
      </c>
      <c r="AJ21" s="203">
        <f t="shared" si="37"/>
        <v>164</v>
      </c>
      <c r="AK21" s="203">
        <f t="shared" si="14"/>
        <v>1640</v>
      </c>
      <c r="AL21" s="203">
        <f t="shared" si="38"/>
        <v>164</v>
      </c>
      <c r="AM21" s="203">
        <f t="shared" si="15"/>
        <v>1640</v>
      </c>
      <c r="AN21" s="35">
        <f t="shared" si="16"/>
        <v>0.58571428571428574</v>
      </c>
      <c r="AO21" s="36">
        <f t="shared" si="17"/>
        <v>11480</v>
      </c>
      <c r="AQ21" s="223">
        <f t="shared" si="39"/>
        <v>0.52316182466074723</v>
      </c>
      <c r="AR21" s="38">
        <f t="shared" si="45"/>
        <v>48638.354838709674</v>
      </c>
      <c r="AS21" s="197">
        <f t="shared" si="46"/>
        <v>0</v>
      </c>
      <c r="AT21" s="349"/>
      <c r="AU21" s="578"/>
      <c r="AV21" s="503">
        <f t="shared" si="43"/>
        <v>0.61499999999999999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6">
        <f>ELEC!C20</f>
        <v>44486</v>
      </c>
      <c r="B22">
        <f>'B5'!B21</f>
        <v>157</v>
      </c>
      <c r="C22" s="203">
        <f t="shared" si="20"/>
        <v>3378.0322580645161</v>
      </c>
      <c r="D22">
        <f t="shared" si="21"/>
        <v>157</v>
      </c>
      <c r="E22" s="203">
        <f t="shared" si="20"/>
        <v>3378.0322580645161</v>
      </c>
      <c r="F22">
        <f t="shared" si="22"/>
        <v>157</v>
      </c>
      <c r="G22" s="203">
        <f t="shared" si="1"/>
        <v>3378.0322580645161</v>
      </c>
      <c r="H22" s="203">
        <f t="shared" si="23"/>
        <v>157</v>
      </c>
      <c r="I22" s="203">
        <f t="shared" si="2"/>
        <v>3378.0322580645161</v>
      </c>
      <c r="J22" s="203">
        <f t="shared" si="24"/>
        <v>157</v>
      </c>
      <c r="K22" s="203">
        <f t="shared" si="3"/>
        <v>3378.0322580645161</v>
      </c>
      <c r="L22" s="203">
        <f t="shared" si="25"/>
        <v>157</v>
      </c>
      <c r="M22" s="203">
        <f t="shared" si="4"/>
        <v>3378.0322580645161</v>
      </c>
      <c r="N22" s="203">
        <f t="shared" si="26"/>
        <v>157</v>
      </c>
      <c r="O22" s="203">
        <f t="shared" si="5"/>
        <v>3378.0322580645161</v>
      </c>
      <c r="P22" s="203">
        <f t="shared" si="27"/>
        <v>157</v>
      </c>
      <c r="Q22" s="203">
        <f t="shared" si="6"/>
        <v>3378.0322580645161</v>
      </c>
      <c r="R22" s="203">
        <f t="shared" si="28"/>
        <v>157</v>
      </c>
      <c r="S22" s="203">
        <f t="shared" si="7"/>
        <v>3378.0322580645161</v>
      </c>
      <c r="T22" s="203">
        <f t="shared" si="29"/>
        <v>157</v>
      </c>
      <c r="U22" s="203">
        <f t="shared" si="8"/>
        <v>3378.0322580645161</v>
      </c>
      <c r="V22" s="203">
        <f t="shared" si="30"/>
        <v>157</v>
      </c>
      <c r="W22" s="203">
        <f t="shared" si="9"/>
        <v>3378.0322580645161</v>
      </c>
      <c r="X22" s="35">
        <f t="shared" si="10"/>
        <v>0.50645161290322571</v>
      </c>
      <c r="Y22" s="36">
        <f t="shared" si="31"/>
        <v>37158.354838709674</v>
      </c>
      <c r="Z22" s="203">
        <f>'B5'!C21</f>
        <v>164</v>
      </c>
      <c r="AA22" s="203">
        <f t="shared" si="32"/>
        <v>1640</v>
      </c>
      <c r="AB22" s="203">
        <f t="shared" si="33"/>
        <v>164</v>
      </c>
      <c r="AC22" s="203">
        <f t="shared" si="32"/>
        <v>1640</v>
      </c>
      <c r="AD22" s="203">
        <f t="shared" si="34"/>
        <v>164</v>
      </c>
      <c r="AE22" s="203">
        <f t="shared" si="11"/>
        <v>1640</v>
      </c>
      <c r="AF22" s="203">
        <f t="shared" si="35"/>
        <v>164</v>
      </c>
      <c r="AG22" s="203">
        <f t="shared" si="12"/>
        <v>1640</v>
      </c>
      <c r="AH22" s="203">
        <f t="shared" si="36"/>
        <v>164</v>
      </c>
      <c r="AI22" s="203">
        <f t="shared" si="13"/>
        <v>1640</v>
      </c>
      <c r="AJ22" s="203">
        <f t="shared" si="37"/>
        <v>164</v>
      </c>
      <c r="AK22" s="203">
        <f t="shared" si="14"/>
        <v>1640</v>
      </c>
      <c r="AL22" s="203">
        <f t="shared" si="38"/>
        <v>164</v>
      </c>
      <c r="AM22" s="203">
        <f t="shared" si="15"/>
        <v>1640</v>
      </c>
      <c r="AN22" s="35">
        <f t="shared" si="16"/>
        <v>0.58571428571428574</v>
      </c>
      <c r="AO22" s="36">
        <f t="shared" si="17"/>
        <v>11480</v>
      </c>
      <c r="AQ22" s="223">
        <f t="shared" si="39"/>
        <v>0.52316182466074723</v>
      </c>
      <c r="AR22" s="38">
        <f t="shared" si="45"/>
        <v>48638.354838709674</v>
      </c>
      <c r="AS22" s="197">
        <f t="shared" si="46"/>
        <v>0</v>
      </c>
      <c r="AT22" s="349"/>
      <c r="AU22" s="578"/>
      <c r="AV22" s="503">
        <f t="shared" si="43"/>
        <v>0.61499999999999999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7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6">
        <f>ELEC!C21</f>
        <v>44487</v>
      </c>
      <c r="B23">
        <f>'B5'!B22</f>
        <v>157</v>
      </c>
      <c r="C23" s="203">
        <f t="shared" si="20"/>
        <v>3378.0322580645161</v>
      </c>
      <c r="D23">
        <f t="shared" si="21"/>
        <v>157</v>
      </c>
      <c r="E23" s="203">
        <f t="shared" si="20"/>
        <v>3378.0322580645161</v>
      </c>
      <c r="F23">
        <f t="shared" si="22"/>
        <v>157</v>
      </c>
      <c r="G23" s="203">
        <f t="shared" si="1"/>
        <v>3378.0322580645161</v>
      </c>
      <c r="H23" s="203">
        <f t="shared" si="23"/>
        <v>157</v>
      </c>
      <c r="I23" s="203">
        <f t="shared" si="2"/>
        <v>3378.0322580645161</v>
      </c>
      <c r="J23" s="203">
        <f t="shared" si="24"/>
        <v>157</v>
      </c>
      <c r="K23" s="203">
        <f t="shared" si="3"/>
        <v>3378.0322580645161</v>
      </c>
      <c r="L23" s="203">
        <f t="shared" si="25"/>
        <v>157</v>
      </c>
      <c r="M23" s="203">
        <f t="shared" si="4"/>
        <v>3378.0322580645161</v>
      </c>
      <c r="N23" s="203">
        <f t="shared" si="26"/>
        <v>157</v>
      </c>
      <c r="O23" s="203">
        <f t="shared" si="5"/>
        <v>3378.0322580645161</v>
      </c>
      <c r="P23" s="203">
        <f t="shared" si="27"/>
        <v>157</v>
      </c>
      <c r="Q23" s="203">
        <f t="shared" si="6"/>
        <v>3378.0322580645161</v>
      </c>
      <c r="R23" s="203">
        <f t="shared" si="28"/>
        <v>157</v>
      </c>
      <c r="S23" s="203">
        <f t="shared" si="7"/>
        <v>3378.0322580645161</v>
      </c>
      <c r="T23" s="203">
        <f t="shared" si="29"/>
        <v>157</v>
      </c>
      <c r="U23" s="203">
        <f t="shared" si="8"/>
        <v>3378.0322580645161</v>
      </c>
      <c r="V23" s="203">
        <f t="shared" si="30"/>
        <v>157</v>
      </c>
      <c r="W23" s="203">
        <f t="shared" si="9"/>
        <v>3378.0322580645161</v>
      </c>
      <c r="X23" s="35">
        <f t="shared" si="10"/>
        <v>0.50645161290322571</v>
      </c>
      <c r="Y23" s="36">
        <f t="shared" si="31"/>
        <v>37158.354838709674</v>
      </c>
      <c r="Z23" s="203">
        <f>'B5'!C22</f>
        <v>164</v>
      </c>
      <c r="AA23" s="203">
        <f t="shared" si="32"/>
        <v>1640</v>
      </c>
      <c r="AB23" s="203">
        <f t="shared" si="33"/>
        <v>164</v>
      </c>
      <c r="AC23" s="203">
        <f t="shared" si="32"/>
        <v>1640</v>
      </c>
      <c r="AD23" s="203">
        <f t="shared" si="34"/>
        <v>164</v>
      </c>
      <c r="AE23" s="203">
        <f t="shared" si="11"/>
        <v>1640</v>
      </c>
      <c r="AF23" s="203">
        <f t="shared" si="35"/>
        <v>164</v>
      </c>
      <c r="AG23" s="203">
        <f t="shared" si="12"/>
        <v>1640</v>
      </c>
      <c r="AH23" s="203">
        <f t="shared" si="36"/>
        <v>164</v>
      </c>
      <c r="AI23" s="203">
        <f t="shared" si="13"/>
        <v>1640</v>
      </c>
      <c r="AJ23" s="203">
        <f t="shared" si="37"/>
        <v>164</v>
      </c>
      <c r="AK23" s="203">
        <f t="shared" si="14"/>
        <v>1640</v>
      </c>
      <c r="AL23" s="203">
        <f t="shared" si="38"/>
        <v>164</v>
      </c>
      <c r="AM23" s="203">
        <f t="shared" si="15"/>
        <v>1640</v>
      </c>
      <c r="AN23" s="35">
        <f t="shared" si="16"/>
        <v>0.58571428571428574</v>
      </c>
      <c r="AO23" s="36">
        <f t="shared" si="17"/>
        <v>11480</v>
      </c>
      <c r="AQ23" s="223">
        <f t="shared" si="39"/>
        <v>0.52316182466074723</v>
      </c>
      <c r="AR23" s="38">
        <f t="shared" si="45"/>
        <v>48638.354838709674</v>
      </c>
      <c r="AS23" s="197">
        <f t="shared" si="46"/>
        <v>0</v>
      </c>
      <c r="AT23" s="349"/>
      <c r="AU23" s="578"/>
      <c r="AV23" s="503">
        <f t="shared" si="43"/>
        <v>0.61499999999999999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'!D22</f>
        <v>0</v>
      </c>
      <c r="BB23" s="387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6">
        <f>ELEC!C22</f>
        <v>44488</v>
      </c>
      <c r="B24">
        <f>'B5'!B23</f>
        <v>157</v>
      </c>
      <c r="C24" s="203">
        <f t="shared" si="20"/>
        <v>3378.0322580645161</v>
      </c>
      <c r="D24">
        <f t="shared" si="21"/>
        <v>157</v>
      </c>
      <c r="E24" s="203">
        <f t="shared" si="20"/>
        <v>3378.0322580645161</v>
      </c>
      <c r="F24">
        <f t="shared" si="22"/>
        <v>157</v>
      </c>
      <c r="G24" s="203">
        <f t="shared" si="1"/>
        <v>3378.0322580645161</v>
      </c>
      <c r="H24" s="203">
        <f t="shared" si="23"/>
        <v>157</v>
      </c>
      <c r="I24" s="203">
        <f t="shared" si="2"/>
        <v>3378.0322580645161</v>
      </c>
      <c r="J24" s="203">
        <f t="shared" si="24"/>
        <v>157</v>
      </c>
      <c r="K24" s="203">
        <f t="shared" si="3"/>
        <v>3378.0322580645161</v>
      </c>
      <c r="L24" s="203">
        <f t="shared" si="25"/>
        <v>157</v>
      </c>
      <c r="M24" s="203">
        <f t="shared" si="4"/>
        <v>3378.0322580645161</v>
      </c>
      <c r="N24" s="203">
        <f t="shared" si="26"/>
        <v>157</v>
      </c>
      <c r="O24" s="203">
        <f t="shared" si="5"/>
        <v>3378.0322580645161</v>
      </c>
      <c r="P24" s="203">
        <f t="shared" si="27"/>
        <v>157</v>
      </c>
      <c r="Q24" s="203">
        <f t="shared" si="6"/>
        <v>3378.0322580645161</v>
      </c>
      <c r="R24" s="203">
        <f t="shared" si="28"/>
        <v>157</v>
      </c>
      <c r="S24" s="203">
        <f t="shared" si="7"/>
        <v>3378.0322580645161</v>
      </c>
      <c r="T24" s="203">
        <f t="shared" si="29"/>
        <v>157</v>
      </c>
      <c r="U24" s="203">
        <f t="shared" si="8"/>
        <v>3378.0322580645161</v>
      </c>
      <c r="V24" s="203">
        <f t="shared" si="30"/>
        <v>157</v>
      </c>
      <c r="W24" s="203">
        <f t="shared" si="9"/>
        <v>3378.0322580645161</v>
      </c>
      <c r="X24" s="35">
        <f t="shared" si="10"/>
        <v>0.50645161290322571</v>
      </c>
      <c r="Y24" s="36">
        <f t="shared" si="31"/>
        <v>37158.354838709674</v>
      </c>
      <c r="Z24" s="203">
        <f>'B5'!C23</f>
        <v>164</v>
      </c>
      <c r="AA24" s="203">
        <f t="shared" si="32"/>
        <v>1640</v>
      </c>
      <c r="AB24" s="203">
        <f t="shared" si="33"/>
        <v>164</v>
      </c>
      <c r="AC24" s="203">
        <f t="shared" si="32"/>
        <v>1640</v>
      </c>
      <c r="AD24" s="203">
        <f t="shared" si="34"/>
        <v>164</v>
      </c>
      <c r="AE24" s="203">
        <f t="shared" si="11"/>
        <v>1640</v>
      </c>
      <c r="AF24" s="203">
        <f t="shared" si="35"/>
        <v>164</v>
      </c>
      <c r="AG24" s="203">
        <f t="shared" si="12"/>
        <v>1640</v>
      </c>
      <c r="AH24" s="203">
        <f t="shared" si="36"/>
        <v>164</v>
      </c>
      <c r="AI24" s="203">
        <f t="shared" si="13"/>
        <v>1640</v>
      </c>
      <c r="AJ24" s="203">
        <f t="shared" si="37"/>
        <v>164</v>
      </c>
      <c r="AK24" s="203">
        <f t="shared" si="14"/>
        <v>1640</v>
      </c>
      <c r="AL24" s="203">
        <f t="shared" si="38"/>
        <v>164</v>
      </c>
      <c r="AM24" s="203">
        <f t="shared" si="15"/>
        <v>1640</v>
      </c>
      <c r="AN24" s="35">
        <f t="shared" si="16"/>
        <v>0.58571428571428574</v>
      </c>
      <c r="AO24" s="36">
        <f t="shared" si="17"/>
        <v>11480</v>
      </c>
      <c r="AQ24" s="223">
        <f t="shared" si="39"/>
        <v>0.52316182466074723</v>
      </c>
      <c r="AR24" s="38">
        <f t="shared" si="45"/>
        <v>48638.354838709674</v>
      </c>
      <c r="AS24" s="197">
        <f t="shared" si="46"/>
        <v>0</v>
      </c>
      <c r="AT24" s="349"/>
      <c r="AU24" s="578"/>
      <c r="AV24" s="503">
        <f t="shared" si="43"/>
        <v>0.61499999999999999</v>
      </c>
      <c r="AW24" s="285">
        <f>-SUM('B5'!AI23)</f>
        <v>0</v>
      </c>
      <c r="AX24" s="285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'!D23</f>
        <v>0</v>
      </c>
      <c r="BB24" s="387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322</v>
      </c>
    </row>
    <row r="25" spans="1:64">
      <c r="A25" s="436">
        <f>ELEC!C23</f>
        <v>44489</v>
      </c>
      <c r="B25">
        <f>'B5'!B24</f>
        <v>157</v>
      </c>
      <c r="C25" s="203">
        <f t="shared" si="20"/>
        <v>3378.0322580645161</v>
      </c>
      <c r="D25">
        <f t="shared" si="21"/>
        <v>157</v>
      </c>
      <c r="E25" s="203">
        <f t="shared" si="20"/>
        <v>3378.0322580645161</v>
      </c>
      <c r="F25">
        <f t="shared" si="22"/>
        <v>157</v>
      </c>
      <c r="G25" s="203">
        <f t="shared" si="1"/>
        <v>3378.0322580645161</v>
      </c>
      <c r="H25" s="203">
        <f t="shared" si="23"/>
        <v>157</v>
      </c>
      <c r="I25" s="203">
        <f t="shared" si="2"/>
        <v>3378.0322580645161</v>
      </c>
      <c r="J25" s="203">
        <f t="shared" si="24"/>
        <v>157</v>
      </c>
      <c r="K25" s="203">
        <f t="shared" si="3"/>
        <v>3378.0322580645161</v>
      </c>
      <c r="L25" s="203">
        <f t="shared" si="25"/>
        <v>157</v>
      </c>
      <c r="M25" s="203">
        <f t="shared" si="4"/>
        <v>3378.0322580645161</v>
      </c>
      <c r="N25" s="203">
        <f t="shared" si="26"/>
        <v>157</v>
      </c>
      <c r="O25" s="203">
        <f t="shared" si="5"/>
        <v>3378.0322580645161</v>
      </c>
      <c r="P25" s="203">
        <f t="shared" si="27"/>
        <v>157</v>
      </c>
      <c r="Q25" s="203">
        <f t="shared" si="6"/>
        <v>3378.0322580645161</v>
      </c>
      <c r="R25" s="203">
        <f t="shared" si="28"/>
        <v>157</v>
      </c>
      <c r="S25" s="203">
        <f t="shared" si="7"/>
        <v>3378.0322580645161</v>
      </c>
      <c r="T25" s="203">
        <f t="shared" si="29"/>
        <v>157</v>
      </c>
      <c r="U25" s="203">
        <f t="shared" si="8"/>
        <v>3378.0322580645161</v>
      </c>
      <c r="V25" s="203">
        <f t="shared" si="30"/>
        <v>157</v>
      </c>
      <c r="W25" s="203">
        <f t="shared" si="9"/>
        <v>3378.0322580645161</v>
      </c>
      <c r="X25" s="35">
        <f t="shared" si="10"/>
        <v>0.50645161290322571</v>
      </c>
      <c r="Y25" s="36">
        <f t="shared" si="31"/>
        <v>37158.354838709674</v>
      </c>
      <c r="Z25" s="203">
        <f>'B5'!C24</f>
        <v>164</v>
      </c>
      <c r="AA25" s="203">
        <f t="shared" si="32"/>
        <v>1640</v>
      </c>
      <c r="AB25" s="203">
        <f t="shared" si="33"/>
        <v>164</v>
      </c>
      <c r="AC25" s="203">
        <f t="shared" si="32"/>
        <v>1640</v>
      </c>
      <c r="AD25" s="203">
        <f t="shared" si="34"/>
        <v>164</v>
      </c>
      <c r="AE25" s="203">
        <f t="shared" si="11"/>
        <v>1640</v>
      </c>
      <c r="AF25" s="203">
        <f t="shared" si="35"/>
        <v>164</v>
      </c>
      <c r="AG25" s="203">
        <f t="shared" si="12"/>
        <v>1640</v>
      </c>
      <c r="AH25" s="203">
        <f t="shared" si="36"/>
        <v>164</v>
      </c>
      <c r="AI25" s="203">
        <f t="shared" si="13"/>
        <v>1640</v>
      </c>
      <c r="AJ25" s="203">
        <f t="shared" si="37"/>
        <v>164</v>
      </c>
      <c r="AK25" s="203">
        <f t="shared" si="14"/>
        <v>1640</v>
      </c>
      <c r="AL25" s="203">
        <f t="shared" si="38"/>
        <v>164</v>
      </c>
      <c r="AM25" s="203">
        <f t="shared" si="15"/>
        <v>1640</v>
      </c>
      <c r="AN25" s="35">
        <f t="shared" si="16"/>
        <v>0.58571428571428574</v>
      </c>
      <c r="AO25" s="36">
        <f t="shared" si="17"/>
        <v>11480</v>
      </c>
      <c r="AQ25" s="223">
        <f t="shared" si="39"/>
        <v>0.52316182466074723</v>
      </c>
      <c r="AR25" s="38">
        <f t="shared" si="45"/>
        <v>48638.354838709674</v>
      </c>
      <c r="AS25" s="197">
        <f t="shared" si="46"/>
        <v>0</v>
      </c>
      <c r="AT25" s="349"/>
      <c r="AU25" s="579"/>
      <c r="AV25" s="503">
        <f t="shared" si="43"/>
        <v>0.61499999999999999</v>
      </c>
      <c r="AW25" s="285">
        <f>-SUM('B5'!AI24)</f>
        <v>0</v>
      </c>
      <c r="AX25" s="285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'!D24</f>
        <v>0</v>
      </c>
      <c r="BB25" s="387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6">
        <f>ELEC!C24</f>
        <v>44490</v>
      </c>
      <c r="B26">
        <f>'B5'!B25</f>
        <v>157</v>
      </c>
      <c r="C26" s="203">
        <f t="shared" si="20"/>
        <v>3378.0322580645161</v>
      </c>
      <c r="D26">
        <f t="shared" si="21"/>
        <v>157</v>
      </c>
      <c r="E26" s="203">
        <f t="shared" si="20"/>
        <v>3378.0322580645161</v>
      </c>
      <c r="F26">
        <f t="shared" si="22"/>
        <v>157</v>
      </c>
      <c r="G26" s="203">
        <f t="shared" si="1"/>
        <v>3378.0322580645161</v>
      </c>
      <c r="H26" s="203">
        <f t="shared" si="23"/>
        <v>157</v>
      </c>
      <c r="I26" s="203">
        <f t="shared" si="2"/>
        <v>3378.0322580645161</v>
      </c>
      <c r="J26" s="203">
        <f t="shared" si="24"/>
        <v>157</v>
      </c>
      <c r="K26" s="203">
        <f t="shared" si="3"/>
        <v>3378.0322580645161</v>
      </c>
      <c r="L26" s="203">
        <f t="shared" si="25"/>
        <v>157</v>
      </c>
      <c r="M26" s="203">
        <f t="shared" si="4"/>
        <v>3378.0322580645161</v>
      </c>
      <c r="N26" s="203">
        <f t="shared" si="26"/>
        <v>157</v>
      </c>
      <c r="O26" s="203">
        <f t="shared" si="5"/>
        <v>3378.0322580645161</v>
      </c>
      <c r="P26" s="203">
        <f t="shared" si="27"/>
        <v>157</v>
      </c>
      <c r="Q26" s="203">
        <f t="shared" si="6"/>
        <v>3378.0322580645161</v>
      </c>
      <c r="R26" s="203">
        <f t="shared" si="28"/>
        <v>157</v>
      </c>
      <c r="S26" s="203">
        <f t="shared" si="7"/>
        <v>3378.0322580645161</v>
      </c>
      <c r="T26" s="203">
        <f t="shared" si="29"/>
        <v>157</v>
      </c>
      <c r="U26" s="203">
        <f t="shared" si="8"/>
        <v>3378.0322580645161</v>
      </c>
      <c r="V26" s="203">
        <f t="shared" si="30"/>
        <v>157</v>
      </c>
      <c r="W26" s="203">
        <f t="shared" si="9"/>
        <v>3378.0322580645161</v>
      </c>
      <c r="X26" s="35">
        <f t="shared" si="10"/>
        <v>0.50645161290322571</v>
      </c>
      <c r="Y26" s="36">
        <f t="shared" si="31"/>
        <v>37158.354838709674</v>
      </c>
      <c r="Z26" s="203">
        <f>'B5'!C25</f>
        <v>164</v>
      </c>
      <c r="AA26" s="203">
        <f t="shared" si="32"/>
        <v>1640</v>
      </c>
      <c r="AB26" s="203">
        <f t="shared" si="33"/>
        <v>164</v>
      </c>
      <c r="AC26" s="203">
        <f t="shared" si="32"/>
        <v>1640</v>
      </c>
      <c r="AD26" s="203">
        <f t="shared" si="34"/>
        <v>164</v>
      </c>
      <c r="AE26" s="203">
        <f t="shared" si="11"/>
        <v>1640</v>
      </c>
      <c r="AF26" s="203">
        <f t="shared" si="35"/>
        <v>164</v>
      </c>
      <c r="AG26" s="203">
        <f t="shared" si="12"/>
        <v>1640</v>
      </c>
      <c r="AH26" s="203">
        <f t="shared" si="36"/>
        <v>164</v>
      </c>
      <c r="AI26" s="203">
        <f t="shared" si="13"/>
        <v>1640</v>
      </c>
      <c r="AJ26" s="203">
        <f t="shared" si="37"/>
        <v>164</v>
      </c>
      <c r="AK26" s="203">
        <f t="shared" si="14"/>
        <v>1640</v>
      </c>
      <c r="AL26" s="203">
        <f t="shared" si="38"/>
        <v>164</v>
      </c>
      <c r="AM26" s="203">
        <f t="shared" si="15"/>
        <v>1640</v>
      </c>
      <c r="AN26" s="35">
        <f t="shared" si="16"/>
        <v>0.58571428571428574</v>
      </c>
      <c r="AO26" s="36">
        <f t="shared" si="17"/>
        <v>11480</v>
      </c>
      <c r="AQ26" s="223">
        <f t="shared" si="39"/>
        <v>0.52316182466074723</v>
      </c>
      <c r="AR26" s="38">
        <f t="shared" si="45"/>
        <v>48638.354838709674</v>
      </c>
      <c r="AS26" s="197">
        <f t="shared" si="46"/>
        <v>0</v>
      </c>
      <c r="AT26" s="349"/>
      <c r="AU26" s="578"/>
      <c r="AV26" s="503">
        <f t="shared" si="43"/>
        <v>0.61499999999999999</v>
      </c>
      <c r="AW26" s="285">
        <f>-SUM('B5'!AI25)</f>
        <v>0</v>
      </c>
      <c r="AX26" s="285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'!D25</f>
        <v>0</v>
      </c>
      <c r="BB26" s="38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6">
        <f>ELEC!C25</f>
        <v>44491</v>
      </c>
      <c r="B27">
        <f>'B5'!B26</f>
        <v>157</v>
      </c>
      <c r="C27" s="203">
        <f t="shared" si="20"/>
        <v>3378.0322580645161</v>
      </c>
      <c r="D27">
        <f t="shared" si="21"/>
        <v>157</v>
      </c>
      <c r="E27" s="203">
        <f t="shared" si="20"/>
        <v>3378.0322580645161</v>
      </c>
      <c r="F27">
        <f t="shared" si="22"/>
        <v>157</v>
      </c>
      <c r="G27" s="203">
        <f t="shared" si="1"/>
        <v>3378.0322580645161</v>
      </c>
      <c r="H27" s="203">
        <f t="shared" si="23"/>
        <v>157</v>
      </c>
      <c r="I27" s="203">
        <f t="shared" si="2"/>
        <v>3378.0322580645161</v>
      </c>
      <c r="J27" s="203">
        <f t="shared" si="24"/>
        <v>157</v>
      </c>
      <c r="K27" s="203">
        <f t="shared" si="3"/>
        <v>3378.0322580645161</v>
      </c>
      <c r="L27" s="203">
        <f t="shared" si="25"/>
        <v>157</v>
      </c>
      <c r="M27" s="203">
        <f t="shared" si="4"/>
        <v>3378.0322580645161</v>
      </c>
      <c r="N27" s="203">
        <f t="shared" si="26"/>
        <v>157</v>
      </c>
      <c r="O27" s="203">
        <f t="shared" si="5"/>
        <v>3378.0322580645161</v>
      </c>
      <c r="P27" s="203">
        <f t="shared" si="27"/>
        <v>157</v>
      </c>
      <c r="Q27" s="203">
        <f t="shared" si="6"/>
        <v>3378.0322580645161</v>
      </c>
      <c r="R27" s="203">
        <f t="shared" si="28"/>
        <v>157</v>
      </c>
      <c r="S27" s="203">
        <f t="shared" si="7"/>
        <v>3378.0322580645161</v>
      </c>
      <c r="T27" s="203">
        <f t="shared" si="29"/>
        <v>157</v>
      </c>
      <c r="U27" s="203">
        <f t="shared" si="8"/>
        <v>3378.0322580645161</v>
      </c>
      <c r="V27" s="203">
        <f t="shared" si="30"/>
        <v>157</v>
      </c>
      <c r="W27" s="203">
        <f t="shared" si="9"/>
        <v>3378.0322580645161</v>
      </c>
      <c r="X27" s="35">
        <f t="shared" si="10"/>
        <v>0.50645161290322571</v>
      </c>
      <c r="Y27" s="36">
        <f t="shared" si="31"/>
        <v>37158.354838709674</v>
      </c>
      <c r="Z27" s="203">
        <f>'B5'!C26</f>
        <v>164</v>
      </c>
      <c r="AA27" s="203">
        <f t="shared" si="32"/>
        <v>1640</v>
      </c>
      <c r="AB27" s="203">
        <f t="shared" si="33"/>
        <v>164</v>
      </c>
      <c r="AC27" s="203">
        <f t="shared" si="32"/>
        <v>1640</v>
      </c>
      <c r="AD27" s="203">
        <f t="shared" si="34"/>
        <v>164</v>
      </c>
      <c r="AE27" s="203">
        <f t="shared" si="11"/>
        <v>1640</v>
      </c>
      <c r="AF27" s="203">
        <f t="shared" si="35"/>
        <v>164</v>
      </c>
      <c r="AG27" s="203">
        <f t="shared" si="12"/>
        <v>1640</v>
      </c>
      <c r="AH27" s="203">
        <f t="shared" si="36"/>
        <v>164</v>
      </c>
      <c r="AI27" s="203">
        <f t="shared" si="13"/>
        <v>1640</v>
      </c>
      <c r="AJ27" s="203">
        <f t="shared" si="37"/>
        <v>164</v>
      </c>
      <c r="AK27" s="203">
        <f t="shared" si="14"/>
        <v>1640</v>
      </c>
      <c r="AL27" s="203">
        <f t="shared" si="38"/>
        <v>164</v>
      </c>
      <c r="AM27" s="203">
        <f t="shared" si="15"/>
        <v>1640</v>
      </c>
      <c r="AN27" s="35">
        <f t="shared" si="16"/>
        <v>0.58571428571428574</v>
      </c>
      <c r="AO27" s="36">
        <f t="shared" si="17"/>
        <v>11480</v>
      </c>
      <c r="AQ27" s="223">
        <f t="shared" si="39"/>
        <v>0.52316182466074723</v>
      </c>
      <c r="AR27" s="38">
        <f t="shared" si="45"/>
        <v>48638.354838709674</v>
      </c>
      <c r="AS27" s="197">
        <f t="shared" si="46"/>
        <v>0</v>
      </c>
      <c r="AT27" s="349"/>
      <c r="AU27" s="578"/>
      <c r="AV27" s="503">
        <f t="shared" si="43"/>
        <v>0.61499999999999999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'!D26</f>
        <v>0</v>
      </c>
      <c r="BB27" s="38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6">
        <f>ELEC!C26</f>
        <v>44492</v>
      </c>
      <c r="B28">
        <f>'B5'!B27</f>
        <v>157</v>
      </c>
      <c r="C28" s="203">
        <f t="shared" si="20"/>
        <v>3378.0322580645161</v>
      </c>
      <c r="D28">
        <f t="shared" si="21"/>
        <v>157</v>
      </c>
      <c r="E28" s="203">
        <f t="shared" si="20"/>
        <v>3378.0322580645161</v>
      </c>
      <c r="F28">
        <f t="shared" si="22"/>
        <v>157</v>
      </c>
      <c r="G28" s="203">
        <f t="shared" si="1"/>
        <v>3378.0322580645161</v>
      </c>
      <c r="H28" s="203">
        <f t="shared" si="23"/>
        <v>157</v>
      </c>
      <c r="I28" s="203">
        <f t="shared" si="2"/>
        <v>3378.0322580645161</v>
      </c>
      <c r="J28" s="203">
        <f t="shared" si="24"/>
        <v>157</v>
      </c>
      <c r="K28" s="203">
        <f t="shared" si="3"/>
        <v>3378.0322580645161</v>
      </c>
      <c r="L28" s="203">
        <f t="shared" si="25"/>
        <v>157</v>
      </c>
      <c r="M28" s="203">
        <f t="shared" si="4"/>
        <v>3378.0322580645161</v>
      </c>
      <c r="N28" s="203">
        <f t="shared" si="26"/>
        <v>157</v>
      </c>
      <c r="O28" s="203">
        <f t="shared" si="5"/>
        <v>3378.0322580645161</v>
      </c>
      <c r="P28" s="203">
        <f t="shared" si="27"/>
        <v>157</v>
      </c>
      <c r="Q28" s="203">
        <f t="shared" si="6"/>
        <v>3378.0322580645161</v>
      </c>
      <c r="R28" s="203">
        <f t="shared" si="28"/>
        <v>157</v>
      </c>
      <c r="S28" s="203">
        <f t="shared" si="7"/>
        <v>3378.0322580645161</v>
      </c>
      <c r="T28" s="203">
        <f t="shared" si="29"/>
        <v>157</v>
      </c>
      <c r="U28" s="203">
        <f t="shared" si="8"/>
        <v>3378.0322580645161</v>
      </c>
      <c r="V28" s="203">
        <f t="shared" si="30"/>
        <v>157</v>
      </c>
      <c r="W28" s="203">
        <f t="shared" si="9"/>
        <v>3378.0322580645161</v>
      </c>
      <c r="X28" s="35">
        <f t="shared" si="10"/>
        <v>0.50645161290322571</v>
      </c>
      <c r="Y28" s="36">
        <f t="shared" si="31"/>
        <v>37158.354838709674</v>
      </c>
      <c r="Z28" s="203">
        <f>'B5'!C27</f>
        <v>164</v>
      </c>
      <c r="AA28" s="203">
        <f t="shared" si="32"/>
        <v>1640</v>
      </c>
      <c r="AB28" s="203">
        <f t="shared" si="33"/>
        <v>164</v>
      </c>
      <c r="AC28" s="203">
        <f t="shared" si="32"/>
        <v>1640</v>
      </c>
      <c r="AD28" s="203">
        <f t="shared" si="34"/>
        <v>164</v>
      </c>
      <c r="AE28" s="203">
        <f t="shared" si="11"/>
        <v>1640</v>
      </c>
      <c r="AF28" s="203">
        <f t="shared" si="35"/>
        <v>164</v>
      </c>
      <c r="AG28" s="203">
        <f t="shared" si="12"/>
        <v>1640</v>
      </c>
      <c r="AH28" s="203">
        <f t="shared" si="36"/>
        <v>164</v>
      </c>
      <c r="AI28" s="203">
        <f t="shared" si="13"/>
        <v>1640</v>
      </c>
      <c r="AJ28" s="203">
        <f t="shared" si="37"/>
        <v>164</v>
      </c>
      <c r="AK28" s="203">
        <f t="shared" si="14"/>
        <v>1640</v>
      </c>
      <c r="AL28" s="203">
        <f t="shared" si="38"/>
        <v>164</v>
      </c>
      <c r="AM28" s="203">
        <f t="shared" si="15"/>
        <v>1640</v>
      </c>
      <c r="AN28" s="35">
        <f t="shared" si="16"/>
        <v>0.58571428571428574</v>
      </c>
      <c r="AO28" s="36">
        <f t="shared" si="17"/>
        <v>11480</v>
      </c>
      <c r="AQ28" s="223">
        <f t="shared" si="39"/>
        <v>0.52316182466074723</v>
      </c>
      <c r="AR28" s="38">
        <f>Y28+AO28</f>
        <v>48638.354838709674</v>
      </c>
      <c r="AS28" s="197">
        <f t="shared" si="46"/>
        <v>0</v>
      </c>
      <c r="AT28" s="349"/>
      <c r="AU28" s="579"/>
      <c r="AV28" s="503">
        <f t="shared" si="43"/>
        <v>0.61499999999999999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7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6">
        <f>ELEC!C27</f>
        <v>44493</v>
      </c>
      <c r="B29">
        <f>'B5'!B28</f>
        <v>157</v>
      </c>
      <c r="C29" s="203">
        <f t="shared" si="20"/>
        <v>3378.0322580645161</v>
      </c>
      <c r="D29">
        <f t="shared" si="21"/>
        <v>157</v>
      </c>
      <c r="E29" s="203">
        <f t="shared" si="20"/>
        <v>3378.0322580645161</v>
      </c>
      <c r="F29">
        <f t="shared" si="22"/>
        <v>157</v>
      </c>
      <c r="G29" s="203">
        <f t="shared" si="1"/>
        <v>3378.0322580645161</v>
      </c>
      <c r="H29" s="203">
        <f t="shared" si="23"/>
        <v>157</v>
      </c>
      <c r="I29" s="203">
        <f t="shared" si="2"/>
        <v>3378.0322580645161</v>
      </c>
      <c r="J29" s="203">
        <f t="shared" si="24"/>
        <v>157</v>
      </c>
      <c r="K29" s="203">
        <f t="shared" si="3"/>
        <v>3378.0322580645161</v>
      </c>
      <c r="L29" s="203">
        <f t="shared" si="25"/>
        <v>157</v>
      </c>
      <c r="M29" s="203">
        <f t="shared" si="4"/>
        <v>3378.0322580645161</v>
      </c>
      <c r="N29" s="203">
        <f t="shared" si="26"/>
        <v>157</v>
      </c>
      <c r="O29" s="203">
        <f t="shared" si="5"/>
        <v>3378.0322580645161</v>
      </c>
      <c r="P29" s="203">
        <f t="shared" si="27"/>
        <v>157</v>
      </c>
      <c r="Q29" s="203">
        <f t="shared" si="6"/>
        <v>3378.0322580645161</v>
      </c>
      <c r="R29" s="203">
        <f t="shared" si="28"/>
        <v>157</v>
      </c>
      <c r="S29" s="203">
        <f t="shared" si="7"/>
        <v>3378.0322580645161</v>
      </c>
      <c r="T29" s="203">
        <f t="shared" si="29"/>
        <v>157</v>
      </c>
      <c r="U29" s="203">
        <f t="shared" si="8"/>
        <v>3378.0322580645161</v>
      </c>
      <c r="V29" s="203">
        <f t="shared" si="30"/>
        <v>157</v>
      </c>
      <c r="W29" s="203">
        <f t="shared" si="9"/>
        <v>3378.0322580645161</v>
      </c>
      <c r="X29" s="35">
        <f t="shared" si="10"/>
        <v>0.50645161290322571</v>
      </c>
      <c r="Y29" s="36">
        <f t="shared" si="31"/>
        <v>37158.354838709674</v>
      </c>
      <c r="Z29" s="203">
        <f>'B5'!C28</f>
        <v>164</v>
      </c>
      <c r="AA29" s="203">
        <f t="shared" si="32"/>
        <v>1640</v>
      </c>
      <c r="AB29" s="203">
        <f t="shared" si="33"/>
        <v>164</v>
      </c>
      <c r="AC29" s="203">
        <f t="shared" si="32"/>
        <v>1640</v>
      </c>
      <c r="AD29" s="203">
        <f t="shared" si="34"/>
        <v>164</v>
      </c>
      <c r="AE29" s="203">
        <f t="shared" si="11"/>
        <v>1640</v>
      </c>
      <c r="AF29" s="203">
        <f t="shared" si="35"/>
        <v>164</v>
      </c>
      <c r="AG29" s="203">
        <f t="shared" si="12"/>
        <v>1640</v>
      </c>
      <c r="AH29" s="203">
        <f t="shared" si="36"/>
        <v>164</v>
      </c>
      <c r="AI29" s="203">
        <f t="shared" si="13"/>
        <v>1640</v>
      </c>
      <c r="AJ29" s="203">
        <f t="shared" si="37"/>
        <v>164</v>
      </c>
      <c r="AK29" s="203">
        <f t="shared" si="14"/>
        <v>1640</v>
      </c>
      <c r="AL29" s="203">
        <f t="shared" si="38"/>
        <v>164</v>
      </c>
      <c r="AM29" s="203">
        <f t="shared" si="15"/>
        <v>1640</v>
      </c>
      <c r="AN29" s="35">
        <f t="shared" si="16"/>
        <v>0.58571428571428574</v>
      </c>
      <c r="AO29" s="36">
        <f t="shared" si="17"/>
        <v>11480</v>
      </c>
      <c r="AQ29" s="223">
        <f t="shared" si="39"/>
        <v>0.52316182466074723</v>
      </c>
      <c r="AR29" s="38">
        <f t="shared" si="45"/>
        <v>48638.354838709674</v>
      </c>
      <c r="AS29" s="197">
        <f>SUM(AR29-AR28-AT29)</f>
        <v>0</v>
      </c>
      <c r="AT29" s="349"/>
      <c r="AU29" s="579"/>
      <c r="AV29" s="503">
        <f t="shared" si="43"/>
        <v>0.61499999999999999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'!D28</f>
        <v>0</v>
      </c>
      <c r="BB29" s="387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6">
        <f>ELEC!C28</f>
        <v>44494</v>
      </c>
      <c r="B30">
        <f>'B5'!B29</f>
        <v>157</v>
      </c>
      <c r="C30" s="203">
        <f t="shared" si="20"/>
        <v>3378.0322580645161</v>
      </c>
      <c r="D30">
        <f t="shared" ref="D30:D35" si="47">SUM(B30)</f>
        <v>157</v>
      </c>
      <c r="E30" s="203">
        <f t="shared" si="20"/>
        <v>3378.0322580645161</v>
      </c>
      <c r="F30">
        <f t="shared" ref="F30:F35" si="48">SUM(D30)</f>
        <v>157</v>
      </c>
      <c r="G30" s="203">
        <f t="shared" si="1"/>
        <v>3378.0322580645161</v>
      </c>
      <c r="H30" s="203">
        <f t="shared" ref="H30:H35" si="49">SUM(F30)</f>
        <v>157</v>
      </c>
      <c r="I30" s="203">
        <f t="shared" si="2"/>
        <v>3378.0322580645161</v>
      </c>
      <c r="J30" s="203">
        <f t="shared" ref="J30:J35" si="50">SUM(H30)</f>
        <v>157</v>
      </c>
      <c r="K30" s="203">
        <f t="shared" si="3"/>
        <v>3378.0322580645161</v>
      </c>
      <c r="L30" s="203">
        <f t="shared" ref="L30:L35" si="51">SUM(J30)</f>
        <v>157</v>
      </c>
      <c r="M30" s="203">
        <f t="shared" si="4"/>
        <v>3378.0322580645161</v>
      </c>
      <c r="N30" s="203">
        <f t="shared" ref="N30:N35" si="52">SUM(L30)</f>
        <v>157</v>
      </c>
      <c r="O30" s="203">
        <f t="shared" si="5"/>
        <v>3378.0322580645161</v>
      </c>
      <c r="P30" s="203">
        <f t="shared" ref="P30:P35" si="53">SUM(N30)</f>
        <v>157</v>
      </c>
      <c r="Q30" s="203">
        <f t="shared" si="6"/>
        <v>3378.0322580645161</v>
      </c>
      <c r="R30" s="203">
        <f t="shared" ref="R30:R35" si="54">SUM(P30)</f>
        <v>157</v>
      </c>
      <c r="S30" s="203">
        <f t="shared" si="7"/>
        <v>3378.0322580645161</v>
      </c>
      <c r="T30" s="203">
        <f t="shared" ref="T30:T35" si="55">SUM(R30)</f>
        <v>157</v>
      </c>
      <c r="U30" s="203">
        <f t="shared" si="8"/>
        <v>3378.0322580645161</v>
      </c>
      <c r="V30" s="203">
        <f t="shared" ref="V30:V35" si="56">SUM(T30)</f>
        <v>157</v>
      </c>
      <c r="W30" s="203">
        <f t="shared" si="9"/>
        <v>3378.0322580645161</v>
      </c>
      <c r="X30" s="35">
        <f t="shared" ref="X30:X35" si="57">SUM(Y30/73370)</f>
        <v>0.50645161290322571</v>
      </c>
      <c r="Y30" s="36">
        <f t="shared" ref="Y30:Y35" si="58">SUM(C30+E30+G30+I30+K30+M30+O30+Q30+S30+U30+W30)</f>
        <v>37158.354838709674</v>
      </c>
      <c r="Z30" s="203">
        <f>'B5'!C29</f>
        <v>164</v>
      </c>
      <c r="AA30" s="203">
        <f t="shared" si="32"/>
        <v>1640</v>
      </c>
      <c r="AB30" s="203">
        <f t="shared" ref="AB30:AB35" si="59">SUM(Z30)</f>
        <v>164</v>
      </c>
      <c r="AC30" s="203">
        <f t="shared" si="32"/>
        <v>1640</v>
      </c>
      <c r="AD30" s="203">
        <f t="shared" ref="AD30:AD35" si="60">SUM(AB30)</f>
        <v>164</v>
      </c>
      <c r="AE30" s="203">
        <f t="shared" si="11"/>
        <v>1640</v>
      </c>
      <c r="AF30" s="203">
        <f t="shared" ref="AF30:AF35" si="61">SUM(AD30)</f>
        <v>164</v>
      </c>
      <c r="AG30" s="203">
        <f t="shared" si="12"/>
        <v>1640</v>
      </c>
      <c r="AH30" s="203">
        <f t="shared" ref="AH30:AH35" si="62">SUM(AF30)</f>
        <v>164</v>
      </c>
      <c r="AI30" s="203">
        <f t="shared" si="13"/>
        <v>1640</v>
      </c>
      <c r="AJ30" s="203">
        <f t="shared" ref="AJ30:AJ35" si="63">SUM(AH30)</f>
        <v>164</v>
      </c>
      <c r="AK30" s="203">
        <f t="shared" si="14"/>
        <v>1640</v>
      </c>
      <c r="AL30" s="203">
        <f t="shared" ref="AL30:AL35" si="64">SUM(AJ30)</f>
        <v>164</v>
      </c>
      <c r="AM30" s="203">
        <f t="shared" si="15"/>
        <v>1640</v>
      </c>
      <c r="AN30" s="35">
        <f t="shared" ref="AN30:AN35" si="65">SUM(AO30/19600)</f>
        <v>0.58571428571428574</v>
      </c>
      <c r="AO30" s="36">
        <f t="shared" ref="AO30:AO35" si="66">SUM(AA30+AC30+AE30+AG30+AI30+AK30+AM30)</f>
        <v>11480</v>
      </c>
      <c r="AQ30" s="223">
        <f t="shared" si="39"/>
        <v>0.52316182466074723</v>
      </c>
      <c r="AR30" s="38">
        <f t="shared" ref="AR30:AR35" si="67">Y30+AO30</f>
        <v>48638.354838709674</v>
      </c>
      <c r="AS30" s="197">
        <f>SUM(AR30-AR29-AT30)</f>
        <v>0</v>
      </c>
      <c r="AT30" s="349"/>
      <c r="AU30" s="579"/>
      <c r="AV30" s="503">
        <f t="shared" si="43"/>
        <v>0.61499999999999999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'!D29</f>
        <v>0</v>
      </c>
      <c r="BB30" s="387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6">
        <f>ELEC!C29</f>
        <v>44495</v>
      </c>
      <c r="B31">
        <f>'B5'!B30</f>
        <v>157</v>
      </c>
      <c r="C31" s="203">
        <f t="shared" si="20"/>
        <v>3378.0322580645161</v>
      </c>
      <c r="D31">
        <f t="shared" si="47"/>
        <v>157</v>
      </c>
      <c r="E31" s="203">
        <f t="shared" si="20"/>
        <v>3378.0322580645161</v>
      </c>
      <c r="F31">
        <f t="shared" si="48"/>
        <v>157</v>
      </c>
      <c r="G31" s="203">
        <f t="shared" si="1"/>
        <v>3378.0322580645161</v>
      </c>
      <c r="H31" s="203">
        <f t="shared" si="49"/>
        <v>157</v>
      </c>
      <c r="I31" s="203">
        <f t="shared" si="2"/>
        <v>3378.0322580645161</v>
      </c>
      <c r="J31" s="203">
        <f t="shared" si="50"/>
        <v>157</v>
      </c>
      <c r="K31" s="203">
        <f t="shared" si="3"/>
        <v>3378.0322580645161</v>
      </c>
      <c r="L31" s="203">
        <f t="shared" si="51"/>
        <v>157</v>
      </c>
      <c r="M31" s="203">
        <f t="shared" si="4"/>
        <v>3378.0322580645161</v>
      </c>
      <c r="N31" s="203">
        <f t="shared" si="52"/>
        <v>157</v>
      </c>
      <c r="O31" s="203">
        <f t="shared" si="5"/>
        <v>3378.0322580645161</v>
      </c>
      <c r="P31" s="203">
        <f t="shared" si="53"/>
        <v>157</v>
      </c>
      <c r="Q31" s="203">
        <f t="shared" si="6"/>
        <v>3378.0322580645161</v>
      </c>
      <c r="R31" s="203">
        <f t="shared" si="54"/>
        <v>157</v>
      </c>
      <c r="S31" s="203">
        <f t="shared" si="7"/>
        <v>3378.0322580645161</v>
      </c>
      <c r="T31" s="203">
        <f t="shared" si="55"/>
        <v>157</v>
      </c>
      <c r="U31" s="203">
        <f t="shared" si="8"/>
        <v>3378.0322580645161</v>
      </c>
      <c r="V31" s="203">
        <f t="shared" si="56"/>
        <v>157</v>
      </c>
      <c r="W31" s="203">
        <f t="shared" si="9"/>
        <v>3378.0322580645161</v>
      </c>
      <c r="X31" s="35">
        <f t="shared" si="57"/>
        <v>0.50645161290322571</v>
      </c>
      <c r="Y31" s="36">
        <f t="shared" si="58"/>
        <v>37158.354838709674</v>
      </c>
      <c r="Z31" s="203">
        <f>'B5'!C30</f>
        <v>164</v>
      </c>
      <c r="AA31" s="203">
        <f t="shared" si="32"/>
        <v>1640</v>
      </c>
      <c r="AB31" s="203">
        <f t="shared" si="59"/>
        <v>164</v>
      </c>
      <c r="AC31" s="203">
        <f t="shared" si="32"/>
        <v>1640</v>
      </c>
      <c r="AD31" s="203">
        <f t="shared" si="60"/>
        <v>164</v>
      </c>
      <c r="AE31" s="203">
        <f t="shared" si="11"/>
        <v>1640</v>
      </c>
      <c r="AF31" s="203">
        <f t="shared" si="61"/>
        <v>164</v>
      </c>
      <c r="AG31" s="203">
        <f t="shared" si="12"/>
        <v>1640</v>
      </c>
      <c r="AH31" s="203">
        <f t="shared" si="62"/>
        <v>164</v>
      </c>
      <c r="AI31" s="203">
        <f t="shared" si="13"/>
        <v>1640</v>
      </c>
      <c r="AJ31" s="203">
        <f t="shared" si="63"/>
        <v>164</v>
      </c>
      <c r="AK31" s="203">
        <f t="shared" si="14"/>
        <v>1640</v>
      </c>
      <c r="AL31" s="203">
        <f t="shared" si="64"/>
        <v>164</v>
      </c>
      <c r="AM31" s="203">
        <f t="shared" si="15"/>
        <v>1640</v>
      </c>
      <c r="AN31" s="35">
        <f t="shared" si="65"/>
        <v>0.58571428571428574</v>
      </c>
      <c r="AO31" s="36">
        <f t="shared" si="66"/>
        <v>11480</v>
      </c>
      <c r="AQ31" s="223">
        <f t="shared" si="39"/>
        <v>0.52316182466074723</v>
      </c>
      <c r="AR31" s="38">
        <f t="shared" si="67"/>
        <v>48638.354838709674</v>
      </c>
      <c r="AS31" s="197">
        <f t="shared" si="46"/>
        <v>0</v>
      </c>
      <c r="AT31" s="349"/>
      <c r="AU31" s="605"/>
      <c r="AV31" s="503">
        <f t="shared" si="43"/>
        <v>0.61499999999999999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'!D30</f>
        <v>0</v>
      </c>
      <c r="BB31" s="387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6">
        <f>ELEC!C30</f>
        <v>44496</v>
      </c>
      <c r="B32">
        <f>'B5'!B31</f>
        <v>157</v>
      </c>
      <c r="C32" s="203">
        <f t="shared" si="20"/>
        <v>3378.0322580645161</v>
      </c>
      <c r="D32">
        <f t="shared" si="47"/>
        <v>157</v>
      </c>
      <c r="E32" s="203">
        <f t="shared" si="20"/>
        <v>3378.0322580645161</v>
      </c>
      <c r="F32">
        <f t="shared" si="48"/>
        <v>157</v>
      </c>
      <c r="G32" s="203">
        <f t="shared" si="1"/>
        <v>3378.0322580645161</v>
      </c>
      <c r="H32" s="203">
        <f t="shared" si="49"/>
        <v>157</v>
      </c>
      <c r="I32" s="203">
        <f t="shared" si="2"/>
        <v>3378.0322580645161</v>
      </c>
      <c r="J32" s="203">
        <f t="shared" si="50"/>
        <v>157</v>
      </c>
      <c r="K32" s="203">
        <f t="shared" si="3"/>
        <v>3378.0322580645161</v>
      </c>
      <c r="L32" s="203">
        <f t="shared" si="51"/>
        <v>157</v>
      </c>
      <c r="M32" s="203">
        <f t="shared" si="4"/>
        <v>3378.0322580645161</v>
      </c>
      <c r="N32" s="203">
        <f t="shared" si="52"/>
        <v>157</v>
      </c>
      <c r="O32" s="203">
        <f t="shared" si="5"/>
        <v>3378.0322580645161</v>
      </c>
      <c r="P32" s="203">
        <f t="shared" si="53"/>
        <v>157</v>
      </c>
      <c r="Q32" s="203">
        <f t="shared" si="6"/>
        <v>3378.0322580645161</v>
      </c>
      <c r="R32" s="203">
        <f t="shared" si="54"/>
        <v>157</v>
      </c>
      <c r="S32" s="203">
        <f t="shared" si="7"/>
        <v>3378.0322580645161</v>
      </c>
      <c r="T32" s="203">
        <f t="shared" si="55"/>
        <v>157</v>
      </c>
      <c r="U32" s="203">
        <f t="shared" si="8"/>
        <v>3378.0322580645161</v>
      </c>
      <c r="V32" s="203">
        <f t="shared" si="56"/>
        <v>157</v>
      </c>
      <c r="W32" s="203">
        <f t="shared" si="9"/>
        <v>3378.0322580645161</v>
      </c>
      <c r="X32" s="35">
        <f t="shared" si="57"/>
        <v>0.50645161290322571</v>
      </c>
      <c r="Y32" s="36">
        <f t="shared" si="58"/>
        <v>37158.354838709674</v>
      </c>
      <c r="Z32" s="203">
        <f>'B5'!C31</f>
        <v>164</v>
      </c>
      <c r="AA32" s="203">
        <f t="shared" si="32"/>
        <v>1640</v>
      </c>
      <c r="AB32" s="203">
        <f t="shared" si="59"/>
        <v>164</v>
      </c>
      <c r="AC32" s="203">
        <f t="shared" si="32"/>
        <v>1640</v>
      </c>
      <c r="AD32" s="203">
        <f t="shared" si="60"/>
        <v>164</v>
      </c>
      <c r="AE32" s="203">
        <f t="shared" si="11"/>
        <v>1640</v>
      </c>
      <c r="AF32" s="203">
        <f t="shared" si="61"/>
        <v>164</v>
      </c>
      <c r="AG32" s="203">
        <f t="shared" si="12"/>
        <v>1640</v>
      </c>
      <c r="AH32" s="203">
        <f t="shared" si="62"/>
        <v>164</v>
      </c>
      <c r="AI32" s="203">
        <f t="shared" si="13"/>
        <v>1640</v>
      </c>
      <c r="AJ32" s="203">
        <f t="shared" si="63"/>
        <v>164</v>
      </c>
      <c r="AK32" s="203">
        <f t="shared" si="14"/>
        <v>1640</v>
      </c>
      <c r="AL32" s="203">
        <f t="shared" si="64"/>
        <v>164</v>
      </c>
      <c r="AM32" s="203">
        <f t="shared" si="15"/>
        <v>1640</v>
      </c>
      <c r="AN32" s="35">
        <f t="shared" si="65"/>
        <v>0.58571428571428574</v>
      </c>
      <c r="AO32" s="36">
        <f t="shared" si="66"/>
        <v>11480</v>
      </c>
      <c r="AQ32" s="223">
        <f t="shared" si="39"/>
        <v>0.52316182466074723</v>
      </c>
      <c r="AR32" s="38">
        <f t="shared" si="67"/>
        <v>48638.354838709674</v>
      </c>
      <c r="AS32" s="197">
        <f t="shared" si="46"/>
        <v>0</v>
      </c>
      <c r="AT32" s="349"/>
      <c r="AU32" s="578"/>
      <c r="AV32" s="503">
        <f>IF(AT32&gt;0,AU32,AV31)</f>
        <v>0.61499999999999999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'!D31</f>
        <v>0</v>
      </c>
      <c r="BB32" s="387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6">
        <f>ELEC!C31</f>
        <v>44497</v>
      </c>
      <c r="B33">
        <f>'B5'!B32</f>
        <v>157</v>
      </c>
      <c r="C33" s="203">
        <f t="shared" si="20"/>
        <v>3378.0322580645161</v>
      </c>
      <c r="D33">
        <f t="shared" si="47"/>
        <v>157</v>
      </c>
      <c r="E33" s="203">
        <f t="shared" si="20"/>
        <v>3378.0322580645161</v>
      </c>
      <c r="F33">
        <f t="shared" si="48"/>
        <v>157</v>
      </c>
      <c r="G33" s="203">
        <f t="shared" si="1"/>
        <v>3378.0322580645161</v>
      </c>
      <c r="H33" s="203">
        <f t="shared" si="49"/>
        <v>157</v>
      </c>
      <c r="I33" s="203">
        <f t="shared" si="2"/>
        <v>3378.0322580645161</v>
      </c>
      <c r="J33" s="203">
        <f t="shared" si="50"/>
        <v>157</v>
      </c>
      <c r="K33" s="203">
        <f t="shared" si="3"/>
        <v>3378.0322580645161</v>
      </c>
      <c r="L33" s="203">
        <f t="shared" si="51"/>
        <v>157</v>
      </c>
      <c r="M33" s="203">
        <f t="shared" si="4"/>
        <v>3378.0322580645161</v>
      </c>
      <c r="N33" s="203">
        <f t="shared" si="52"/>
        <v>157</v>
      </c>
      <c r="O33" s="203">
        <f t="shared" si="5"/>
        <v>3378.0322580645161</v>
      </c>
      <c r="P33" s="203">
        <f t="shared" si="53"/>
        <v>157</v>
      </c>
      <c r="Q33" s="203">
        <f t="shared" si="6"/>
        <v>3378.0322580645161</v>
      </c>
      <c r="R33" s="203">
        <f t="shared" si="54"/>
        <v>157</v>
      </c>
      <c r="S33" s="203">
        <f t="shared" si="7"/>
        <v>3378.0322580645161</v>
      </c>
      <c r="T33" s="203">
        <f t="shared" si="55"/>
        <v>157</v>
      </c>
      <c r="U33" s="203">
        <f t="shared" si="8"/>
        <v>3378.0322580645161</v>
      </c>
      <c r="V33" s="203">
        <f t="shared" si="56"/>
        <v>157</v>
      </c>
      <c r="W33" s="203">
        <f t="shared" si="9"/>
        <v>3378.0322580645161</v>
      </c>
      <c r="X33" s="35">
        <f t="shared" si="57"/>
        <v>0.50645161290322571</v>
      </c>
      <c r="Y33" s="36">
        <f t="shared" si="58"/>
        <v>37158.354838709674</v>
      </c>
      <c r="Z33" s="203">
        <f>'B5'!C32</f>
        <v>164</v>
      </c>
      <c r="AA33" s="203">
        <f t="shared" si="32"/>
        <v>1640</v>
      </c>
      <c r="AB33" s="203">
        <f t="shared" si="59"/>
        <v>164</v>
      </c>
      <c r="AC33" s="203">
        <f t="shared" si="32"/>
        <v>1640</v>
      </c>
      <c r="AD33" s="203">
        <f t="shared" si="60"/>
        <v>164</v>
      </c>
      <c r="AE33" s="203">
        <f t="shared" si="11"/>
        <v>1640</v>
      </c>
      <c r="AF33" s="203">
        <f t="shared" si="61"/>
        <v>164</v>
      </c>
      <c r="AG33" s="203">
        <f t="shared" si="12"/>
        <v>1640</v>
      </c>
      <c r="AH33" s="203">
        <f t="shared" si="62"/>
        <v>164</v>
      </c>
      <c r="AI33" s="203">
        <f t="shared" si="13"/>
        <v>1640</v>
      </c>
      <c r="AJ33" s="203">
        <f t="shared" si="63"/>
        <v>164</v>
      </c>
      <c r="AK33" s="203">
        <f t="shared" si="14"/>
        <v>1640</v>
      </c>
      <c r="AL33" s="203">
        <f t="shared" si="64"/>
        <v>164</v>
      </c>
      <c r="AM33" s="203">
        <f t="shared" si="15"/>
        <v>1640</v>
      </c>
      <c r="AN33" s="35">
        <f t="shared" si="65"/>
        <v>0.58571428571428574</v>
      </c>
      <c r="AO33" s="36">
        <f t="shared" si="66"/>
        <v>11480</v>
      </c>
      <c r="AQ33" s="223">
        <f t="shared" si="39"/>
        <v>0.52316182466074723</v>
      </c>
      <c r="AR33" s="38">
        <f t="shared" si="67"/>
        <v>48638.354838709674</v>
      </c>
      <c r="AS33" s="197">
        <f>SUM(AR33-AR32-AT33)</f>
        <v>0</v>
      </c>
      <c r="AT33" s="349"/>
      <c r="AU33" s="578"/>
      <c r="AV33" s="503">
        <f>IF(AT33&gt;0,AU33,AV32)</f>
        <v>0.61499999999999999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6">
        <f>ELEC!C32</f>
        <v>44498</v>
      </c>
      <c r="B34">
        <f>'B5'!B33</f>
        <v>157</v>
      </c>
      <c r="C34" s="203">
        <f>B34*$B$4</f>
        <v>3378.0322580645161</v>
      </c>
      <c r="D34">
        <f t="shared" si="47"/>
        <v>157</v>
      </c>
      <c r="E34" s="203">
        <f>D34*$B$4</f>
        <v>3378.0322580645161</v>
      </c>
      <c r="F34">
        <f t="shared" si="48"/>
        <v>157</v>
      </c>
      <c r="G34" s="203">
        <f>F34*$B$4</f>
        <v>3378.0322580645161</v>
      </c>
      <c r="H34" s="203">
        <f t="shared" si="49"/>
        <v>157</v>
      </c>
      <c r="I34" s="203">
        <f>H34*$B$4</f>
        <v>3378.0322580645161</v>
      </c>
      <c r="J34" s="203">
        <f t="shared" si="50"/>
        <v>157</v>
      </c>
      <c r="K34" s="203">
        <f>J34*$B$4</f>
        <v>3378.0322580645161</v>
      </c>
      <c r="L34" s="203">
        <f t="shared" si="51"/>
        <v>157</v>
      </c>
      <c r="M34" s="203">
        <f>L34*$B$4</f>
        <v>3378.0322580645161</v>
      </c>
      <c r="N34" s="203">
        <f t="shared" si="52"/>
        <v>157</v>
      </c>
      <c r="O34" s="203">
        <f>N34*$B$4</f>
        <v>3378.0322580645161</v>
      </c>
      <c r="P34" s="203">
        <f t="shared" si="53"/>
        <v>157</v>
      </c>
      <c r="Q34" s="203">
        <f>P34*$B$4</f>
        <v>3378.0322580645161</v>
      </c>
      <c r="R34" s="203">
        <f t="shared" si="54"/>
        <v>157</v>
      </c>
      <c r="S34" s="203">
        <f>R34*$B$4</f>
        <v>3378.0322580645161</v>
      </c>
      <c r="T34" s="203">
        <f t="shared" si="55"/>
        <v>157</v>
      </c>
      <c r="U34" s="203">
        <f>T34*$B$4</f>
        <v>3378.0322580645161</v>
      </c>
      <c r="V34" s="203">
        <f t="shared" si="56"/>
        <v>157</v>
      </c>
      <c r="W34" s="203">
        <f>V34*$B$4</f>
        <v>3378.0322580645161</v>
      </c>
      <c r="X34" s="35">
        <f t="shared" si="57"/>
        <v>0.50645161290322571</v>
      </c>
      <c r="Y34" s="36">
        <f t="shared" si="58"/>
        <v>37158.354838709674</v>
      </c>
      <c r="Z34" s="203">
        <f>'B5'!C33</f>
        <v>164</v>
      </c>
      <c r="AA34" s="203">
        <f>SUM(Z34*$Z$4)</f>
        <v>1640</v>
      </c>
      <c r="AB34" s="203">
        <f t="shared" si="59"/>
        <v>164</v>
      </c>
      <c r="AC34" s="203">
        <f>SUM(AB34*$Z$4)</f>
        <v>1640</v>
      </c>
      <c r="AD34" s="203">
        <f t="shared" si="60"/>
        <v>164</v>
      </c>
      <c r="AE34" s="203">
        <f>SUM(AD34*$Z$4)</f>
        <v>1640</v>
      </c>
      <c r="AF34" s="203">
        <f t="shared" si="61"/>
        <v>164</v>
      </c>
      <c r="AG34" s="203">
        <f>SUM(AF34*$Z$4)</f>
        <v>1640</v>
      </c>
      <c r="AH34" s="203">
        <f t="shared" si="62"/>
        <v>164</v>
      </c>
      <c r="AI34" s="203">
        <f>SUM(AH34*$Z$4)</f>
        <v>1640</v>
      </c>
      <c r="AJ34" s="203">
        <f t="shared" si="63"/>
        <v>164</v>
      </c>
      <c r="AK34" s="203">
        <f>SUM(AJ34*$Z$4)</f>
        <v>1640</v>
      </c>
      <c r="AL34" s="203">
        <f t="shared" si="64"/>
        <v>164</v>
      </c>
      <c r="AM34" s="203">
        <f>SUM(AL34*$Z$4)</f>
        <v>1640</v>
      </c>
      <c r="AN34" s="35">
        <f t="shared" si="65"/>
        <v>0.58571428571428574</v>
      </c>
      <c r="AO34" s="36">
        <f t="shared" si="66"/>
        <v>11480</v>
      </c>
      <c r="AQ34" s="223">
        <f>SUM(AR34/92970)</f>
        <v>0.52316182466074723</v>
      </c>
      <c r="AR34" s="38">
        <f t="shared" si="67"/>
        <v>48638.354838709674</v>
      </c>
      <c r="AS34" s="197">
        <f t="shared" si="46"/>
        <v>0</v>
      </c>
      <c r="AT34" s="349"/>
      <c r="AU34" s="578"/>
      <c r="AV34" s="503">
        <f>IF(AT34&gt;0,AU34,AV33)</f>
        <v>0.61499999999999999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7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6">
        <f>ELEC!C33</f>
        <v>44499</v>
      </c>
      <c r="B35">
        <f>'B5'!B34</f>
        <v>157</v>
      </c>
      <c r="C35" s="203">
        <f>B35*$B$4</f>
        <v>3378.0322580645161</v>
      </c>
      <c r="D35">
        <f t="shared" si="47"/>
        <v>157</v>
      </c>
      <c r="E35" s="203">
        <f>D35*$B$4</f>
        <v>3378.0322580645161</v>
      </c>
      <c r="F35">
        <f t="shared" si="48"/>
        <v>157</v>
      </c>
      <c r="G35" s="203">
        <f>F35*$B$4</f>
        <v>3378.0322580645161</v>
      </c>
      <c r="H35" s="203">
        <f t="shared" si="49"/>
        <v>157</v>
      </c>
      <c r="I35" s="203">
        <f>H35*$B$4</f>
        <v>3378.0322580645161</v>
      </c>
      <c r="J35" s="203">
        <f t="shared" si="50"/>
        <v>157</v>
      </c>
      <c r="K35" s="203">
        <f>J35*$B$4</f>
        <v>3378.0322580645161</v>
      </c>
      <c r="L35" s="203">
        <f t="shared" si="51"/>
        <v>157</v>
      </c>
      <c r="M35" s="203">
        <f>L35*$B$4</f>
        <v>3378.0322580645161</v>
      </c>
      <c r="N35" s="203">
        <f t="shared" si="52"/>
        <v>157</v>
      </c>
      <c r="O35" s="203">
        <f>N35*$B$4</f>
        <v>3378.0322580645161</v>
      </c>
      <c r="P35" s="203">
        <f t="shared" si="53"/>
        <v>157</v>
      </c>
      <c r="Q35" s="203">
        <f>P35*$B$4</f>
        <v>3378.0322580645161</v>
      </c>
      <c r="R35" s="203">
        <f t="shared" si="54"/>
        <v>157</v>
      </c>
      <c r="S35" s="203">
        <f>R35*$B$4</f>
        <v>3378.0322580645161</v>
      </c>
      <c r="T35" s="203">
        <f t="shared" si="55"/>
        <v>157</v>
      </c>
      <c r="U35" s="203">
        <f>T35*$B$4</f>
        <v>3378.0322580645161</v>
      </c>
      <c r="V35" s="203">
        <f t="shared" si="56"/>
        <v>157</v>
      </c>
      <c r="W35" s="203">
        <f>V35*$B$4</f>
        <v>3378.0322580645161</v>
      </c>
      <c r="X35" s="35">
        <f t="shared" si="57"/>
        <v>0.50645161290322571</v>
      </c>
      <c r="Y35" s="36">
        <f t="shared" si="58"/>
        <v>37158.354838709674</v>
      </c>
      <c r="Z35" s="203">
        <f>'B5'!C34</f>
        <v>164</v>
      </c>
      <c r="AA35" s="203">
        <f>SUM(Z35*$Z$4)</f>
        <v>1640</v>
      </c>
      <c r="AB35" s="203">
        <f t="shared" si="59"/>
        <v>164</v>
      </c>
      <c r="AC35" s="203">
        <f>SUM(AB35*$Z$4)</f>
        <v>1640</v>
      </c>
      <c r="AD35" s="203">
        <f t="shared" si="60"/>
        <v>164</v>
      </c>
      <c r="AE35" s="203">
        <f>SUM(AD35*$Z$4)</f>
        <v>1640</v>
      </c>
      <c r="AF35" s="203">
        <f t="shared" si="61"/>
        <v>164</v>
      </c>
      <c r="AG35" s="203">
        <f>SUM(AF35*$Z$4)</f>
        <v>1640</v>
      </c>
      <c r="AH35" s="203">
        <f t="shared" si="62"/>
        <v>164</v>
      </c>
      <c r="AI35" s="203">
        <f>SUM(AH35*$Z$4)</f>
        <v>1640</v>
      </c>
      <c r="AJ35" s="203">
        <f t="shared" si="63"/>
        <v>164</v>
      </c>
      <c r="AK35" s="203">
        <f>SUM(AJ35*$Z$4)</f>
        <v>1640</v>
      </c>
      <c r="AL35" s="203">
        <f t="shared" si="64"/>
        <v>164</v>
      </c>
      <c r="AM35" s="203">
        <f>SUM(AL35*$Z$4)</f>
        <v>1640</v>
      </c>
      <c r="AN35" s="35">
        <f t="shared" si="65"/>
        <v>0.58571428571428574</v>
      </c>
      <c r="AO35" s="36">
        <f t="shared" si="66"/>
        <v>11480</v>
      </c>
      <c r="AQ35" s="223">
        <f>SUM(AR35/92970)</f>
        <v>0.52316182466074723</v>
      </c>
      <c r="AR35" s="38">
        <f t="shared" si="67"/>
        <v>48638.354838709674</v>
      </c>
      <c r="AS35" s="197">
        <f t="shared" si="46"/>
        <v>0</v>
      </c>
      <c r="AT35" s="349"/>
      <c r="AU35" s="578"/>
      <c r="AV35" s="562">
        <f>IF(AT35&gt;0,AU35,AV34)</f>
        <v>0.61499999999999999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7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6">
        <f>ELEC!C34</f>
        <v>44500</v>
      </c>
      <c r="B36">
        <f>'B5'!B35</f>
        <v>157</v>
      </c>
      <c r="C36" s="203">
        <f>B36*$B$4</f>
        <v>3378.0322580645161</v>
      </c>
      <c r="D36">
        <f t="shared" ref="D36" si="68">SUM(B36)</f>
        <v>157</v>
      </c>
      <c r="E36" s="203">
        <f>D36*$B$4</f>
        <v>3378.0322580645161</v>
      </c>
      <c r="F36">
        <f t="shared" ref="F36" si="69">SUM(D36)</f>
        <v>157</v>
      </c>
      <c r="G36" s="203">
        <f>F36*$B$4</f>
        <v>3378.0322580645161</v>
      </c>
      <c r="H36" s="203">
        <f t="shared" ref="H36" si="70">SUM(F36)</f>
        <v>157</v>
      </c>
      <c r="I36" s="203">
        <f>H36*$B$4</f>
        <v>3378.0322580645161</v>
      </c>
      <c r="J36" s="203">
        <f t="shared" ref="J36" si="71">SUM(H36)</f>
        <v>157</v>
      </c>
      <c r="K36" s="203">
        <f>J36*$B$4</f>
        <v>3378.0322580645161</v>
      </c>
      <c r="L36" s="203">
        <f t="shared" ref="L36" si="72">SUM(J36)</f>
        <v>157</v>
      </c>
      <c r="M36" s="203">
        <f>L36*$B$4</f>
        <v>3378.0322580645161</v>
      </c>
      <c r="N36" s="203">
        <f t="shared" ref="N36" si="73">SUM(L36)</f>
        <v>157</v>
      </c>
      <c r="O36" s="203">
        <f>N36*$B$4</f>
        <v>3378.0322580645161</v>
      </c>
      <c r="P36" s="203">
        <f t="shared" ref="P36" si="74">SUM(N36)</f>
        <v>157</v>
      </c>
      <c r="Q36" s="203">
        <f>P36*$B$4</f>
        <v>3378.0322580645161</v>
      </c>
      <c r="R36" s="203">
        <f t="shared" ref="R36" si="75">SUM(P36)</f>
        <v>157</v>
      </c>
      <c r="S36" s="203">
        <f>R36*$B$4</f>
        <v>3378.0322580645161</v>
      </c>
      <c r="T36" s="203">
        <f t="shared" ref="T36" si="76">SUM(R36)</f>
        <v>157</v>
      </c>
      <c r="U36" s="203">
        <f>T36*$B$4</f>
        <v>3378.0322580645161</v>
      </c>
      <c r="V36" s="203">
        <f t="shared" ref="V36" si="77">SUM(T36)</f>
        <v>157</v>
      </c>
      <c r="W36" s="203">
        <f>V36*$B$4</f>
        <v>3378.0322580645161</v>
      </c>
      <c r="X36" s="35">
        <f t="shared" ref="X36" si="78">SUM(Y36/73370)</f>
        <v>0.50645161290322571</v>
      </c>
      <c r="Y36" s="36">
        <f t="shared" ref="Y36" si="79">SUM(C36+E36+G36+I36+K36+M36+O36+Q36+S36+U36+W36)</f>
        <v>37158.354838709674</v>
      </c>
      <c r="Z36" s="203">
        <f>'B5'!C35</f>
        <v>164</v>
      </c>
      <c r="AA36" s="203">
        <f>SUM(Z36*$Z$4)</f>
        <v>1640</v>
      </c>
      <c r="AB36" s="203">
        <f t="shared" ref="AB36" si="80">SUM(Z36)</f>
        <v>164</v>
      </c>
      <c r="AC36" s="203">
        <f>SUM(AB36*$Z$4)</f>
        <v>1640</v>
      </c>
      <c r="AD36" s="203">
        <f t="shared" ref="AD36" si="81">SUM(AB36)</f>
        <v>164</v>
      </c>
      <c r="AE36" s="203">
        <f>SUM(AD36*$Z$4)</f>
        <v>1640</v>
      </c>
      <c r="AF36" s="203">
        <f t="shared" ref="AF36" si="82">SUM(AD36)</f>
        <v>164</v>
      </c>
      <c r="AG36" s="203">
        <f>SUM(AF36*$Z$4)</f>
        <v>1640</v>
      </c>
      <c r="AH36" s="203">
        <f t="shared" ref="AH36" si="83">SUM(AF36)</f>
        <v>164</v>
      </c>
      <c r="AI36" s="203">
        <f>SUM(AH36*$Z$4)</f>
        <v>1640</v>
      </c>
      <c r="AJ36" s="203">
        <f t="shared" ref="AJ36" si="84">SUM(AH36)</f>
        <v>164</v>
      </c>
      <c r="AK36" s="203">
        <f>SUM(AJ36*$Z$4)</f>
        <v>1640</v>
      </c>
      <c r="AL36" s="203">
        <f t="shared" ref="AL36" si="85">SUM(AJ36)</f>
        <v>164</v>
      </c>
      <c r="AM36" s="203">
        <f>SUM(AL36*$Z$4)</f>
        <v>1640</v>
      </c>
      <c r="AN36" s="35">
        <f t="shared" ref="AN36" si="86">SUM(AO36/19600)</f>
        <v>0.58571428571428574</v>
      </c>
      <c r="AO36" s="36">
        <f t="shared" ref="AO36" si="87">SUM(AA36+AC36+AE36+AG36+AI36+AK36+AM36)</f>
        <v>11480</v>
      </c>
      <c r="AQ36" s="223">
        <f>SUM(AR36/92970)</f>
        <v>0.52316182466074723</v>
      </c>
      <c r="AR36" s="38">
        <f t="shared" si="45"/>
        <v>48638.354838709674</v>
      </c>
      <c r="AS36" s="197">
        <f t="shared" si="46"/>
        <v>0</v>
      </c>
      <c r="AT36" s="349"/>
      <c r="AU36" s="578"/>
      <c r="AV36" s="562">
        <f>IF(AT36&gt;0,AU36,AV35)</f>
        <v>0.61499999999999999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7">
        <f>SUM('General information '!E35)</f>
        <v>0</v>
      </c>
      <c r="BC36" s="17"/>
      <c r="BD36" s="595"/>
      <c r="BE36" s="596"/>
      <c r="BF36" s="596"/>
      <c r="BG36" s="596"/>
      <c r="BH36" s="597"/>
    </row>
    <row r="37" spans="1:60">
      <c r="AQ37" s="20"/>
      <c r="AR37" s="469" t="s">
        <v>224</v>
      </c>
      <c r="AS37" s="474">
        <f>COUNT(AT6:AT36)</f>
        <v>1</v>
      </c>
      <c r="AT37" s="203">
        <f>SUM(AT6:AT36)</f>
        <v>5000</v>
      </c>
      <c r="AU37" s="573">
        <f>SUM(AU6:AU36)/AS37</f>
        <v>0.61499999999999999</v>
      </c>
      <c r="AX37" s="203">
        <f>SUM(AX6:AX36)</f>
        <v>-1545.5483870967801</v>
      </c>
      <c r="AY37" s="203">
        <f>SUM(AY6:AY36)</f>
        <v>-1626.5483870967801</v>
      </c>
    </row>
    <row r="38" spans="1:60">
      <c r="AS38" s="206"/>
      <c r="AT38" s="82">
        <f>+AT37*AU37</f>
        <v>3075</v>
      </c>
    </row>
    <row r="40" spans="1:60">
      <c r="AS40" s="165" t="e">
        <f>SUM(AS6:AS36)/'EDl log'!A35</f>
        <v>#DIV/0!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-3.568654060580434E-2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A36" sqref="A3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'[2]EDl log'!$A$33</f>
        <v>44469</v>
      </c>
      <c r="B3" s="260">
        <f>'[2]EDl log'!B33</f>
        <v>1095809</v>
      </c>
      <c r="C3" s="260">
        <f>'[2]EDl log'!C33</f>
        <v>353</v>
      </c>
      <c r="D3" s="260">
        <f>'[2]EDl log'!D33</f>
        <v>356</v>
      </c>
      <c r="E3" s="260">
        <f>'[2]EDl log'!E33</f>
        <v>1095812</v>
      </c>
      <c r="F3" s="260">
        <f>'[2]EDl log'!F33</f>
        <v>159392</v>
      </c>
      <c r="G3" s="260">
        <f>'[2]EDl log'!G33</f>
        <v>0</v>
      </c>
      <c r="H3" s="260">
        <f>'[2]EDl log'!H33</f>
        <v>537522</v>
      </c>
      <c r="I3" s="260">
        <f>'[2]EDl log'!I33</f>
        <v>356</v>
      </c>
      <c r="J3" s="260">
        <f>'[2]EDl log'!J33</f>
        <v>398895</v>
      </c>
      <c r="K3" s="260">
        <f>'[2]EDl log'!K33</f>
        <v>0</v>
      </c>
      <c r="L3" s="260">
        <f>'[2]EDl log'!L33</f>
        <v>0</v>
      </c>
      <c r="M3" s="260">
        <f>'[2]EDl log'!M33</f>
        <v>26.449087893864014</v>
      </c>
      <c r="N3" s="260">
        <f>'[2]EDl log'!N33</f>
        <v>0</v>
      </c>
      <c r="O3" s="260">
        <f>'[2]EDl log'!O33</f>
        <v>159.96313985627418</v>
      </c>
      <c r="P3" s="260">
        <f>'[2]EDl log'!P33</f>
        <v>186.41222775013819</v>
      </c>
      <c r="Q3" s="260">
        <f>'[2]EDl log'!Q33</f>
        <v>1337.691129032255</v>
      </c>
      <c r="R3" s="260">
        <f>'[2]EDl log'!R33</f>
        <v>1524.1033567823933</v>
      </c>
      <c r="S3" s="260">
        <f>'[2]EDl log'!S33</f>
        <v>6462.6000000000931</v>
      </c>
      <c r="T3" s="260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9">
        <f>B3</f>
        <v>1095809</v>
      </c>
      <c r="C4" s="260">
        <f t="shared" ref="C4:C30" si="0">SUM(B4-B3)</f>
        <v>0</v>
      </c>
      <c r="D4" s="303">
        <f>SUM(G4+I4+K4)</f>
        <v>0</v>
      </c>
      <c r="E4" s="303">
        <f>B3+D4</f>
        <v>1095809</v>
      </c>
      <c r="F4" s="563">
        <f>F3</f>
        <v>159392</v>
      </c>
      <c r="G4" s="160">
        <f t="shared" ref="G4:G30" si="1">F4-F3</f>
        <v>0</v>
      </c>
      <c r="H4" s="563">
        <f>H3</f>
        <v>537522</v>
      </c>
      <c r="I4" s="161">
        <f t="shared" ref="I4:I30" si="2">H4-H3</f>
        <v>0</v>
      </c>
      <c r="J4" s="563">
        <f>J3</f>
        <v>398895</v>
      </c>
      <c r="K4" s="162">
        <f t="shared" ref="K4:K30" si="3">J4-J3</f>
        <v>0</v>
      </c>
      <c r="L4" s="291">
        <f t="shared" ref="L4:L13" si="4">SUM(G4*$Y$28)/1507.5</f>
        <v>0</v>
      </c>
      <c r="M4" s="291">
        <f t="shared" ref="M4:M13" si="5">SUM(I4*$Y$27)/1507.5</f>
        <v>0</v>
      </c>
      <c r="N4" s="291">
        <f t="shared" ref="N4:N13" si="6">SUM(K4*$Y$26)/1507.5</f>
        <v>0</v>
      </c>
      <c r="O4" s="291">
        <f>($AC$29/$A$37)/1507.5</f>
        <v>154.80303857058792</v>
      </c>
      <c r="P4" s="292">
        <f>SUM(L4:O4)</f>
        <v>154.80303857058792</v>
      </c>
      <c r="Q4" s="292">
        <f>SUM(-tanks!AX6*tanks!$AU$37)</f>
        <v>3075</v>
      </c>
      <c r="R4" s="292">
        <f>SUM(P4:Q4)</f>
        <v>3229.8030385705879</v>
      </c>
      <c r="S4" s="294">
        <f>SUM(ELEC!N4)</f>
        <v>0</v>
      </c>
      <c r="T4" s="330">
        <f>IF(S4&gt;0,R4/S4,0)</f>
        <v>0</v>
      </c>
      <c r="U4" s="246"/>
      <c r="V4" s="247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78"/>
      <c r="AC4" s="679"/>
    </row>
    <row r="5" spans="1:32" ht="20.100000000000001" customHeight="1">
      <c r="A5" s="163">
        <f>ELEC!C5</f>
        <v>44471</v>
      </c>
      <c r="B5" s="635">
        <f t="shared" ref="B5:B34" si="7">B4</f>
        <v>1095809</v>
      </c>
      <c r="C5" s="260">
        <f t="shared" si="0"/>
        <v>0</v>
      </c>
      <c r="D5" s="303">
        <f>SUM(G5+I5+K5)</f>
        <v>0</v>
      </c>
      <c r="E5" s="303">
        <f>B4+D5</f>
        <v>1095809</v>
      </c>
      <c r="F5" s="635">
        <f t="shared" ref="F5:F34" si="8">F4</f>
        <v>159392</v>
      </c>
      <c r="G5" s="160">
        <f t="shared" si="1"/>
        <v>0</v>
      </c>
      <c r="H5" s="635">
        <f t="shared" ref="H5:H34" si="9">H4</f>
        <v>537522</v>
      </c>
      <c r="I5" s="161">
        <f t="shared" si="2"/>
        <v>0</v>
      </c>
      <c r="J5" s="635">
        <f t="shared" ref="J5:J34" si="10">J4</f>
        <v>398895</v>
      </c>
      <c r="K5" s="162">
        <f t="shared" si="3"/>
        <v>0</v>
      </c>
      <c r="L5" s="291">
        <f t="shared" si="4"/>
        <v>0</v>
      </c>
      <c r="M5" s="291">
        <f t="shared" si="5"/>
        <v>0</v>
      </c>
      <c r="N5" s="291">
        <f t="shared" si="6"/>
        <v>0</v>
      </c>
      <c r="O5" s="291">
        <f t="shared" ref="O5:O34" si="11">($AC$29/$A$37)/1507.5</f>
        <v>154.80303857058792</v>
      </c>
      <c r="P5" s="292">
        <f t="shared" ref="P5:P30" si="12">SUM(L5:O5)</f>
        <v>154.80303857058792</v>
      </c>
      <c r="Q5" s="292">
        <f>SUM(-tanks!AX7*tanks!$AU$37)</f>
        <v>0</v>
      </c>
      <c r="R5" s="292">
        <f t="shared" ref="R5:R30" si="13">SUM(P5:Q5)</f>
        <v>154.80303857058792</v>
      </c>
      <c r="S5" s="294">
        <f>SUM(ELEC!N5)</f>
        <v>0</v>
      </c>
      <c r="T5" s="330">
        <f>IF(S5&gt;0,R5/S5,0)</f>
        <v>0</v>
      </c>
      <c r="U5" s="246"/>
      <c r="V5" s="672"/>
      <c r="W5" s="673"/>
      <c r="X5" s="673"/>
      <c r="Y5" s="674"/>
      <c r="Z5" s="26" t="s">
        <v>202</v>
      </c>
      <c r="AA5" s="260">
        <f>'[7]EDl log'!AA22</f>
        <v>5000</v>
      </c>
      <c r="AB5" s="680"/>
      <c r="AC5" s="681"/>
    </row>
    <row r="6" spans="1:32" ht="20.100000000000001" customHeight="1">
      <c r="A6" s="163">
        <f>ELEC!C6</f>
        <v>44472</v>
      </c>
      <c r="B6" s="635">
        <f t="shared" si="7"/>
        <v>1095809</v>
      </c>
      <c r="C6" s="260">
        <f t="shared" si="0"/>
        <v>0</v>
      </c>
      <c r="D6" s="303">
        <f t="shared" ref="D6:D33" si="14">SUM(G6+I6+K6)</f>
        <v>0</v>
      </c>
      <c r="E6" s="303">
        <f t="shared" ref="E6:E30" si="15">B5+D6</f>
        <v>1095809</v>
      </c>
      <c r="F6" s="635">
        <f t="shared" si="8"/>
        <v>159392</v>
      </c>
      <c r="G6" s="160">
        <f t="shared" si="1"/>
        <v>0</v>
      </c>
      <c r="H6" s="635">
        <f t="shared" si="9"/>
        <v>537522</v>
      </c>
      <c r="I6" s="161">
        <f t="shared" si="2"/>
        <v>0</v>
      </c>
      <c r="J6" s="635">
        <f t="shared" si="10"/>
        <v>398895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11"/>
        <v>154.80303857058792</v>
      </c>
      <c r="P6" s="292">
        <f t="shared" si="12"/>
        <v>154.80303857058792</v>
      </c>
      <c r="Q6" s="292">
        <f>SUM(-tanks!AX8*tanks!$AU$37)</f>
        <v>-2124.4877419354802</v>
      </c>
      <c r="R6" s="292">
        <f t="shared" si="13"/>
        <v>-1969.6847033648924</v>
      </c>
      <c r="S6" s="294">
        <f>SUM(ELEC!N6)</f>
        <v>6878</v>
      </c>
      <c r="T6" s="330">
        <f t="shared" ref="T6:T30" si="16">IF(S6&gt;0,R6/S6,0)</f>
        <v>-0.28637462974191513</v>
      </c>
      <c r="V6" s="675"/>
      <c r="W6" s="676"/>
      <c r="X6" s="676"/>
      <c r="Y6" s="677"/>
      <c r="Z6" s="3"/>
      <c r="AA6" s="3"/>
      <c r="AB6" s="680"/>
      <c r="AC6" s="681"/>
    </row>
    <row r="7" spans="1:32" ht="20.100000000000001" customHeight="1">
      <c r="A7" s="163">
        <f>ELEC!C7</f>
        <v>44473</v>
      </c>
      <c r="B7" s="635">
        <f t="shared" si="7"/>
        <v>1095809</v>
      </c>
      <c r="C7" s="260">
        <f t="shared" si="0"/>
        <v>0</v>
      </c>
      <c r="D7" s="303">
        <f t="shared" si="14"/>
        <v>0</v>
      </c>
      <c r="E7" s="303">
        <f t="shared" si="15"/>
        <v>1095809</v>
      </c>
      <c r="F7" s="635">
        <f t="shared" si="8"/>
        <v>159392</v>
      </c>
      <c r="G7" s="160">
        <f t="shared" si="1"/>
        <v>0</v>
      </c>
      <c r="H7" s="635">
        <f t="shared" si="9"/>
        <v>537522</v>
      </c>
      <c r="I7" s="161">
        <f t="shared" si="2"/>
        <v>0</v>
      </c>
      <c r="J7" s="635">
        <f t="shared" si="10"/>
        <v>398895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11"/>
        <v>154.80303857058792</v>
      </c>
      <c r="P7" s="292">
        <f t="shared" si="12"/>
        <v>154.80303857058792</v>
      </c>
      <c r="Q7" s="292">
        <f>SUM(-tanks!AX9*tanks!$AU$37)</f>
        <v>0</v>
      </c>
      <c r="R7" s="292">
        <f t="shared" si="13"/>
        <v>154.80303857058792</v>
      </c>
      <c r="S7" s="294">
        <f>SUM(ELEC!N7)</f>
        <v>0</v>
      </c>
      <c r="T7" s="330">
        <f t="shared" si="16"/>
        <v>0</v>
      </c>
      <c r="V7" s="668" t="s">
        <v>203</v>
      </c>
      <c r="W7" s="669"/>
      <c r="X7" s="670" t="s">
        <v>204</v>
      </c>
      <c r="Y7" s="671"/>
      <c r="Z7" s="669"/>
      <c r="AA7" s="26"/>
      <c r="AB7" s="682"/>
      <c r="AC7" s="683"/>
    </row>
    <row r="8" spans="1:32" ht="20.100000000000001" customHeight="1">
      <c r="A8" s="163">
        <f>ELEC!C8</f>
        <v>44474</v>
      </c>
      <c r="B8" s="635">
        <f t="shared" si="7"/>
        <v>1095809</v>
      </c>
      <c r="C8" s="260">
        <f t="shared" si="0"/>
        <v>0</v>
      </c>
      <c r="D8" s="303">
        <f t="shared" si="14"/>
        <v>0</v>
      </c>
      <c r="E8" s="303">
        <f t="shared" si="15"/>
        <v>1095809</v>
      </c>
      <c r="F8" s="635">
        <f t="shared" si="8"/>
        <v>159392</v>
      </c>
      <c r="G8" s="160">
        <f t="shared" si="1"/>
        <v>0</v>
      </c>
      <c r="H8" s="635">
        <f t="shared" si="9"/>
        <v>537522</v>
      </c>
      <c r="I8" s="161">
        <f t="shared" si="2"/>
        <v>0</v>
      </c>
      <c r="J8" s="635">
        <f t="shared" si="10"/>
        <v>398895</v>
      </c>
      <c r="K8" s="162">
        <f>J8-J7</f>
        <v>0</v>
      </c>
      <c r="L8" s="291">
        <f t="shared" si="4"/>
        <v>0</v>
      </c>
      <c r="M8" s="291">
        <f t="shared" si="5"/>
        <v>0</v>
      </c>
      <c r="N8" s="291">
        <f t="shared" si="6"/>
        <v>0</v>
      </c>
      <c r="O8" s="291">
        <f t="shared" si="11"/>
        <v>154.80303857058792</v>
      </c>
      <c r="P8" s="292">
        <f t="shared" si="12"/>
        <v>154.80303857058792</v>
      </c>
      <c r="Q8" s="292">
        <f>SUM(-tanks!AX10*tanks!$AU$37)</f>
        <v>0</v>
      </c>
      <c r="R8" s="292">
        <f t="shared" si="13"/>
        <v>154.80303857058792</v>
      </c>
      <c r="S8" s="294">
        <f>SUM(ELEC!N8)</f>
        <v>0</v>
      </c>
      <c r="T8" s="330">
        <f>IF(S8&gt;0,R8/S8,0)</f>
        <v>0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8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44475</v>
      </c>
      <c r="B9" s="635">
        <f t="shared" si="7"/>
        <v>1095809</v>
      </c>
      <c r="C9" s="260">
        <f t="shared" si="0"/>
        <v>0</v>
      </c>
      <c r="D9" s="303">
        <f t="shared" si="14"/>
        <v>0</v>
      </c>
      <c r="E9" s="303">
        <f t="shared" si="15"/>
        <v>1095809</v>
      </c>
      <c r="F9" s="635">
        <f t="shared" si="8"/>
        <v>159392</v>
      </c>
      <c r="G9" s="160">
        <f t="shared" si="1"/>
        <v>0</v>
      </c>
      <c r="H9" s="635">
        <f t="shared" si="9"/>
        <v>537522</v>
      </c>
      <c r="I9" s="161">
        <f t="shared" si="2"/>
        <v>0</v>
      </c>
      <c r="J9" s="635">
        <f t="shared" si="10"/>
        <v>398895</v>
      </c>
      <c r="K9" s="162">
        <f>J9-J8</f>
        <v>0</v>
      </c>
      <c r="L9" s="291">
        <f t="shared" si="4"/>
        <v>0</v>
      </c>
      <c r="M9" s="291">
        <f t="shared" si="5"/>
        <v>0</v>
      </c>
      <c r="N9" s="291">
        <f t="shared" si="6"/>
        <v>0</v>
      </c>
      <c r="O9" s="291">
        <f t="shared" si="11"/>
        <v>154.80303857058792</v>
      </c>
      <c r="P9" s="292">
        <f t="shared" si="12"/>
        <v>154.80303857058792</v>
      </c>
      <c r="Q9" s="292">
        <f>SUM(-tanks!AX11*tanks!$AU$37)</f>
        <v>0</v>
      </c>
      <c r="R9" s="292">
        <f>SUM(P9:Q9)</f>
        <v>154.80303857058792</v>
      </c>
      <c r="S9" s="294">
        <f>SUM(ELEC!N9)</f>
        <v>0</v>
      </c>
      <c r="T9" s="330">
        <f t="shared" si="16"/>
        <v>0</v>
      </c>
      <c r="V9" s="250">
        <f>'[2]EDl log'!V26</f>
        <v>397791</v>
      </c>
      <c r="W9" s="250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7">
        <f>'[2]EDl log'!AD26</f>
        <v>0.19477769936485531</v>
      </c>
    </row>
    <row r="10" spans="1:32" ht="20.100000000000001" customHeight="1">
      <c r="A10" s="163">
        <f>ELEC!C10</f>
        <v>44476</v>
      </c>
      <c r="B10" s="635">
        <f t="shared" si="7"/>
        <v>1095809</v>
      </c>
      <c r="C10" s="260">
        <f t="shared" si="0"/>
        <v>0</v>
      </c>
      <c r="D10" s="303">
        <f t="shared" si="14"/>
        <v>0</v>
      </c>
      <c r="E10" s="303">
        <f t="shared" si="15"/>
        <v>1095809</v>
      </c>
      <c r="F10" s="635">
        <f t="shared" si="8"/>
        <v>159392</v>
      </c>
      <c r="G10" s="160">
        <f t="shared" si="1"/>
        <v>0</v>
      </c>
      <c r="H10" s="635">
        <f t="shared" si="9"/>
        <v>537522</v>
      </c>
      <c r="I10" s="161">
        <f t="shared" si="2"/>
        <v>0</v>
      </c>
      <c r="J10" s="635">
        <f t="shared" si="10"/>
        <v>398895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11"/>
        <v>154.80303857058792</v>
      </c>
      <c r="P10" s="292">
        <f t="shared" si="12"/>
        <v>154.80303857058792</v>
      </c>
      <c r="Q10" s="292">
        <f>SUM(-tanks!AX12*tanks!$AU$37)</f>
        <v>0</v>
      </c>
      <c r="R10" s="292">
        <f t="shared" si="13"/>
        <v>154.80303857058792</v>
      </c>
      <c r="S10" s="294">
        <f>SUM(ELEC!N10)</f>
        <v>0</v>
      </c>
      <c r="T10" s="330">
        <f t="shared" si="16"/>
        <v>0</v>
      </c>
      <c r="V10" s="250">
        <f>'[2]EDl log'!V27</f>
        <v>533436</v>
      </c>
      <c r="W10" s="250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7">
        <f>'[2]EDl log'!AD27</f>
        <v>0.72088920254057864</v>
      </c>
    </row>
    <row r="11" spans="1:32" ht="20.100000000000001" customHeight="1">
      <c r="A11" s="163">
        <f>ELEC!C11</f>
        <v>44477</v>
      </c>
      <c r="B11" s="635">
        <f t="shared" si="7"/>
        <v>1095809</v>
      </c>
      <c r="C11" s="260">
        <f t="shared" si="0"/>
        <v>0</v>
      </c>
      <c r="D11" s="303">
        <f t="shared" si="14"/>
        <v>0</v>
      </c>
      <c r="E11" s="303">
        <f t="shared" si="15"/>
        <v>1095809</v>
      </c>
      <c r="F11" s="635">
        <f t="shared" si="8"/>
        <v>159392</v>
      </c>
      <c r="G11" s="160">
        <f t="shared" si="1"/>
        <v>0</v>
      </c>
      <c r="H11" s="635">
        <f t="shared" si="9"/>
        <v>537522</v>
      </c>
      <c r="I11" s="161">
        <f t="shared" si="2"/>
        <v>0</v>
      </c>
      <c r="J11" s="635">
        <f t="shared" si="10"/>
        <v>398895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11"/>
        <v>154.80303857058792</v>
      </c>
      <c r="P11" s="292">
        <f t="shared" si="12"/>
        <v>154.80303857058792</v>
      </c>
      <c r="Q11" s="292">
        <f>SUM(-tanks!AX13*tanks!$AU$37)</f>
        <v>0</v>
      </c>
      <c r="R11" s="292">
        <f t="shared" si="13"/>
        <v>154.80303857058792</v>
      </c>
      <c r="S11" s="294">
        <f>SUM(ELEC!N11)</f>
        <v>0</v>
      </c>
      <c r="T11" s="330">
        <f t="shared" si="16"/>
        <v>0</v>
      </c>
      <c r="V11" s="250">
        <f>'[2]EDl log'!V28</f>
        <v>158913</v>
      </c>
      <c r="W11" s="250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7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35">
        <f t="shared" si="7"/>
        <v>1095809</v>
      </c>
      <c r="C12" s="260">
        <f t="shared" si="0"/>
        <v>0</v>
      </c>
      <c r="D12" s="303">
        <f t="shared" si="14"/>
        <v>0</v>
      </c>
      <c r="E12" s="303">
        <f t="shared" si="15"/>
        <v>1095809</v>
      </c>
      <c r="F12" s="635">
        <f t="shared" si="8"/>
        <v>159392</v>
      </c>
      <c r="G12" s="160">
        <f t="shared" si="1"/>
        <v>0</v>
      </c>
      <c r="H12" s="635">
        <f t="shared" si="9"/>
        <v>537522</v>
      </c>
      <c r="I12" s="161">
        <f t="shared" si="2"/>
        <v>0</v>
      </c>
      <c r="J12" s="635">
        <f t="shared" si="10"/>
        <v>398895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11"/>
        <v>154.80303857058792</v>
      </c>
      <c r="P12" s="292">
        <f t="shared" si="12"/>
        <v>154.80303857058792</v>
      </c>
      <c r="Q12" s="292">
        <f>SUM(-tanks!AX14*tanks!$AU$37)</f>
        <v>0</v>
      </c>
      <c r="R12" s="292">
        <f t="shared" si="13"/>
        <v>154.80303857058792</v>
      </c>
      <c r="S12" s="294">
        <f>SUM(ELEC!N12)</f>
        <v>0</v>
      </c>
      <c r="T12" s="330">
        <f t="shared" si="16"/>
        <v>0</v>
      </c>
      <c r="V12" s="548"/>
      <c r="W12" s="260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35">
        <f t="shared" si="7"/>
        <v>1095809</v>
      </c>
      <c r="C13" s="260">
        <f t="shared" si="0"/>
        <v>0</v>
      </c>
      <c r="D13" s="303">
        <f t="shared" si="14"/>
        <v>0</v>
      </c>
      <c r="E13" s="303">
        <f t="shared" si="15"/>
        <v>1095809</v>
      </c>
      <c r="F13" s="635">
        <f t="shared" si="8"/>
        <v>159392</v>
      </c>
      <c r="G13" s="160">
        <f t="shared" si="1"/>
        <v>0</v>
      </c>
      <c r="H13" s="635">
        <f t="shared" si="9"/>
        <v>537522</v>
      </c>
      <c r="I13" s="161">
        <f t="shared" si="2"/>
        <v>0</v>
      </c>
      <c r="J13" s="635">
        <f t="shared" si="10"/>
        <v>398895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11"/>
        <v>154.80303857058792</v>
      </c>
      <c r="P13" s="292">
        <f t="shared" si="12"/>
        <v>154.80303857058792</v>
      </c>
      <c r="Q13" s="292">
        <f>SUM(-tanks!AX15*tanks!$AU$37)</f>
        <v>0</v>
      </c>
      <c r="R13" s="292">
        <f t="shared" si="13"/>
        <v>154.80303857058792</v>
      </c>
      <c r="S13" s="294">
        <f>SUM(ELEC!N13)</f>
        <v>0</v>
      </c>
      <c r="T13" s="330">
        <f>IF(S13&gt;0,R13/S13,0)</f>
        <v>0</v>
      </c>
      <c r="V13" s="548" t="str">
        <f>'[7]EDl log'!V30</f>
        <v>Occ %</v>
      </c>
      <c r="W13" s="564">
        <f>'[9]EDl log'!W30</f>
        <v>0</v>
      </c>
      <c r="X13" s="492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35">
        <f t="shared" si="7"/>
        <v>1095809</v>
      </c>
      <c r="C14" s="260">
        <f t="shared" si="0"/>
        <v>0</v>
      </c>
      <c r="D14" s="303">
        <f t="shared" si="14"/>
        <v>0</v>
      </c>
      <c r="E14" s="303">
        <f t="shared" si="15"/>
        <v>1095809</v>
      </c>
      <c r="F14" s="635">
        <f t="shared" si="8"/>
        <v>159392</v>
      </c>
      <c r="G14" s="160">
        <f t="shared" si="1"/>
        <v>0</v>
      </c>
      <c r="H14" s="635">
        <f t="shared" si="9"/>
        <v>537522</v>
      </c>
      <c r="I14" s="161">
        <f t="shared" si="2"/>
        <v>0</v>
      </c>
      <c r="J14" s="635">
        <f t="shared" si="10"/>
        <v>398895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11"/>
        <v>154.80303857058792</v>
      </c>
      <c r="P14" s="292">
        <f>SUM(L14:O14)</f>
        <v>154.80303857058792</v>
      </c>
      <c r="Q14" s="292">
        <f>SUM(-tanks!AX16*tanks!$AU$37)</f>
        <v>0</v>
      </c>
      <c r="R14" s="292">
        <f>SUM(P14:Q14)</f>
        <v>154.80303857058792</v>
      </c>
      <c r="S14" s="294">
        <f>SUM(ELEC!N14)</f>
        <v>0</v>
      </c>
      <c r="T14" s="330">
        <f>IF(S14&gt;0,R14/S14,0)</f>
        <v>0</v>
      </c>
      <c r="V14" s="548" t="str">
        <f>'[7]EDl log'!V31</f>
        <v>Gen RH</v>
      </c>
      <c r="W14" s="565">
        <f>'[2]EDl log'!W33</f>
        <v>325</v>
      </c>
      <c r="X14" s="565">
        <f>'[2]EDl log'!X33</f>
        <v>21.666666666666668</v>
      </c>
      <c r="Y14" s="607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35">
        <f t="shared" si="7"/>
        <v>1095809</v>
      </c>
      <c r="C15" s="260">
        <f t="shared" si="0"/>
        <v>0</v>
      </c>
      <c r="D15" s="303">
        <f t="shared" si="14"/>
        <v>0</v>
      </c>
      <c r="E15" s="303">
        <f t="shared" si="15"/>
        <v>1095809</v>
      </c>
      <c r="F15" s="635">
        <f t="shared" si="8"/>
        <v>159392</v>
      </c>
      <c r="G15" s="160">
        <f t="shared" si="1"/>
        <v>0</v>
      </c>
      <c r="H15" s="635">
        <f t="shared" si="9"/>
        <v>537522</v>
      </c>
      <c r="I15" s="161">
        <f t="shared" si="2"/>
        <v>0</v>
      </c>
      <c r="J15" s="635">
        <f t="shared" si="10"/>
        <v>398895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11"/>
        <v>154.80303857058792</v>
      </c>
      <c r="P15" s="292">
        <f>SUM(L15:O15)</f>
        <v>154.80303857058792</v>
      </c>
      <c r="Q15" s="292">
        <f>SUM(-tanks!AX17*tanks!$AU$37)</f>
        <v>0</v>
      </c>
      <c r="R15" s="292">
        <f>SUM(P15:Q15)</f>
        <v>154.80303857058792</v>
      </c>
      <c r="S15" s="294">
        <f>SUM(ELEC!N15)</f>
        <v>0</v>
      </c>
      <c r="T15" s="330">
        <f>IF(S15&gt;0,R15/S15,0)</f>
        <v>0</v>
      </c>
      <c r="V15" s="548" t="str">
        <f>'[7]EDl log'!V32</f>
        <v>H Deg</v>
      </c>
      <c r="W15" s="250">
        <f>'[2]Degree Days 2020'!$J$81</f>
        <v>-183.00000000000003</v>
      </c>
      <c r="X15" s="250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35">
        <f t="shared" si="7"/>
        <v>1095809</v>
      </c>
      <c r="C16" s="260">
        <f t="shared" si="0"/>
        <v>0</v>
      </c>
      <c r="D16" s="303">
        <f t="shared" si="14"/>
        <v>0</v>
      </c>
      <c r="E16" s="303">
        <f t="shared" si="15"/>
        <v>1095809</v>
      </c>
      <c r="F16" s="635">
        <f t="shared" si="8"/>
        <v>159392</v>
      </c>
      <c r="G16" s="160">
        <f t="shared" si="1"/>
        <v>0</v>
      </c>
      <c r="H16" s="635">
        <f t="shared" si="9"/>
        <v>537522</v>
      </c>
      <c r="I16" s="161">
        <f t="shared" si="2"/>
        <v>0</v>
      </c>
      <c r="J16" s="635">
        <f t="shared" si="10"/>
        <v>398895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11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0</v>
      </c>
      <c r="T16" s="330">
        <f>IF(S16&gt;0,R16/S16,0)</f>
        <v>0</v>
      </c>
      <c r="V16" s="548" t="str">
        <f>'[7]EDl log'!V33</f>
        <v>C Deg</v>
      </c>
      <c r="W16" s="250">
        <f>'[2]Degree Days 2020'!$K$81</f>
        <v>176.99999999999997</v>
      </c>
      <c r="X16" s="250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35">
        <f t="shared" si="7"/>
        <v>1095809</v>
      </c>
      <c r="C17" s="260">
        <f t="shared" si="0"/>
        <v>0</v>
      </c>
      <c r="D17" s="303">
        <f t="shared" si="14"/>
        <v>0</v>
      </c>
      <c r="E17" s="303">
        <f t="shared" si="15"/>
        <v>1095809</v>
      </c>
      <c r="F17" s="635">
        <f t="shared" si="8"/>
        <v>159392</v>
      </c>
      <c r="G17" s="160">
        <f>F17-F16</f>
        <v>0</v>
      </c>
      <c r="H17" s="635">
        <f t="shared" si="9"/>
        <v>537522</v>
      </c>
      <c r="I17" s="161">
        <f t="shared" si="2"/>
        <v>0</v>
      </c>
      <c r="J17" s="635">
        <f t="shared" si="10"/>
        <v>398895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11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30">
        <f>IF(S17&gt;0,R17/S17,0)</f>
        <v>0</v>
      </c>
      <c r="V17" s="249"/>
      <c r="W17" s="492"/>
      <c r="X17" s="17"/>
      <c r="Y17" s="423"/>
      <c r="Z17" s="492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35">
        <f t="shared" si="7"/>
        <v>1095809</v>
      </c>
      <c r="C18" s="260">
        <f>SUM(B18-B17)</f>
        <v>0</v>
      </c>
      <c r="D18" s="303">
        <f>SUM(G18+I18+K18)</f>
        <v>0</v>
      </c>
      <c r="E18" s="303">
        <f t="shared" si="15"/>
        <v>1095809</v>
      </c>
      <c r="F18" s="635">
        <f t="shared" si="8"/>
        <v>159392</v>
      </c>
      <c r="G18" s="160">
        <f t="shared" si="1"/>
        <v>0</v>
      </c>
      <c r="H18" s="635">
        <f t="shared" si="9"/>
        <v>537522</v>
      </c>
      <c r="I18" s="161">
        <f t="shared" si="2"/>
        <v>0</v>
      </c>
      <c r="J18" s="635">
        <f t="shared" si="10"/>
        <v>398895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11"/>
        <v>154.80303857058792</v>
      </c>
      <c r="P18" s="292">
        <f t="shared" si="12"/>
        <v>154.80303857058792</v>
      </c>
      <c r="Q18" s="292">
        <f>SUM(-tanks!AX20*tanks!$AU$37)</f>
        <v>0</v>
      </c>
      <c r="R18" s="292">
        <f t="shared" si="13"/>
        <v>154.80303857058792</v>
      </c>
      <c r="S18" s="294">
        <f>SUM(ELEC!N18)</f>
        <v>0</v>
      </c>
      <c r="T18" s="330">
        <f t="shared" si="16"/>
        <v>0</v>
      </c>
      <c r="V18" s="226"/>
      <c r="W18" s="227"/>
      <c r="X18" s="227"/>
      <c r="Y18" s="423"/>
      <c r="Z18" s="492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36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35">
        <f t="shared" si="7"/>
        <v>1095809</v>
      </c>
      <c r="C19" s="260">
        <f t="shared" si="0"/>
        <v>0</v>
      </c>
      <c r="D19" s="303">
        <f t="shared" si="14"/>
        <v>0</v>
      </c>
      <c r="E19" s="303">
        <f t="shared" si="15"/>
        <v>1095809</v>
      </c>
      <c r="F19" s="635">
        <f t="shared" si="8"/>
        <v>159392</v>
      </c>
      <c r="G19" s="160">
        <f t="shared" si="1"/>
        <v>0</v>
      </c>
      <c r="H19" s="635">
        <f t="shared" si="9"/>
        <v>537522</v>
      </c>
      <c r="I19" s="161">
        <f t="shared" si="2"/>
        <v>0</v>
      </c>
      <c r="J19" s="635">
        <f t="shared" si="10"/>
        <v>398895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11"/>
        <v>154.80303857058792</v>
      </c>
      <c r="P19" s="292">
        <f t="shared" si="12"/>
        <v>154.80303857058792</v>
      </c>
      <c r="Q19" s="292">
        <f>SUM(-tanks!AX21*tanks!$AU$37)</f>
        <v>0</v>
      </c>
      <c r="R19" s="292">
        <f t="shared" si="13"/>
        <v>154.80303857058792</v>
      </c>
      <c r="S19" s="294">
        <f>SUM(ELEC!N19)</f>
        <v>0</v>
      </c>
      <c r="T19" s="330">
        <f t="shared" si="16"/>
        <v>0</v>
      </c>
      <c r="V19" s="226"/>
      <c r="W19" s="227"/>
      <c r="X19" s="227"/>
      <c r="Y19" s="549"/>
      <c r="Z19" s="549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35">
        <f t="shared" si="7"/>
        <v>1095809</v>
      </c>
      <c r="C20" s="260">
        <f t="shared" si="0"/>
        <v>0</v>
      </c>
      <c r="D20" s="303">
        <f t="shared" si="14"/>
        <v>0</v>
      </c>
      <c r="E20" s="303">
        <f t="shared" si="15"/>
        <v>1095809</v>
      </c>
      <c r="F20" s="635">
        <f t="shared" si="8"/>
        <v>159392</v>
      </c>
      <c r="G20" s="160">
        <f t="shared" si="1"/>
        <v>0</v>
      </c>
      <c r="H20" s="635">
        <f t="shared" si="9"/>
        <v>537522</v>
      </c>
      <c r="I20" s="161">
        <f t="shared" si="2"/>
        <v>0</v>
      </c>
      <c r="J20" s="635">
        <f t="shared" si="10"/>
        <v>398895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11"/>
        <v>154.80303857058792</v>
      </c>
      <c r="P20" s="292">
        <f t="shared" si="12"/>
        <v>154.80303857058792</v>
      </c>
      <c r="Q20" s="292">
        <f>SUM(-tanks!AX22*tanks!$AU$37)</f>
        <v>0</v>
      </c>
      <c r="R20" s="292">
        <f t="shared" si="13"/>
        <v>154.80303857058792</v>
      </c>
      <c r="S20" s="294">
        <f>SUM(ELEC!N20)</f>
        <v>0</v>
      </c>
      <c r="T20" s="330">
        <f t="shared" si="16"/>
        <v>0</v>
      </c>
      <c r="V20" t="s">
        <v>410</v>
      </c>
      <c r="AB20" s="547"/>
    </row>
    <row r="21" spans="1:32" ht="20.100000000000001" customHeight="1">
      <c r="A21" s="163">
        <f>ELEC!C21</f>
        <v>44487</v>
      </c>
      <c r="B21" s="635">
        <f t="shared" si="7"/>
        <v>1095809</v>
      </c>
      <c r="C21" s="260">
        <f t="shared" si="0"/>
        <v>0</v>
      </c>
      <c r="D21" s="303">
        <f t="shared" si="14"/>
        <v>0</v>
      </c>
      <c r="E21" s="303">
        <f t="shared" si="15"/>
        <v>1095809</v>
      </c>
      <c r="F21" s="635">
        <f t="shared" si="8"/>
        <v>159392</v>
      </c>
      <c r="G21" s="160">
        <f t="shared" si="1"/>
        <v>0</v>
      </c>
      <c r="H21" s="635">
        <f t="shared" si="9"/>
        <v>537522</v>
      </c>
      <c r="I21" s="161">
        <f t="shared" si="2"/>
        <v>0</v>
      </c>
      <c r="J21" s="635">
        <f t="shared" si="10"/>
        <v>398895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11"/>
        <v>154.80303857058792</v>
      </c>
      <c r="P21" s="292">
        <f t="shared" si="12"/>
        <v>154.80303857058792</v>
      </c>
      <c r="Q21" s="292">
        <f>SUM(-tanks!AX23*tanks!$AU$37)</f>
        <v>0</v>
      </c>
      <c r="R21" s="292">
        <f t="shared" si="13"/>
        <v>154.80303857058792</v>
      </c>
      <c r="S21" s="294">
        <f>SUM(ELEC!N21)</f>
        <v>0</v>
      </c>
      <c r="T21" s="330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78"/>
      <c r="AC21" s="679"/>
    </row>
    <row r="22" spans="1:32" ht="20.100000000000001" customHeight="1">
      <c r="A22" s="163">
        <f>ELEC!C22</f>
        <v>44488</v>
      </c>
      <c r="B22" s="635">
        <f t="shared" si="7"/>
        <v>1095809</v>
      </c>
      <c r="C22" s="260">
        <f t="shared" si="0"/>
        <v>0</v>
      </c>
      <c r="D22" s="303">
        <f t="shared" si="14"/>
        <v>0</v>
      </c>
      <c r="E22" s="303">
        <f t="shared" si="15"/>
        <v>1095809</v>
      </c>
      <c r="F22" s="635">
        <f t="shared" si="8"/>
        <v>159392</v>
      </c>
      <c r="G22" s="160">
        <f t="shared" si="1"/>
        <v>0</v>
      </c>
      <c r="H22" s="635">
        <f t="shared" si="9"/>
        <v>537522</v>
      </c>
      <c r="I22" s="161">
        <f t="shared" si="2"/>
        <v>0</v>
      </c>
      <c r="J22" s="635">
        <f t="shared" si="10"/>
        <v>398895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11"/>
        <v>154.80303857058792</v>
      </c>
      <c r="P22" s="292">
        <f t="shared" si="12"/>
        <v>154.80303857058792</v>
      </c>
      <c r="Q22" s="292">
        <f>SUM(-tanks!AX24*tanks!$AU$37)</f>
        <v>0</v>
      </c>
      <c r="R22" s="292">
        <f t="shared" si="13"/>
        <v>154.80303857058792</v>
      </c>
      <c r="S22" s="294">
        <f>SUM(ELEC!N22)</f>
        <v>0</v>
      </c>
      <c r="T22" s="330">
        <f t="shared" si="16"/>
        <v>0</v>
      </c>
      <c r="V22" s="684"/>
      <c r="W22" s="685"/>
      <c r="X22" s="685"/>
      <c r="Y22" s="686"/>
      <c r="Z22" s="26" t="s">
        <v>202</v>
      </c>
      <c r="AA22" s="26">
        <v>5000</v>
      </c>
      <c r="AB22" s="680"/>
      <c r="AC22" s="681"/>
    </row>
    <row r="23" spans="1:32" ht="20.100000000000001" customHeight="1">
      <c r="A23" s="163">
        <f>ELEC!C23</f>
        <v>44489</v>
      </c>
      <c r="B23" s="635">
        <f t="shared" si="7"/>
        <v>1095809</v>
      </c>
      <c r="C23" s="260">
        <f t="shared" si="0"/>
        <v>0</v>
      </c>
      <c r="D23" s="303">
        <f t="shared" si="14"/>
        <v>0</v>
      </c>
      <c r="E23" s="303">
        <f t="shared" si="15"/>
        <v>1095809</v>
      </c>
      <c r="F23" s="635">
        <f t="shared" si="8"/>
        <v>159392</v>
      </c>
      <c r="G23" s="160">
        <f t="shared" si="1"/>
        <v>0</v>
      </c>
      <c r="H23" s="635">
        <f t="shared" si="9"/>
        <v>537522</v>
      </c>
      <c r="I23" s="161">
        <f t="shared" si="2"/>
        <v>0</v>
      </c>
      <c r="J23" s="635">
        <f t="shared" si="10"/>
        <v>398895</v>
      </c>
      <c r="K23" s="162">
        <f t="shared" si="3"/>
        <v>0</v>
      </c>
      <c r="L23" s="291">
        <f t="shared" si="17"/>
        <v>0</v>
      </c>
      <c r="M23" s="291">
        <f t="shared" si="18"/>
        <v>0</v>
      </c>
      <c r="N23" s="291">
        <f t="shared" si="19"/>
        <v>0</v>
      </c>
      <c r="O23" s="291">
        <f t="shared" si="11"/>
        <v>154.80303857058792</v>
      </c>
      <c r="P23" s="292">
        <f t="shared" si="12"/>
        <v>154.80303857058792</v>
      </c>
      <c r="Q23" s="292">
        <f>SUM(-tanks!AX25*tanks!$AU$37)</f>
        <v>0</v>
      </c>
      <c r="R23" s="292">
        <f t="shared" si="13"/>
        <v>154.80303857058792</v>
      </c>
      <c r="S23" s="294">
        <f>SUM(ELEC!N23)</f>
        <v>0</v>
      </c>
      <c r="T23" s="330">
        <f t="shared" si="16"/>
        <v>0</v>
      </c>
      <c r="V23" s="687"/>
      <c r="W23" s="688"/>
      <c r="X23" s="688"/>
      <c r="Y23" s="689"/>
      <c r="Z23" s="690"/>
      <c r="AA23" s="691"/>
      <c r="AB23" s="680"/>
      <c r="AC23" s="681"/>
    </row>
    <row r="24" spans="1:32" ht="20.100000000000001" customHeight="1">
      <c r="A24" s="163">
        <f>ELEC!C24</f>
        <v>44490</v>
      </c>
      <c r="B24" s="635">
        <f t="shared" si="7"/>
        <v>1095809</v>
      </c>
      <c r="C24" s="260">
        <f t="shared" si="0"/>
        <v>0</v>
      </c>
      <c r="D24" s="303">
        <f t="shared" si="14"/>
        <v>0</v>
      </c>
      <c r="E24" s="303">
        <f t="shared" si="15"/>
        <v>1095809</v>
      </c>
      <c r="F24" s="635">
        <f t="shared" si="8"/>
        <v>159392</v>
      </c>
      <c r="G24" s="160">
        <f t="shared" si="1"/>
        <v>0</v>
      </c>
      <c r="H24" s="635">
        <f t="shared" si="9"/>
        <v>537522</v>
      </c>
      <c r="I24" s="161">
        <f t="shared" si="2"/>
        <v>0</v>
      </c>
      <c r="J24" s="635">
        <f t="shared" si="10"/>
        <v>398895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11"/>
        <v>154.80303857058792</v>
      </c>
      <c r="P24" s="292">
        <f t="shared" si="12"/>
        <v>154.80303857058792</v>
      </c>
      <c r="Q24" s="292">
        <f>SUM(-tanks!AX26*tanks!$AU$37)</f>
        <v>0</v>
      </c>
      <c r="R24" s="292">
        <f t="shared" si="13"/>
        <v>154.80303857058792</v>
      </c>
      <c r="S24" s="294">
        <f>SUM(ELEC!N24)</f>
        <v>0</v>
      </c>
      <c r="T24" s="330">
        <f t="shared" si="16"/>
        <v>0</v>
      </c>
      <c r="V24" s="692" t="s">
        <v>203</v>
      </c>
      <c r="W24" s="693"/>
      <c r="X24" s="694" t="s">
        <v>204</v>
      </c>
      <c r="Y24" s="695"/>
      <c r="Z24" s="696"/>
      <c r="AA24" s="170"/>
      <c r="AB24" s="682"/>
      <c r="AC24" s="683"/>
    </row>
    <row r="25" spans="1:32" ht="20.100000000000001" customHeight="1">
      <c r="A25" s="163">
        <f>ELEC!C25</f>
        <v>44491</v>
      </c>
      <c r="B25" s="635">
        <f t="shared" si="7"/>
        <v>1095809</v>
      </c>
      <c r="C25" s="260">
        <f t="shared" si="0"/>
        <v>0</v>
      </c>
      <c r="D25" s="303">
        <f t="shared" si="14"/>
        <v>0</v>
      </c>
      <c r="E25" s="303">
        <f t="shared" si="15"/>
        <v>1095809</v>
      </c>
      <c r="F25" s="635">
        <f t="shared" si="8"/>
        <v>159392</v>
      </c>
      <c r="G25" s="160">
        <f t="shared" si="1"/>
        <v>0</v>
      </c>
      <c r="H25" s="635">
        <f t="shared" si="9"/>
        <v>537522</v>
      </c>
      <c r="I25" s="161">
        <f t="shared" si="2"/>
        <v>0</v>
      </c>
      <c r="J25" s="635">
        <f t="shared" si="10"/>
        <v>398895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11"/>
        <v>154.80303857058792</v>
      </c>
      <c r="P25" s="292">
        <f t="shared" si="12"/>
        <v>154.80303857058792</v>
      </c>
      <c r="Q25" s="292">
        <f>SUM(-tanks!AX27*tanks!$AU$37)</f>
        <v>0</v>
      </c>
      <c r="R25" s="292">
        <f t="shared" si="13"/>
        <v>154.80303857058792</v>
      </c>
      <c r="S25" s="294">
        <f>SUM(ELEC!N25)</f>
        <v>0</v>
      </c>
      <c r="T25" s="330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35">
        <f t="shared" si="7"/>
        <v>1095809</v>
      </c>
      <c r="C26" s="260">
        <f t="shared" si="0"/>
        <v>0</v>
      </c>
      <c r="D26" s="303">
        <f t="shared" si="14"/>
        <v>0</v>
      </c>
      <c r="E26" s="303">
        <f t="shared" si="15"/>
        <v>1095809</v>
      </c>
      <c r="F26" s="635">
        <f t="shared" si="8"/>
        <v>159392</v>
      </c>
      <c r="G26" s="160">
        <f t="shared" si="1"/>
        <v>0</v>
      </c>
      <c r="H26" s="635">
        <f t="shared" si="9"/>
        <v>537522</v>
      </c>
      <c r="I26" s="161">
        <f t="shared" si="2"/>
        <v>0</v>
      </c>
      <c r="J26" s="635">
        <f t="shared" si="10"/>
        <v>398895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11"/>
        <v>154.80303857058792</v>
      </c>
      <c r="P26" s="292">
        <f t="shared" si="12"/>
        <v>154.80303857058792</v>
      </c>
      <c r="Q26" s="292">
        <f>SUM(-tanks!AX28*tanks!$AU$37)</f>
        <v>0</v>
      </c>
      <c r="R26" s="292">
        <f t="shared" si="13"/>
        <v>154.80303857058792</v>
      </c>
      <c r="S26" s="294">
        <f>SUM(ELEC!N26)</f>
        <v>0</v>
      </c>
      <c r="T26" s="330">
        <f t="shared" si="16"/>
        <v>0</v>
      </c>
      <c r="V26" s="250">
        <f>W9</f>
        <v>398895</v>
      </c>
      <c r="W26" s="170">
        <f>J33</f>
        <v>398895</v>
      </c>
      <c r="X26" s="172" t="s">
        <v>199</v>
      </c>
      <c r="Y26" s="172">
        <v>80</v>
      </c>
      <c r="Z26" s="172">
        <v>1</v>
      </c>
      <c r="AA26" s="332">
        <f>(W26-V26)*Z26</f>
        <v>0</v>
      </c>
      <c r="AB26" s="332">
        <f>AA26*Y26</f>
        <v>0</v>
      </c>
      <c r="AC26" s="245">
        <f>AC9</f>
        <v>1033333</v>
      </c>
      <c r="AD26" s="491" t="e">
        <f>SUM(K36)</f>
        <v>#DIV/0!</v>
      </c>
    </row>
    <row r="27" spans="1:32" ht="20.100000000000001" customHeight="1">
      <c r="A27" s="163">
        <f>ELEC!C27</f>
        <v>44493</v>
      </c>
      <c r="B27" s="635">
        <f t="shared" si="7"/>
        <v>1095809</v>
      </c>
      <c r="C27" s="260">
        <f t="shared" si="0"/>
        <v>0</v>
      </c>
      <c r="D27" s="303">
        <f t="shared" si="14"/>
        <v>0</v>
      </c>
      <c r="E27" s="303">
        <f t="shared" si="15"/>
        <v>1095809</v>
      </c>
      <c r="F27" s="635">
        <f t="shared" si="8"/>
        <v>159392</v>
      </c>
      <c r="G27" s="160">
        <f t="shared" si="1"/>
        <v>0</v>
      </c>
      <c r="H27" s="635">
        <f t="shared" si="9"/>
        <v>537522</v>
      </c>
      <c r="I27" s="161">
        <f t="shared" si="2"/>
        <v>0</v>
      </c>
      <c r="J27" s="635">
        <f t="shared" si="10"/>
        <v>398895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11"/>
        <v>154.80303857058792</v>
      </c>
      <c r="P27" s="292">
        <f t="shared" si="12"/>
        <v>154.80303857058792</v>
      </c>
      <c r="Q27" s="292">
        <f>SUM(-tanks!AX29*tanks!$AU$37)</f>
        <v>0</v>
      </c>
      <c r="R27" s="292">
        <f t="shared" si="13"/>
        <v>154.80303857058792</v>
      </c>
      <c r="S27" s="294">
        <f>SUM(ELEC!N27)</f>
        <v>0</v>
      </c>
      <c r="T27" s="330">
        <f t="shared" si="16"/>
        <v>0</v>
      </c>
      <c r="V27" s="250">
        <f>W10</f>
        <v>537522</v>
      </c>
      <c r="W27" s="170">
        <f>H33</f>
        <v>537522</v>
      </c>
      <c r="X27" s="172" t="s">
        <v>212</v>
      </c>
      <c r="Y27" s="172">
        <v>112</v>
      </c>
      <c r="Z27" s="172">
        <v>1</v>
      </c>
      <c r="AA27" s="332">
        <f>(W27-V27)*Z27</f>
        <v>0</v>
      </c>
      <c r="AB27" s="332">
        <f>SUM(AA27*Y27)</f>
        <v>0</v>
      </c>
      <c r="AC27" s="245">
        <f>AC10</f>
        <v>6200000</v>
      </c>
      <c r="AD27" s="491" t="e">
        <f>SUM(I36)</f>
        <v>#DIV/0!</v>
      </c>
    </row>
    <row r="28" spans="1:32" ht="20.100000000000001" customHeight="1">
      <c r="A28" s="163">
        <f>ELEC!C28</f>
        <v>44494</v>
      </c>
      <c r="B28" s="635">
        <f t="shared" si="7"/>
        <v>1095809</v>
      </c>
      <c r="C28" s="260">
        <f t="shared" si="0"/>
        <v>0</v>
      </c>
      <c r="D28" s="303">
        <f t="shared" si="14"/>
        <v>0</v>
      </c>
      <c r="E28" s="303">
        <f>B27+D28</f>
        <v>1095809</v>
      </c>
      <c r="F28" s="635">
        <f t="shared" si="8"/>
        <v>159392</v>
      </c>
      <c r="G28" s="160">
        <f t="shared" si="1"/>
        <v>0</v>
      </c>
      <c r="H28" s="635">
        <f t="shared" si="9"/>
        <v>537522</v>
      </c>
      <c r="I28" s="161">
        <f t="shared" si="2"/>
        <v>0</v>
      </c>
      <c r="J28" s="635">
        <f t="shared" si="10"/>
        <v>398895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11"/>
        <v>154.80303857058792</v>
      </c>
      <c r="P28" s="292">
        <f t="shared" si="12"/>
        <v>154.80303857058792</v>
      </c>
      <c r="Q28" s="292">
        <f>SUM(-tanks!AX30*tanks!$AU$37)</f>
        <v>0</v>
      </c>
      <c r="R28" s="292">
        <f t="shared" si="13"/>
        <v>154.80303857058792</v>
      </c>
      <c r="S28" s="294">
        <f>SUM(ELEC!N28)</f>
        <v>0</v>
      </c>
      <c r="T28" s="330">
        <f t="shared" si="16"/>
        <v>0</v>
      </c>
      <c r="V28" s="250">
        <f>W11</f>
        <v>159392</v>
      </c>
      <c r="W28" s="170">
        <f>F33</f>
        <v>159392</v>
      </c>
      <c r="X28" s="172" t="s">
        <v>197</v>
      </c>
      <c r="Y28" s="172">
        <v>320</v>
      </c>
      <c r="Z28" s="172">
        <v>1</v>
      </c>
      <c r="AA28" s="332">
        <f>(W28-V28)*Z28</f>
        <v>0</v>
      </c>
      <c r="AB28" s="332">
        <f>SUM(AA28*Y28)</f>
        <v>0</v>
      </c>
      <c r="AC28" s="245">
        <f>AC11</f>
        <v>1000</v>
      </c>
      <c r="AD28" s="491" t="e">
        <f>SUM(G36)</f>
        <v>#DIV/0!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44495</v>
      </c>
      <c r="B29" s="635">
        <f t="shared" si="7"/>
        <v>1095809</v>
      </c>
      <c r="C29" s="260">
        <f t="shared" si="0"/>
        <v>0</v>
      </c>
      <c r="D29" s="303">
        <f t="shared" si="14"/>
        <v>0</v>
      </c>
      <c r="E29" s="303">
        <f>B28+D29</f>
        <v>1095809</v>
      </c>
      <c r="F29" s="635">
        <f t="shared" si="8"/>
        <v>159392</v>
      </c>
      <c r="G29" s="160">
        <f t="shared" si="1"/>
        <v>0</v>
      </c>
      <c r="H29" s="635">
        <f t="shared" si="9"/>
        <v>537522</v>
      </c>
      <c r="I29" s="161">
        <f t="shared" si="2"/>
        <v>0</v>
      </c>
      <c r="J29" s="635">
        <f t="shared" si="10"/>
        <v>398895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11"/>
        <v>154.80303857058792</v>
      </c>
      <c r="P29" s="292">
        <f t="shared" si="12"/>
        <v>154.80303857058792</v>
      </c>
      <c r="Q29" s="292">
        <f>SUM(-tanks!AX31*tanks!$AU$37)</f>
        <v>0</v>
      </c>
      <c r="R29" s="292">
        <f t="shared" si="13"/>
        <v>154.80303857058792</v>
      </c>
      <c r="S29" s="294">
        <f>SUM(ELEC!N29)</f>
        <v>0</v>
      </c>
      <c r="T29" s="330">
        <f t="shared" si="16"/>
        <v>0</v>
      </c>
      <c r="V29" s="213"/>
      <c r="W29" s="214"/>
      <c r="X29" s="214"/>
      <c r="Y29" s="215"/>
      <c r="Z29" s="3"/>
      <c r="AA29" s="332">
        <f>SUM(AA26:AA28)</f>
        <v>0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44496</v>
      </c>
      <c r="B30" s="635">
        <f t="shared" si="7"/>
        <v>1095809</v>
      </c>
      <c r="C30" s="260">
        <f t="shared" si="0"/>
        <v>0</v>
      </c>
      <c r="D30" s="303">
        <f t="shared" si="14"/>
        <v>0</v>
      </c>
      <c r="E30" s="303">
        <f t="shared" si="15"/>
        <v>1095809</v>
      </c>
      <c r="F30" s="635">
        <f t="shared" si="8"/>
        <v>159392</v>
      </c>
      <c r="G30" s="160">
        <f t="shared" si="1"/>
        <v>0</v>
      </c>
      <c r="H30" s="635">
        <f t="shared" si="9"/>
        <v>537522</v>
      </c>
      <c r="I30" s="161">
        <f t="shared" si="2"/>
        <v>0</v>
      </c>
      <c r="J30" s="635">
        <f t="shared" si="10"/>
        <v>398895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11"/>
        <v>154.80303857058792</v>
      </c>
      <c r="P30" s="292">
        <f t="shared" si="12"/>
        <v>154.80303857058792</v>
      </c>
      <c r="Q30" s="292">
        <f>SUM(-tanks!AX32*tanks!$AU$37)</f>
        <v>0</v>
      </c>
      <c r="R30" s="292">
        <f t="shared" si="13"/>
        <v>154.80303857058792</v>
      </c>
      <c r="S30" s="294">
        <f>SUM(ELEC!N30)</f>
        <v>0</v>
      </c>
      <c r="T30" s="330">
        <f t="shared" si="16"/>
        <v>0</v>
      </c>
      <c r="V30" s="216" t="s">
        <v>315</v>
      </c>
      <c r="W30" s="435">
        <f>'General information '!F36</f>
        <v>0</v>
      </c>
      <c r="X30" s="217"/>
      <c r="Y30" s="218" t="s">
        <v>329</v>
      </c>
      <c r="Z30" s="3"/>
      <c r="AA30" s="332"/>
      <c r="AB30" s="332">
        <f>SUM(AB26:AB29)</f>
        <v>0</v>
      </c>
      <c r="AC30" s="245"/>
    </row>
    <row r="31" spans="1:32" ht="20.100000000000001" customHeight="1">
      <c r="A31" s="163">
        <f>ELEC!C31</f>
        <v>44497</v>
      </c>
      <c r="B31" s="635">
        <f t="shared" si="7"/>
        <v>1095809</v>
      </c>
      <c r="C31" s="260">
        <f>SUM(B31-B30)</f>
        <v>0</v>
      </c>
      <c r="D31" s="303">
        <f t="shared" si="14"/>
        <v>0</v>
      </c>
      <c r="E31" s="303">
        <f>B30+D31</f>
        <v>1095809</v>
      </c>
      <c r="F31" s="635">
        <f t="shared" si="8"/>
        <v>159392</v>
      </c>
      <c r="G31" s="160">
        <f>F31-F30</f>
        <v>0</v>
      </c>
      <c r="H31" s="635">
        <f t="shared" si="9"/>
        <v>537522</v>
      </c>
      <c r="I31" s="161">
        <f>H31-H30</f>
        <v>0</v>
      </c>
      <c r="J31" s="635">
        <f t="shared" si="10"/>
        <v>398895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11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30">
        <f>IF(S31&gt;0,R31/S31,0)</f>
        <v>0</v>
      </c>
      <c r="V31" s="216"/>
      <c r="W31" s="534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44498</v>
      </c>
      <c r="B32" s="635">
        <f t="shared" si="7"/>
        <v>1095809</v>
      </c>
      <c r="C32" s="260">
        <f>SUM(B32-B31)</f>
        <v>0</v>
      </c>
      <c r="D32" s="303">
        <f t="shared" si="14"/>
        <v>0</v>
      </c>
      <c r="E32" s="303">
        <f>B31+D32</f>
        <v>1095809</v>
      </c>
      <c r="F32" s="635">
        <f t="shared" si="8"/>
        <v>159392</v>
      </c>
      <c r="G32" s="160">
        <f>F32-F31</f>
        <v>0</v>
      </c>
      <c r="H32" s="635">
        <f t="shared" si="9"/>
        <v>537522</v>
      </c>
      <c r="I32" s="161">
        <f>H32-H31</f>
        <v>0</v>
      </c>
      <c r="J32" s="635">
        <f t="shared" si="10"/>
        <v>398895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11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30">
        <f>IF(S32&gt;0,R32/S32,0)</f>
        <v>0</v>
      </c>
      <c r="V32" s="216"/>
      <c r="W32" s="534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44499</v>
      </c>
      <c r="B33" s="635">
        <f t="shared" si="7"/>
        <v>1095809</v>
      </c>
      <c r="C33" s="260">
        <f>SUM(B33-B32)</f>
        <v>0</v>
      </c>
      <c r="D33" s="303">
        <f t="shared" si="14"/>
        <v>0</v>
      </c>
      <c r="E33" s="303">
        <f>B32+D33</f>
        <v>1095809</v>
      </c>
      <c r="F33" s="635">
        <f t="shared" si="8"/>
        <v>159392</v>
      </c>
      <c r="G33" s="160">
        <f>F33-F32</f>
        <v>0</v>
      </c>
      <c r="H33" s="635">
        <f t="shared" si="9"/>
        <v>537522</v>
      </c>
      <c r="I33" s="161">
        <f>H33-H32</f>
        <v>0</v>
      </c>
      <c r="J33" s="635">
        <f t="shared" si="10"/>
        <v>398895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11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30">
        <f>IF(S33&gt;0,R33/S33,0)</f>
        <v>0</v>
      </c>
      <c r="V33" s="216" t="s">
        <v>316</v>
      </c>
      <c r="W33" s="565">
        <f>'Utility Cost '!B18</f>
        <v>9</v>
      </c>
      <c r="X33" s="222" t="e">
        <f>SUM(W33/A35)</f>
        <v>#DIV/0!</v>
      </c>
      <c r="Y33" s="256" t="e">
        <f>SUM(X33/1)</f>
        <v>#DIV/0!</v>
      </c>
      <c r="Z33" s="3"/>
      <c r="AA33" s="3"/>
      <c r="AB33" s="524">
        <f>SUM(AB30+AC33)</f>
        <v>7234333</v>
      </c>
      <c r="AC33" s="245">
        <f>SUM(AC29)</f>
        <v>7234333</v>
      </c>
    </row>
    <row r="34" spans="1:32" ht="20.100000000000001" customHeight="1">
      <c r="A34" s="163">
        <f>ELEC!C34</f>
        <v>44500</v>
      </c>
      <c r="B34" s="635">
        <f t="shared" si="7"/>
        <v>1095809</v>
      </c>
      <c r="C34" s="260">
        <f>SUM(B34-B33)</f>
        <v>0</v>
      </c>
      <c r="D34" s="303">
        <f t="shared" ref="D34" si="20">SUM(G34+I34+K34)</f>
        <v>0</v>
      </c>
      <c r="E34" s="303">
        <f>B33+D34</f>
        <v>1095809</v>
      </c>
      <c r="F34" s="635">
        <f t="shared" si="8"/>
        <v>159392</v>
      </c>
      <c r="G34" s="160">
        <f>F34-F33</f>
        <v>0</v>
      </c>
      <c r="H34" s="635">
        <f t="shared" si="9"/>
        <v>537522</v>
      </c>
      <c r="I34" s="161">
        <f>H34-H33</f>
        <v>0</v>
      </c>
      <c r="J34" s="635">
        <f t="shared" si="10"/>
        <v>398895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11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30">
        <f>IF(S34&gt;0,R34/S34,0)</f>
        <v>0</v>
      </c>
      <c r="V34" s="216" t="s">
        <v>316</v>
      </c>
      <c r="W34" s="565"/>
      <c r="X34" s="222"/>
      <c r="Y34" s="256"/>
      <c r="Z34" s="3"/>
      <c r="AA34" s="3"/>
      <c r="AB34" s="524">
        <f>SUM(AB31+AC34)</f>
        <v>0</v>
      </c>
      <c r="AC34" s="245">
        <f>SUM(AC30)</f>
        <v>0</v>
      </c>
    </row>
    <row r="35" spans="1:32" ht="15.75" thickBot="1">
      <c r="A35" s="521">
        <f>A37-COUNTIF(C4:C34,0)</f>
        <v>0</v>
      </c>
      <c r="C35" s="173" t="e">
        <f>SUM(C4:C34)/A35</f>
        <v>#DIV/0!</v>
      </c>
      <c r="D35" s="173"/>
      <c r="E35" s="173"/>
      <c r="F35" s="598"/>
      <c r="G35" s="598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3"/>
      <c r="AD35" s="566">
        <f>AC33/1507</f>
        <v>4800.4863968148638</v>
      </c>
    </row>
    <row r="36" spans="1:32" ht="15.7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4">
        <f>SUM(AB33/1507.5)</f>
        <v>4798.8941956882254</v>
      </c>
      <c r="AC36" s="555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0"/>
      <c r="AA37" s="550"/>
      <c r="AB37" s="551"/>
      <c r="AC37" s="552"/>
    </row>
    <row r="38" spans="1:32">
      <c r="V38" s="217"/>
      <c r="W38" s="82"/>
      <c r="Z38" s="40"/>
      <c r="AA38" s="287"/>
      <c r="AB38" s="289">
        <f>SUM(AB36)</f>
        <v>4798.8941956882254</v>
      </c>
    </row>
    <row r="39" spans="1:32">
      <c r="V39" s="217"/>
      <c r="W39" s="82"/>
      <c r="X39" s="525"/>
      <c r="Z39" s="289"/>
      <c r="AA39" s="288"/>
      <c r="AB39" s="288"/>
    </row>
    <row r="40" spans="1:32">
      <c r="V40" s="17"/>
      <c r="W40" s="82"/>
      <c r="X40" s="525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4"/>
      <c r="E42" s="504"/>
      <c r="F42" s="504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7"/>
      <c r="AE44" s="17"/>
      <c r="AF44" s="17"/>
    </row>
    <row r="45" spans="1:32">
      <c r="V45" s="526"/>
      <c r="W45" s="527"/>
      <c r="X45" s="17"/>
      <c r="Y45" s="17"/>
      <c r="Z45" s="528"/>
      <c r="AA45" s="17"/>
      <c r="AB45" s="665"/>
      <c r="AC45" s="665"/>
      <c r="AD45" s="567"/>
      <c r="AE45" s="17"/>
      <c r="AF45" s="17"/>
    </row>
    <row r="46" spans="1:32">
      <c r="V46" s="665"/>
      <c r="W46" s="665"/>
      <c r="X46" s="665"/>
      <c r="Y46" s="665"/>
      <c r="Z46" s="528"/>
      <c r="AA46" s="528"/>
      <c r="AB46" s="665"/>
      <c r="AC46" s="665"/>
      <c r="AD46" s="567"/>
      <c r="AE46" s="17"/>
      <c r="AF46" s="17"/>
    </row>
    <row r="47" spans="1:32">
      <c r="V47" s="665"/>
      <c r="W47" s="665"/>
      <c r="X47" s="665"/>
      <c r="Y47" s="665"/>
      <c r="Z47" s="665"/>
      <c r="AA47" s="665"/>
      <c r="AB47" s="665"/>
      <c r="AC47" s="665"/>
      <c r="AD47" s="567"/>
      <c r="AE47" s="17"/>
      <c r="AF47" s="17"/>
    </row>
    <row r="48" spans="1:32">
      <c r="V48" s="666"/>
      <c r="W48" s="666"/>
      <c r="X48" s="667"/>
      <c r="Y48" s="667"/>
      <c r="Z48" s="667"/>
      <c r="AA48" s="529"/>
      <c r="AB48" s="665"/>
      <c r="AC48" s="665"/>
      <c r="AD48" s="567"/>
      <c r="AE48" s="17"/>
      <c r="AF48" s="17"/>
    </row>
    <row r="49" spans="22:32">
      <c r="V49" s="526"/>
      <c r="W49" s="526"/>
      <c r="X49" s="526"/>
      <c r="Y49" s="526"/>
      <c r="Z49" s="526"/>
      <c r="AA49" s="526"/>
      <c r="AB49" s="526"/>
      <c r="AC49" s="530"/>
      <c r="AD49" s="567"/>
      <c r="AE49" s="17"/>
      <c r="AF49" s="17"/>
    </row>
    <row r="50" spans="22:32">
      <c r="V50" s="529"/>
      <c r="W50" s="529"/>
      <c r="X50" s="531"/>
      <c r="Y50" s="531"/>
      <c r="Z50" s="531"/>
      <c r="AA50" s="73"/>
      <c r="AB50" s="73"/>
      <c r="AC50" s="73"/>
      <c r="AD50" s="567"/>
      <c r="AE50" s="17"/>
      <c r="AF50" s="17"/>
    </row>
    <row r="51" spans="22:32">
      <c r="V51" s="529"/>
      <c r="W51" s="529"/>
      <c r="X51" s="531"/>
      <c r="Y51" s="531"/>
      <c r="Z51" s="531"/>
      <c r="AA51" s="73"/>
      <c r="AB51" s="73"/>
      <c r="AC51" s="73"/>
      <c r="AD51" s="567"/>
      <c r="AE51" s="17"/>
      <c r="AF51" s="17"/>
    </row>
    <row r="52" spans="22:32">
      <c r="V52" s="529"/>
      <c r="W52" s="529"/>
      <c r="X52" s="531"/>
      <c r="Y52" s="531"/>
      <c r="Z52" s="531"/>
      <c r="AA52" s="73"/>
      <c r="AB52" s="73"/>
      <c r="AC52" s="73"/>
      <c r="AD52" s="567"/>
      <c r="AE52" s="532"/>
      <c r="AF52" s="53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7"/>
      <c r="AE53" s="17"/>
      <c r="AF53" s="17"/>
    </row>
    <row r="54" spans="22:32">
      <c r="V54" s="217"/>
      <c r="W54" s="534"/>
      <c r="X54" s="217"/>
      <c r="Y54" s="217"/>
      <c r="Z54" s="17"/>
      <c r="AA54" s="73"/>
      <c r="AB54" s="263"/>
      <c r="AC54" s="73"/>
      <c r="AD54" s="567"/>
      <c r="AE54" s="17"/>
      <c r="AF54" s="17"/>
    </row>
    <row r="55" spans="22:32">
      <c r="V55" s="217"/>
      <c r="W55" s="217"/>
      <c r="X55" s="222"/>
      <c r="Y55" s="535"/>
      <c r="Z55" s="17"/>
      <c r="AA55" s="17"/>
      <c r="AB55" s="73"/>
      <c r="AC55" s="73"/>
      <c r="AD55" s="56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7"/>
      <c r="AE58" s="17"/>
      <c r="AF58" s="17"/>
    </row>
    <row r="59" spans="22:32">
      <c r="V59" s="17"/>
      <c r="W59" s="17"/>
      <c r="X59" s="17"/>
      <c r="Y59" s="17"/>
      <c r="Z59" s="17"/>
      <c r="AA59" s="536"/>
      <c r="AB59" s="537"/>
      <c r="AC59" s="538"/>
      <c r="AD59" s="567"/>
      <c r="AE59" s="17"/>
      <c r="AF59" s="17"/>
    </row>
    <row r="60" spans="22:32">
      <c r="V60" s="17"/>
      <c r="W60" s="17"/>
      <c r="X60" s="17"/>
      <c r="Y60" s="17"/>
      <c r="Z60" s="17"/>
      <c r="AA60" s="539"/>
      <c r="AB60" s="537"/>
      <c r="AC60" s="538"/>
      <c r="AD60" s="56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7"/>
      <c r="AC61" s="538"/>
      <c r="AD61" s="56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0"/>
      <c r="AC62" s="17"/>
      <c r="AD62" s="567"/>
      <c r="AE62" s="17"/>
      <c r="AF62" s="17"/>
    </row>
    <row r="63" spans="22:32">
      <c r="V63" s="217"/>
      <c r="W63" s="533"/>
      <c r="X63" s="17"/>
      <c r="Y63" s="17"/>
      <c r="Z63" s="532"/>
      <c r="AA63" s="541"/>
      <c r="AB63" s="531"/>
      <c r="AC63" s="17"/>
      <c r="AD63" s="567"/>
      <c r="AE63" s="17"/>
      <c r="AF63" s="17"/>
    </row>
    <row r="64" spans="22:32">
      <c r="V64" s="217"/>
      <c r="W64" s="533"/>
      <c r="X64" s="17"/>
      <c r="Y64" s="17"/>
      <c r="Z64" s="415"/>
      <c r="AA64" s="531"/>
      <c r="AB64" s="531"/>
      <c r="AC64" s="17"/>
      <c r="AD64" s="567"/>
      <c r="AE64" s="17"/>
      <c r="AF64" s="17"/>
    </row>
    <row r="65" spans="22:32">
      <c r="V65" s="17"/>
      <c r="W65" s="533"/>
      <c r="X65" s="17"/>
      <c r="Y65" s="533"/>
      <c r="Z65" s="415"/>
      <c r="AA65" s="531"/>
      <c r="AB65" s="542"/>
      <c r="AC65" s="17"/>
      <c r="AD65" s="567"/>
      <c r="AE65" s="17"/>
      <c r="AF65" s="17"/>
    </row>
    <row r="66" spans="22:32" ht="18.75">
      <c r="V66" s="17"/>
      <c r="W66" s="533"/>
      <c r="X66" s="17"/>
      <c r="Y66" s="17"/>
      <c r="Z66" s="543"/>
      <c r="AA66" s="531"/>
      <c r="AB66" s="544"/>
      <c r="AC66" s="17"/>
      <c r="AD66" s="567"/>
      <c r="AE66" s="17"/>
      <c r="AF66" s="17"/>
    </row>
    <row r="67" spans="22:32">
      <c r="V67" s="17"/>
      <c r="W67" s="533"/>
      <c r="X67" s="17"/>
      <c r="Y67" s="17"/>
      <c r="Z67" s="73"/>
      <c r="AA67" s="17"/>
      <c r="AB67" s="17"/>
      <c r="AC67" s="17"/>
      <c r="AD67" s="567"/>
      <c r="AE67" s="17"/>
      <c r="AF67" s="17"/>
    </row>
    <row r="68" spans="22:32">
      <c r="V68" s="17"/>
      <c r="W68" s="17"/>
      <c r="X68" s="17"/>
      <c r="Y68" s="17"/>
      <c r="Z68" s="531"/>
      <c r="AA68" s="17"/>
      <c r="AB68" s="17"/>
      <c r="AC68" s="17"/>
      <c r="AD68" s="56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37" sqref="F37"/>
    </sheetView>
  </sheetViews>
  <sheetFormatPr defaultRowHeight="15"/>
  <cols>
    <col min="1" max="1" width="11.7109375" style="47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7" t="s">
        <v>193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9"/>
    </row>
    <row r="2" spans="1:15" ht="15.75" customHeight="1" thickBot="1">
      <c r="A2" s="700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2"/>
    </row>
    <row r="3" spans="1:15" ht="9" customHeight="1" thickBot="1">
      <c r="A3" s="470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1"/>
      <c r="B4" s="149" t="s">
        <v>386</v>
      </c>
      <c r="C4" s="150" t="s">
        <v>158</v>
      </c>
      <c r="D4" s="147" t="s">
        <v>160</v>
      </c>
      <c r="E4" s="151" t="s">
        <v>159</v>
      </c>
      <c r="F4" s="489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2">
        <f>ELEC!C4</f>
        <v>44470</v>
      </c>
      <c r="B5" s="37"/>
      <c r="C5" s="37"/>
      <c r="D5" s="26">
        <f t="shared" ref="D5:D11" si="0">(C5+B5)/2</f>
        <v>0</v>
      </c>
      <c r="E5" s="334"/>
      <c r="F5" s="33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9">
        <f t="shared" ref="K5:K25" si="2">+J5+H5</f>
        <v>0</v>
      </c>
      <c r="L5" s="3"/>
      <c r="M5" s="3"/>
      <c r="N5" s="155"/>
      <c r="O5" s="3"/>
    </row>
    <row r="6" spans="1:15">
      <c r="A6" s="472">
        <f>ELEC!C5</f>
        <v>44471</v>
      </c>
      <c r="B6" s="37"/>
      <c r="C6" s="37"/>
      <c r="D6" s="26">
        <f t="shared" si="0"/>
        <v>0</v>
      </c>
      <c r="E6" s="334"/>
      <c r="F6" s="33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9">
        <f t="shared" si="2"/>
        <v>0</v>
      </c>
      <c r="L6" s="3"/>
      <c r="M6" s="3"/>
      <c r="N6" s="155"/>
      <c r="O6" s="3"/>
    </row>
    <row r="7" spans="1:15">
      <c r="A7" s="472">
        <f>ELEC!C6</f>
        <v>44472</v>
      </c>
      <c r="B7" s="37">
        <v>28</v>
      </c>
      <c r="C7" s="37">
        <v>24</v>
      </c>
      <c r="D7" s="26">
        <f t="shared" si="0"/>
        <v>26</v>
      </c>
      <c r="E7" s="334">
        <v>0.63</v>
      </c>
      <c r="F7" s="33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170"/>
      <c r="N7" s="155"/>
      <c r="O7" s="3"/>
    </row>
    <row r="8" spans="1:15">
      <c r="A8" s="472">
        <f>ELEC!C7</f>
        <v>44473</v>
      </c>
      <c r="B8" s="37"/>
      <c r="C8" s="37"/>
      <c r="D8" s="26">
        <f>(C8+B8)/2</f>
        <v>0</v>
      </c>
      <c r="E8" s="387"/>
      <c r="F8" s="38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9">
        <f>+J8+H8</f>
        <v>0</v>
      </c>
      <c r="L8" s="3"/>
      <c r="M8" s="3"/>
      <c r="N8" s="155"/>
      <c r="O8" s="3"/>
    </row>
    <row r="9" spans="1:15">
      <c r="A9" s="472">
        <f>ELEC!C8</f>
        <v>44474</v>
      </c>
      <c r="B9" s="37"/>
      <c r="C9" s="37"/>
      <c r="D9" s="26">
        <f t="shared" si="0"/>
        <v>0</v>
      </c>
      <c r="E9" s="348"/>
      <c r="F9" s="33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9">
        <f t="shared" si="2"/>
        <v>0</v>
      </c>
      <c r="L9" s="3"/>
      <c r="M9" s="3"/>
      <c r="N9" s="155"/>
      <c r="O9" s="3"/>
    </row>
    <row r="10" spans="1:15">
      <c r="A10" s="472">
        <f>ELEC!C9</f>
        <v>44475</v>
      </c>
      <c r="B10" s="37"/>
      <c r="C10" s="37"/>
      <c r="D10" s="26">
        <f t="shared" si="0"/>
        <v>0</v>
      </c>
      <c r="E10" s="387"/>
      <c r="F10" s="38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>+J10+H10</f>
        <v>0</v>
      </c>
      <c r="L10" s="3"/>
      <c r="M10" s="3"/>
      <c r="N10" s="155"/>
      <c r="O10" s="3"/>
    </row>
    <row r="11" spans="1:15">
      <c r="A11" s="472">
        <f>ELEC!C10</f>
        <v>44476</v>
      </c>
      <c r="B11" s="37"/>
      <c r="C11" s="37"/>
      <c r="D11" s="26">
        <f t="shared" si="0"/>
        <v>0</v>
      </c>
      <c r="E11" s="387"/>
      <c r="F11" s="38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 t="shared" si="2"/>
        <v>0</v>
      </c>
      <c r="L11" s="3"/>
      <c r="M11" s="3"/>
      <c r="N11" s="155"/>
      <c r="O11" s="3"/>
    </row>
    <row r="12" spans="1:15">
      <c r="A12" s="472">
        <f>ELEC!C11</f>
        <v>44477</v>
      </c>
      <c r="B12" s="37"/>
      <c r="C12" s="37"/>
      <c r="D12" s="26">
        <f>(C12+B12)/2</f>
        <v>0</v>
      </c>
      <c r="E12" s="348"/>
      <c r="F12" s="38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2">
        <f>ELEC!C12</f>
        <v>44478</v>
      </c>
      <c r="B13" s="37"/>
      <c r="C13" s="37"/>
      <c r="D13" s="26">
        <f t="shared" ref="D13:D32" si="3">(C13+B13)/2</f>
        <v>0</v>
      </c>
      <c r="E13" s="334"/>
      <c r="F13" s="38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2">
        <f>ELEC!C13</f>
        <v>44479</v>
      </c>
      <c r="B14" s="37"/>
      <c r="C14" s="37"/>
      <c r="D14" s="26">
        <f t="shared" si="3"/>
        <v>0</v>
      </c>
      <c r="E14" s="334"/>
      <c r="F14" s="33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9">
        <f>+J14+H14</f>
        <v>0</v>
      </c>
      <c r="L14" s="3"/>
      <c r="M14" s="3"/>
      <c r="N14" s="155"/>
      <c r="O14" s="3"/>
    </row>
    <row r="15" spans="1:15">
      <c r="A15" s="472">
        <f>ELEC!C14</f>
        <v>44480</v>
      </c>
      <c r="B15" s="37"/>
      <c r="C15" s="37"/>
      <c r="D15" s="26">
        <f t="shared" si="3"/>
        <v>0</v>
      </c>
      <c r="E15" s="334"/>
      <c r="F15" s="33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2">
        <f>ELEC!C15</f>
        <v>44481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 t="shared" si="2"/>
        <v>0</v>
      </c>
      <c r="L16" s="3"/>
      <c r="M16" s="3"/>
      <c r="N16" s="155"/>
      <c r="O16" s="3"/>
    </row>
    <row r="17" spans="1:15">
      <c r="A17" s="472">
        <f>ELEC!C16</f>
        <v>44482</v>
      </c>
      <c r="B17" s="37"/>
      <c r="C17" s="37"/>
      <c r="D17" s="26">
        <f t="shared" si="3"/>
        <v>0</v>
      </c>
      <c r="E17" s="420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2">
        <f>ELEC!C17</f>
        <v>44483</v>
      </c>
      <c r="B18" s="37"/>
      <c r="C18" s="37"/>
      <c r="D18" s="26">
        <f t="shared" si="3"/>
        <v>0</v>
      </c>
      <c r="E18" s="334"/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2">
        <f>ELEC!C18</f>
        <v>44484</v>
      </c>
      <c r="B19" s="37"/>
      <c r="C19" s="37"/>
      <c r="D19" s="26">
        <f t="shared" si="3"/>
        <v>0</v>
      </c>
      <c r="E19" s="334"/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2">
        <f>ELEC!C19</f>
        <v>44485</v>
      </c>
      <c r="B20" s="37"/>
      <c r="C20" s="37"/>
      <c r="D20" s="26">
        <f>(C20+B20)/2</f>
        <v>0</v>
      </c>
      <c r="E20" s="334"/>
      <c r="F20" s="38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2">
        <f>ELEC!C20</f>
        <v>44486</v>
      </c>
      <c r="B21" s="37"/>
      <c r="C21" s="37"/>
      <c r="D21" s="26">
        <f t="shared" si="3"/>
        <v>0</v>
      </c>
      <c r="E21" s="334"/>
      <c r="F21" s="38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2">
        <f>ELEC!C21</f>
        <v>44487</v>
      </c>
      <c r="B22" s="37"/>
      <c r="C22" s="37"/>
      <c r="D22" s="26">
        <f>(C22+B22)/2</f>
        <v>0</v>
      </c>
      <c r="E22" s="334"/>
      <c r="F22" s="38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2">
        <f>ELEC!C22</f>
        <v>44488</v>
      </c>
      <c r="B23" s="37"/>
      <c r="C23" s="37"/>
      <c r="D23" s="26">
        <f>(C23+B23)/2</f>
        <v>0</v>
      </c>
      <c r="E23" s="387"/>
      <c r="F23" s="33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2">
        <f>ELEC!C23</f>
        <v>44489</v>
      </c>
      <c r="B24" s="37"/>
      <c r="C24" s="37"/>
      <c r="D24" s="26">
        <f t="shared" si="3"/>
        <v>0</v>
      </c>
      <c r="E24" s="334"/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2">
        <f>ELEC!C24</f>
        <v>44490</v>
      </c>
      <c r="B25" s="37"/>
      <c r="C25" s="37"/>
      <c r="D25" s="26">
        <f t="shared" si="3"/>
        <v>0</v>
      </c>
      <c r="E25" s="334"/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2">
        <f>ELEC!C25</f>
        <v>44491</v>
      </c>
      <c r="B26" s="37"/>
      <c r="C26" s="37"/>
      <c r="D26" s="26">
        <f t="shared" si="3"/>
        <v>0</v>
      </c>
      <c r="E26" s="387"/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>+J26+H26+I26</f>
        <v>0</v>
      </c>
      <c r="L26" s="3"/>
      <c r="M26" s="3"/>
      <c r="N26" s="155"/>
      <c r="O26" s="3"/>
    </row>
    <row r="27" spans="1:15">
      <c r="A27" s="472">
        <f>ELEC!C26</f>
        <v>44492</v>
      </c>
      <c r="B27" s="37"/>
      <c r="C27" s="37"/>
      <c r="D27" s="26">
        <f t="shared" si="3"/>
        <v>0</v>
      </c>
      <c r="E27" s="387"/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 t="shared" ref="K27:K32" si="5">+J27+H27+I27</f>
        <v>0</v>
      </c>
      <c r="L27" s="3"/>
      <c r="M27" s="3"/>
      <c r="N27" s="155"/>
      <c r="O27" s="3"/>
    </row>
    <row r="28" spans="1:15">
      <c r="A28" s="472">
        <f>ELEC!C27</f>
        <v>44493</v>
      </c>
      <c r="B28" s="37"/>
      <c r="C28" s="37"/>
      <c r="D28" s="26">
        <f t="shared" si="3"/>
        <v>0</v>
      </c>
      <c r="E28" s="334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si="5"/>
        <v>0</v>
      </c>
      <c r="L28" s="3"/>
      <c r="M28" s="3"/>
      <c r="N28" s="155"/>
      <c r="O28" s="3"/>
    </row>
    <row r="29" spans="1:15">
      <c r="A29" s="472">
        <f>ELEC!C28</f>
        <v>44494</v>
      </c>
      <c r="B29" s="37"/>
      <c r="C29" s="37"/>
      <c r="D29" s="26">
        <f t="shared" si="3"/>
        <v>0</v>
      </c>
      <c r="E29" s="334"/>
      <c r="F29" s="38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2">
        <f>ELEC!C29</f>
        <v>44495</v>
      </c>
      <c r="B30" s="37"/>
      <c r="C30" s="37"/>
      <c r="D30" s="26">
        <f t="shared" si="3"/>
        <v>0</v>
      </c>
      <c r="E30" s="336"/>
      <c r="F30" s="275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2">
        <f>ELEC!C30</f>
        <v>44496</v>
      </c>
      <c r="B31" s="37"/>
      <c r="C31" s="37"/>
      <c r="D31" s="274">
        <f>(C31+B31)/2</f>
        <v>0</v>
      </c>
      <c r="E31" s="335"/>
      <c r="F31" s="33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2">
        <f>ELEC!C31</f>
        <v>44497</v>
      </c>
      <c r="B32" s="37"/>
      <c r="C32" s="37"/>
      <c r="D32" s="26">
        <f t="shared" si="3"/>
        <v>0</v>
      </c>
      <c r="E32" s="334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2">
        <f>ELEC!C32</f>
        <v>44498</v>
      </c>
      <c r="B33" s="37"/>
      <c r="C33" s="37"/>
      <c r="D33" s="26">
        <f>(C33+B33)/2</f>
        <v>0</v>
      </c>
      <c r="E33" s="387"/>
      <c r="F33" s="336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9">
        <f>+J33+H33+I33</f>
        <v>0</v>
      </c>
      <c r="L33" s="3"/>
      <c r="M33" s="3"/>
      <c r="N33" s="155"/>
      <c r="O33" s="3"/>
    </row>
    <row r="34" spans="1:15">
      <c r="A34" s="472">
        <f>ELEC!C33</f>
        <v>44499</v>
      </c>
      <c r="B34" s="37"/>
      <c r="C34" s="37"/>
      <c r="D34" s="26">
        <f>(C34+B34)/2</f>
        <v>0</v>
      </c>
      <c r="E34" s="387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2">
        <f>ELEC!C34</f>
        <v>44500</v>
      </c>
      <c r="B35" s="37"/>
      <c r="C35" s="37"/>
      <c r="D35" s="26">
        <f>(C35+B35)/2</f>
        <v>0</v>
      </c>
      <c r="E35" s="387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D36" s="257"/>
      <c r="F36" s="515">
        <f>AVERAGE(F5:F35)</f>
        <v>0</v>
      </c>
      <c r="G36" s="203">
        <f>SUM(G5:G35)</f>
        <v>0</v>
      </c>
    </row>
    <row r="37" spans="1:15">
      <c r="D37" s="257" t="e">
        <f>SUM(D5:D35)/'EDl log'!A35</f>
        <v>#DIV/0!</v>
      </c>
      <c r="F37" s="211"/>
    </row>
    <row r="40" spans="1:15">
      <c r="I40" s="404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-18.499999999999972</v>
      </c>
      <c r="J5" s="9">
        <f>'B5'!A7</f>
        <v>44472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44473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44474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44478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44479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44486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44487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44488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44492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44493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44494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44495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6"/>
      <c r="B1" s="703" t="s">
        <v>119</v>
      </c>
      <c r="C1" s="703" t="s">
        <v>118</v>
      </c>
      <c r="D1" s="708" t="s">
        <v>113</v>
      </c>
      <c r="E1" s="708" t="s">
        <v>114</v>
      </c>
      <c r="F1" s="709" t="s">
        <v>120</v>
      </c>
      <c r="G1" s="710" t="s">
        <v>75</v>
      </c>
      <c r="H1" s="711" t="s">
        <v>115</v>
      </c>
      <c r="I1" s="712" t="s">
        <v>116</v>
      </c>
      <c r="J1" s="711" t="s">
        <v>117</v>
      </c>
      <c r="K1" s="705" t="s">
        <v>121</v>
      </c>
      <c r="L1" s="705" t="s">
        <v>122</v>
      </c>
      <c r="M1" s="705" t="s">
        <v>123</v>
      </c>
      <c r="N1" s="705" t="s">
        <v>124</v>
      </c>
    </row>
    <row r="2" spans="1:14">
      <c r="A2" s="707"/>
      <c r="B2" s="704"/>
      <c r="C2" s="704"/>
      <c r="D2" s="708"/>
      <c r="E2" s="708"/>
      <c r="F2" s="709"/>
      <c r="G2" s="710"/>
      <c r="H2" s="711"/>
      <c r="I2" s="713"/>
      <c r="J2" s="711"/>
      <c r="K2" s="705"/>
      <c r="L2" s="705"/>
      <c r="M2" s="705"/>
      <c r="N2" s="70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2</v>
      </c>
      <c r="G8" s="78">
        <f>WATER!BG8</f>
        <v>-6.7999999999999687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4" t="s">
        <v>151</v>
      </c>
      <c r="U3" s="71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D16" sqref="D1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8" customWidth="1"/>
    <col min="12" max="12" width="26.42578125" bestFit="1" customWidth="1"/>
    <col min="14" max="14" width="14.28515625" customWidth="1"/>
  </cols>
  <sheetData>
    <row r="1" spans="1:18" ht="39.75" customHeight="1" thickBot="1">
      <c r="A1" s="715" t="s">
        <v>51</v>
      </c>
      <c r="B1" s="727" t="s">
        <v>317</v>
      </c>
      <c r="C1" s="728"/>
      <c r="D1" s="730"/>
      <c r="E1" s="727" t="s">
        <v>318</v>
      </c>
      <c r="F1" s="728"/>
      <c r="G1" s="729"/>
      <c r="H1" s="724" t="s">
        <v>323</v>
      </c>
      <c r="I1" s="721" t="s">
        <v>324</v>
      </c>
      <c r="J1" s="718" t="s">
        <v>43</v>
      </c>
    </row>
    <row r="2" spans="1:18" ht="38.25" thickBot="1">
      <c r="A2" s="716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5"/>
      <c r="I2" s="722"/>
      <c r="J2" s="719"/>
    </row>
    <row r="3" spans="1:18" ht="24" customHeight="1" thickBot="1">
      <c r="A3" s="717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6"/>
      <c r="I3" s="723"/>
      <c r="J3" s="720"/>
    </row>
    <row r="4" spans="1:18" ht="19.5" thickBot="1">
      <c r="A4" s="240"/>
      <c r="B4" s="494"/>
      <c r="C4" s="494"/>
      <c r="D4" s="494"/>
      <c r="E4" s="494"/>
      <c r="F4" s="494"/>
      <c r="G4" s="494"/>
      <c r="H4" s="615">
        <v>0</v>
      </c>
      <c r="I4" s="616"/>
      <c r="J4" s="617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3">
        <f>'[2]Swimming Pool quality check '!$A$35</f>
        <v>44469</v>
      </c>
      <c r="B5" s="618">
        <f>'[2]Swimming Pool quality check '!B35</f>
        <v>2.2000000000000002</v>
      </c>
      <c r="C5" s="618">
        <f>'[2]Swimming Pool quality check '!C35</f>
        <v>7.9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8">
        <f>'[2]Swimming Pool quality check '!H35</f>
        <v>6884</v>
      </c>
      <c r="I5" s="619">
        <f>'[10]Swimming Pool quality check '!I36</f>
        <v>0</v>
      </c>
      <c r="J5" s="620">
        <f>'[11]Swimming Pool quality check '!J36</f>
        <v>0.33333333333333398</v>
      </c>
      <c r="K5" s="400">
        <v>0</v>
      </c>
      <c r="L5" s="519">
        <f>A5</f>
        <v>44469</v>
      </c>
      <c r="M5" s="495">
        <v>6541</v>
      </c>
      <c r="N5" s="495">
        <f>'[7]Swimming Pool quality check '!N36</f>
        <v>642</v>
      </c>
      <c r="O5" s="495">
        <f>'[7]Swimming Pool quality check '!O36</f>
        <v>6836</v>
      </c>
    </row>
    <row r="6" spans="1:18" ht="15.75" customHeight="1" thickBot="1">
      <c r="A6" s="493">
        <f>ELEC!C4</f>
        <v>44470</v>
      </c>
      <c r="B6" s="250"/>
      <c r="C6" s="614"/>
      <c r="D6" s="170"/>
      <c r="E6" s="170"/>
      <c r="F6" s="170"/>
      <c r="G6" s="170"/>
      <c r="H6" s="558">
        <f>H5</f>
        <v>6884</v>
      </c>
      <c r="I6" s="495">
        <f>H6-H5</f>
        <v>0</v>
      </c>
      <c r="J6" s="475">
        <v>0.29166666666666669</v>
      </c>
      <c r="L6" s="99">
        <f t="shared" ref="L6:L33" si="0">A6</f>
        <v>44470</v>
      </c>
      <c r="M6" s="3">
        <f>M5</f>
        <v>6541</v>
      </c>
      <c r="N6" s="495"/>
      <c r="O6" s="495">
        <f>M6+N6</f>
        <v>6541</v>
      </c>
    </row>
    <row r="7" spans="1:18" ht="15.75" thickBot="1">
      <c r="A7" s="493">
        <f>ELEC!C5</f>
        <v>44471</v>
      </c>
      <c r="B7" s="250"/>
      <c r="C7" s="614"/>
      <c r="D7" s="623"/>
      <c r="E7" s="170"/>
      <c r="F7" s="170"/>
      <c r="G7" s="170"/>
      <c r="H7" s="558">
        <f t="shared" ref="H7:H36" si="1">H6</f>
        <v>6884</v>
      </c>
      <c r="I7" s="495">
        <f>H7-H6</f>
        <v>0</v>
      </c>
      <c r="J7" s="476">
        <v>0.29166666666666669</v>
      </c>
      <c r="L7" s="99">
        <f t="shared" si="0"/>
        <v>44471</v>
      </c>
      <c r="M7" s="3">
        <f t="shared" ref="M7:M36" si="2">M6</f>
        <v>6541</v>
      </c>
      <c r="N7" s="495"/>
      <c r="O7" s="495">
        <f t="shared" ref="O7:O33" si="3">M7+N7</f>
        <v>6541</v>
      </c>
    </row>
    <row r="8" spans="1:18" ht="15.75" thickBot="1">
      <c r="A8" s="493">
        <f>ELEC!C6</f>
        <v>44472</v>
      </c>
      <c r="B8" s="624">
        <v>2</v>
      </c>
      <c r="C8" s="474">
        <v>8.4</v>
      </c>
      <c r="D8" s="170">
        <v>0</v>
      </c>
      <c r="E8" s="170">
        <v>0</v>
      </c>
      <c r="F8" s="170">
        <v>0</v>
      </c>
      <c r="G8" s="558">
        <v>0</v>
      </c>
      <c r="H8" s="558">
        <v>6886</v>
      </c>
      <c r="I8" s="495">
        <f t="shared" ref="I8:I33" si="4">H8-H7</f>
        <v>2</v>
      </c>
      <c r="J8" s="476">
        <v>0.29166666666666669</v>
      </c>
      <c r="L8" s="99">
        <f t="shared" si="0"/>
        <v>44472</v>
      </c>
      <c r="M8" s="3">
        <f t="shared" si="2"/>
        <v>6541</v>
      </c>
      <c r="N8" s="495"/>
      <c r="O8" s="495">
        <f t="shared" si="3"/>
        <v>6541</v>
      </c>
    </row>
    <row r="9" spans="1:18" ht="15.75" thickBot="1">
      <c r="A9" s="493">
        <f>ELEC!C7</f>
        <v>44473</v>
      </c>
      <c r="B9" s="250"/>
      <c r="C9" s="611"/>
      <c r="D9" s="170"/>
      <c r="E9" s="170"/>
      <c r="F9" s="170"/>
      <c r="G9" s="558"/>
      <c r="H9" s="558">
        <f t="shared" si="1"/>
        <v>6886</v>
      </c>
      <c r="I9" s="495">
        <f t="shared" si="4"/>
        <v>0</v>
      </c>
      <c r="J9" s="476">
        <v>0.25</v>
      </c>
      <c r="L9" s="99">
        <f t="shared" si="0"/>
        <v>44473</v>
      </c>
      <c r="M9" s="3">
        <f t="shared" si="2"/>
        <v>6541</v>
      </c>
      <c r="N9" s="495"/>
      <c r="O9" s="495">
        <f t="shared" si="3"/>
        <v>6541</v>
      </c>
    </row>
    <row r="10" spans="1:18" ht="15.75" thickBot="1">
      <c r="A10" s="493">
        <f>ELEC!C8</f>
        <v>44474</v>
      </c>
      <c r="B10" s="250"/>
      <c r="C10" s="625"/>
      <c r="D10" s="623"/>
      <c r="E10" s="170"/>
      <c r="F10" s="170"/>
      <c r="G10" s="170"/>
      <c r="H10" s="558">
        <f t="shared" si="1"/>
        <v>6886</v>
      </c>
      <c r="I10" s="495">
        <f t="shared" si="4"/>
        <v>0</v>
      </c>
      <c r="J10" s="476">
        <v>0.29166666666666669</v>
      </c>
      <c r="L10" s="99">
        <f t="shared" si="0"/>
        <v>44474</v>
      </c>
      <c r="M10" s="3">
        <f t="shared" si="2"/>
        <v>6541</v>
      </c>
      <c r="N10" s="495"/>
      <c r="O10" s="495">
        <f t="shared" si="3"/>
        <v>6541</v>
      </c>
    </row>
    <row r="11" spans="1:18" ht="15.75" thickBot="1">
      <c r="A11" s="493">
        <f>ELEC!C9</f>
        <v>44475</v>
      </c>
      <c r="B11" s="250"/>
      <c r="C11" s="626"/>
      <c r="D11" s="623"/>
      <c r="E11" s="170"/>
      <c r="F11" s="170"/>
      <c r="G11" s="170"/>
      <c r="H11" s="558">
        <f t="shared" si="1"/>
        <v>6886</v>
      </c>
      <c r="I11" s="495">
        <f t="shared" si="4"/>
        <v>0</v>
      </c>
      <c r="J11" s="476">
        <v>0.29166666666666669</v>
      </c>
      <c r="L11" s="99">
        <f t="shared" si="0"/>
        <v>44475</v>
      </c>
      <c r="M11" s="3">
        <f t="shared" si="2"/>
        <v>6541</v>
      </c>
      <c r="N11" s="495"/>
      <c r="O11" s="495">
        <f t="shared" si="3"/>
        <v>6541</v>
      </c>
    </row>
    <row r="12" spans="1:18" ht="16.5" thickBot="1">
      <c r="A12" s="493">
        <f>ELEC!C10</f>
        <v>44476</v>
      </c>
      <c r="B12" s="250"/>
      <c r="C12" s="626"/>
      <c r="D12" s="623"/>
      <c r="E12" s="170"/>
      <c r="F12" s="170"/>
      <c r="G12" s="170"/>
      <c r="H12" s="558">
        <f t="shared" si="1"/>
        <v>6886</v>
      </c>
      <c r="I12" s="495">
        <f t="shared" si="4"/>
        <v>0</v>
      </c>
      <c r="J12" s="476">
        <v>0.29166666666666669</v>
      </c>
      <c r="L12" s="99">
        <f t="shared" si="0"/>
        <v>44476</v>
      </c>
      <c r="M12" s="3">
        <f t="shared" si="2"/>
        <v>6541</v>
      </c>
      <c r="N12" s="495"/>
      <c r="O12" s="495">
        <f t="shared" si="3"/>
        <v>6541</v>
      </c>
      <c r="P12" s="429"/>
      <c r="Q12" s="351"/>
      <c r="R12" s="351"/>
    </row>
    <row r="13" spans="1:18" ht="15.75" thickBot="1">
      <c r="A13" s="493">
        <f>ELEC!C11</f>
        <v>44477</v>
      </c>
      <c r="B13" s="250"/>
      <c r="C13" s="627"/>
      <c r="D13" s="623"/>
      <c r="E13" s="170"/>
      <c r="F13" s="170"/>
      <c r="G13" s="170"/>
      <c r="H13" s="558">
        <f t="shared" si="1"/>
        <v>6886</v>
      </c>
      <c r="I13" s="495">
        <f t="shared" si="4"/>
        <v>0</v>
      </c>
      <c r="J13" s="476">
        <v>0.29166666666666669</v>
      </c>
      <c r="L13" s="99">
        <f t="shared" si="0"/>
        <v>44477</v>
      </c>
      <c r="M13" s="3">
        <f t="shared" si="2"/>
        <v>6541</v>
      </c>
      <c r="N13" s="495"/>
      <c r="O13" s="495">
        <f t="shared" si="3"/>
        <v>6541</v>
      </c>
    </row>
    <row r="14" spans="1:18" ht="15.75" thickBot="1">
      <c r="A14" s="493">
        <f>ELEC!C12</f>
        <v>44478</v>
      </c>
      <c r="B14" s="250"/>
      <c r="C14" s="611"/>
      <c r="D14" s="623"/>
      <c r="E14" s="170"/>
      <c r="F14" s="170"/>
      <c r="G14" s="170"/>
      <c r="H14" s="558">
        <f t="shared" si="1"/>
        <v>6886</v>
      </c>
      <c r="I14" s="495">
        <f t="shared" si="4"/>
        <v>0</v>
      </c>
      <c r="J14" s="476">
        <v>0.29166666666666669</v>
      </c>
      <c r="L14" s="99">
        <f t="shared" si="0"/>
        <v>44478</v>
      </c>
      <c r="M14" s="3">
        <f t="shared" si="2"/>
        <v>6541</v>
      </c>
      <c r="N14" s="495"/>
      <c r="O14" s="495">
        <f t="shared" si="3"/>
        <v>6541</v>
      </c>
    </row>
    <row r="15" spans="1:18" ht="15.75" thickBot="1">
      <c r="A15" s="493">
        <f>ELEC!C13</f>
        <v>44479</v>
      </c>
      <c r="B15" s="520"/>
      <c r="C15" s="611"/>
      <c r="D15" s="611"/>
      <c r="E15" s="611"/>
      <c r="F15" s="611"/>
      <c r="G15" s="611"/>
      <c r="H15" s="558">
        <f t="shared" si="1"/>
        <v>6886</v>
      </c>
      <c r="I15" s="495">
        <f t="shared" si="4"/>
        <v>0</v>
      </c>
      <c r="J15" s="476">
        <v>0.29166666666666669</v>
      </c>
      <c r="L15" s="99">
        <f t="shared" si="0"/>
        <v>44479</v>
      </c>
      <c r="M15" s="3">
        <f t="shared" si="2"/>
        <v>6541</v>
      </c>
      <c r="N15" s="495"/>
      <c r="O15" s="495">
        <f t="shared" si="3"/>
        <v>6541</v>
      </c>
    </row>
    <row r="16" spans="1:18" ht="15.75" thickBot="1">
      <c r="A16" s="493">
        <f>ELEC!C14</f>
        <v>44480</v>
      </c>
      <c r="B16" s="520"/>
      <c r="C16" s="611"/>
      <c r="D16" s="611"/>
      <c r="E16" s="611"/>
      <c r="F16" s="611"/>
      <c r="G16" s="611"/>
      <c r="H16" s="558">
        <f t="shared" si="1"/>
        <v>6886</v>
      </c>
      <c r="I16" s="495">
        <f t="shared" si="4"/>
        <v>0</v>
      </c>
      <c r="J16" s="476">
        <v>0.29166666666666669</v>
      </c>
      <c r="L16" s="99">
        <f t="shared" si="0"/>
        <v>44480</v>
      </c>
      <c r="M16" s="3">
        <f t="shared" si="2"/>
        <v>6541</v>
      </c>
      <c r="N16" s="495"/>
      <c r="O16" s="495">
        <f t="shared" si="3"/>
        <v>6541</v>
      </c>
    </row>
    <row r="17" spans="1:15" ht="15.75" thickBot="1">
      <c r="A17" s="493">
        <f>ELEC!C15</f>
        <v>44481</v>
      </c>
      <c r="B17" s="250"/>
      <c r="C17" s="611"/>
      <c r="D17" s="170"/>
      <c r="E17" s="170"/>
      <c r="F17" s="611"/>
      <c r="G17" s="611"/>
      <c r="H17" s="558">
        <f t="shared" si="1"/>
        <v>6886</v>
      </c>
      <c r="I17" s="495">
        <f t="shared" si="4"/>
        <v>0</v>
      </c>
      <c r="J17" s="476">
        <v>0.29166666666666669</v>
      </c>
      <c r="L17" s="99">
        <f t="shared" si="0"/>
        <v>44481</v>
      </c>
      <c r="M17" s="3">
        <f t="shared" si="2"/>
        <v>6541</v>
      </c>
      <c r="N17" s="495"/>
      <c r="O17" s="495">
        <f t="shared" si="3"/>
        <v>6541</v>
      </c>
    </row>
    <row r="18" spans="1:15" ht="15.75" thickBot="1">
      <c r="A18" s="493">
        <f>ELEC!C16</f>
        <v>44482</v>
      </c>
      <c r="B18" s="250"/>
      <c r="C18" s="611"/>
      <c r="D18" s="170"/>
      <c r="E18" s="170"/>
      <c r="F18" s="611"/>
      <c r="G18" s="610"/>
      <c r="H18" s="558">
        <f t="shared" si="1"/>
        <v>6886</v>
      </c>
      <c r="I18" s="495">
        <f t="shared" si="4"/>
        <v>0</v>
      </c>
      <c r="J18" s="476">
        <v>0.29166666666666669</v>
      </c>
      <c r="L18" s="99">
        <f t="shared" si="0"/>
        <v>44482</v>
      </c>
      <c r="M18" s="3">
        <f t="shared" si="2"/>
        <v>6541</v>
      </c>
      <c r="N18" s="495"/>
      <c r="O18" s="495">
        <f t="shared" si="3"/>
        <v>6541</v>
      </c>
    </row>
    <row r="19" spans="1:15" ht="15.75" thickBot="1">
      <c r="A19" s="493">
        <f>ELEC!C17</f>
        <v>44483</v>
      </c>
      <c r="B19" s="250"/>
      <c r="C19" s="611"/>
      <c r="D19" s="170"/>
      <c r="E19" s="170"/>
      <c r="F19" s="611"/>
      <c r="G19" s="610"/>
      <c r="H19" s="558">
        <f t="shared" si="1"/>
        <v>6886</v>
      </c>
      <c r="I19" s="495">
        <f t="shared" si="4"/>
        <v>0</v>
      </c>
      <c r="J19" s="476">
        <v>0.29166666666666669</v>
      </c>
      <c r="L19" s="99">
        <f t="shared" si="0"/>
        <v>44483</v>
      </c>
      <c r="M19" s="3">
        <f t="shared" si="2"/>
        <v>6541</v>
      </c>
      <c r="N19" s="495"/>
      <c r="O19" s="495">
        <f t="shared" si="3"/>
        <v>6541</v>
      </c>
    </row>
    <row r="20" spans="1:15" ht="15.75" thickBot="1">
      <c r="A20" s="493">
        <f>ELEC!C18</f>
        <v>44484</v>
      </c>
      <c r="B20" s="250"/>
      <c r="C20" s="611"/>
      <c r="D20" s="170"/>
      <c r="E20" s="170"/>
      <c r="F20" s="611"/>
      <c r="G20" s="610"/>
      <c r="H20" s="558">
        <f t="shared" si="1"/>
        <v>6886</v>
      </c>
      <c r="I20" s="495">
        <f t="shared" si="4"/>
        <v>0</v>
      </c>
      <c r="J20" s="476">
        <v>0.29166666666666669</v>
      </c>
      <c r="L20" s="99">
        <f t="shared" si="0"/>
        <v>44484</v>
      </c>
      <c r="M20" s="3">
        <f t="shared" si="2"/>
        <v>6541</v>
      </c>
      <c r="N20" s="495"/>
      <c r="O20" s="495">
        <f t="shared" si="3"/>
        <v>6541</v>
      </c>
    </row>
    <row r="21" spans="1:15" ht="15.75" thickBot="1">
      <c r="A21" s="493">
        <f>ELEC!C19</f>
        <v>44485</v>
      </c>
      <c r="B21" s="250"/>
      <c r="C21" s="611"/>
      <c r="D21" s="170"/>
      <c r="E21" s="170"/>
      <c r="F21" s="611"/>
      <c r="G21" s="610"/>
      <c r="H21" s="558">
        <f t="shared" si="1"/>
        <v>6886</v>
      </c>
      <c r="I21" s="495">
        <f t="shared" si="4"/>
        <v>0</v>
      </c>
      <c r="J21" s="557" t="s">
        <v>413</v>
      </c>
      <c r="L21" s="99">
        <f t="shared" si="0"/>
        <v>44485</v>
      </c>
      <c r="M21" s="3">
        <f t="shared" si="2"/>
        <v>6541</v>
      </c>
      <c r="N21" s="495"/>
      <c r="O21" s="495">
        <f t="shared" si="3"/>
        <v>6541</v>
      </c>
    </row>
    <row r="22" spans="1:15" ht="15.75" thickBot="1">
      <c r="A22" s="493">
        <f>ELEC!C20</f>
        <v>44486</v>
      </c>
      <c r="B22" s="250"/>
      <c r="C22" s="611"/>
      <c r="D22" s="609"/>
      <c r="E22" s="611"/>
      <c r="F22" s="611"/>
      <c r="G22" s="608"/>
      <c r="H22" s="558">
        <f t="shared" si="1"/>
        <v>6886</v>
      </c>
      <c r="I22" s="495">
        <f t="shared" si="4"/>
        <v>0</v>
      </c>
      <c r="J22" s="476">
        <v>0.29166666666666669</v>
      </c>
      <c r="L22" s="99">
        <f t="shared" si="0"/>
        <v>44486</v>
      </c>
      <c r="M22" s="3">
        <f t="shared" si="2"/>
        <v>6541</v>
      </c>
      <c r="N22" s="495"/>
      <c r="O22" s="495">
        <f t="shared" si="3"/>
        <v>6541</v>
      </c>
    </row>
    <row r="23" spans="1:15" ht="15.75" thickBot="1">
      <c r="A23" s="493">
        <f>ELEC!C21</f>
        <v>44487</v>
      </c>
      <c r="B23" s="250"/>
      <c r="C23" s="611"/>
      <c r="D23" s="609"/>
      <c r="E23" s="611"/>
      <c r="F23" s="611"/>
      <c r="G23" s="608"/>
      <c r="H23" s="558">
        <f t="shared" si="1"/>
        <v>6886</v>
      </c>
      <c r="I23" s="495">
        <f t="shared" si="4"/>
        <v>0</v>
      </c>
      <c r="J23" s="476">
        <v>0.29166666666666669</v>
      </c>
      <c r="L23" s="99">
        <f t="shared" si="0"/>
        <v>44487</v>
      </c>
      <c r="M23" s="3">
        <f t="shared" si="2"/>
        <v>6541</v>
      </c>
      <c r="N23" s="495"/>
      <c r="O23" s="495">
        <f t="shared" si="3"/>
        <v>6541</v>
      </c>
    </row>
    <row r="24" spans="1:15" ht="15.75" thickBot="1">
      <c r="A24" s="493">
        <f>ELEC!C22</f>
        <v>44488</v>
      </c>
      <c r="B24" s="250"/>
      <c r="C24" s="611"/>
      <c r="D24" s="609"/>
      <c r="E24" s="611"/>
      <c r="F24" s="611"/>
      <c r="G24" s="610"/>
      <c r="H24" s="558">
        <f t="shared" si="1"/>
        <v>6886</v>
      </c>
      <c r="I24" s="495">
        <f t="shared" si="4"/>
        <v>0</v>
      </c>
      <c r="J24" s="476">
        <v>0.29166666666666702</v>
      </c>
      <c r="L24" s="99">
        <f t="shared" si="0"/>
        <v>44488</v>
      </c>
      <c r="M24" s="3">
        <f t="shared" si="2"/>
        <v>6541</v>
      </c>
      <c r="N24" s="495"/>
      <c r="O24" s="495">
        <f t="shared" si="3"/>
        <v>6541</v>
      </c>
    </row>
    <row r="25" spans="1:15" ht="15.75" thickBot="1">
      <c r="A25" s="493">
        <f>ELEC!C23</f>
        <v>44489</v>
      </c>
      <c r="B25" s="250"/>
      <c r="C25" s="611"/>
      <c r="D25" s="609"/>
      <c r="E25" s="611"/>
      <c r="F25" s="611"/>
      <c r="G25" s="610"/>
      <c r="H25" s="558">
        <f t="shared" si="1"/>
        <v>6886</v>
      </c>
      <c r="I25" s="495">
        <f t="shared" si="4"/>
        <v>0</v>
      </c>
      <c r="J25" s="476">
        <v>0.29166666666666702</v>
      </c>
      <c r="L25" s="99">
        <f t="shared" si="0"/>
        <v>44489</v>
      </c>
      <c r="M25" s="3">
        <f t="shared" si="2"/>
        <v>6541</v>
      </c>
      <c r="N25" s="495"/>
      <c r="O25" s="495">
        <f t="shared" si="3"/>
        <v>6541</v>
      </c>
    </row>
    <row r="26" spans="1:15" ht="15.75" thickBot="1">
      <c r="A26" s="493">
        <f>ELEC!C24</f>
        <v>44490</v>
      </c>
      <c r="B26" s="250"/>
      <c r="C26" s="631"/>
      <c r="D26" s="629"/>
      <c r="E26" s="631"/>
      <c r="F26" s="631"/>
      <c r="G26" s="630"/>
      <c r="H26" s="558">
        <f t="shared" si="1"/>
        <v>6886</v>
      </c>
      <c r="I26" s="495">
        <f t="shared" si="4"/>
        <v>0</v>
      </c>
      <c r="J26" s="476">
        <v>0.29166666666666702</v>
      </c>
      <c r="L26" s="99">
        <f t="shared" si="0"/>
        <v>44490</v>
      </c>
      <c r="M26" s="3">
        <f t="shared" si="2"/>
        <v>6541</v>
      </c>
      <c r="N26" s="495"/>
      <c r="O26" s="495">
        <f t="shared" si="3"/>
        <v>6541</v>
      </c>
    </row>
    <row r="27" spans="1:15" ht="15.75" thickBot="1">
      <c r="A27" s="493">
        <f>ELEC!C25</f>
        <v>44491</v>
      </c>
      <c r="B27" s="250"/>
      <c r="C27" s="634"/>
      <c r="D27" s="632"/>
      <c r="E27" s="634"/>
      <c r="F27" s="634"/>
      <c r="G27" s="633"/>
      <c r="H27" s="558">
        <f t="shared" si="1"/>
        <v>6886</v>
      </c>
      <c r="I27" s="495">
        <f t="shared" si="4"/>
        <v>0</v>
      </c>
      <c r="J27" s="476">
        <v>0.29166666666666702</v>
      </c>
      <c r="L27" s="99">
        <f t="shared" si="0"/>
        <v>44491</v>
      </c>
      <c r="M27" s="3">
        <f t="shared" si="2"/>
        <v>6541</v>
      </c>
      <c r="N27" s="495"/>
      <c r="O27" s="495">
        <f t="shared" si="3"/>
        <v>6541</v>
      </c>
    </row>
    <row r="28" spans="1:15" ht="15.75" thickBot="1">
      <c r="A28" s="493">
        <f>ELEC!C26</f>
        <v>44492</v>
      </c>
      <c r="B28" s="250"/>
      <c r="C28" s="634"/>
      <c r="D28" s="632"/>
      <c r="E28" s="634"/>
      <c r="F28" s="634"/>
      <c r="G28" s="633"/>
      <c r="H28" s="558">
        <f t="shared" si="1"/>
        <v>6886</v>
      </c>
      <c r="I28" s="495">
        <f t="shared" si="4"/>
        <v>0</v>
      </c>
      <c r="J28" s="477">
        <v>0.29166666666666702</v>
      </c>
      <c r="L28" s="99">
        <f t="shared" si="0"/>
        <v>44492</v>
      </c>
      <c r="M28" s="3">
        <f t="shared" si="2"/>
        <v>6541</v>
      </c>
      <c r="N28" s="495"/>
      <c r="O28" s="495">
        <f t="shared" si="3"/>
        <v>6541</v>
      </c>
    </row>
    <row r="29" spans="1:15" ht="15.75" thickBot="1">
      <c r="A29" s="493">
        <f>ELEC!C27</f>
        <v>44493</v>
      </c>
      <c r="B29" s="250"/>
      <c r="C29" s="611"/>
      <c r="D29" s="609"/>
      <c r="E29" s="611"/>
      <c r="F29" s="611"/>
      <c r="G29" s="608"/>
      <c r="H29" s="558">
        <f t="shared" si="1"/>
        <v>6886</v>
      </c>
      <c r="I29" s="495">
        <f t="shared" si="4"/>
        <v>0</v>
      </c>
      <c r="J29" s="476">
        <v>0.29166666666666702</v>
      </c>
      <c r="L29" s="99">
        <f t="shared" si="0"/>
        <v>44493</v>
      </c>
      <c r="M29" s="3">
        <f t="shared" si="2"/>
        <v>6541</v>
      </c>
      <c r="N29" s="495"/>
      <c r="O29" s="495">
        <f t="shared" si="3"/>
        <v>6541</v>
      </c>
    </row>
    <row r="30" spans="1:15" ht="15.75" thickBot="1">
      <c r="A30" s="493">
        <f>ELEC!C28</f>
        <v>44494</v>
      </c>
      <c r="B30" s="250"/>
      <c r="C30" s="611"/>
      <c r="D30" s="609"/>
      <c r="E30" s="611"/>
      <c r="F30" s="611"/>
      <c r="G30" s="170"/>
      <c r="H30" s="558">
        <f t="shared" si="1"/>
        <v>6886</v>
      </c>
      <c r="I30" s="495">
        <f t="shared" si="4"/>
        <v>0</v>
      </c>
      <c r="J30" s="476">
        <v>0.29166666666666702</v>
      </c>
      <c r="L30" s="99">
        <f t="shared" si="0"/>
        <v>44494</v>
      </c>
      <c r="M30" s="3">
        <f t="shared" si="2"/>
        <v>6541</v>
      </c>
      <c r="N30" s="495"/>
      <c r="O30" s="495">
        <f t="shared" si="3"/>
        <v>6541</v>
      </c>
    </row>
    <row r="31" spans="1:15" ht="15.75" thickBot="1">
      <c r="A31" s="493">
        <f>ELEC!C29</f>
        <v>44495</v>
      </c>
      <c r="B31" s="250"/>
      <c r="C31" s="170"/>
      <c r="D31" s="170"/>
      <c r="E31" s="170"/>
      <c r="F31" s="170"/>
      <c r="G31" s="170"/>
      <c r="H31" s="558">
        <f t="shared" si="1"/>
        <v>6886</v>
      </c>
      <c r="I31" s="495">
        <f t="shared" si="4"/>
        <v>0</v>
      </c>
      <c r="J31" s="476">
        <v>0.29166666666666702</v>
      </c>
      <c r="L31" s="99">
        <f t="shared" si="0"/>
        <v>44495</v>
      </c>
      <c r="M31" s="3">
        <f t="shared" si="2"/>
        <v>6541</v>
      </c>
      <c r="N31" s="495"/>
      <c r="O31" s="495">
        <f t="shared" si="3"/>
        <v>6541</v>
      </c>
    </row>
    <row r="32" spans="1:15" ht="15.75" thickBot="1">
      <c r="A32" s="493">
        <f>ELEC!C30</f>
        <v>44496</v>
      </c>
      <c r="B32" s="250"/>
      <c r="C32" s="170"/>
      <c r="D32" s="170"/>
      <c r="E32" s="170"/>
      <c r="F32" s="170"/>
      <c r="G32" s="495"/>
      <c r="H32" s="558">
        <f t="shared" si="1"/>
        <v>6886</v>
      </c>
      <c r="I32" s="495">
        <f t="shared" si="4"/>
        <v>0</v>
      </c>
      <c r="J32" s="476">
        <v>0.29166666666666702</v>
      </c>
      <c r="L32" s="99">
        <f t="shared" si="0"/>
        <v>44496</v>
      </c>
      <c r="M32" s="3">
        <f t="shared" si="2"/>
        <v>6541</v>
      </c>
      <c r="N32" s="495"/>
      <c r="O32" s="495">
        <v>6879</v>
      </c>
    </row>
    <row r="33" spans="1:15" ht="15.75" thickBot="1">
      <c r="A33" s="493">
        <f>ELEC!C31</f>
        <v>44497</v>
      </c>
      <c r="B33" s="250"/>
      <c r="C33" s="170"/>
      <c r="D33" s="170"/>
      <c r="E33" s="170"/>
      <c r="F33" s="170"/>
      <c r="G33" s="495"/>
      <c r="H33" s="558">
        <f t="shared" si="1"/>
        <v>6886</v>
      </c>
      <c r="I33" s="495">
        <f t="shared" si="4"/>
        <v>0</v>
      </c>
      <c r="J33" s="476">
        <v>0.29166666666666702</v>
      </c>
      <c r="L33" s="99">
        <f t="shared" si="0"/>
        <v>44497</v>
      </c>
      <c r="M33" s="3">
        <f t="shared" si="2"/>
        <v>6541</v>
      </c>
      <c r="N33" s="495"/>
      <c r="O33" s="495">
        <f t="shared" si="3"/>
        <v>6541</v>
      </c>
    </row>
    <row r="34" spans="1:15" ht="15.75" thickBot="1">
      <c r="A34" s="493">
        <f>ELEC!C32</f>
        <v>44498</v>
      </c>
      <c r="B34" s="250"/>
      <c r="C34" s="170"/>
      <c r="D34" s="170"/>
      <c r="E34" s="170"/>
      <c r="F34" s="170"/>
      <c r="G34" s="495"/>
      <c r="H34" s="558">
        <f t="shared" si="1"/>
        <v>6886</v>
      </c>
      <c r="I34" s="495">
        <f>H34-H33</f>
        <v>0</v>
      </c>
      <c r="J34" s="476">
        <v>0.33333333333333398</v>
      </c>
      <c r="L34" s="99">
        <f>A34</f>
        <v>44498</v>
      </c>
      <c r="M34" s="3">
        <f t="shared" si="2"/>
        <v>6541</v>
      </c>
      <c r="N34" s="495"/>
      <c r="O34" s="495">
        <f>M34+N34</f>
        <v>6541</v>
      </c>
    </row>
    <row r="35" spans="1:15" ht="15.75" thickBot="1">
      <c r="A35" s="493">
        <f>ELEC!C33</f>
        <v>44499</v>
      </c>
      <c r="B35" s="250"/>
      <c r="C35" s="170"/>
      <c r="D35" s="170"/>
      <c r="E35" s="170"/>
      <c r="F35" s="170"/>
      <c r="G35" s="495"/>
      <c r="H35" s="558">
        <f t="shared" si="1"/>
        <v>6886</v>
      </c>
      <c r="I35" s="495">
        <f>H35-H34</f>
        <v>0</v>
      </c>
      <c r="J35" s="476">
        <v>0.375000000000001</v>
      </c>
      <c r="L35" s="99">
        <f>A35</f>
        <v>44499</v>
      </c>
      <c r="M35" s="3">
        <f t="shared" si="2"/>
        <v>6541</v>
      </c>
      <c r="N35" s="495"/>
      <c r="O35" s="495">
        <f>M35+N35</f>
        <v>6541</v>
      </c>
    </row>
    <row r="36" spans="1:15" ht="15.75" thickBot="1">
      <c r="A36" s="493">
        <f>ELEC!C34</f>
        <v>44500</v>
      </c>
      <c r="B36" s="613"/>
      <c r="C36" s="621"/>
      <c r="D36" s="621"/>
      <c r="E36" s="621"/>
      <c r="F36" s="621"/>
      <c r="G36" s="622"/>
      <c r="H36" s="558">
        <f t="shared" si="1"/>
        <v>6886</v>
      </c>
      <c r="I36" s="495">
        <f>H36-H35</f>
        <v>0</v>
      </c>
      <c r="J36" s="476">
        <v>0.41666666666666802</v>
      </c>
      <c r="L36" s="99">
        <f>A36</f>
        <v>44500</v>
      </c>
      <c r="M36" s="3">
        <f t="shared" si="2"/>
        <v>6541</v>
      </c>
      <c r="N36" s="495"/>
      <c r="O36" s="495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1" t="s">
        <v>161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31"/>
      <c r="T1" s="731"/>
      <c r="U1" s="731"/>
      <c r="V1" s="731"/>
      <c r="W1" s="731"/>
      <c r="X1" s="731"/>
    </row>
    <row r="2" spans="1:28" ht="19.5">
      <c r="A2" s="732"/>
      <c r="B2" s="732"/>
      <c r="C2" s="732"/>
      <c r="D2" s="732"/>
      <c r="E2" s="732"/>
      <c r="F2" s="732"/>
      <c r="G2" s="732"/>
      <c r="H2" s="732"/>
      <c r="I2" s="732"/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732"/>
      <c r="U2" s="732"/>
      <c r="V2" s="732"/>
      <c r="W2" s="732"/>
      <c r="X2" s="732"/>
    </row>
    <row r="3" spans="1:28" ht="19.5">
      <c r="A3" s="732" t="s">
        <v>162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  <c r="Q3" s="732"/>
      <c r="R3" s="732"/>
      <c r="S3" s="732"/>
      <c r="T3" s="732"/>
      <c r="U3" s="732"/>
      <c r="V3" s="732"/>
      <c r="W3" s="732"/>
      <c r="X3" s="73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2" t="s">
        <v>407</v>
      </c>
      <c r="B5" s="732"/>
      <c r="C5" s="732"/>
      <c r="D5" s="732"/>
      <c r="E5" s="732"/>
      <c r="F5" s="732"/>
      <c r="G5" s="732"/>
      <c r="H5" s="732"/>
      <c r="I5" s="732"/>
      <c r="J5" s="732"/>
      <c r="K5" s="732"/>
      <c r="L5" s="732"/>
      <c r="M5" s="732"/>
      <c r="N5" s="732"/>
      <c r="O5" s="732"/>
      <c r="P5" s="732"/>
      <c r="Q5" s="732"/>
      <c r="R5" s="732"/>
      <c r="S5" s="732"/>
      <c r="T5" s="732"/>
      <c r="U5" s="732"/>
      <c r="V5" s="732"/>
      <c r="W5" s="732"/>
      <c r="X5" s="732"/>
    </row>
    <row r="6" spans="1:28" ht="15.75" thickBot="1">
      <c r="A6" s="733"/>
      <c r="B6" s="733"/>
      <c r="C6" s="733"/>
      <c r="D6" s="733"/>
      <c r="E6" s="733"/>
      <c r="F6" s="733"/>
      <c r="G6" s="733"/>
      <c r="H6" s="733"/>
      <c r="I6" s="733"/>
      <c r="J6" s="733"/>
      <c r="K6" s="733"/>
      <c r="L6" s="733"/>
      <c r="M6" s="733"/>
      <c r="N6" s="733"/>
      <c r="O6" s="733"/>
      <c r="P6" s="733"/>
      <c r="Q6" s="733"/>
      <c r="R6" s="733"/>
      <c r="S6" s="733"/>
      <c r="T6" s="733"/>
      <c r="U6" s="733"/>
      <c r="V6" s="733"/>
      <c r="W6" s="733"/>
      <c r="X6" s="733"/>
    </row>
    <row r="7" spans="1:28" ht="15.75" thickBot="1">
      <c r="A7" s="735" t="s">
        <v>163</v>
      </c>
      <c r="B7" s="736"/>
      <c r="C7" s="737" t="s">
        <v>164</v>
      </c>
      <c r="D7" s="738"/>
      <c r="E7" s="738"/>
      <c r="F7" s="738"/>
      <c r="G7" s="738"/>
      <c r="H7" s="738"/>
      <c r="I7" s="738"/>
      <c r="J7" s="738"/>
      <c r="K7" s="73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'[12]Degree Days 2020'!B10</f>
        <v>20</v>
      </c>
      <c r="C10" s="267">
        <f>'[12]Degree Days 2020'!C10</f>
        <v>15</v>
      </c>
      <c r="D10" s="267">
        <f>'[12]Degree Days 2020'!D10</f>
        <v>-0.80000000000000071</v>
      </c>
      <c r="E10" s="267">
        <f>'[12]Degree Days 2020'!E10</f>
        <v>1</v>
      </c>
      <c r="F10" s="267">
        <f>'[12]Degree Days 2020'!F10</f>
        <v>21</v>
      </c>
      <c r="G10" s="267">
        <f>'[12]Degree Days 2020'!G10</f>
        <v>16</v>
      </c>
      <c r="H10" s="267">
        <f>'[12]Degree Days 2020'!H10</f>
        <v>0.19999999999999929</v>
      </c>
      <c r="I10" s="267">
        <f>'[12]Degree Days 2020'!I10</f>
        <v>1</v>
      </c>
      <c r="J10" s="267">
        <f>'[12]Degree Days 2020'!J10</f>
        <v>18</v>
      </c>
      <c r="K10" s="267">
        <f>'[12]Degree Days 2020'!K10</f>
        <v>14</v>
      </c>
      <c r="L10" s="267">
        <f>'[12]Degree Days 2020'!L10</f>
        <v>-2.3000000000000007</v>
      </c>
      <c r="M10" s="267">
        <f>'[13]Degree Days 2020'!M10</f>
        <v>1</v>
      </c>
      <c r="N10" s="267">
        <f>'[14]General information '!B6</f>
        <v>17</v>
      </c>
      <c r="O10" s="267">
        <f>'[14]General information '!C6</f>
        <v>12</v>
      </c>
      <c r="P10" s="267">
        <f>(N10+O10)/2-18.3</f>
        <v>-3.8000000000000007</v>
      </c>
      <c r="Q10" s="516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6">
        <v>1</v>
      </c>
      <c r="V10" s="267">
        <f>'[9]Degree Days 2020'!V10</f>
        <v>27</v>
      </c>
      <c r="W10" s="267">
        <f>'[9]Degree Days 2020'!W10</f>
        <v>21</v>
      </c>
      <c r="X10" s="267">
        <f>(V10+W10)/2-18.3</f>
        <v>5.6999999999999993</v>
      </c>
      <c r="Z10" t="s">
        <v>165</v>
      </c>
      <c r="AA10" s="267">
        <f>'[12]Degree Days 2020'!AA10</f>
        <v>-92.59999999999998</v>
      </c>
      <c r="AB10" s="267">
        <f>'[12]Degree Days 2020'!AB10</f>
        <v>2.7999999999999936</v>
      </c>
    </row>
    <row r="11" spans="1:28">
      <c r="A11" s="117">
        <v>2</v>
      </c>
      <c r="B11" s="267">
        <f>'[12]Degree Days 2020'!B11</f>
        <v>21</v>
      </c>
      <c r="C11" s="267">
        <f>'[12]Degree Days 2020'!C11</f>
        <v>15</v>
      </c>
      <c r="D11" s="267">
        <f>'[12]Degree Days 2020'!D11</f>
        <v>-0.30000000000000071</v>
      </c>
      <c r="E11" s="267">
        <f>'[12]Degree Days 2020'!E11</f>
        <v>2</v>
      </c>
      <c r="F11" s="267">
        <f>'[12]Degree Days 2020'!F11</f>
        <v>23</v>
      </c>
      <c r="G11" s="267">
        <f>'[12]Degree Days 2020'!G11</f>
        <v>17</v>
      </c>
      <c r="H11" s="267">
        <f>'[12]Degree Days 2020'!H11</f>
        <v>1.6999999999999993</v>
      </c>
      <c r="I11" s="267">
        <f>'[12]Degree Days 2020'!I11</f>
        <v>2</v>
      </c>
      <c r="J11" s="267">
        <f>'[12]Degree Days 2020'!J11</f>
        <v>18</v>
      </c>
      <c r="K11" s="267">
        <f>'[12]Degree Days 2020'!K11</f>
        <v>13</v>
      </c>
      <c r="L11" s="267">
        <f>'[12]Degree Days 2020'!L11</f>
        <v>-2.8000000000000007</v>
      </c>
      <c r="M11" s="267">
        <f>'[13]Degree Days 2020'!M11</f>
        <v>2</v>
      </c>
      <c r="N11" s="267">
        <f>'[14]General information '!B7</f>
        <v>15</v>
      </c>
      <c r="O11" s="267">
        <f>'[14]General information '!C7</f>
        <v>12</v>
      </c>
      <c r="P11" s="267">
        <f t="shared" ref="P11:P39" si="0">(N11+O11)/2-18.3</f>
        <v>-4.8000000000000007</v>
      </c>
      <c r="Q11" s="516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6">
        <v>2</v>
      </c>
      <c r="V11" s="267">
        <f>'[9]Degree Days 2020'!V11</f>
        <v>26</v>
      </c>
      <c r="W11" s="267">
        <f>'[9]Degree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'[12]Degree Days 2020'!AA11</f>
        <v>-75.899999999999977</v>
      </c>
      <c r="AB11" s="267">
        <f>'[12]Degree Days 2020'!AB11</f>
        <v>6.4999999999999964</v>
      </c>
    </row>
    <row r="12" spans="1:28">
      <c r="A12" s="117">
        <v>3</v>
      </c>
      <c r="B12" s="267">
        <f>'[12]Degree Days 2020'!B12</f>
        <v>21</v>
      </c>
      <c r="C12" s="267">
        <f>'[12]Degree Days 2020'!C12</f>
        <v>16</v>
      </c>
      <c r="D12" s="267">
        <f>'[12]Degree Days 2020'!D12</f>
        <v>0.19999999999999929</v>
      </c>
      <c r="E12" s="267">
        <f>'[12]Degree Days 2020'!E12</f>
        <v>3</v>
      </c>
      <c r="F12" s="267">
        <f>'[12]Degree Days 2020'!F12</f>
        <v>20</v>
      </c>
      <c r="G12" s="267">
        <f>'[12]Degree Days 2020'!G12</f>
        <v>15</v>
      </c>
      <c r="H12" s="267">
        <f>'[12]Degree Days 2020'!H12</f>
        <v>-0.80000000000000071</v>
      </c>
      <c r="I12" s="267">
        <f>'[12]Degree Days 2020'!I12</f>
        <v>3</v>
      </c>
      <c r="J12" s="267">
        <f>'[12]Degree Days 2020'!J12</f>
        <v>18</v>
      </c>
      <c r="K12" s="267">
        <f>'[12]Degree Days 2020'!K12</f>
        <v>13</v>
      </c>
      <c r="L12" s="267">
        <f>'[12]Degree Days 2020'!L12</f>
        <v>-2.8000000000000007</v>
      </c>
      <c r="M12" s="267">
        <f>'[13]Degree Days 2020'!M12</f>
        <v>3</v>
      </c>
      <c r="N12" s="267">
        <f>'[14]General information '!B8</f>
        <v>19</v>
      </c>
      <c r="O12" s="267">
        <f>'[14]General information '!C8</f>
        <v>15</v>
      </c>
      <c r="P12" s="267">
        <f t="shared" si="0"/>
        <v>-1.3000000000000007</v>
      </c>
      <c r="Q12" s="516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6">
        <v>3</v>
      </c>
      <c r="V12" s="267">
        <f>'[9]Degree Days 2020'!V12</f>
        <v>26</v>
      </c>
      <c r="W12" s="267">
        <f>'[9]Degree Days 2020'!W12</f>
        <v>23</v>
      </c>
      <c r="X12" s="267">
        <f t="shared" si="2"/>
        <v>6.1999999999999993</v>
      </c>
      <c r="Z12" t="s">
        <v>170</v>
      </c>
      <c r="AA12" s="267">
        <f>'[12]Degree Days 2020'!AA12</f>
        <v>-56.899999999999991</v>
      </c>
      <c r="AB12" s="267">
        <f>'[12]Degree Days 2020'!AB12</f>
        <v>11.499999999999996</v>
      </c>
    </row>
    <row r="13" spans="1:28">
      <c r="A13" s="117">
        <v>4</v>
      </c>
      <c r="B13" s="267">
        <f>'[12]Degree Days 2020'!B13</f>
        <v>22</v>
      </c>
      <c r="C13" s="267">
        <f>'[12]Degree Days 2020'!C13</f>
        <v>15</v>
      </c>
      <c r="D13" s="267">
        <f>'[12]Degree Days 2020'!D13</f>
        <v>0.19999999999999929</v>
      </c>
      <c r="E13" s="267">
        <f>'[12]Degree Days 2020'!E13</f>
        <v>4</v>
      </c>
      <c r="F13" s="267">
        <f>'[12]Degree Days 2020'!F13</f>
        <v>20</v>
      </c>
      <c r="G13" s="267">
        <f>'[12]Degree Days 2020'!G13</f>
        <v>15</v>
      </c>
      <c r="H13" s="267">
        <f>'[12]Degree Days 2020'!H13</f>
        <v>-0.80000000000000071</v>
      </c>
      <c r="I13" s="267">
        <f>'[12]Degree Days 2020'!I13</f>
        <v>4</v>
      </c>
      <c r="J13" s="267">
        <f>'[12]Degree Days 2020'!J13</f>
        <v>18</v>
      </c>
      <c r="K13" s="267">
        <f>'[12]Degree Days 2020'!K13</f>
        <v>13</v>
      </c>
      <c r="L13" s="267">
        <f>'[12]Degree Days 2020'!L13</f>
        <v>-2.8000000000000007</v>
      </c>
      <c r="M13" s="267">
        <f>'[13]Degree Days 2020'!M13</f>
        <v>4</v>
      </c>
      <c r="N13" s="267">
        <f>'[14]General information '!B9</f>
        <v>18</v>
      </c>
      <c r="O13" s="267">
        <f>'[14]General information '!C9</f>
        <v>15</v>
      </c>
      <c r="P13" s="267">
        <f t="shared" si="0"/>
        <v>-1.8000000000000007</v>
      </c>
      <c r="Q13" s="516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6">
        <v>4</v>
      </c>
      <c r="V13" s="267">
        <f>'[9]Degree Days 2020'!V13</f>
        <v>27</v>
      </c>
      <c r="W13" s="267">
        <f>'[9]Degree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'[12]Degree Days 2020'!B14</f>
        <v>22</v>
      </c>
      <c r="C14" s="267">
        <f>'[12]Degree Days 2020'!C14</f>
        <v>16</v>
      </c>
      <c r="D14" s="267">
        <f>'[12]Degree Days 2020'!D14</f>
        <v>0.69999999999999929</v>
      </c>
      <c r="E14" s="267">
        <f>'[12]Degree Days 2020'!E14</f>
        <v>5</v>
      </c>
      <c r="F14" s="267">
        <f>'[12]Degree Days 2020'!F14</f>
        <v>20</v>
      </c>
      <c r="G14" s="267">
        <f>'[12]Degree Days 2020'!G14</f>
        <v>15</v>
      </c>
      <c r="H14" s="267">
        <f>'[12]Degree Days 2020'!H14</f>
        <v>-0.80000000000000071</v>
      </c>
      <c r="I14" s="267">
        <f>'[12]Degree Days 2020'!I14</f>
        <v>5</v>
      </c>
      <c r="J14" s="267">
        <f>'[12]Degree Days 2020'!J14</f>
        <v>19</v>
      </c>
      <c r="K14" s="267">
        <f>'[12]Degree Days 2020'!K14</f>
        <v>12</v>
      </c>
      <c r="L14" s="267">
        <f>'[12]Degree Days 2020'!L14</f>
        <v>-2.8000000000000007</v>
      </c>
      <c r="M14" s="267">
        <f>'[13]Degree Days 2020'!M14</f>
        <v>5</v>
      </c>
      <c r="N14" s="267">
        <f>'[14]General information '!B10</f>
        <v>19</v>
      </c>
      <c r="O14" s="267">
        <f>'[14]General information '!C10</f>
        <v>15</v>
      </c>
      <c r="P14" s="267">
        <f t="shared" si="0"/>
        <v>-1.3000000000000007</v>
      </c>
      <c r="Q14" s="516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6">
        <v>5</v>
      </c>
      <c r="V14" s="267">
        <f>'[9]Degree Days 2020'!V14</f>
        <v>26</v>
      </c>
      <c r="W14" s="267">
        <f>'[9]Degree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'[12]Degree Days 2020'!B15</f>
        <v>22</v>
      </c>
      <c r="C15" s="267">
        <f>'[12]Degree Days 2020'!C15</f>
        <v>15</v>
      </c>
      <c r="D15" s="267">
        <f>'[12]Degree Days 2020'!D15</f>
        <v>0.19999999999999929</v>
      </c>
      <c r="E15" s="267">
        <f>'[12]Degree Days 2020'!E15</f>
        <v>6</v>
      </c>
      <c r="F15" s="267">
        <f>'[12]Degree Days 2020'!F15</f>
        <v>19</v>
      </c>
      <c r="G15" s="267">
        <f>'[12]Degree Days 2020'!G15</f>
        <v>15</v>
      </c>
      <c r="H15" s="267">
        <f>'[12]Degree Days 2020'!H15</f>
        <v>-1.3000000000000007</v>
      </c>
      <c r="I15" s="267">
        <f>'[12]Degree Days 2020'!I15</f>
        <v>6</v>
      </c>
      <c r="J15" s="267">
        <f>'[12]Degree Days 2020'!J15</f>
        <v>18</v>
      </c>
      <c r="K15" s="267">
        <f>'[12]Degree Days 2020'!K15</f>
        <v>14</v>
      </c>
      <c r="L15" s="267">
        <f>'[12]Degree Days 2020'!L15</f>
        <v>-2.3000000000000007</v>
      </c>
      <c r="M15" s="267">
        <f>'[13]Degree Days 2020'!M15</f>
        <v>6</v>
      </c>
      <c r="N15" s="267">
        <f>'[14]General information '!B11</f>
        <v>30</v>
      </c>
      <c r="O15" s="267">
        <f>'[14]General information '!C11</f>
        <v>15</v>
      </c>
      <c r="P15" s="267">
        <f t="shared" si="0"/>
        <v>4.1999999999999993</v>
      </c>
      <c r="Q15" s="516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6">
        <v>6</v>
      </c>
      <c r="V15" s="267">
        <f>'[9]Degree Days 2020'!V15</f>
        <v>26</v>
      </c>
      <c r="W15" s="267">
        <f>'[9]Degree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'[12]Degree Days 2020'!B16</f>
        <v>20</v>
      </c>
      <c r="C16" s="267">
        <f>'[12]Degree Days 2020'!C16</f>
        <v>14</v>
      </c>
      <c r="D16" s="267">
        <f>'[12]Degree Days 2020'!D16</f>
        <v>-1.3000000000000007</v>
      </c>
      <c r="E16" s="267">
        <f>'[12]Degree Days 2020'!E16</f>
        <v>7</v>
      </c>
      <c r="F16" s="267">
        <f>'[12]Degree Days 2020'!F16</f>
        <v>21</v>
      </c>
      <c r="G16" s="267">
        <f>'[12]Degree Days 2020'!G16</f>
        <v>17</v>
      </c>
      <c r="H16" s="267">
        <f>'[12]Degree Days 2020'!H16</f>
        <v>0.69999999999999929</v>
      </c>
      <c r="I16" s="267">
        <f>'[12]Degree Days 2020'!I16</f>
        <v>7</v>
      </c>
      <c r="J16" s="267">
        <f>'[12]Degree Days 2020'!J16</f>
        <v>19</v>
      </c>
      <c r="K16" s="267">
        <f>'[12]Degree Days 2020'!K16</f>
        <v>14</v>
      </c>
      <c r="L16" s="267">
        <f>'[12]Degree Days 2020'!L16</f>
        <v>-1.8000000000000007</v>
      </c>
      <c r="M16" s="267">
        <f>'[13]Degree Days 2020'!M16</f>
        <v>7</v>
      </c>
      <c r="N16" s="267">
        <f>'[14]General information '!B12</f>
        <v>24</v>
      </c>
      <c r="O16" s="267">
        <f>'[14]General information '!C12</f>
        <v>19</v>
      </c>
      <c r="P16" s="267">
        <f t="shared" si="0"/>
        <v>3.1999999999999993</v>
      </c>
      <c r="Q16" s="516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6">
        <v>7</v>
      </c>
      <c r="V16" s="267">
        <f>'[9]Degree Days 2020'!V16</f>
        <v>27</v>
      </c>
      <c r="W16" s="267">
        <f>'[9]Degree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'[12]Degree Days 2020'!B17</f>
        <v>21</v>
      </c>
      <c r="C17" s="267">
        <f>'[12]Degree Days 2020'!C17</f>
        <v>14</v>
      </c>
      <c r="D17" s="267">
        <f>'[12]Degree Days 2020'!D17</f>
        <v>-0.80000000000000071</v>
      </c>
      <c r="E17" s="267">
        <f>'[12]Degree Days 2020'!E17</f>
        <v>8</v>
      </c>
      <c r="F17" s="267">
        <f>'[12]Degree Days 2020'!F17</f>
        <v>23</v>
      </c>
      <c r="G17" s="267">
        <f>'[12]Degree Days 2020'!G17</f>
        <v>19</v>
      </c>
      <c r="H17" s="267">
        <f>'[12]Degree Days 2020'!H17</f>
        <v>2.6999999999999993</v>
      </c>
      <c r="I17" s="267">
        <f>'[12]Degree Days 2020'!I17</f>
        <v>8</v>
      </c>
      <c r="J17" s="267">
        <f>'[12]Degree Days 2020'!J17</f>
        <v>20</v>
      </c>
      <c r="K17" s="267">
        <f>'[12]Degree Days 2020'!K17</f>
        <v>16</v>
      </c>
      <c r="L17" s="267">
        <f>'[12]Degree Days 2020'!L17</f>
        <v>-0.30000000000000071</v>
      </c>
      <c r="M17" s="267">
        <f>'[13]Degree Days 2020'!M17</f>
        <v>8</v>
      </c>
      <c r="N17" s="267">
        <f>'[14]General information '!B13</f>
        <v>20</v>
      </c>
      <c r="O17" s="267">
        <f>'[14]General information '!C13</f>
        <v>17</v>
      </c>
      <c r="P17" s="267">
        <f t="shared" si="0"/>
        <v>0.19999999999999929</v>
      </c>
      <c r="Q17" s="516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6">
        <v>8</v>
      </c>
      <c r="V17" s="267">
        <f>'[9]Degree Days 2020'!V17</f>
        <v>27</v>
      </c>
      <c r="W17" s="267">
        <f>'[9]Degree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'[12]Degree Days 2020'!B18</f>
        <v>22</v>
      </c>
      <c r="C18" s="267">
        <f>'[12]Degree Days 2020'!C18</f>
        <v>15</v>
      </c>
      <c r="D18" s="267">
        <f>'[12]Degree Days 2020'!D18</f>
        <v>0.19999999999999929</v>
      </c>
      <c r="E18" s="267">
        <f>'[12]Degree Days 2020'!E18</f>
        <v>9</v>
      </c>
      <c r="F18" s="267">
        <f>'[12]Degree Days 2020'!F18</f>
        <v>21</v>
      </c>
      <c r="G18" s="267">
        <f>'[12]Degree Days 2020'!G18</f>
        <v>18</v>
      </c>
      <c r="H18" s="267">
        <f>'[12]Degree Days 2020'!H18</f>
        <v>1.1999999999999993</v>
      </c>
      <c r="I18" s="267">
        <f>'[12]Degree Days 2020'!I18</f>
        <v>9</v>
      </c>
      <c r="J18" s="267">
        <f>'[12]Degree Days 2020'!J18</f>
        <v>23</v>
      </c>
      <c r="K18" s="267">
        <f>'[12]Degree Days 2020'!K18</f>
        <v>17</v>
      </c>
      <c r="L18" s="267">
        <f>'[12]Degree Days 2020'!L18</f>
        <v>1.6999999999999993</v>
      </c>
      <c r="M18" s="267">
        <f>'[13]Degree Days 2020'!M18</f>
        <v>9</v>
      </c>
      <c r="N18" s="267">
        <f>'[14]General information '!B14</f>
        <v>20</v>
      </c>
      <c r="O18" s="267">
        <f>'[14]General information '!C14</f>
        <v>16</v>
      </c>
      <c r="P18" s="267">
        <f t="shared" si="0"/>
        <v>-0.30000000000000071</v>
      </c>
      <c r="Q18" s="516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6">
        <v>9</v>
      </c>
      <c r="V18" s="267">
        <f>'[9]Degree Days 2020'!V18</f>
        <v>27</v>
      </c>
      <c r="W18" s="267">
        <f>'[9]Degree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'[12]Degree Days 2020'!B19</f>
        <v>22</v>
      </c>
      <c r="C19" s="267">
        <f>'[12]Degree Days 2020'!C19</f>
        <v>15</v>
      </c>
      <c r="D19" s="267">
        <f>'[12]Degree Days 2020'!D19</f>
        <v>0.19999999999999929</v>
      </c>
      <c r="E19" s="267">
        <f>'[12]Degree Days 2020'!E19</f>
        <v>10</v>
      </c>
      <c r="F19" s="267">
        <f>'[12]Degree Days 2020'!F19</f>
        <v>19</v>
      </c>
      <c r="G19" s="267">
        <f>'[12]Degree Days 2020'!G19</f>
        <v>14</v>
      </c>
      <c r="H19" s="267">
        <f>'[12]Degree Days 2020'!H19</f>
        <v>-1.8000000000000007</v>
      </c>
      <c r="I19" s="267">
        <f>'[12]Degree Days 2020'!I19</f>
        <v>10</v>
      </c>
      <c r="J19" s="267">
        <f>'[12]Degree Days 2020'!J19</f>
        <v>19</v>
      </c>
      <c r="K19" s="267">
        <f>'[12]Degree Days 2020'!K19</f>
        <v>13</v>
      </c>
      <c r="L19" s="267">
        <f>'[12]Degree Days 2020'!L19</f>
        <v>-2.3000000000000007</v>
      </c>
      <c r="M19" s="267">
        <f>'[13]Degree Days 2020'!M19</f>
        <v>10</v>
      </c>
      <c r="N19" s="267">
        <f>'[14]General information '!B15</f>
        <v>16</v>
      </c>
      <c r="O19" s="267">
        <f>'[14]General information '!C15</f>
        <v>14</v>
      </c>
      <c r="P19" s="267">
        <f t="shared" si="0"/>
        <v>-3.3000000000000007</v>
      </c>
      <c r="Q19" s="516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6">
        <v>10</v>
      </c>
      <c r="V19" s="267">
        <f>'[9]Degree Days 2020'!V19</f>
        <v>27</v>
      </c>
      <c r="W19" s="267">
        <f>'[9]Degree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'[12]Degree Days 2020'!B20</f>
        <v>22</v>
      </c>
      <c r="C20" s="267">
        <f>'[12]Degree Days 2020'!C20</f>
        <v>16</v>
      </c>
      <c r="D20" s="267">
        <f>'[12]Degree Days 2020'!D20</f>
        <v>0.69999999999999929</v>
      </c>
      <c r="E20" s="267">
        <f>'[12]Degree Days 2020'!E20</f>
        <v>11</v>
      </c>
      <c r="F20" s="267">
        <f>'[12]Degree Days 2020'!F20</f>
        <v>18</v>
      </c>
      <c r="G20" s="267">
        <f>'[12]Degree Days 2020'!G20</f>
        <v>13</v>
      </c>
      <c r="H20" s="267">
        <f>'[12]Degree Days 2020'!H20</f>
        <v>-2.8000000000000007</v>
      </c>
      <c r="I20" s="267">
        <f>'[12]Degree Days 2020'!I20</f>
        <v>11</v>
      </c>
      <c r="J20" s="267">
        <f>'[12]Degree Days 2020'!J20</f>
        <v>17</v>
      </c>
      <c r="K20" s="267">
        <f>'[12]Degree Days 2020'!K20</f>
        <v>12</v>
      </c>
      <c r="L20" s="267">
        <f>'[12]Degree Days 2020'!L20</f>
        <v>-3.8000000000000007</v>
      </c>
      <c r="M20" s="267">
        <f>'[13]Degree Days 2020'!M20</f>
        <v>11</v>
      </c>
      <c r="N20" s="267">
        <f>'[14]General information '!B16</f>
        <v>17</v>
      </c>
      <c r="O20" s="267">
        <f>'[14]General information '!C16</f>
        <v>12</v>
      </c>
      <c r="P20" s="267">
        <f t="shared" si="0"/>
        <v>-3.8000000000000007</v>
      </c>
      <c r="Q20" s="516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6">
        <v>11</v>
      </c>
      <c r="V20" s="267">
        <f>'[9]Degree Days 2020'!V20</f>
        <v>27</v>
      </c>
      <c r="W20" s="267">
        <f>'[9]Degree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'[12]Degree Days 2020'!B21</f>
        <v>24</v>
      </c>
      <c r="C21" s="267">
        <f>'[12]Degree Days 2020'!C21</f>
        <v>13</v>
      </c>
      <c r="D21" s="267">
        <f>'[12]Degree Days 2020'!D21</f>
        <v>0.19999999999999929</v>
      </c>
      <c r="E21" s="267">
        <f>'[12]Degree Days 2020'!E21</f>
        <v>12</v>
      </c>
      <c r="F21" s="267">
        <f>'[12]Degree Days 2020'!F21</f>
        <v>18</v>
      </c>
      <c r="G21" s="267">
        <f>'[12]Degree Days 2020'!G21</f>
        <v>13</v>
      </c>
      <c r="H21" s="267">
        <f>'[12]Degree Days 2020'!H21</f>
        <v>-2.8000000000000007</v>
      </c>
      <c r="I21" s="267">
        <f>'[12]Degree Days 2020'!I21</f>
        <v>12</v>
      </c>
      <c r="J21" s="267">
        <f>'[12]Degree Days 2020'!J21</f>
        <v>18</v>
      </c>
      <c r="K21" s="267">
        <f>'[12]Degree Days 2020'!K21</f>
        <v>13</v>
      </c>
      <c r="L21" s="267">
        <f>'[12]Degree Days 2020'!L21</f>
        <v>-2.8000000000000007</v>
      </c>
      <c r="M21" s="267">
        <f>'[13]Degree Days 2020'!M21</f>
        <v>12</v>
      </c>
      <c r="N21" s="267">
        <f>'[14]General information '!B17</f>
        <v>16</v>
      </c>
      <c r="O21" s="267">
        <f>'[14]General information '!C17</f>
        <v>13</v>
      </c>
      <c r="P21" s="267">
        <f t="shared" si="0"/>
        <v>-3.8000000000000007</v>
      </c>
      <c r="Q21" s="516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6">
        <v>12</v>
      </c>
      <c r="V21" s="267">
        <f>'[9]Degree Days 2020'!V21</f>
        <v>27</v>
      </c>
      <c r="W21" s="267">
        <f>'[9]Degree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'[12]Degree Days 2020'!B22</f>
        <v>18</v>
      </c>
      <c r="C22" s="267">
        <f>'[12]Degree Days 2020'!C22</f>
        <v>12</v>
      </c>
      <c r="D22" s="267">
        <f>'[12]Degree Days 2020'!D22</f>
        <v>-3.3000000000000007</v>
      </c>
      <c r="E22" s="267">
        <f>'[12]Degree Days 2020'!E22</f>
        <v>13</v>
      </c>
      <c r="F22" s="267">
        <f>'[12]Degree Days 2020'!F22</f>
        <v>19</v>
      </c>
      <c r="G22" s="267">
        <f>'[12]Degree Days 2020'!G22</f>
        <v>14</v>
      </c>
      <c r="H22" s="267">
        <f>'[12]Degree Days 2020'!H22</f>
        <v>-1.8000000000000007</v>
      </c>
      <c r="I22" s="267">
        <f>'[12]Degree Days 2020'!I22</f>
        <v>13</v>
      </c>
      <c r="J22" s="267">
        <f>'[12]Degree Days 2020'!J22</f>
        <v>18</v>
      </c>
      <c r="K22" s="267">
        <f>'[12]Degree Days 2020'!K22</f>
        <v>16</v>
      </c>
      <c r="L22" s="267">
        <f>'[12]Degree Days 2020'!L22</f>
        <v>-1.3000000000000007</v>
      </c>
      <c r="M22" s="267">
        <f>'[13]Degree Days 2020'!M22</f>
        <v>13</v>
      </c>
      <c r="N22" s="267">
        <f>'[14]General information '!B18</f>
        <v>18</v>
      </c>
      <c r="O22" s="267">
        <f>'[14]General information '!C18</f>
        <v>11</v>
      </c>
      <c r="P22" s="267">
        <f t="shared" si="0"/>
        <v>-3.8000000000000007</v>
      </c>
      <c r="Q22" s="516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6">
        <v>13</v>
      </c>
      <c r="V22" s="267">
        <f>'[9]Degree Days 2020'!V22</f>
        <v>26</v>
      </c>
      <c r="W22" s="267">
        <f>'[9]Degree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'[12]Degree Days 2020'!B23</f>
        <v>17</v>
      </c>
      <c r="C23" s="267">
        <f>'[12]Degree Days 2020'!C23</f>
        <v>12</v>
      </c>
      <c r="D23" s="267">
        <f>'[12]Degree Days 2020'!D23</f>
        <v>-3.8000000000000007</v>
      </c>
      <c r="E23" s="267">
        <f>'[12]Degree Days 2020'!E23</f>
        <v>14</v>
      </c>
      <c r="F23" s="267">
        <f>'[12]Degree Days 2020'!F23</f>
        <v>18</v>
      </c>
      <c r="G23" s="267">
        <f>'[12]Degree Days 2020'!G23</f>
        <v>13</v>
      </c>
      <c r="H23" s="267">
        <f>'[12]Degree Days 2020'!H23</f>
        <v>-2.8000000000000007</v>
      </c>
      <c r="I23" s="267">
        <f>'[12]Degree Days 2020'!I23</f>
        <v>14</v>
      </c>
      <c r="J23" s="267">
        <f>'[12]Degree Days 2020'!J23</f>
        <v>19</v>
      </c>
      <c r="K23" s="267">
        <f>'[12]Degree Days 2020'!K23</f>
        <v>15</v>
      </c>
      <c r="L23" s="267">
        <f>'[12]Degree Days 2020'!L23</f>
        <v>-1.3000000000000007</v>
      </c>
      <c r="M23" s="267">
        <f>'[13]Degree Days 2020'!M23</f>
        <v>14</v>
      </c>
      <c r="N23" s="267">
        <f>'[14]General information '!B19</f>
        <v>20</v>
      </c>
      <c r="O23" s="267">
        <f>'[14]General information '!C19</f>
        <v>12</v>
      </c>
      <c r="P23" s="267">
        <f t="shared" si="0"/>
        <v>-2.3000000000000007</v>
      </c>
      <c r="Q23" s="516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6">
        <v>14</v>
      </c>
      <c r="V23" s="267">
        <f>'[9]Degree Days 2020'!V23</f>
        <v>26</v>
      </c>
      <c r="W23" s="267">
        <f>'[9]Degree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'[12]Degree Days 2020'!B24</f>
        <v>19</v>
      </c>
      <c r="C24" s="267">
        <f>'[12]Degree Days 2020'!C24</f>
        <v>13</v>
      </c>
      <c r="D24" s="267">
        <f>'[12]Degree Days 2020'!D24</f>
        <v>-2.3000000000000007</v>
      </c>
      <c r="E24" s="267">
        <f>'[12]Degree Days 2020'!E24</f>
        <v>15</v>
      </c>
      <c r="F24" s="267">
        <f>'[12]Degree Days 2020'!F24</f>
        <v>18</v>
      </c>
      <c r="G24" s="267">
        <f>'[12]Degree Days 2020'!G24</f>
        <v>12</v>
      </c>
      <c r="H24" s="267">
        <f>'[12]Degree Days 2020'!H24</f>
        <v>-3.3000000000000007</v>
      </c>
      <c r="I24" s="267">
        <f>'[12]Degree Days 2020'!I24</f>
        <v>15</v>
      </c>
      <c r="J24" s="267">
        <f>'[12]Degree Days 2020'!J24</f>
        <v>19</v>
      </c>
      <c r="K24" s="267">
        <f>'[12]Degree Days 2020'!K24</f>
        <v>15</v>
      </c>
      <c r="L24" s="267">
        <f>'[12]Degree Days 2020'!L24</f>
        <v>-1.3000000000000007</v>
      </c>
      <c r="M24" s="267">
        <f>'[13]Degree Days 2020'!M24</f>
        <v>15</v>
      </c>
      <c r="N24" s="267">
        <f>'[14]General information '!B20</f>
        <v>24</v>
      </c>
      <c r="O24" s="267">
        <f>'[14]General information '!C20</f>
        <v>14</v>
      </c>
      <c r="P24" s="267">
        <f t="shared" si="0"/>
        <v>0.69999999999999929</v>
      </c>
      <c r="Q24" s="516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6">
        <v>15</v>
      </c>
      <c r="V24" s="267">
        <f>'[9]Degree Days 2020'!V24</f>
        <v>27</v>
      </c>
      <c r="W24" s="267">
        <f>'[9]Degree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'[12]Degree Days 2020'!B25</f>
        <v>15</v>
      </c>
      <c r="C25" s="267">
        <f>'[12]Degree Days 2020'!C25</f>
        <v>9</v>
      </c>
      <c r="D25" s="267">
        <f>'[12]Degree Days 2020'!D25</f>
        <v>-6.3000000000000007</v>
      </c>
      <c r="E25" s="267">
        <f>'[12]Degree Days 2020'!E25</f>
        <v>16</v>
      </c>
      <c r="F25" s="267">
        <f>'[12]Degree Days 2020'!F25</f>
        <v>11</v>
      </c>
      <c r="G25" s="267">
        <f>'[12]Degree Days 2020'!G25</f>
        <v>7</v>
      </c>
      <c r="H25" s="267">
        <f>'[12]Degree Days 2020'!H25</f>
        <v>-9.3000000000000007</v>
      </c>
      <c r="I25" s="267">
        <f>'[12]Degree Days 2020'!I25</f>
        <v>16</v>
      </c>
      <c r="J25" s="267">
        <f>'[12]Degree Days 2020'!J25</f>
        <v>19</v>
      </c>
      <c r="K25" s="267">
        <f>'[12]Degree Days 2020'!K25</f>
        <v>14</v>
      </c>
      <c r="L25" s="267">
        <f>'[12]Degree Days 2020'!L25</f>
        <v>-1.8000000000000007</v>
      </c>
      <c r="M25" s="267">
        <f>'[13]Degree Days 2020'!M25</f>
        <v>16</v>
      </c>
      <c r="N25" s="267">
        <f>'[14]General information '!B21</f>
        <v>26</v>
      </c>
      <c r="O25" s="267">
        <f>'[14]General information '!C21</f>
        <v>17</v>
      </c>
      <c r="P25" s="267">
        <f t="shared" si="0"/>
        <v>3.1999999999999993</v>
      </c>
      <c r="Q25" s="516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6">
        <v>16</v>
      </c>
      <c r="V25" s="267">
        <f>'[9]Degree Days 2020'!V25</f>
        <v>27</v>
      </c>
      <c r="W25" s="267">
        <f>'[9]Degree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'[12]Degree Days 2020'!B26</f>
        <v>15</v>
      </c>
      <c r="C26" s="267">
        <f>'[12]Degree Days 2020'!C26</f>
        <v>12</v>
      </c>
      <c r="D26" s="267">
        <f>'[12]Degree Days 2020'!D26</f>
        <v>-4.8000000000000007</v>
      </c>
      <c r="E26" s="267">
        <f>'[12]Degree Days 2020'!E26</f>
        <v>17</v>
      </c>
      <c r="F26" s="267">
        <f>'[12]Degree Days 2020'!F26</f>
        <v>13</v>
      </c>
      <c r="G26" s="267">
        <f>'[12]Degree Days 2020'!G26</f>
        <v>7</v>
      </c>
      <c r="H26" s="267">
        <f>'[12]Degree Days 2020'!H26</f>
        <v>-8.3000000000000007</v>
      </c>
      <c r="I26" s="267">
        <f>'[12]Degree Days 2020'!I26</f>
        <v>17</v>
      </c>
      <c r="J26" s="267">
        <f>'[12]Degree Days 2020'!J26</f>
        <v>20</v>
      </c>
      <c r="K26" s="267">
        <f>'[12]Degree Days 2020'!K26</f>
        <v>15</v>
      </c>
      <c r="L26" s="267">
        <f>'[12]Degree Days 2020'!L26</f>
        <v>-0.80000000000000071</v>
      </c>
      <c r="M26" s="267">
        <f>'[13]Degree Days 2020'!M26</f>
        <v>17</v>
      </c>
      <c r="N26" s="267">
        <f>'[14]General information '!B22</f>
        <v>27</v>
      </c>
      <c r="O26" s="267">
        <f>'[14]General information '!C22</f>
        <v>17</v>
      </c>
      <c r="P26" s="267">
        <f t="shared" si="0"/>
        <v>3.6999999999999993</v>
      </c>
      <c r="Q26" s="516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6">
        <v>17</v>
      </c>
      <c r="V26" s="267">
        <f>'[9]Degree Days 2020'!V26</f>
        <v>26</v>
      </c>
      <c r="W26" s="267">
        <f>'[9]Degree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'[12]Degree Days 2020'!B27</f>
        <v>14</v>
      </c>
      <c r="C27" s="267">
        <f>'[12]Degree Days 2020'!C27</f>
        <v>8</v>
      </c>
      <c r="D27" s="267">
        <f>'[12]Degree Days 2020'!D27</f>
        <v>-7.3000000000000007</v>
      </c>
      <c r="E27" s="267">
        <f>'[12]Degree Days 2020'!E27</f>
        <v>18</v>
      </c>
      <c r="F27" s="267">
        <f>'[12]Degree Days 2020'!F27</f>
        <v>13</v>
      </c>
      <c r="G27" s="267">
        <f>'[12]Degree Days 2020'!G27</f>
        <v>7</v>
      </c>
      <c r="H27" s="267">
        <f>'[12]Degree Days 2020'!H27</f>
        <v>-8.3000000000000007</v>
      </c>
      <c r="I27" s="267">
        <f>'[12]Degree Days 2020'!I27</f>
        <v>18</v>
      </c>
      <c r="J27" s="267">
        <f>'[12]Degree Days 2020'!J27</f>
        <v>20</v>
      </c>
      <c r="K27" s="267">
        <f>'[12]Degree Days 2020'!K27</f>
        <v>15</v>
      </c>
      <c r="L27" s="267">
        <f>'[12]Degree Days 2020'!L27</f>
        <v>-0.80000000000000071</v>
      </c>
      <c r="M27" s="267">
        <f>'[13]Degree Days 2020'!M27</f>
        <v>18</v>
      </c>
      <c r="N27" s="267">
        <f>'[14]General information '!B23</f>
        <v>32</v>
      </c>
      <c r="O27" s="267">
        <f>'[14]General information '!C23</f>
        <v>19</v>
      </c>
      <c r="P27" s="267">
        <f t="shared" si="0"/>
        <v>7.1999999999999993</v>
      </c>
      <c r="Q27" s="516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6">
        <v>18</v>
      </c>
      <c r="V27" s="267">
        <f>'[9]Degree Days 2020'!V27</f>
        <v>27</v>
      </c>
      <c r="W27" s="267">
        <f>'[9]Degree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'[12]Degree Days 2020'!B28</f>
        <v>17</v>
      </c>
      <c r="C28" s="267">
        <f>'[12]Degree Days 2020'!C28</f>
        <v>10</v>
      </c>
      <c r="D28" s="267">
        <f>'[12]Degree Days 2020'!D28</f>
        <v>-4.8000000000000007</v>
      </c>
      <c r="E28" s="267">
        <f>'[12]Degree Days 2020'!E28</f>
        <v>19</v>
      </c>
      <c r="F28" s="267">
        <f>'[12]Degree Days 2020'!F28</f>
        <v>14</v>
      </c>
      <c r="G28" s="267">
        <f>'[12]Degree Days 2020'!G28</f>
        <v>7</v>
      </c>
      <c r="H28" s="267">
        <f>'[12]Degree Days 2020'!H28</f>
        <v>-7.8000000000000007</v>
      </c>
      <c r="I28" s="267">
        <f>'[12]Degree Days 2020'!I28</f>
        <v>19</v>
      </c>
      <c r="J28" s="267">
        <f>'[12]Degree Days 2020'!J28</f>
        <v>19</v>
      </c>
      <c r="K28" s="267">
        <f>'[12]Degree Days 2020'!K28</f>
        <v>17</v>
      </c>
      <c r="L28" s="267">
        <f>'[12]Degree Days 2020'!L28</f>
        <v>-0.30000000000000071</v>
      </c>
      <c r="M28" s="267">
        <f>'[13]Degree Days 2020'!M28</f>
        <v>19</v>
      </c>
      <c r="N28" s="267">
        <f>'[14]General information '!B24</f>
        <v>33</v>
      </c>
      <c r="O28" s="267">
        <f>'[14]General information '!C24</f>
        <v>24</v>
      </c>
      <c r="P28" s="267">
        <f t="shared" si="0"/>
        <v>10.199999999999999</v>
      </c>
      <c r="Q28" s="516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6">
        <v>19</v>
      </c>
      <c r="V28" s="267">
        <f>'[9]Degree Days 2020'!V28</f>
        <v>28</v>
      </c>
      <c r="W28" s="267">
        <f>'[9]Degree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'[12]Degree Days 2020'!B29</f>
        <v>17</v>
      </c>
      <c r="C29" s="267">
        <f>'[12]Degree Days 2020'!C29</f>
        <v>10</v>
      </c>
      <c r="D29" s="267">
        <f>'[12]Degree Days 2020'!D29</f>
        <v>-4.8000000000000007</v>
      </c>
      <c r="E29" s="267">
        <f>'[12]Degree Days 2020'!E29</f>
        <v>20</v>
      </c>
      <c r="F29" s="267">
        <f>'[12]Degree Days 2020'!F29</f>
        <v>19</v>
      </c>
      <c r="G29" s="267">
        <f>'[12]Degree Days 2020'!G29</f>
        <v>14</v>
      </c>
      <c r="H29" s="267">
        <f>'[12]Degree Days 2020'!H29</f>
        <v>-1.8000000000000007</v>
      </c>
      <c r="I29" s="267">
        <f>'[12]Degree Days 2020'!I29</f>
        <v>20</v>
      </c>
      <c r="J29" s="267">
        <f>'[12]Degree Days 2020'!J29</f>
        <v>21</v>
      </c>
      <c r="K29" s="267">
        <f>'[12]Degree Days 2020'!K29</f>
        <v>18</v>
      </c>
      <c r="L29" s="267">
        <f>'[12]Degree Days 2020'!L29</f>
        <v>1.1999999999999993</v>
      </c>
      <c r="M29" s="267">
        <f>'[13]Degree Days 2020'!M29</f>
        <v>20</v>
      </c>
      <c r="N29" s="267">
        <f>'[14]General information '!B25</f>
        <v>22</v>
      </c>
      <c r="O29" s="267">
        <f>'[14]General information '!C25</f>
        <v>15</v>
      </c>
      <c r="P29" s="267">
        <f t="shared" si="0"/>
        <v>0.19999999999999929</v>
      </c>
      <c r="Q29" s="516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6">
        <v>20</v>
      </c>
      <c r="V29" s="267">
        <f>'[9]Degree Days 2020'!V29</f>
        <v>27</v>
      </c>
      <c r="W29" s="267">
        <f>'[9]Degree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'[12]Degree Days 2020'!B30</f>
        <v>16</v>
      </c>
      <c r="C30" s="267">
        <f>'[12]Degree Days 2020'!C30</f>
        <v>9</v>
      </c>
      <c r="D30" s="267">
        <f>'[12]Degree Days 2020'!D30</f>
        <v>-5.8000000000000007</v>
      </c>
      <c r="E30" s="267">
        <f>'[12]Degree Days 2020'!E30</f>
        <v>21</v>
      </c>
      <c r="F30" s="267">
        <f>'[12]Degree Days 2020'!F30</f>
        <v>18</v>
      </c>
      <c r="G30" s="267">
        <f>'[12]Degree Days 2020'!G30</f>
        <v>13</v>
      </c>
      <c r="H30" s="267">
        <f>'[12]Degree Days 2020'!H30</f>
        <v>-2.8000000000000007</v>
      </c>
      <c r="I30" s="267">
        <f>'[12]Degree Days 2020'!I30</f>
        <v>21</v>
      </c>
      <c r="J30" s="267">
        <f>'[12]Degree Days 2020'!J30</f>
        <v>23</v>
      </c>
      <c r="K30" s="267">
        <f>'[12]Degree Days 2020'!K30</f>
        <v>14</v>
      </c>
      <c r="L30" s="267">
        <f>'[12]Degree Days 2020'!L30</f>
        <v>0.19999999999999929</v>
      </c>
      <c r="M30" s="267">
        <f>'[13]Degree Days 2020'!M30</f>
        <v>21</v>
      </c>
      <c r="N30" s="267">
        <f>'[14]General information '!B26</f>
        <v>21</v>
      </c>
      <c r="O30" s="267">
        <f>'[14]General information '!C26</f>
        <v>17</v>
      </c>
      <c r="P30" s="267">
        <f t="shared" si="0"/>
        <v>0.69999999999999929</v>
      </c>
      <c r="Q30" s="516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6">
        <v>21</v>
      </c>
      <c r="V30" s="267">
        <f>'[9]Degree Days 2020'!V30</f>
        <v>27</v>
      </c>
      <c r="W30" s="267">
        <f>'[9]Degree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'[12]Degree Days 2020'!B31</f>
        <v>17</v>
      </c>
      <c r="C31" s="267">
        <f>'[12]Degree Days 2020'!C31</f>
        <v>10</v>
      </c>
      <c r="D31" s="267">
        <f>'[12]Degree Days 2020'!D31</f>
        <v>-4.8000000000000007</v>
      </c>
      <c r="E31" s="267">
        <f>'[12]Degree Days 2020'!E31</f>
        <v>22</v>
      </c>
      <c r="F31" s="267">
        <f>'[12]Degree Days 2020'!F31</f>
        <v>21</v>
      </c>
      <c r="G31" s="267">
        <f>'[12]Degree Days 2020'!G31</f>
        <v>12</v>
      </c>
      <c r="H31" s="267">
        <f>'[12]Degree Days 2020'!H31</f>
        <v>-1.8000000000000007</v>
      </c>
      <c r="I31" s="267">
        <f>'[12]Degree Days 2020'!I31</f>
        <v>22</v>
      </c>
      <c r="J31" s="267">
        <f>'[12]Degree Days 2020'!J31</f>
        <v>26</v>
      </c>
      <c r="K31" s="267">
        <f>'[12]Degree Days 2020'!K31</f>
        <v>14</v>
      </c>
      <c r="L31" s="267">
        <f>'[12]Degree Days 2020'!L31</f>
        <v>1.6999999999999993</v>
      </c>
      <c r="M31" s="267">
        <f>'[13]Degree Days 2020'!M31</f>
        <v>22</v>
      </c>
      <c r="N31" s="267">
        <f>'[14]General information '!B27</f>
        <v>21</v>
      </c>
      <c r="O31" s="267">
        <f>'[14]General information '!C27</f>
        <v>18</v>
      </c>
      <c r="P31" s="267">
        <f t="shared" si="0"/>
        <v>1.1999999999999993</v>
      </c>
      <c r="Q31" s="516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6">
        <v>22</v>
      </c>
      <c r="V31" s="267">
        <f>'[9]Degree Days 2020'!V31</f>
        <v>26</v>
      </c>
      <c r="W31" s="267">
        <f>'[9]Degree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'[12]Degree Days 2020'!B32</f>
        <v>18</v>
      </c>
      <c r="C32" s="267">
        <f>'[12]Degree Days 2020'!C32</f>
        <v>12</v>
      </c>
      <c r="D32" s="267">
        <f>'[12]Degree Days 2020'!D32</f>
        <v>-3.3000000000000007</v>
      </c>
      <c r="E32" s="267">
        <f>'[12]Degree Days 2020'!E32</f>
        <v>23</v>
      </c>
      <c r="F32" s="267">
        <f>'[12]Degree Days 2020'!F32</f>
        <v>19</v>
      </c>
      <c r="G32" s="267">
        <f>'[12]Degree Days 2020'!G32</f>
        <v>13</v>
      </c>
      <c r="H32" s="267">
        <f>'[12]Degree Days 2020'!H32</f>
        <v>-2.3000000000000007</v>
      </c>
      <c r="I32" s="267">
        <f>'[12]Degree Days 2020'!I32</f>
        <v>23</v>
      </c>
      <c r="J32" s="267">
        <f>'[12]Degree Days 2020'!J32</f>
        <v>33</v>
      </c>
      <c r="K32" s="267">
        <f>'[12]Degree Days 2020'!K32</f>
        <v>17</v>
      </c>
      <c r="L32" s="267">
        <f>'[12]Degree Days 2020'!L32</f>
        <v>6.6999999999999993</v>
      </c>
      <c r="M32" s="267">
        <f>'[13]Degree Days 2020'!M32</f>
        <v>23</v>
      </c>
      <c r="N32" s="267">
        <f>'[14]General information '!B28</f>
        <v>20</v>
      </c>
      <c r="O32" s="267">
        <f>'[14]General information '!C28</f>
        <v>18</v>
      </c>
      <c r="P32" s="267">
        <f t="shared" si="0"/>
        <v>0.69999999999999929</v>
      </c>
      <c r="Q32" s="516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6">
        <v>23</v>
      </c>
      <c r="V32" s="267">
        <f>'[9]Degree Days 2020'!V32</f>
        <v>28</v>
      </c>
      <c r="W32" s="267">
        <f>'[9]Degree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'[12]Degree Days 2020'!B33</f>
        <v>17</v>
      </c>
      <c r="C33" s="267">
        <f>'[12]Degree Days 2020'!C33</f>
        <v>11</v>
      </c>
      <c r="D33" s="267">
        <f>'[12]Degree Days 2020'!D33</f>
        <v>-4.3000000000000007</v>
      </c>
      <c r="E33" s="267">
        <f>'[12]Degree Days 2020'!E33</f>
        <v>24</v>
      </c>
      <c r="F33" s="267">
        <f>'[12]Degree Days 2020'!F33</f>
        <v>19</v>
      </c>
      <c r="G33" s="267">
        <f>'[12]Degree Days 2020'!G33</f>
        <v>12</v>
      </c>
      <c r="H33" s="267">
        <f>'[12]Degree Days 2020'!H33</f>
        <v>-2.8000000000000007</v>
      </c>
      <c r="I33" s="267">
        <f>'[12]Degree Days 2020'!I33</f>
        <v>24</v>
      </c>
      <c r="J33" s="267">
        <f>'[12]Degree Days 2020'!J33</f>
        <v>15</v>
      </c>
      <c r="K33" s="267">
        <f>'[12]Degree Days 2020'!K33</f>
        <v>12</v>
      </c>
      <c r="L33" s="267">
        <f>'[12]Degree Days 2020'!L33</f>
        <v>-4.8000000000000007</v>
      </c>
      <c r="M33" s="267">
        <f>'[13]Degree Days 2020'!M33</f>
        <v>24</v>
      </c>
      <c r="N33" s="267">
        <f>'[14]General information '!B29</f>
        <v>24</v>
      </c>
      <c r="O33" s="267">
        <f>'[14]General information '!C29</f>
        <v>18</v>
      </c>
      <c r="P33" s="267">
        <f t="shared" si="0"/>
        <v>2.6999999999999993</v>
      </c>
      <c r="Q33" s="516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6">
        <v>24</v>
      </c>
      <c r="V33" s="267">
        <f>'[9]Degree Days 2020'!V33</f>
        <v>28</v>
      </c>
      <c r="W33" s="267">
        <f>'[9]Degree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'[12]Degree Days 2020'!B34</f>
        <v>21</v>
      </c>
      <c r="C34" s="267">
        <f>'[12]Degree Days 2020'!C34</f>
        <v>12</v>
      </c>
      <c r="D34" s="267">
        <f>'[12]Degree Days 2020'!D34</f>
        <v>-1.8000000000000007</v>
      </c>
      <c r="E34" s="267">
        <f>'[12]Degree Days 2020'!E34</f>
        <v>25</v>
      </c>
      <c r="F34" s="267">
        <f>'[12]Degree Days 2020'!F34</f>
        <v>18</v>
      </c>
      <c r="G34" s="267">
        <f>'[12]Degree Days 2020'!G34</f>
        <v>13</v>
      </c>
      <c r="H34" s="267">
        <f>'[12]Degree Days 2020'!H34</f>
        <v>-2.8000000000000007</v>
      </c>
      <c r="I34" s="267">
        <f>'[12]Degree Days 2020'!I34</f>
        <v>25</v>
      </c>
      <c r="J34" s="267">
        <f>'[12]Degree Days 2020'!J34</f>
        <v>15</v>
      </c>
      <c r="K34" s="267">
        <f>'[12]Degree Days 2020'!K34</f>
        <v>12</v>
      </c>
      <c r="L34" s="267">
        <f>'[12]Degree Days 2020'!L34</f>
        <v>-4.8000000000000007</v>
      </c>
      <c r="M34" s="267">
        <f>'[13]Degree Days 2020'!M34</f>
        <v>25</v>
      </c>
      <c r="N34" s="267">
        <f>'[14]General information '!B30</f>
        <v>23</v>
      </c>
      <c r="O34" s="267">
        <f>'[14]General information '!C30</f>
        <v>18</v>
      </c>
      <c r="P34" s="267">
        <f t="shared" si="0"/>
        <v>2.1999999999999993</v>
      </c>
      <c r="Q34" s="516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6">
        <v>25</v>
      </c>
      <c r="V34" s="267">
        <f>'[9]Degree Days 2020'!V34</f>
        <v>29</v>
      </c>
      <c r="W34" s="267">
        <f>'[9]Degree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'[12]Degree Days 2020'!B35</f>
        <v>18</v>
      </c>
      <c r="C35" s="267">
        <f>'[12]Degree Days 2020'!C35</f>
        <v>11</v>
      </c>
      <c r="D35" s="267">
        <f>'[12]Degree Days 2020'!D35</f>
        <v>-3.8000000000000007</v>
      </c>
      <c r="E35" s="267">
        <f>'[12]Degree Days 2020'!E35</f>
        <v>26</v>
      </c>
      <c r="F35" s="267">
        <f>'[12]Degree Days 2020'!F35</f>
        <v>18</v>
      </c>
      <c r="G35" s="267">
        <f>'[12]Degree Days 2020'!G35</f>
        <v>13</v>
      </c>
      <c r="H35" s="267">
        <f>'[12]Degree Days 2020'!H35</f>
        <v>-2.8000000000000007</v>
      </c>
      <c r="I35" s="267">
        <f>'[12]Degree Days 2020'!I35</f>
        <v>26</v>
      </c>
      <c r="J35" s="267">
        <f>'[12]Degree Days 2020'!J35</f>
        <v>16</v>
      </c>
      <c r="K35" s="267">
        <f>'[12]Degree Days 2020'!K35</f>
        <v>10</v>
      </c>
      <c r="L35" s="267">
        <f>'[12]Degree Days 2020'!L35</f>
        <v>-5.3000000000000007</v>
      </c>
      <c r="M35" s="267">
        <f>'[13]Degree Days 2020'!M35</f>
        <v>26</v>
      </c>
      <c r="N35" s="267">
        <f>'[14]General information '!B31</f>
        <v>22</v>
      </c>
      <c r="O35" s="267">
        <f>'[14]General information '!C31</f>
        <v>16</v>
      </c>
      <c r="P35" s="267">
        <f t="shared" si="0"/>
        <v>0.69999999999999929</v>
      </c>
      <c r="Q35" s="516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6">
        <v>26</v>
      </c>
      <c r="V35" s="267">
        <f>'[9]Degree Days 2020'!V35</f>
        <v>30</v>
      </c>
      <c r="W35" s="267">
        <f>'[9]Degree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'[12]Degree Days 2020'!B36</f>
        <v>14</v>
      </c>
      <c r="C36" s="267">
        <f>'[12]Degree Days 2020'!C36</f>
        <v>10</v>
      </c>
      <c r="D36" s="267">
        <f>'[12]Degree Days 2020'!D36</f>
        <v>-6.3000000000000007</v>
      </c>
      <c r="E36" s="267">
        <f>'[12]Degree Days 2020'!E36</f>
        <v>27</v>
      </c>
      <c r="F36" s="267">
        <f>'[12]Degree Days 2020'!F36</f>
        <v>18</v>
      </c>
      <c r="G36" s="267">
        <f>'[12]Degree Days 2020'!G36</f>
        <v>13</v>
      </c>
      <c r="H36" s="267">
        <f>'[12]Degree Days 2020'!H36</f>
        <v>-2.8000000000000007</v>
      </c>
      <c r="I36" s="267">
        <f>'[12]Degree Days 2020'!I36</f>
        <v>27</v>
      </c>
      <c r="J36" s="267">
        <f>'[12]Degree Days 2020'!J36</f>
        <v>17</v>
      </c>
      <c r="K36" s="267">
        <f>'[12]Degree Days 2020'!K36</f>
        <v>11</v>
      </c>
      <c r="L36" s="267">
        <f>'[12]Degree Days 2020'!L36</f>
        <v>-4.3000000000000007</v>
      </c>
      <c r="M36" s="267">
        <f>'[13]Degree Days 2020'!M36</f>
        <v>27</v>
      </c>
      <c r="N36" s="267">
        <f>'[14]General information '!B32</f>
        <v>22</v>
      </c>
      <c r="O36" s="267">
        <f>'[14]General information '!C32</f>
        <v>18</v>
      </c>
      <c r="P36" s="267">
        <f t="shared" si="0"/>
        <v>1.6999999999999993</v>
      </c>
      <c r="Q36" s="516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6">
        <v>27</v>
      </c>
      <c r="V36" s="267">
        <f>'[9]Degree Days 2020'!V36</f>
        <v>30</v>
      </c>
      <c r="W36" s="267">
        <f>'[9]Degree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'[12]Degree Days 2020'!B37</f>
        <v>14</v>
      </c>
      <c r="C37" s="267">
        <f>'[12]Degree Days 2020'!C37</f>
        <v>10</v>
      </c>
      <c r="D37" s="267">
        <f>'[12]Degree Days 2020'!D37</f>
        <v>-6.3000000000000007</v>
      </c>
      <c r="E37" s="267">
        <f>'[12]Degree Days 2020'!E37</f>
        <v>28</v>
      </c>
      <c r="F37" s="267">
        <f>'[12]Degree Days 2020'!F37</f>
        <v>17</v>
      </c>
      <c r="G37" s="267">
        <f>'[12]Degree Days 2020'!G37</f>
        <v>13</v>
      </c>
      <c r="H37" s="267">
        <f>'[12]Degree Days 2020'!H37</f>
        <v>-3.3000000000000007</v>
      </c>
      <c r="I37" s="267">
        <f>'[12]Degree Days 2020'!I37</f>
        <v>28</v>
      </c>
      <c r="J37" s="267">
        <f>'[12]Degree Days 2020'!J37</f>
        <v>17</v>
      </c>
      <c r="K37" s="267">
        <f>'[12]Degree Days 2020'!K37</f>
        <v>13</v>
      </c>
      <c r="L37" s="267">
        <f>'[12]Degree Days 2020'!L37</f>
        <v>-3.3000000000000007</v>
      </c>
      <c r="M37" s="267">
        <f>'[13]Degree Days 2020'!M37</f>
        <v>28</v>
      </c>
      <c r="N37" s="267">
        <f>'[14]General information '!B33</f>
        <v>26</v>
      </c>
      <c r="O37" s="267">
        <f>'[14]General information '!C33</f>
        <v>16</v>
      </c>
      <c r="P37" s="267">
        <f t="shared" si="0"/>
        <v>2.6999999999999993</v>
      </c>
      <c r="Q37" s="516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6">
        <v>28</v>
      </c>
      <c r="V37" s="267">
        <f>'[9]Degree Days 2020'!V37</f>
        <v>31</v>
      </c>
      <c r="W37" s="267">
        <f>'[9]Degree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'[12]Degree Days 2020'!B38</f>
        <v>16</v>
      </c>
      <c r="C38" s="267">
        <f>'[12]Degree Days 2020'!C38</f>
        <v>12</v>
      </c>
      <c r="D38" s="267">
        <f>'[12]Degree Days 2020'!D38</f>
        <v>-4.3000000000000007</v>
      </c>
      <c r="E38" s="267"/>
      <c r="F38" s="267"/>
      <c r="G38" s="267"/>
      <c r="H38" s="267"/>
      <c r="I38" s="267">
        <f>'[12]Degree Days 2020'!I38</f>
        <v>29</v>
      </c>
      <c r="J38" s="267">
        <f>'[12]Degree Days 2020'!J38</f>
        <v>17</v>
      </c>
      <c r="K38" s="267">
        <f>'[12]Degree Days 2020'!K38</f>
        <v>14</v>
      </c>
      <c r="L38" s="267">
        <f>'[12]Degree Days 2020'!L38</f>
        <v>-2.8000000000000007</v>
      </c>
      <c r="M38" s="267">
        <f>'[13]Degree Days 2020'!M38</f>
        <v>29</v>
      </c>
      <c r="N38" s="267">
        <f>'[14]General information '!B34</f>
        <v>29</v>
      </c>
      <c r="O38" s="267">
        <f>'[14]General information '!C34</f>
        <v>18</v>
      </c>
      <c r="P38" s="267">
        <f t="shared" si="0"/>
        <v>5.1999999999999993</v>
      </c>
      <c r="Q38" s="516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6">
        <v>29</v>
      </c>
      <c r="V38" s="267">
        <f>'[9]Degree Days 2020'!V38</f>
        <v>30</v>
      </c>
      <c r="W38" s="267">
        <f>'[9]Degree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'[12]Degree Days 2020'!B39</f>
        <v>10</v>
      </c>
      <c r="C39" s="267">
        <f>'[12]Degree Days 2020'!C39</f>
        <v>4</v>
      </c>
      <c r="D39" s="267">
        <f>'[12]Degree Days 2020'!D39</f>
        <v>-11.3</v>
      </c>
      <c r="E39" s="267"/>
      <c r="F39" s="267"/>
      <c r="G39" s="267"/>
      <c r="H39" s="267"/>
      <c r="I39" s="267">
        <f>'[12]Degree Days 2020'!I39</f>
        <v>30</v>
      </c>
      <c r="J39" s="267">
        <f>'[12]Degree Days 2020'!J39</f>
        <v>19</v>
      </c>
      <c r="K39" s="267">
        <f>'[12]Degree Days 2020'!K39</f>
        <v>13</v>
      </c>
      <c r="L39" s="267">
        <f>'[12]Degree Days 2020'!L39</f>
        <v>-2.3000000000000007</v>
      </c>
      <c r="M39" s="267">
        <f>'[13]Degree Days 2020'!M39</f>
        <v>30</v>
      </c>
      <c r="N39" s="267">
        <f>'[14]General information '!B35</f>
        <v>25</v>
      </c>
      <c r="O39" s="267">
        <f>'[14]General information '!C35</f>
        <v>21</v>
      </c>
      <c r="P39" s="267">
        <f t="shared" si="0"/>
        <v>4.6999999999999993</v>
      </c>
      <c r="Q39" s="516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6">
        <v>30</v>
      </c>
      <c r="V39" s="267">
        <f>'[9]Degree Days 2020'!V39</f>
        <v>0</v>
      </c>
      <c r="W39" s="267">
        <f>'[9]Degree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'[12]Degree Days 2020'!B40</f>
        <v>21</v>
      </c>
      <c r="C40" s="267">
        <f>'[12]Degree Days 2020'!C40</f>
        <v>16</v>
      </c>
      <c r="D40" s="267">
        <f>'[12]Degree Days 2020'!D40</f>
        <v>0.19999999999999929</v>
      </c>
      <c r="E40" s="267"/>
      <c r="F40" s="267"/>
      <c r="G40" s="267"/>
      <c r="H40" s="267"/>
      <c r="I40" s="267">
        <f>'[12]Degree Days 2020'!I40</f>
        <v>31</v>
      </c>
      <c r="J40" s="267">
        <f>'[12]Degree Days 2020'!J40</f>
        <v>18</v>
      </c>
      <c r="K40" s="267">
        <f>'[12]Degree Days 2020'!K40</f>
        <v>13</v>
      </c>
      <c r="L40" s="267">
        <f>'[12]Degree Days 2020'!L40</f>
        <v>-2.8000000000000007</v>
      </c>
      <c r="M40" s="267"/>
      <c r="N40" s="267"/>
      <c r="O40" s="267"/>
      <c r="P40" s="267"/>
      <c r="Q40" s="516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'[15]Degree Days 2020'!B48</f>
        <v>0</v>
      </c>
      <c r="C48" s="267">
        <f>'[15]Degree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'[2]Degree Days 2020'!J48</f>
        <v>30</v>
      </c>
      <c r="K48" s="267">
        <f>'[2]Degree Days 2020'!K48</f>
        <v>26</v>
      </c>
      <c r="L48" s="119">
        <f>(J48+K48)/2-18.3</f>
        <v>9.6999999999999993</v>
      </c>
      <c r="M48" s="117">
        <v>1</v>
      </c>
      <c r="N48" s="267">
        <f>'General information '!B5</f>
        <v>0</v>
      </c>
      <c r="O48" s="267">
        <f>'General information '!C5</f>
        <v>0</v>
      </c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'[15]Degree Days 2020'!B49</f>
        <v>0</v>
      </c>
      <c r="C49" s="267">
        <f>'[15]Degree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'[2]Degree Days 2020'!J49</f>
        <v>31</v>
      </c>
      <c r="K49" s="267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7">
        <f>'General information '!B6</f>
        <v>0</v>
      </c>
      <c r="O49" s="267">
        <f>'General information '!C6</f>
        <v>0</v>
      </c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'[15]Degree Days 2020'!B50</f>
        <v>0</v>
      </c>
      <c r="C50" s="267">
        <f>'[15]Degree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'[2]Degree Days 2020'!J50</f>
        <v>0</v>
      </c>
      <c r="K50" s="267">
        <f>'[2]Degree Days 2020'!K50</f>
        <v>0</v>
      </c>
      <c r="L50" s="119">
        <f t="shared" si="6"/>
        <v>-18.3</v>
      </c>
      <c r="M50" s="117">
        <v>3</v>
      </c>
      <c r="N50" s="267">
        <f>'General information '!B7</f>
        <v>28</v>
      </c>
      <c r="O50" s="267">
        <f>'General information '!C7</f>
        <v>24</v>
      </c>
      <c r="P50" s="119">
        <f t="shared" si="7"/>
        <v>7.6999999999999993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'[15]Degree Days 2020'!B51</f>
        <v>0</v>
      </c>
      <c r="C51" s="267">
        <f>'[15]Degree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'[2]Degree Days 2020'!J51</f>
        <v>0</v>
      </c>
      <c r="K51" s="267">
        <f>'[2]Degree Days 2020'!K51</f>
        <v>0</v>
      </c>
      <c r="L51" s="119">
        <f t="shared" si="6"/>
        <v>-18.3</v>
      </c>
      <c r="M51" s="117">
        <v>4</v>
      </c>
      <c r="N51" s="267">
        <f>'General information '!B8</f>
        <v>0</v>
      </c>
      <c r="O51" s="267">
        <f>'General information '!C8</f>
        <v>0</v>
      </c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'[15]Degree Days 2020'!B52</f>
        <v>30</v>
      </c>
      <c r="C52" s="267">
        <f>'[15]Degree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'[2]Degree Days 2020'!J52</f>
        <v>31</v>
      </c>
      <c r="K52" s="267">
        <f>'[2]Degree Days 2020'!K52</f>
        <v>26</v>
      </c>
      <c r="L52" s="119">
        <f t="shared" si="6"/>
        <v>10.199999999999999</v>
      </c>
      <c r="M52" s="117">
        <v>5</v>
      </c>
      <c r="N52" s="267">
        <f>'General information '!B9</f>
        <v>0</v>
      </c>
      <c r="O52" s="267">
        <f>'General information '!C9</f>
        <v>0</v>
      </c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'[15]Degree Days 2020'!B53</f>
        <v>30</v>
      </c>
      <c r="C53" s="267">
        <f>'[15]Degree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'[2]Degree Days 2020'!J53</f>
        <v>30</v>
      </c>
      <c r="K53" s="267">
        <f>'[2]Degree Days 2020'!K53</f>
        <v>26</v>
      </c>
      <c r="L53" s="119">
        <f t="shared" si="6"/>
        <v>9.6999999999999993</v>
      </c>
      <c r="M53" s="117">
        <v>6</v>
      </c>
      <c r="N53" s="267">
        <f>'General information '!B10</f>
        <v>0</v>
      </c>
      <c r="O53" s="267">
        <f>'General information '!C10</f>
        <v>0</v>
      </c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'[15]Degree Days 2020'!B54</f>
        <v>30</v>
      </c>
      <c r="C54" s="267">
        <f>'[15]Degree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'[2]Degree Days 2020'!J54</f>
        <v>31</v>
      </c>
      <c r="K54" s="267">
        <f>'[2]Degree Days 2020'!K54</f>
        <v>26</v>
      </c>
      <c r="L54" s="119">
        <f t="shared" si="6"/>
        <v>10.199999999999999</v>
      </c>
      <c r="M54" s="117">
        <v>7</v>
      </c>
      <c r="N54" s="267">
        <f>'General information '!B11</f>
        <v>0</v>
      </c>
      <c r="O54" s="267">
        <f>'General information '!C11</f>
        <v>0</v>
      </c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'[15]Degree Days 2020'!B55</f>
        <v>29</v>
      </c>
      <c r="C55" s="267">
        <f>'[15]Degree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'[2]Degree Days 2020'!J55</f>
        <v>29</v>
      </c>
      <c r="K55" s="267">
        <f>'[2]Degree Days 2020'!K55</f>
        <v>25</v>
      </c>
      <c r="L55" s="119">
        <f t="shared" si="6"/>
        <v>8.6999999999999993</v>
      </c>
      <c r="M55" s="117">
        <v>8</v>
      </c>
      <c r="N55" s="267">
        <f>'General information '!B12</f>
        <v>0</v>
      </c>
      <c r="O55" s="267">
        <f>'General information '!C12</f>
        <v>0</v>
      </c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'[15]Degree Days 2020'!B56</f>
        <v>30</v>
      </c>
      <c r="C56" s="267">
        <f>'[15]Degree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'[2]Degree Days 2020'!J56</f>
        <v>29</v>
      </c>
      <c r="K56" s="267">
        <f>'[2]Degree Days 2020'!K56</f>
        <v>25</v>
      </c>
      <c r="L56" s="119">
        <f t="shared" si="6"/>
        <v>8.6999999999999993</v>
      </c>
      <c r="M56" s="117">
        <v>9</v>
      </c>
      <c r="N56" s="267">
        <f>'General information '!B13</f>
        <v>0</v>
      </c>
      <c r="O56" s="267">
        <f>'General information '!C13</f>
        <v>0</v>
      </c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'[15]Degree Days 2020'!B57</f>
        <v>31</v>
      </c>
      <c r="C57" s="267">
        <f>'[15]Degree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'[2]Degree Days 2020'!J57</f>
        <v>0</v>
      </c>
      <c r="K57" s="267">
        <f>'[2]Degree Days 2020'!K57</f>
        <v>0</v>
      </c>
      <c r="L57" s="119">
        <f t="shared" si="6"/>
        <v>-18.3</v>
      </c>
      <c r="M57" s="117">
        <v>10</v>
      </c>
      <c r="N57" s="267">
        <f>'General information '!B14</f>
        <v>0</v>
      </c>
      <c r="O57" s="267">
        <f>'General information '!C14</f>
        <v>0</v>
      </c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'[15]Degree Days 2020'!B58</f>
        <v>30</v>
      </c>
      <c r="C58" s="267">
        <f>'[15]Degree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'[2]Degree Days 2020'!J58</f>
        <v>0</v>
      </c>
      <c r="K58" s="267">
        <f>'[2]Degree Days 2020'!K58</f>
        <v>0</v>
      </c>
      <c r="L58" s="119">
        <f t="shared" si="6"/>
        <v>-18.3</v>
      </c>
      <c r="M58" s="117">
        <v>11</v>
      </c>
      <c r="N58" s="267">
        <f>'General information '!B15</f>
        <v>0</v>
      </c>
      <c r="O58" s="267">
        <f>'General information '!C15</f>
        <v>0</v>
      </c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'[15]Degree Days 2020'!B59</f>
        <v>31</v>
      </c>
      <c r="C59" s="267">
        <f>'[15]Degree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'[2]Degree Days 2020'!J59</f>
        <v>0</v>
      </c>
      <c r="K59" s="267">
        <f>'[2]Degree Days 2020'!K59</f>
        <v>0</v>
      </c>
      <c r="L59" s="119">
        <f t="shared" si="6"/>
        <v>-18.3</v>
      </c>
      <c r="M59" s="117">
        <v>12</v>
      </c>
      <c r="N59" s="267">
        <f>'General information '!B16</f>
        <v>0</v>
      </c>
      <c r="O59" s="267">
        <f>'General information '!C16</f>
        <v>0</v>
      </c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'[15]Degree Days 2020'!B60</f>
        <v>31</v>
      </c>
      <c r="C60" s="267">
        <f>'[15]Degree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'[2]Degree Days 2020'!J60</f>
        <v>29</v>
      </c>
      <c r="K60" s="267">
        <f>'[2]Degree Days 2020'!K60</f>
        <v>25</v>
      </c>
      <c r="L60" s="119">
        <f t="shared" si="6"/>
        <v>8.6999999999999993</v>
      </c>
      <c r="M60" s="117">
        <v>13</v>
      </c>
      <c r="N60" s="267">
        <f>'General information '!B17</f>
        <v>0</v>
      </c>
      <c r="O60" s="267">
        <f>'General information '!C17</f>
        <v>0</v>
      </c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'[15]Degree Days 2020'!B61</f>
        <v>30</v>
      </c>
      <c r="C61" s="267">
        <f>'[15]Degree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'[2]Degree Days 2020'!J61</f>
        <v>30</v>
      </c>
      <c r="K61" s="267">
        <f>'[2]Degree Days 2020'!K61</f>
        <v>25</v>
      </c>
      <c r="L61" s="119">
        <f t="shared" si="6"/>
        <v>9.1999999999999993</v>
      </c>
      <c r="M61" s="117">
        <v>14</v>
      </c>
      <c r="N61" s="267">
        <f>'General information '!B18</f>
        <v>0</v>
      </c>
      <c r="O61" s="267">
        <f>'General information '!C18</f>
        <v>0</v>
      </c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'[15]Degree Days 2020'!B62</f>
        <v>28</v>
      </c>
      <c r="C62" s="267">
        <f>'[15]Degree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'[2]Degree Days 2020'!J62</f>
        <v>29</v>
      </c>
      <c r="K62" s="267">
        <f>'[2]Degree Days 2020'!K62</f>
        <v>24</v>
      </c>
      <c r="L62" s="119">
        <f t="shared" si="6"/>
        <v>8.1999999999999993</v>
      </c>
      <c r="M62" s="117">
        <v>15</v>
      </c>
      <c r="N62" s="267">
        <f>'General information '!B19</f>
        <v>0</v>
      </c>
      <c r="O62" s="267">
        <f>'General information '!C19</f>
        <v>0</v>
      </c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'[15]Degree Days 2020'!B63</f>
        <v>30</v>
      </c>
      <c r="C63" s="267">
        <f>'[15]Degree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'[2]Degree Days 2020'!J63</f>
        <v>30</v>
      </c>
      <c r="K63" s="267">
        <f>'[2]Degree Days 2020'!K63</f>
        <v>26</v>
      </c>
      <c r="L63" s="119">
        <f t="shared" si="6"/>
        <v>9.6999999999999993</v>
      </c>
      <c r="M63" s="117">
        <v>16</v>
      </c>
      <c r="N63" s="267">
        <f>'General information '!B20</f>
        <v>0</v>
      </c>
      <c r="O63" s="267">
        <f>'General information '!C20</f>
        <v>0</v>
      </c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'[15]Degree Days 2020'!B64</f>
        <v>30</v>
      </c>
      <c r="C64" s="267">
        <f>'[15]Degree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'[2]Degree Days 2020'!J64</f>
        <v>28</v>
      </c>
      <c r="K64" s="267">
        <f>'[2]Degree Days 2020'!K64</f>
        <v>23</v>
      </c>
      <c r="L64" s="119">
        <f t="shared" si="6"/>
        <v>7.1999999999999993</v>
      </c>
      <c r="M64" s="117">
        <v>17</v>
      </c>
      <c r="N64" s="267">
        <f>'General information '!B21</f>
        <v>0</v>
      </c>
      <c r="O64" s="267">
        <f>'General information '!C21</f>
        <v>0</v>
      </c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'[15]Degree Days 2020'!B65</f>
        <v>30</v>
      </c>
      <c r="C65" s="267">
        <f>'[15]Degree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'[2]Degree Days 2020'!J65</f>
        <v>0</v>
      </c>
      <c r="K65" s="267">
        <f>'[2]Degree Days 2020'!K65</f>
        <v>0</v>
      </c>
      <c r="L65" s="119">
        <f t="shared" si="6"/>
        <v>-18.3</v>
      </c>
      <c r="M65" s="117">
        <v>18</v>
      </c>
      <c r="N65" s="267">
        <f>'General information '!B22</f>
        <v>0</v>
      </c>
      <c r="O65" s="267">
        <f>'General information '!C22</f>
        <v>0</v>
      </c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'[15]Degree Days 2020'!B66</f>
        <v>31</v>
      </c>
      <c r="C66" s="267">
        <f>'[15]Degree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'[2]Degree Days 2020'!J66</f>
        <v>29</v>
      </c>
      <c r="K66" s="267">
        <f>'[2]Degree Days 2020'!K66</f>
        <v>24</v>
      </c>
      <c r="L66" s="119">
        <f t="shared" si="6"/>
        <v>8.1999999999999993</v>
      </c>
      <c r="M66" s="117">
        <v>19</v>
      </c>
      <c r="N66" s="267">
        <f>'General information '!B23</f>
        <v>0</v>
      </c>
      <c r="O66" s="267">
        <f>'General information '!C23</f>
        <v>0</v>
      </c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'[15]Degree Days 2020'!B67</f>
        <v>31</v>
      </c>
      <c r="C67" s="267">
        <f>'[15]Degree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'[2]Degree Days 2020'!J67</f>
        <v>29</v>
      </c>
      <c r="K67" s="267">
        <f>'[2]Degree Days 2020'!K67</f>
        <v>25</v>
      </c>
      <c r="L67" s="119">
        <f t="shared" si="6"/>
        <v>8.6999999999999993</v>
      </c>
      <c r="M67" s="117">
        <v>20</v>
      </c>
      <c r="N67" s="267">
        <f>'General information '!B24</f>
        <v>0</v>
      </c>
      <c r="O67" s="267">
        <f>'General information '!C24</f>
        <v>0</v>
      </c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'[15]Degree Days 2020'!B68</f>
        <v>31</v>
      </c>
      <c r="C68" s="267">
        <f>'[15]Degree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'[2]Degree Days 2020'!J68</f>
        <v>30</v>
      </c>
      <c r="K68" s="267">
        <f>'[2]Degree Days 2020'!K68</f>
        <v>25</v>
      </c>
      <c r="L68" s="119">
        <f t="shared" si="6"/>
        <v>9.1999999999999993</v>
      </c>
      <c r="M68" s="117">
        <v>21</v>
      </c>
      <c r="N68" s="267">
        <f>'General information '!B25</f>
        <v>0</v>
      </c>
      <c r="O68" s="267">
        <f>'General information '!C25</f>
        <v>0</v>
      </c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'[15]Degree Days 2020'!B69</f>
        <v>0</v>
      </c>
      <c r="C69" s="267">
        <f>'[15]Degree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'[2]Degree Days 2020'!J69</f>
        <v>31</v>
      </c>
      <c r="K69" s="267">
        <f>'[2]Degree Days 2020'!K69</f>
        <v>25</v>
      </c>
      <c r="L69" s="119">
        <f t="shared" si="6"/>
        <v>9.6999999999999993</v>
      </c>
      <c r="M69" s="117">
        <v>22</v>
      </c>
      <c r="N69" s="267">
        <f>'General information '!B26</f>
        <v>0</v>
      </c>
      <c r="O69" s="267">
        <f>'General information '!C26</f>
        <v>0</v>
      </c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'[15]Degree Days 2020'!B70</f>
        <v>0</v>
      </c>
      <c r="C70" s="267">
        <f>'[15]Degree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'[2]Degree Days 2020'!J70</f>
        <v>0</v>
      </c>
      <c r="K70" s="267">
        <f>'[2]Degree Days 2020'!K70</f>
        <v>0</v>
      </c>
      <c r="L70" s="119">
        <f t="shared" si="6"/>
        <v>-18.3</v>
      </c>
      <c r="M70" s="117">
        <v>23</v>
      </c>
      <c r="N70" s="267">
        <f>'General information '!B27</f>
        <v>0</v>
      </c>
      <c r="O70" s="267">
        <f>'General information '!C27</f>
        <v>0</v>
      </c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'[15]Degree Days 2020'!B71</f>
        <v>0</v>
      </c>
      <c r="C71" s="267">
        <f>'[15]Degree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'[2]Degree Days 2020'!J71</f>
        <v>0</v>
      </c>
      <c r="K71" s="267">
        <f>'[2]Degree Days 2020'!K71</f>
        <v>0</v>
      </c>
      <c r="L71" s="119">
        <f t="shared" si="6"/>
        <v>-18.3</v>
      </c>
      <c r="M71" s="117">
        <v>24</v>
      </c>
      <c r="N71" s="267">
        <f>'General information '!B28</f>
        <v>0</v>
      </c>
      <c r="O71" s="267">
        <f>'General information '!C28</f>
        <v>0</v>
      </c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'[15]Degree Days 2020'!B72</f>
        <v>0</v>
      </c>
      <c r="C72" s="267">
        <f>'[15]Degree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'[2]Degree Days 2020'!J72</f>
        <v>0</v>
      </c>
      <c r="K72" s="267">
        <f>'[2]Degree Days 2020'!K72</f>
        <v>0</v>
      </c>
      <c r="L72" s="119">
        <f t="shared" si="6"/>
        <v>-18.3</v>
      </c>
      <c r="M72" s="117">
        <v>25</v>
      </c>
      <c r="N72" s="267">
        <f>'General information '!B29</f>
        <v>0</v>
      </c>
      <c r="O72" s="267">
        <f>'General information '!C29</f>
        <v>0</v>
      </c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'[15]Degree Days 2020'!B73</f>
        <v>0</v>
      </c>
      <c r="C73" s="267">
        <f>'[15]Degree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'[2]Degree Days 2020'!J73</f>
        <v>28</v>
      </c>
      <c r="K73" s="267">
        <f>'[2]Degree Days 2020'!K73</f>
        <v>23</v>
      </c>
      <c r="L73" s="119">
        <f t="shared" si="6"/>
        <v>7.1999999999999993</v>
      </c>
      <c r="M73" s="117">
        <v>26</v>
      </c>
      <c r="N73" s="267">
        <f>'General information '!B30</f>
        <v>0</v>
      </c>
      <c r="O73" s="267">
        <f>'General information '!C30</f>
        <v>0</v>
      </c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'[15]Degree Days 2020'!B74</f>
        <v>31</v>
      </c>
      <c r="C74" s="267">
        <f>'[15]Degree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'[2]Degree Days 2020'!J74</f>
        <v>0</v>
      </c>
      <c r="K74" s="267">
        <f>'[2]Degree Days 2020'!K74</f>
        <v>0</v>
      </c>
      <c r="L74" s="119">
        <f t="shared" si="6"/>
        <v>-18.3</v>
      </c>
      <c r="M74" s="117">
        <v>27</v>
      </c>
      <c r="N74" s="267">
        <f>'General information '!B31</f>
        <v>0</v>
      </c>
      <c r="O74" s="267">
        <f>'General information '!C31</f>
        <v>0</v>
      </c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'[15]Degree Days 2020'!B75</f>
        <v>32</v>
      </c>
      <c r="C75" s="267">
        <f>'[15]Degree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'[2]Degree Days 2020'!J75</f>
        <v>28</v>
      </c>
      <c r="K75" s="267">
        <f>'[2]Degree Days 2020'!K75</f>
        <v>24</v>
      </c>
      <c r="L75" s="119">
        <f t="shared" si="6"/>
        <v>7.6999999999999993</v>
      </c>
      <c r="M75" s="117">
        <v>28</v>
      </c>
      <c r="N75" s="267">
        <f>'General information '!B32</f>
        <v>0</v>
      </c>
      <c r="O75" s="267">
        <f>'General information '!C32</f>
        <v>0</v>
      </c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'[15]Degree Days 2020'!B76</f>
        <v>32</v>
      </c>
      <c r="C76" s="267">
        <f>'[15]Degree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'[2]Degree Days 2020'!J76</f>
        <v>28</v>
      </c>
      <c r="K76" s="267">
        <f>'[2]Degree Days 2020'!K76</f>
        <v>25</v>
      </c>
      <c r="L76" s="119">
        <f t="shared" si="6"/>
        <v>8.1999999999999993</v>
      </c>
      <c r="M76" s="117">
        <v>29</v>
      </c>
      <c r="N76" s="267">
        <f>'General information '!B33</f>
        <v>0</v>
      </c>
      <c r="O76" s="267">
        <f>'General information '!C33</f>
        <v>0</v>
      </c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'[15]Degree Days 2020'!B77</f>
        <v>31</v>
      </c>
      <c r="C77" s="267">
        <f>'[15]Degree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'[2]Degree Days 2020'!J77</f>
        <v>28</v>
      </c>
      <c r="K77" s="267">
        <f>'[2]Degree Days 2020'!K77</f>
        <v>24</v>
      </c>
      <c r="L77" s="119">
        <f t="shared" si="6"/>
        <v>7.6999999999999993</v>
      </c>
      <c r="M77" s="117">
        <v>30</v>
      </c>
      <c r="N77" s="267">
        <f>'General information '!B34</f>
        <v>0</v>
      </c>
      <c r="O77" s="267">
        <f>'General information '!C34</f>
        <v>0</v>
      </c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'[15]Degree Days 2020'!B78</f>
        <v>31</v>
      </c>
      <c r="C78" s="267">
        <f>'[15]Degree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>
        <f>'General information '!B35</f>
        <v>0</v>
      </c>
      <c r="O78" s="267">
        <f>'General information '!C35</f>
        <v>0</v>
      </c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-549.00000000000011</v>
      </c>
      <c r="O81" s="119">
        <f>SUMIF(P48:P78,"&gt;0")</f>
        <v>7.6999999999999993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0" t="s">
        <v>174</v>
      </c>
      <c r="O84" s="740" t="s">
        <v>175</v>
      </c>
      <c r="P84" s="134"/>
      <c r="T84" s="134"/>
      <c r="X84" s="134"/>
    </row>
    <row r="85" spans="1:24" ht="20.25" thickBot="1">
      <c r="D85" s="134"/>
      <c r="I85" s="742" t="s">
        <v>182</v>
      </c>
      <c r="J85" s="743"/>
      <c r="K85" s="743"/>
      <c r="L85" s="743"/>
      <c r="N85" s="741"/>
      <c r="O85" s="741"/>
      <c r="P85" s="134"/>
      <c r="R85" s="17"/>
      <c r="S85" s="17"/>
      <c r="T85" s="140"/>
      <c r="U85" s="141"/>
      <c r="X85" s="134"/>
    </row>
    <row r="86" spans="1:24" ht="18.75" thickBot="1">
      <c r="D86" s="134"/>
      <c r="I86" s="744" t="s">
        <v>183</v>
      </c>
      <c r="J86" s="744"/>
      <c r="K86" s="744"/>
      <c r="L86" s="744"/>
      <c r="N86" s="142">
        <f>B43+F43+J43+N43+R43+V43+B81+F81+J81+N81+R81+V81</f>
        <v>-2587.7000000000003</v>
      </c>
      <c r="O86" s="142">
        <f>C43+G43+K43+O43+S43+W43+C81+G81+K81+O81+S81+W81</f>
        <v>1014.6999999999998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  <c r="N88" s="734"/>
      <c r="O88" s="734"/>
      <c r="P88" s="734"/>
      <c r="Q88" s="734"/>
      <c r="R88" s="734"/>
      <c r="S88" s="734"/>
      <c r="T88" s="734"/>
      <c r="U88" s="734"/>
      <c r="V88" s="734"/>
      <c r="W88" s="73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5" t="s">
        <v>215</v>
      </c>
      <c r="B2" s="745"/>
      <c r="C2" s="745"/>
      <c r="D2" s="745"/>
      <c r="E2" s="745"/>
      <c r="F2" s="745"/>
      <c r="G2" s="745"/>
      <c r="H2" s="745"/>
      <c r="I2" s="745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0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2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8" t="e">
        <f>SUM(D6/D4)/F4</f>
        <v>#DIV/0!</v>
      </c>
      <c r="F6" s="185" t="e">
        <f>SUM(E6*F4)</f>
        <v>#DIV/0!</v>
      </c>
      <c r="G6" s="186">
        <f>SUM(B6*C6)</f>
        <v>0</v>
      </c>
      <c r="H6" s="185">
        <v>0</v>
      </c>
      <c r="I6" s="556">
        <v>0</v>
      </c>
      <c r="J6" s="271"/>
    </row>
    <row r="7" spans="1:11">
      <c r="A7" s="184" t="s">
        <v>217</v>
      </c>
      <c r="B7" s="344">
        <f>WATER!H37</f>
        <v>0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0</v>
      </c>
      <c r="G7" s="496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5">
        <f>tanks!AT37</f>
        <v>5000</v>
      </c>
      <c r="C8" s="480">
        <f>SUM(tanks!AU37)</f>
        <v>0.61499999999999999</v>
      </c>
      <c r="D8" s="191">
        <f>SUM(B8*C8)*D4</f>
        <v>4635562.5</v>
      </c>
      <c r="E8" s="192" t="e">
        <f>SUM(D8/D4/F4)</f>
        <v>#DIV/0!</v>
      </c>
      <c r="F8" s="192" t="e">
        <f>SUM(E8*F4)</f>
        <v>#DIV/0!</v>
      </c>
      <c r="G8" s="604" t="e">
        <f>E8*$G$4</f>
        <v>#DIV/0!</v>
      </c>
      <c r="H8" s="189">
        <v>30289.9</v>
      </c>
      <c r="I8" s="192">
        <f>'[16]Budget 2021'!$K$14</f>
        <v>30289.884387096768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 t="e">
        <f>SUM(C9*B9)/F4</f>
        <v>#DIV/0!</v>
      </c>
      <c r="F9" s="189" t="e">
        <f>SUM(E9*F4)</f>
        <v>#DIV/0!</v>
      </c>
      <c r="G9" s="496" t="e">
        <f>E9*$G$4</f>
        <v>#DIV/0!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0</v>
      </c>
      <c r="C10" s="181"/>
      <c r="D10" s="183">
        <f>'EDl log'!AB33</f>
        <v>7234333</v>
      </c>
      <c r="E10" s="182" t="e">
        <f>SUM(D10/D4/F4)</f>
        <v>#DIV/0!</v>
      </c>
      <c r="F10" s="182" t="e">
        <f>SUM(E10*F4)</f>
        <v>#DIV/0!</v>
      </c>
      <c r="G10" s="496" t="e">
        <f>E10*$G$4</f>
        <v>#DIV/0!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1" t="e">
        <f>SUM(E6:E11)</f>
        <v>#DIV/0!</v>
      </c>
      <c r="F12" s="180" t="e">
        <f>SUM(F6:F10)</f>
        <v>#DIV/0!</v>
      </c>
      <c r="G12" s="179" t="e">
        <f>SUM(G6:G10)</f>
        <v>#DIV/0!</v>
      </c>
      <c r="H12" s="179">
        <f>SUM(H6:H11)</f>
        <v>57990.9</v>
      </c>
      <c r="I12" s="221">
        <f>SUM(I6:I11)</f>
        <v>57990.884387096768</v>
      </c>
      <c r="J12" s="271"/>
    </row>
    <row r="13" spans="1:11" ht="30">
      <c r="A13" s="3"/>
      <c r="B13" s="175" t="s">
        <v>225</v>
      </c>
      <c r="C13" s="413" t="s">
        <v>383</v>
      </c>
      <c r="D13" s="413" t="s">
        <v>387</v>
      </c>
      <c r="E13" s="413" t="s">
        <v>384</v>
      </c>
      <c r="F13" s="413" t="s">
        <v>408</v>
      </c>
      <c r="G13" s="415"/>
      <c r="H13" s="17"/>
      <c r="I13" s="17"/>
      <c r="J13" s="17"/>
    </row>
    <row r="14" spans="1:11">
      <c r="A14" s="441" t="s">
        <v>301</v>
      </c>
      <c r="B14" s="97">
        <f>'Degree Days 2020'!K81</f>
        <v>176.99999999999997</v>
      </c>
      <c r="C14" s="426">
        <f>'[17]Utility Cost '!B14</f>
        <v>246.49999999999986</v>
      </c>
      <c r="D14" s="170"/>
      <c r="E14" s="426">
        <f>B14-C14</f>
        <v>-69.499999999999886</v>
      </c>
      <c r="F14" s="495">
        <v>0</v>
      </c>
      <c r="G14" s="415"/>
      <c r="H14" s="416" t="e">
        <f>SUM(G12-H12)</f>
        <v>#DIV/0!</v>
      </c>
      <c r="I14" s="416" t="e">
        <f>SUM(G12-I12)</f>
        <v>#DIV/0!</v>
      </c>
    </row>
    <row r="15" spans="1:11">
      <c r="A15" s="441" t="s">
        <v>302</v>
      </c>
      <c r="B15" s="97">
        <f>'Degree Days 2020'!J81</f>
        <v>-183.00000000000003</v>
      </c>
      <c r="C15" s="426">
        <f>'[17]Utility Cost '!B15</f>
        <v>-1.8000000000000007</v>
      </c>
      <c r="D15" s="170"/>
      <c r="E15" s="426">
        <f>B15-C15</f>
        <v>-181.20000000000002</v>
      </c>
      <c r="F15" s="495">
        <v>0</v>
      </c>
      <c r="G15" s="415"/>
      <c r="H15" s="17"/>
      <c r="I15" s="17"/>
      <c r="J15" s="17"/>
    </row>
    <row r="16" spans="1:11">
      <c r="A16" s="441" t="s">
        <v>303</v>
      </c>
      <c r="B16" s="546" t="e">
        <f>'General information '!D37</f>
        <v>#DIV/0!</v>
      </c>
      <c r="C16" s="426">
        <f>'[17]Utility Cost '!B16</f>
        <v>25.661290322580644</v>
      </c>
      <c r="D16" s="425"/>
      <c r="E16" s="638" t="e">
        <f>B16-C16</f>
        <v>#DIV/0!</v>
      </c>
      <c r="F16" s="514">
        <v>0</v>
      </c>
      <c r="G16" s="415"/>
      <c r="H16" s="17"/>
      <c r="I16" s="17"/>
      <c r="J16" s="17"/>
    </row>
    <row r="17" spans="1:10">
      <c r="A17" s="506" t="s">
        <v>315</v>
      </c>
      <c r="B17" s="509">
        <f>'General information '!F36</f>
        <v>0</v>
      </c>
      <c r="C17" s="426">
        <f>'[17]Utility Cost '!B17</f>
        <v>0</v>
      </c>
      <c r="D17" s="468">
        <v>0</v>
      </c>
      <c r="E17" s="508">
        <f>B17-C17</f>
        <v>0</v>
      </c>
      <c r="F17" s="512">
        <f>B17-D17</f>
        <v>0</v>
      </c>
      <c r="G17" s="17"/>
      <c r="H17" s="17"/>
      <c r="I17" s="17"/>
      <c r="J17" s="17"/>
    </row>
    <row r="18" spans="1:10">
      <c r="A18" s="507" t="s">
        <v>385</v>
      </c>
      <c r="B18" s="511">
        <f>GEN!Z34</f>
        <v>9</v>
      </c>
      <c r="C18" s="426">
        <f>'[17]Utility Cost '!B18</f>
        <v>103</v>
      </c>
      <c r="D18" s="423">
        <f>'[18]Other Fuel Calculation 2021'!$G$116</f>
        <v>202.66666666666666</v>
      </c>
      <c r="E18" s="510">
        <f>B18-C18</f>
        <v>-94</v>
      </c>
      <c r="F18" s="513">
        <f>B18-D18</f>
        <v>-193.66666666666666</v>
      </c>
    </row>
    <row r="19" spans="1:10">
      <c r="A19" s="507" t="s">
        <v>409</v>
      </c>
      <c r="B19" s="505" t="e">
        <f>SUM(B18/$F$4)</f>
        <v>#DIV/0!</v>
      </c>
      <c r="C19" s="637">
        <f>'[17]Utility Cost '!B19</f>
        <v>3.3225806451612905</v>
      </c>
      <c r="D19" s="424"/>
      <c r="E19" s="424"/>
      <c r="F19" s="495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8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2021-10-04T06:57:35Z</dcterms:modified>
</cp:coreProperties>
</file>