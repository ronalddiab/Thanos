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E8" i="3" l="1"/>
  <c r="E5" i="3" l="1"/>
  <c r="AP5" i="7" l="1"/>
  <c r="AP6" i="7"/>
  <c r="AP7" i="7"/>
  <c r="AP8" i="7"/>
  <c r="AP9" i="7"/>
  <c r="AP10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E3" i="3" l="1"/>
  <c r="E4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E11" i="3" s="1"/>
  <c r="AV10" i="6"/>
  <c r="E10" i="3" s="1"/>
  <c r="AV9" i="6"/>
  <c r="E9" i="3" s="1"/>
  <c r="AV8" i="6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<sst xmlns="http://schemas.openxmlformats.org/spreadsheetml/2006/main" count="296" uniqueCount="138">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</sst>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8" sqref="E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Submetering!E9+Submetering!F9+Submetering!G9+Submetering!H9-Submetering!AV9</f>
        <v>3109.9999999994398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3440.0000000008999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 t="e">
        <f>Submetering!E11+Submetering!F11+Submetering!G11+Submetering!H11-Submetering!AV11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topLeftCell="AI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3.0000000000001137E-2</v>
      </c>
      <c r="W9" s="36">
        <f>'FS Desroches Daily'!AN11</f>
        <v>3.0000000000001137E-2</v>
      </c>
      <c r="X9" s="36">
        <f>'FS Desroches Daily'!AP11</f>
        <v>3.0000000000001137E-2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4.0000000000020464E-2</v>
      </c>
      <c r="W10" s="36">
        <f>'FS Desroches Daily'!AN12</f>
        <v>3.0000000000001137E-2</v>
      </c>
      <c r="X10" s="36">
        <f>'FS Desroches Daily'!AP12</f>
        <v>5.0000000000011369E-2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 t="str">
        <f>IF(LPG!F18-LPG!F16&lt;0,"0",(LPG!F18-LPG!F16)*1.8315)</f>
        <v>0</v>
      </c>
      <c r="AY10" s="32" t="str">
        <f>IF(LPG!H18-LPG!H16&lt;0,"0",(LPG!H18-LPG!H16)*1.8315)</f>
        <v>0</v>
      </c>
      <c r="AZ10" s="32" t="str">
        <f>IF(LPG!J18-LPG!J16&lt;0,"0",(LPG!J18-LPG!J16)*1.8315)</f>
        <v>0</v>
      </c>
      <c r="BA10" s="32" t="str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 t="str">
        <f>'FS Desroches Daily'!D13</f>
        <v>0</v>
      </c>
      <c r="F11" s="33" t="str">
        <f>'FS Desroches Daily'!F13</f>
        <v>0</v>
      </c>
      <c r="G11" s="32" t="str">
        <f>'FS Desroches Daily'!H13</f>
        <v>0</v>
      </c>
      <c r="H11" s="33" t="str">
        <f>'FS Desroches Daily'!J13</f>
        <v>0</v>
      </c>
      <c r="I11" s="32" t="str">
        <f>'FS Desroches Daily'!L13</f>
        <v>0</v>
      </c>
      <c r="J11" s="33" t="str">
        <f>'FS Desroches Daily'!N13</f>
        <v/>
      </c>
      <c r="K11" s="13" t="str">
        <f>'FS Desroches Daily'!P13</f>
        <v/>
      </c>
      <c r="L11" s="32" t="str">
        <f>'FS Desroches Daily'!R13</f>
        <v/>
      </c>
      <c r="M11" s="32" t="str">
        <f>'FS Desroches Daily'!T13</f>
        <v/>
      </c>
      <c r="N11" s="32" t="str">
        <f>'FS Desroches Daily'!V13</f>
        <v/>
      </c>
      <c r="O11" s="32" t="str">
        <f>'FS Desroches Daily'!X13</f>
        <v/>
      </c>
      <c r="P11" s="32" t="str">
        <f>'FS Desroches Daily'!Z13</f>
        <v/>
      </c>
      <c r="Q11" s="32" t="str">
        <f>'FS Desroches Daily'!AB13</f>
        <v/>
      </c>
      <c r="R11" s="32" t="str">
        <f>'FS Desroches Daily'!AD13</f>
        <v/>
      </c>
      <c r="S11" s="32" t="str">
        <f>'FS Desroches Daily'!AF13</f>
        <v/>
      </c>
      <c r="T11" s="32" t="str">
        <f>'FS Desroches Daily'!AH13</f>
        <v/>
      </c>
      <c r="U11" s="36" t="str">
        <f>'FS Desroches Daily'!AJ13</f>
        <v/>
      </c>
      <c r="V11" s="36" t="str">
        <f>'FS Desroches Daily'!AL13</f>
        <v/>
      </c>
      <c r="W11" s="36" t="str">
        <f>'FS Desroches Daily'!AN13</f>
        <v/>
      </c>
      <c r="X11" s="36" t="str">
        <f>'FS Desroches Daily'!AP13</f>
        <v/>
      </c>
      <c r="Y11" s="36" t="str">
        <f>'FS Desroches Daily'!AR13</f>
        <v/>
      </c>
      <c r="Z11" s="36" t="str">
        <f>'FS Desroches Daily'!AT13</f>
        <v/>
      </c>
      <c r="AA11" s="36" t="str">
        <f>'FS Desroches Daily'!AT13</f>
        <v/>
      </c>
      <c r="AB11" s="36" t="str">
        <f>'FS Desroches Daily'!AV13</f>
        <v/>
      </c>
      <c r="AC11" s="36" t="str">
        <f>'FS Desroches Daily'!AZ13</f>
        <v/>
      </c>
      <c r="AD11" s="36" t="str">
        <f>'FS Desroches Daily'!BB13</f>
        <v/>
      </c>
      <c r="AE11" s="36" t="str">
        <f>'FS Desroches Daily'!BD13</f>
        <v/>
      </c>
      <c r="AF11" s="32" t="str">
        <f>'FS Desroches Daily'!BF13</f>
        <v/>
      </c>
      <c r="AG11" s="33" t="str">
        <f>'FS Desroches Daily'!BH13</f>
        <v/>
      </c>
      <c r="AH11" s="33" t="str">
        <f>'FS Desroches Daily'!BJ13</f>
        <v/>
      </c>
      <c r="AI11" s="33" t="str">
        <f>'FS Desroches Daily'!BL13</f>
        <v/>
      </c>
      <c r="AJ11" s="33" t="str">
        <f>'FS Desroches Daily'!BN13</f>
        <v/>
      </c>
      <c r="AK11" s="33" t="str">
        <f>'FS Desroches Daily'!BP13</f>
        <v/>
      </c>
      <c r="AL11" s="33" t="str">
        <f>'FS Desroches Daily'!BR13</f>
        <v/>
      </c>
      <c r="AM11" s="33" t="str">
        <f>'FS Desroches Daily'!BT13</f>
        <v/>
      </c>
      <c r="AN11" s="33" t="str">
        <f>'FS Desroches Daily'!BV13</f>
        <v/>
      </c>
      <c r="AO11" s="33" t="str">
        <f>'FS Desroches Daily'!BX13</f>
        <v/>
      </c>
      <c r="AP11" s="33" t="str">
        <f>'FS Desroches Daily'!BZ13</f>
        <v/>
      </c>
      <c r="AQ11" s="32" t="str">
        <f>'FS Desroches Daily'!CB13</f>
        <v/>
      </c>
      <c r="AR11" s="32" t="str">
        <f>'FS Desroches Daily'!CD13</f>
        <v/>
      </c>
      <c r="AS11" s="32" t="str">
        <f>'FS Desroches Daily'!CF13</f>
        <v/>
      </c>
      <c r="AT11" s="32" t="str">
        <f>'FS Desroches Daily'!CH13</f>
        <v/>
      </c>
      <c r="AU11" s="32" t="str">
        <f>'FS Desroches Daily'!CJ13</f>
        <v/>
      </c>
      <c r="AV11" s="32" t="str">
        <f>'FS Desroches Daily'!CL13</f>
        <v/>
      </c>
      <c r="AW11" s="32">
        <f>'FS Desroches Daily'!CM13</f>
        <v>0</v>
      </c>
      <c r="AX11" s="32" t="str">
        <f>IF(LPG!F18-LPG!F17&lt;0,"0",(LPG!F18-LPG!F17)*1.8315)</f>
        <v>0</v>
      </c>
      <c r="AY11" s="32" t="str">
        <f>IF(LPG!H18-LPG!H17&lt;0,"0",(LPG!H18-LPG!H17)*1.8315)</f>
        <v>0</v>
      </c>
      <c r="AZ11" s="32" t="str">
        <f>IF(LPG!J18-LPG!J17&lt;0,"0",(LPG!J18-LPG!J17)*1.8315)</f>
        <v>0</v>
      </c>
      <c r="BA11" s="32" t="str">
        <f>IF(LPG!M19-LPG!M17&lt;0,"0",(LPG!M19-LPG!M17)*1.8315)</f>
        <v>0</v>
      </c>
      <c r="BB11" s="32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5900.0000000000164</v>
      </c>
      <c r="F33" s="17">
        <f t="shared" ref="F33:BC33" si="1">SUM(F2:F32)</f>
        <v>5300.0000000000828</v>
      </c>
      <c r="G33" s="17">
        <f t="shared" si="1"/>
        <v>14600.000000000167</v>
      </c>
      <c r="H33" s="17">
        <f t="shared" si="1"/>
        <v>8900.000000000131</v>
      </c>
      <c r="I33" s="17">
        <f t="shared" si="1"/>
        <v>17100.000000000116</v>
      </c>
      <c r="J33" s="17">
        <f t="shared" si="1"/>
        <v>4199.9999999999818</v>
      </c>
      <c r="K33" s="17">
        <f t="shared" si="1"/>
        <v>7</v>
      </c>
      <c r="L33" s="17">
        <f t="shared" si="1"/>
        <v>37</v>
      </c>
      <c r="M33" s="17">
        <f t="shared" si="1"/>
        <v>1733</v>
      </c>
      <c r="N33" s="17">
        <f t="shared" si="1"/>
        <v>967</v>
      </c>
      <c r="O33" s="17">
        <f t="shared" si="1"/>
        <v>689.99999999999773</v>
      </c>
      <c r="P33" s="17">
        <f t="shared" si="1"/>
        <v>3699.9999999998145</v>
      </c>
      <c r="Q33" s="17">
        <f t="shared" si="1"/>
        <v>680.00000000000682</v>
      </c>
      <c r="R33" s="17">
        <f t="shared" si="1"/>
        <v>1120.0000000000045</v>
      </c>
      <c r="S33" s="17">
        <f t="shared" si="1"/>
        <v>1400.0000000000341</v>
      </c>
      <c r="T33" s="17">
        <f t="shared" si="1"/>
        <v>10.600000000000136</v>
      </c>
      <c r="U33" s="36">
        <f t="shared" si="1"/>
        <v>1699.9999999999886</v>
      </c>
      <c r="V33" s="36">
        <f t="shared" si="1"/>
        <v>290.06999999999204</v>
      </c>
      <c r="W33" s="36">
        <f t="shared" si="1"/>
        <v>260.05999999999085</v>
      </c>
      <c r="X33" s="36">
        <f t="shared" si="1"/>
        <v>200.07999999998864</v>
      </c>
      <c r="Y33" s="36">
        <f t="shared" si="1"/>
        <v>370.00000000000455</v>
      </c>
      <c r="Z33" s="36">
        <f t="shared" si="1"/>
        <v>310.00000000000227</v>
      </c>
      <c r="AA33" s="36">
        <f t="shared" si="1"/>
        <v>310.00000000000227</v>
      </c>
      <c r="AB33" s="36">
        <f t="shared" si="1"/>
        <v>180.00000000000682</v>
      </c>
      <c r="AC33" s="36">
        <f t="shared" si="1"/>
        <v>230.00000000001819</v>
      </c>
      <c r="AD33" s="36">
        <f t="shared" si="1"/>
        <v>170.00000000001592</v>
      </c>
      <c r="AE33" s="36">
        <f t="shared" si="1"/>
        <v>120.00000000000455</v>
      </c>
      <c r="AF33" s="17">
        <f t="shared" si="1"/>
        <v>225</v>
      </c>
      <c r="AG33" s="33">
        <f t="shared" si="1"/>
        <v>209.99999999997954</v>
      </c>
      <c r="AH33" s="33">
        <f t="shared" si="1"/>
        <v>259.99999999999091</v>
      </c>
      <c r="AI33" s="33">
        <f t="shared" si="1"/>
        <v>240.00000000000909</v>
      </c>
      <c r="AJ33" s="33">
        <f t="shared" si="1"/>
        <v>250</v>
      </c>
      <c r="AK33" s="33">
        <f t="shared" si="1"/>
        <v>370.00000000000455</v>
      </c>
      <c r="AL33" s="33">
        <f t="shared" si="1"/>
        <v>92</v>
      </c>
      <c r="AM33" s="33">
        <f t="shared" si="1"/>
        <v>69.999999999993179</v>
      </c>
      <c r="AN33" s="33">
        <f t="shared" si="1"/>
        <v>180</v>
      </c>
      <c r="AO33" s="33">
        <f t="shared" si="1"/>
        <v>270.00000000001023</v>
      </c>
      <c r="AP33" s="33">
        <f t="shared" si="1"/>
        <v>250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481.5</v>
      </c>
      <c r="AU33" s="17">
        <f t="shared" si="1"/>
        <v>1829</v>
      </c>
      <c r="AV33" s="17">
        <f t="shared" si="1"/>
        <v>3340.0000000000318</v>
      </c>
      <c r="AW33" s="17">
        <f t="shared" si="1"/>
        <v>249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65.933999999999997</v>
      </c>
      <c r="BC33" s="17">
        <f t="shared" si="1"/>
        <v>0</v>
      </c>
    </row>
    <row r="35" spans="5:55" x14ac:dyDescent="0.25">
      <c r="E35" s="39">
        <f>E33/E37</f>
        <v>0.19641787069711505</v>
      </c>
      <c r="G35" s="30">
        <f>G33-M36</f>
        <v>11900.000000000167</v>
      </c>
      <c r="AE35" s="36">
        <f>SUM(U33:AE33)</f>
        <v>4140.2100000000146</v>
      </c>
      <c r="AG35" s="33">
        <f>SUM(AG33:AP33)</f>
        <v>2191.9999999999873</v>
      </c>
    </row>
    <row r="36" spans="5:55" x14ac:dyDescent="0.25">
      <c r="G36" s="30">
        <f>G35-633*14</f>
        <v>3038.0000000001673</v>
      </c>
      <c r="M36" s="30">
        <f>M33+N33</f>
        <v>2700</v>
      </c>
    </row>
    <row r="37" spans="5:55" x14ac:dyDescent="0.25">
      <c r="E37" s="17">
        <f>E33+F33+G33+H33+J33-633*14</f>
        <v>30038.000000000378</v>
      </c>
      <c r="G37" s="38">
        <f>M36/E37</f>
        <v>8.9886144217323591E-2</v>
      </c>
      <c r="M37" s="36">
        <f>AE35</f>
        <v>4140.2100000000146</v>
      </c>
    </row>
    <row r="38" spans="5:55" x14ac:dyDescent="0.25">
      <c r="L38" s="28">
        <f>M38/E37</f>
        <v>7.2974232638656364E-2</v>
      </c>
      <c r="M38" s="30">
        <f>AG35</f>
        <v>2191.9999999999873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I1" zoomScale="60" zoomScaleNormal="60" workbookViewId="0">
      <pane ySplit="1" topLeftCell="A2" activePane="bottomLeft" state="frozen"/>
      <selection pane="bottomLeft" activeCell="CM17" sqref="CM1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ref="AL11:AL34" si="43">IF((AK11-AK10&lt;0), "",AK11-AK10)</f>
        <v>3.0000000000001137E-2</v>
      </c>
      <c r="AM11" s="60">
        <v>150.16</v>
      </c>
      <c r="AN11" s="67">
        <f t="shared" ref="AN11:AN34" si="44">IF((AM11-AM10&lt;0), "",AM11-AM10)</f>
        <v>3.0000000000001137E-2</v>
      </c>
      <c r="AO11" s="60">
        <v>146.72999999999999</v>
      </c>
      <c r="AP11" s="67">
        <f t="shared" ref="AP11:AP34" si="45">IF((AO11-AO10&lt;0), "",AO11-AO10)</f>
        <v>3.0000000000001137E-2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43"/>
        <v>4.0000000000020464E-2</v>
      </c>
      <c r="AM12" s="60">
        <v>150.19</v>
      </c>
      <c r="AN12" s="67">
        <f t="shared" si="44"/>
        <v>3.0000000000001137E-2</v>
      </c>
      <c r="AO12" s="60">
        <v>146.78</v>
      </c>
      <c r="AP12" s="67">
        <f t="shared" si="45"/>
        <v>5.0000000000011369E-2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 t="str">
        <f t="shared" si="0"/>
        <v>0</v>
      </c>
      <c r="E13" s="60"/>
      <c r="F13" s="66" t="str">
        <f t="shared" si="1"/>
        <v>0</v>
      </c>
      <c r="G13" s="60"/>
      <c r="H13" s="66" t="str">
        <f t="shared" si="2"/>
        <v>0</v>
      </c>
      <c r="I13" s="60"/>
      <c r="J13" s="66" t="str">
        <f t="shared" si="3"/>
        <v>0</v>
      </c>
      <c r="K13" s="60"/>
      <c r="L13" s="66" t="str">
        <f t="shared" si="4"/>
        <v>0</v>
      </c>
      <c r="M13" s="60"/>
      <c r="N13" s="66" t="str">
        <f t="shared" si="5"/>
        <v/>
      </c>
      <c r="O13" s="60"/>
      <c r="P13" s="69" t="str">
        <f t="shared" si="42"/>
        <v/>
      </c>
      <c r="Q13" s="60"/>
      <c r="R13" s="69" t="str">
        <f t="shared" si="6"/>
        <v/>
      </c>
      <c r="S13" s="60"/>
      <c r="T13" s="69" t="str">
        <f t="shared" si="7"/>
        <v/>
      </c>
      <c r="U13" s="60"/>
      <c r="V13" s="69" t="str">
        <f t="shared" si="8"/>
        <v/>
      </c>
      <c r="W13" s="60"/>
      <c r="X13" s="67" t="str">
        <f t="shared" si="9"/>
        <v/>
      </c>
      <c r="Y13" s="60"/>
      <c r="Z13" s="67" t="str">
        <f t="shared" si="10"/>
        <v/>
      </c>
      <c r="AA13" s="60"/>
      <c r="AB13" s="67" t="str">
        <f t="shared" si="11"/>
        <v/>
      </c>
      <c r="AC13" s="60"/>
      <c r="AD13" s="67" t="str">
        <f t="shared" si="12"/>
        <v/>
      </c>
      <c r="AE13" s="60"/>
      <c r="AF13" s="67" t="str">
        <f t="shared" si="13"/>
        <v/>
      </c>
      <c r="AG13" s="60"/>
      <c r="AH13" s="69" t="str">
        <f t="shared" si="14"/>
        <v/>
      </c>
      <c r="AI13" s="60"/>
      <c r="AJ13" s="67" t="str">
        <f t="shared" si="15"/>
        <v/>
      </c>
      <c r="AK13" s="60"/>
      <c r="AL13" s="67" t="str">
        <f t="shared" si="43"/>
        <v/>
      </c>
      <c r="AM13" s="60"/>
      <c r="AN13" s="67" t="str">
        <f t="shared" si="44"/>
        <v/>
      </c>
      <c r="AO13" s="60"/>
      <c r="AP13" s="67" t="str">
        <f t="shared" si="45"/>
        <v/>
      </c>
      <c r="AQ13" s="60"/>
      <c r="AR13" s="67" t="str">
        <f t="shared" si="16"/>
        <v/>
      </c>
      <c r="AS13" s="60"/>
      <c r="AT13" s="67" t="str">
        <f t="shared" si="17"/>
        <v/>
      </c>
      <c r="AU13" s="60"/>
      <c r="AV13" s="67" t="str">
        <f t="shared" si="18"/>
        <v/>
      </c>
      <c r="AW13" s="60"/>
      <c r="AX13" s="67" t="str">
        <f t="shared" si="19"/>
        <v/>
      </c>
      <c r="AY13" s="60"/>
      <c r="AZ13" s="67" t="str">
        <f t="shared" si="20"/>
        <v/>
      </c>
      <c r="BA13" s="60"/>
      <c r="BB13" s="67" t="str">
        <f t="shared" si="21"/>
        <v/>
      </c>
      <c r="BC13" s="60"/>
      <c r="BD13" s="67" t="str">
        <f t="shared" si="22"/>
        <v/>
      </c>
      <c r="BE13" s="61"/>
      <c r="BF13" s="69" t="str">
        <f t="shared" si="38"/>
        <v/>
      </c>
      <c r="BG13" s="62"/>
      <c r="BH13" s="67" t="str">
        <f t="shared" si="23"/>
        <v/>
      </c>
      <c r="BI13" s="62"/>
      <c r="BJ13" s="67" t="str">
        <f t="shared" si="39"/>
        <v/>
      </c>
      <c r="BK13" s="62"/>
      <c r="BL13" s="67" t="str">
        <f t="shared" si="24"/>
        <v/>
      </c>
      <c r="BM13" s="62"/>
      <c r="BN13" s="67" t="str">
        <f t="shared" si="25"/>
        <v/>
      </c>
      <c r="BO13" s="62"/>
      <c r="BP13" s="67" t="str">
        <f t="shared" si="26"/>
        <v/>
      </c>
      <c r="BQ13" s="62"/>
      <c r="BR13" s="67" t="str">
        <f t="shared" si="27"/>
        <v/>
      </c>
      <c r="BS13" s="62"/>
      <c r="BT13" s="67" t="str">
        <f t="shared" si="41"/>
        <v/>
      </c>
      <c r="BU13" s="62"/>
      <c r="BV13" s="67" t="str">
        <f t="shared" si="29"/>
        <v/>
      </c>
      <c r="BW13" s="62"/>
      <c r="BX13" s="67" t="str">
        <f t="shared" si="30"/>
        <v/>
      </c>
      <c r="BY13" s="62"/>
      <c r="BZ13" s="69" t="str">
        <f t="shared" si="31"/>
        <v/>
      </c>
      <c r="CA13" s="62"/>
      <c r="CB13" s="69" t="str">
        <f t="shared" si="32"/>
        <v/>
      </c>
      <c r="CC13" s="62"/>
      <c r="CD13" s="69" t="str">
        <f t="shared" si="33"/>
        <v/>
      </c>
      <c r="CE13" s="62"/>
      <c r="CF13" s="69" t="str">
        <f t="shared" si="34"/>
        <v/>
      </c>
      <c r="CG13" s="62"/>
      <c r="CH13" s="69" t="str">
        <f t="shared" si="35"/>
        <v/>
      </c>
      <c r="CI13" s="62"/>
      <c r="CJ13" s="69" t="str">
        <f t="shared" si="36"/>
        <v/>
      </c>
      <c r="CK13" s="62"/>
      <c r="CL13" s="66" t="str">
        <f t="shared" si="37"/>
        <v/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2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43"/>
        <v>0</v>
      </c>
      <c r="AM14" s="60"/>
      <c r="AN14" s="67">
        <f t="shared" si="44"/>
        <v>0</v>
      </c>
      <c r="AO14" s="60"/>
      <c r="AP14" s="67">
        <f t="shared" si="45"/>
        <v>0</v>
      </c>
      <c r="AQ14" s="60"/>
      <c r="AR14" s="67">
        <f t="shared" si="16"/>
        <v>0</v>
      </c>
      <c r="AS14" s="60"/>
      <c r="AT14" s="67">
        <f t="shared" si="17"/>
        <v>0</v>
      </c>
      <c r="AU14" s="60"/>
      <c r="AV14" s="67">
        <f t="shared" si="18"/>
        <v>0</v>
      </c>
      <c r="AW14" s="60"/>
      <c r="AX14" s="67">
        <f t="shared" si="19"/>
        <v>0</v>
      </c>
      <c r="AY14" s="60"/>
      <c r="AZ14" s="67">
        <f t="shared" si="20"/>
        <v>0</v>
      </c>
      <c r="BA14" s="60"/>
      <c r="BB14" s="67">
        <f t="shared" si="21"/>
        <v>0</v>
      </c>
      <c r="BC14" s="60"/>
      <c r="BD14" s="67">
        <f t="shared" si="22"/>
        <v>0</v>
      </c>
      <c r="BE14" s="61"/>
      <c r="BF14" s="69">
        <f t="shared" si="38"/>
        <v>0</v>
      </c>
      <c r="BG14" s="62"/>
      <c r="BH14" s="67">
        <f t="shared" si="23"/>
        <v>0</v>
      </c>
      <c r="BI14" s="62"/>
      <c r="BJ14" s="67">
        <f t="shared" si="39"/>
        <v>0</v>
      </c>
      <c r="BK14" s="62"/>
      <c r="BL14" s="67">
        <f t="shared" si="24"/>
        <v>0</v>
      </c>
      <c r="BM14" s="62"/>
      <c r="BN14" s="67">
        <f t="shared" si="25"/>
        <v>0</v>
      </c>
      <c r="BO14" s="62"/>
      <c r="BP14" s="67">
        <f t="shared" si="26"/>
        <v>0</v>
      </c>
      <c r="BQ14" s="62"/>
      <c r="BR14" s="67">
        <f t="shared" si="27"/>
        <v>0</v>
      </c>
      <c r="BS14" s="62"/>
      <c r="BT14" s="67">
        <f t="shared" si="41"/>
        <v>0</v>
      </c>
      <c r="BU14" s="62"/>
      <c r="BV14" s="67">
        <f t="shared" si="29"/>
        <v>0</v>
      </c>
      <c r="BW14" s="62"/>
      <c r="BX14" s="67">
        <f t="shared" si="30"/>
        <v>0</v>
      </c>
      <c r="BY14" s="62"/>
      <c r="BZ14" s="69">
        <f t="shared" si="31"/>
        <v>0</v>
      </c>
      <c r="CA14" s="62"/>
      <c r="CB14" s="69">
        <f t="shared" si="32"/>
        <v>0</v>
      </c>
      <c r="CC14" s="62"/>
      <c r="CD14" s="69">
        <f t="shared" si="33"/>
        <v>0</v>
      </c>
      <c r="CE14" s="62"/>
      <c r="CF14" s="69">
        <f t="shared" si="34"/>
        <v>0</v>
      </c>
      <c r="CG14" s="62"/>
      <c r="CH14" s="69">
        <f t="shared" si="35"/>
        <v>0</v>
      </c>
      <c r="CI14" s="62"/>
      <c r="CJ14" s="69">
        <f t="shared" si="36"/>
        <v>0</v>
      </c>
      <c r="CK14" s="62"/>
      <c r="CL14" s="66">
        <f t="shared" si="37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2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43"/>
        <v>0</v>
      </c>
      <c r="AM15" s="60"/>
      <c r="AN15" s="67">
        <f t="shared" si="44"/>
        <v>0</v>
      </c>
      <c r="AO15" s="60"/>
      <c r="AP15" s="67">
        <f t="shared" si="45"/>
        <v>0</v>
      </c>
      <c r="AQ15" s="60"/>
      <c r="AR15" s="67">
        <f t="shared" si="16"/>
        <v>0</v>
      </c>
      <c r="AS15" s="60"/>
      <c r="AT15" s="67">
        <f t="shared" si="17"/>
        <v>0</v>
      </c>
      <c r="AU15" s="60"/>
      <c r="AV15" s="67">
        <f t="shared" si="18"/>
        <v>0</v>
      </c>
      <c r="AW15" s="60"/>
      <c r="AX15" s="67">
        <f t="shared" si="19"/>
        <v>0</v>
      </c>
      <c r="AY15" s="60"/>
      <c r="AZ15" s="67">
        <f t="shared" si="20"/>
        <v>0</v>
      </c>
      <c r="BA15" s="60"/>
      <c r="BB15" s="67">
        <f t="shared" si="21"/>
        <v>0</v>
      </c>
      <c r="BC15" s="60"/>
      <c r="BD15" s="67">
        <f t="shared" si="22"/>
        <v>0</v>
      </c>
      <c r="BE15" s="61"/>
      <c r="BF15" s="69">
        <f t="shared" si="38"/>
        <v>0</v>
      </c>
      <c r="BG15" s="62"/>
      <c r="BH15" s="67">
        <f t="shared" si="23"/>
        <v>0</v>
      </c>
      <c r="BI15" s="62"/>
      <c r="BJ15" s="67">
        <f t="shared" si="39"/>
        <v>0</v>
      </c>
      <c r="BK15" s="62"/>
      <c r="BL15" s="67">
        <f t="shared" si="24"/>
        <v>0</v>
      </c>
      <c r="BM15" s="62"/>
      <c r="BN15" s="67">
        <f t="shared" si="25"/>
        <v>0</v>
      </c>
      <c r="BO15" s="62"/>
      <c r="BP15" s="67">
        <f t="shared" si="26"/>
        <v>0</v>
      </c>
      <c r="BQ15" s="62"/>
      <c r="BR15" s="67">
        <f t="shared" si="27"/>
        <v>0</v>
      </c>
      <c r="BS15" s="62"/>
      <c r="BT15" s="67">
        <f t="shared" si="41"/>
        <v>0</v>
      </c>
      <c r="BU15" s="62"/>
      <c r="BV15" s="67">
        <f t="shared" si="29"/>
        <v>0</v>
      </c>
      <c r="BW15" s="62"/>
      <c r="BX15" s="67">
        <f t="shared" si="30"/>
        <v>0</v>
      </c>
      <c r="BY15" s="62"/>
      <c r="BZ15" s="69">
        <f t="shared" si="31"/>
        <v>0</v>
      </c>
      <c r="CA15" s="62"/>
      <c r="CB15" s="69">
        <f t="shared" si="32"/>
        <v>0</v>
      </c>
      <c r="CC15" s="62"/>
      <c r="CD15" s="69">
        <f t="shared" si="33"/>
        <v>0</v>
      </c>
      <c r="CE15" s="62"/>
      <c r="CF15" s="69">
        <f t="shared" si="34"/>
        <v>0</v>
      </c>
      <c r="CG15" s="62"/>
      <c r="CH15" s="69">
        <f t="shared" si="35"/>
        <v>0</v>
      </c>
      <c r="CI15" s="62"/>
      <c r="CJ15" s="69">
        <f t="shared" si="36"/>
        <v>0</v>
      </c>
      <c r="CK15" s="62"/>
      <c r="CL15" s="66">
        <f t="shared" si="37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2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43"/>
        <v>0</v>
      </c>
      <c r="AM16" s="60"/>
      <c r="AN16" s="67">
        <f t="shared" si="44"/>
        <v>0</v>
      </c>
      <c r="AO16" s="60"/>
      <c r="AP16" s="67">
        <f t="shared" si="45"/>
        <v>0</v>
      </c>
      <c r="AQ16" s="60"/>
      <c r="AR16" s="67">
        <f t="shared" si="16"/>
        <v>0</v>
      </c>
      <c r="AS16" s="60"/>
      <c r="AT16" s="67">
        <f t="shared" si="17"/>
        <v>0</v>
      </c>
      <c r="AU16" s="60"/>
      <c r="AV16" s="67">
        <f t="shared" si="18"/>
        <v>0</v>
      </c>
      <c r="AW16" s="60"/>
      <c r="AX16" s="67">
        <f t="shared" si="19"/>
        <v>0</v>
      </c>
      <c r="AY16" s="60"/>
      <c r="AZ16" s="67">
        <f t="shared" si="20"/>
        <v>0</v>
      </c>
      <c r="BA16" s="60"/>
      <c r="BB16" s="67">
        <f t="shared" si="21"/>
        <v>0</v>
      </c>
      <c r="BC16" s="60"/>
      <c r="BD16" s="67">
        <f t="shared" si="22"/>
        <v>0</v>
      </c>
      <c r="BE16" s="61"/>
      <c r="BF16" s="69">
        <f t="shared" si="38"/>
        <v>0</v>
      </c>
      <c r="BG16" s="62"/>
      <c r="BH16" s="67">
        <f t="shared" si="23"/>
        <v>0</v>
      </c>
      <c r="BI16" s="62"/>
      <c r="BJ16" s="67">
        <f t="shared" si="39"/>
        <v>0</v>
      </c>
      <c r="BK16" s="62"/>
      <c r="BL16" s="67">
        <f t="shared" si="24"/>
        <v>0</v>
      </c>
      <c r="BM16" s="62"/>
      <c r="BN16" s="67">
        <f t="shared" si="25"/>
        <v>0</v>
      </c>
      <c r="BO16" s="62"/>
      <c r="BP16" s="67">
        <f t="shared" si="26"/>
        <v>0</v>
      </c>
      <c r="BQ16" s="62"/>
      <c r="BR16" s="67">
        <f t="shared" si="27"/>
        <v>0</v>
      </c>
      <c r="BS16" s="62"/>
      <c r="BT16" s="67">
        <f t="shared" si="41"/>
        <v>0</v>
      </c>
      <c r="BU16" s="62"/>
      <c r="BV16" s="67">
        <f t="shared" si="29"/>
        <v>0</v>
      </c>
      <c r="BW16" s="62"/>
      <c r="BX16" s="67">
        <f t="shared" si="30"/>
        <v>0</v>
      </c>
      <c r="BY16" s="62"/>
      <c r="BZ16" s="69">
        <f t="shared" si="31"/>
        <v>0</v>
      </c>
      <c r="CA16" s="62"/>
      <c r="CB16" s="69">
        <f t="shared" si="32"/>
        <v>0</v>
      </c>
      <c r="CC16" s="62"/>
      <c r="CD16" s="69">
        <f t="shared" si="33"/>
        <v>0</v>
      </c>
      <c r="CE16" s="62"/>
      <c r="CF16" s="69">
        <f t="shared" si="34"/>
        <v>0</v>
      </c>
      <c r="CG16" s="62"/>
      <c r="CH16" s="69">
        <f t="shared" si="35"/>
        <v>0</v>
      </c>
      <c r="CI16" s="62"/>
      <c r="CJ16" s="69">
        <f t="shared" si="36"/>
        <v>0</v>
      </c>
      <c r="CK16" s="62"/>
      <c r="CL16" s="66">
        <f t="shared" si="37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2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43"/>
        <v>0</v>
      </c>
      <c r="AM17" s="60"/>
      <c r="AN17" s="67">
        <f t="shared" si="44"/>
        <v>0</v>
      </c>
      <c r="AO17" s="60"/>
      <c r="AP17" s="67">
        <f t="shared" si="45"/>
        <v>0</v>
      </c>
      <c r="AQ17" s="60"/>
      <c r="AR17" s="67">
        <f t="shared" si="16"/>
        <v>0</v>
      </c>
      <c r="AS17" s="60"/>
      <c r="AT17" s="67">
        <f t="shared" si="17"/>
        <v>0</v>
      </c>
      <c r="AU17" s="60"/>
      <c r="AV17" s="67">
        <f t="shared" si="18"/>
        <v>0</v>
      </c>
      <c r="AW17" s="60"/>
      <c r="AX17" s="67">
        <f t="shared" si="19"/>
        <v>0</v>
      </c>
      <c r="AY17" s="60"/>
      <c r="AZ17" s="67">
        <f t="shared" si="20"/>
        <v>0</v>
      </c>
      <c r="BA17" s="60"/>
      <c r="BB17" s="67">
        <f t="shared" si="21"/>
        <v>0</v>
      </c>
      <c r="BC17" s="60"/>
      <c r="BD17" s="67">
        <f t="shared" si="22"/>
        <v>0</v>
      </c>
      <c r="BE17" s="61"/>
      <c r="BF17" s="69">
        <f t="shared" si="38"/>
        <v>0</v>
      </c>
      <c r="BG17" s="62"/>
      <c r="BH17" s="67">
        <f t="shared" si="23"/>
        <v>0</v>
      </c>
      <c r="BI17" s="62"/>
      <c r="BJ17" s="67">
        <f t="shared" si="39"/>
        <v>0</v>
      </c>
      <c r="BK17" s="62"/>
      <c r="BL17" s="67">
        <f t="shared" si="24"/>
        <v>0</v>
      </c>
      <c r="BM17" s="62"/>
      <c r="BN17" s="67">
        <f t="shared" si="25"/>
        <v>0</v>
      </c>
      <c r="BO17" s="62"/>
      <c r="BP17" s="67">
        <f t="shared" si="26"/>
        <v>0</v>
      </c>
      <c r="BQ17" s="62"/>
      <c r="BR17" s="67">
        <f t="shared" si="27"/>
        <v>0</v>
      </c>
      <c r="BS17" s="62"/>
      <c r="BT17" s="67">
        <f t="shared" si="41"/>
        <v>0</v>
      </c>
      <c r="BU17" s="62"/>
      <c r="BV17" s="67">
        <f t="shared" si="29"/>
        <v>0</v>
      </c>
      <c r="BW17" s="62"/>
      <c r="BX17" s="67">
        <f t="shared" si="30"/>
        <v>0</v>
      </c>
      <c r="BY17" s="62"/>
      <c r="BZ17" s="69">
        <f t="shared" si="31"/>
        <v>0</v>
      </c>
      <c r="CA17" s="62"/>
      <c r="CB17" s="69">
        <f t="shared" si="32"/>
        <v>0</v>
      </c>
      <c r="CC17" s="62"/>
      <c r="CD17" s="69">
        <f t="shared" si="33"/>
        <v>0</v>
      </c>
      <c r="CE17" s="62"/>
      <c r="CF17" s="69">
        <f t="shared" si="34"/>
        <v>0</v>
      </c>
      <c r="CG17" s="62"/>
      <c r="CH17" s="69">
        <f t="shared" si="35"/>
        <v>0</v>
      </c>
      <c r="CI17" s="62"/>
      <c r="CJ17" s="69">
        <f t="shared" si="36"/>
        <v>0</v>
      </c>
      <c r="CK17" s="62"/>
      <c r="CL17" s="66">
        <f t="shared" si="37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7" sqref="Q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2020-06-10T06:31:30Z</dcterms:modified>
</cp:coreProperties>
</file>