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filterPrivacy="1" defaultThemeVersion="124226"/>
  <xr:revisionPtr revIDLastSave="0" documentId="13_ncr:1_{E6AF0AAE-DD70-4B59-A452-1627B5B6CCB7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D23" i="2"/>
  <c r="D22" i="4" s="1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D7" i="3" s="1"/>
  <c r="B8" i="3"/>
  <c r="L8" i="3" s="1"/>
  <c r="B9" i="3"/>
  <c r="B10" i="3"/>
  <c r="B11" i="3"/>
  <c r="B12" i="3"/>
  <c r="B13" i="3"/>
  <c r="B14" i="3"/>
  <c r="B15" i="3"/>
  <c r="B16" i="3"/>
  <c r="D16" i="3" s="1"/>
  <c r="B17" i="3"/>
  <c r="B18" i="3"/>
  <c r="B19" i="3"/>
  <c r="B20" i="3"/>
  <c r="B21" i="3"/>
  <c r="B22" i="3"/>
  <c r="D22" i="3" s="1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17" i="4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E22" i="4"/>
  <c r="H7" i="4"/>
  <c r="K22" i="4"/>
  <c r="J7" i="4"/>
  <c r="C16" i="4"/>
  <c r="C22" i="4"/>
  <c r="K8" i="4"/>
  <c r="G8" i="4"/>
  <c r="V25" i="2" l="1"/>
  <c r="V34" i="2"/>
  <c r="V24" i="2"/>
  <c r="V33" i="2"/>
  <c r="V32" i="2"/>
  <c r="M31" i="3" s="1"/>
  <c r="C28" i="3"/>
  <c r="V29" i="2"/>
  <c r="M28" i="3" s="1"/>
  <c r="F13" i="3"/>
  <c r="V28" i="2"/>
  <c r="V27" i="2"/>
  <c r="V26" i="2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M23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M32" i="3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M26" i="3"/>
  <c r="F28" i="3"/>
  <c r="E26" i="4"/>
  <c r="M27" i="3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M25" i="3"/>
  <c r="F25" i="3"/>
  <c r="E25" i="4"/>
  <c r="M35" i="8"/>
  <c r="J23" i="8"/>
  <c r="Y24" i="8"/>
  <c r="Z24" i="8" s="1"/>
  <c r="T24" i="8"/>
  <c r="Y25" i="8"/>
  <c r="Z25" i="8" s="1"/>
  <c r="D24" i="8"/>
  <c r="G24" i="3"/>
  <c r="M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<sst xmlns="http://schemas.openxmlformats.org/spreadsheetml/2006/main" count="203" uniqueCount="130">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</sst>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-251990.00000000003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-66.933491686460812</c:v>
                </c:pt>
                <c:pt idx="2" formatCode="_(* #,##0.00_);_(* \(#,##0.00\);_(* &quot;-&quot;??_);_(@_)">
                  <c:v>-188330</c:v>
                </c:pt>
                <c:pt idx="3">
                  <c:v>-223.66983372921615</c:v>
                </c:pt>
                <c:pt idx="4" formatCode="0.00">
                  <c:v>-28036</c:v>
                </c:pt>
                <c:pt idx="5">
                  <c:v>-33.296912114014255</c:v>
                </c:pt>
                <c:pt idx="6" formatCode="0.00">
                  <c:v>-38335</c:v>
                </c:pt>
                <c:pt idx="7">
                  <c:v>-45.528503562945367</c:v>
                </c:pt>
                <c:pt idx="8" formatCode="0.00">
                  <c:v>-6759</c:v>
                </c:pt>
                <c:pt idx="9">
                  <c:v>-8.0273159144893107</c:v>
                </c:pt>
                <c:pt idx="10" formatCode="0.00">
                  <c:v>-28036</c:v>
                </c:pt>
                <c:pt idx="11">
                  <c:v>-33.296912114014255</c:v>
                </c:pt>
                <c:pt idx="12" formatCode="0.00">
                  <c:v>-66997</c:v>
                </c:pt>
                <c:pt idx="13">
                  <c:v>-79.568883610451309</c:v>
                </c:pt>
                <c:pt idx="14" formatCode="_(* #,##0.00_);_(* \(#,##0.00\);_(* &quot;-&quot;??_);_(@_)">
                  <c:v>-253147</c:v>
                </c:pt>
                <c:pt idx="15">
                  <c:v>-300.64964370546318</c:v>
                </c:pt>
                <c:pt idx="16" formatCode="0.00">
                  <c:v>-113275</c:v>
                </c:pt>
                <c:pt idx="17">
                  <c:v>-134.53087885985749</c:v>
                </c:pt>
                <c:pt idx="18" formatCode="0.00">
                  <c:v>-21313</c:v>
                </c:pt>
                <c:pt idx="19">
                  <c:v>-25.312351543942992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686336"/>
        <c:axId val="148687872"/>
      </c:barChart>
      <c:catAx>
        <c:axId val="14868633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687872"/>
        <c:crosses val="autoZero"/>
        <c:auto val="1"/>
        <c:lblAlgn val="ctr"/>
        <c:lblOffset val="100"/>
        <c:noMultiLvlLbl val="0"/>
      </c:catAx>
      <c:valAx>
        <c:axId val="14868787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686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N16" sqref="N1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10</v>
      </c>
      <c r="D2" s="46">
        <v>2021</v>
      </c>
      <c r="E2" s="107">
        <v>19540.000000000873</v>
      </c>
      <c r="F2" s="48">
        <v>0.15</v>
      </c>
      <c r="G2" s="107">
        <v>5180</v>
      </c>
      <c r="H2" s="48">
        <v>0.5927</v>
      </c>
      <c r="I2" s="65">
        <v>207</v>
      </c>
      <c r="J2" s="76">
        <v>1.133</v>
      </c>
      <c r="K2" s="108"/>
      <c r="L2" s="76"/>
      <c r="M2" s="72">
        <v>13</v>
      </c>
      <c r="N2" s="72">
        <v>33</v>
      </c>
      <c r="O2" s="72">
        <v>94</v>
      </c>
    </row>
    <row r="3" spans="1:15" ht="15" x14ac:dyDescent="0.25">
      <c r="A3" s="45" t="s">
        <v>9</v>
      </c>
      <c r="B3" s="46">
        <f>B2+1</f>
        <v>2</v>
      </c>
      <c r="C3" s="47">
        <v>10</v>
      </c>
      <c r="D3" s="46">
        <v>2021</v>
      </c>
      <c r="E3" s="107"/>
      <c r="F3" s="48">
        <v>0.15</v>
      </c>
      <c r="G3" s="107"/>
      <c r="H3" s="48">
        <v>0.5927</v>
      </c>
      <c r="I3" s="65"/>
      <c r="J3" s="76">
        <v>1.133</v>
      </c>
      <c r="K3" s="108"/>
      <c r="L3" s="76"/>
      <c r="M3" s="72"/>
      <c r="N3" s="72"/>
      <c r="O3" s="72"/>
    </row>
    <row r="4" spans="1:15" ht="15" x14ac:dyDescent="0.25">
      <c r="A4" s="45" t="s">
        <v>9</v>
      </c>
      <c r="B4" s="46">
        <f t="shared" ref="B4:B32" si="0">B3+1</f>
        <v>3</v>
      </c>
      <c r="C4" s="47">
        <v>10</v>
      </c>
      <c r="D4" s="46">
        <v>2021</v>
      </c>
      <c r="E4" s="107"/>
      <c r="F4" s="48">
        <v>0.15</v>
      </c>
      <c r="G4" s="107"/>
      <c r="H4" s="48">
        <v>0.5927</v>
      </c>
      <c r="I4" s="65"/>
      <c r="J4" s="76">
        <v>1.133</v>
      </c>
      <c r="K4" s="108"/>
      <c r="L4" s="76"/>
      <c r="M4" s="72"/>
      <c r="N4" s="72"/>
      <c r="O4" s="72"/>
    </row>
    <row r="5" spans="1:15" ht="15" x14ac:dyDescent="0.25">
      <c r="A5" s="45" t="s">
        <v>9</v>
      </c>
      <c r="B5" s="46">
        <f t="shared" si="0"/>
        <v>4</v>
      </c>
      <c r="C5" s="47">
        <v>10</v>
      </c>
      <c r="D5" s="46">
        <v>2021</v>
      </c>
      <c r="E5" s="107"/>
      <c r="F5" s="48">
        <v>0.15</v>
      </c>
      <c r="G5" s="107"/>
      <c r="H5" s="48">
        <v>0.5927</v>
      </c>
      <c r="I5" s="65"/>
      <c r="J5" s="76">
        <v>1.133</v>
      </c>
      <c r="K5" s="108"/>
      <c r="L5" s="76"/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10</v>
      </c>
      <c r="D6" s="46">
        <v>2021</v>
      </c>
      <c r="E6" s="107"/>
      <c r="F6" s="48">
        <v>0.15</v>
      </c>
      <c r="G6" s="107"/>
      <c r="H6" s="48">
        <v>0.5927</v>
      </c>
      <c r="I6" s="65"/>
      <c r="J6" s="76">
        <v>1.133</v>
      </c>
      <c r="K6" s="108"/>
      <c r="L6" s="76"/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10</v>
      </c>
      <c r="D7" s="46">
        <v>2021</v>
      </c>
      <c r="E7" s="107"/>
      <c r="F7" s="48">
        <v>0.15</v>
      </c>
      <c r="G7" s="107"/>
      <c r="H7" s="48">
        <v>0.5927</v>
      </c>
      <c r="I7" s="65"/>
      <c r="J7" s="76">
        <v>1.133</v>
      </c>
      <c r="K7" s="108"/>
      <c r="L7" s="76"/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10</v>
      </c>
      <c r="D8" s="46">
        <v>2021</v>
      </c>
      <c r="E8" s="107"/>
      <c r="F8" s="48">
        <v>0.15</v>
      </c>
      <c r="G8" s="107"/>
      <c r="H8" s="48">
        <v>0.5927</v>
      </c>
      <c r="I8" s="65"/>
      <c r="J8" s="76">
        <v>1.133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10</v>
      </c>
      <c r="D9" s="46">
        <v>2021</v>
      </c>
      <c r="E9" s="107"/>
      <c r="F9" s="48">
        <v>0.15</v>
      </c>
      <c r="G9" s="107"/>
      <c r="H9" s="48">
        <v>0.5927</v>
      </c>
      <c r="I9" s="65"/>
      <c r="J9" s="76">
        <v>1.133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10</v>
      </c>
      <c r="D10" s="46">
        <v>2021</v>
      </c>
      <c r="E10" s="107"/>
      <c r="F10" s="48">
        <v>0.15</v>
      </c>
      <c r="G10" s="107"/>
      <c r="H10" s="48">
        <v>0.5927</v>
      </c>
      <c r="I10" s="65"/>
      <c r="J10" s="76">
        <v>1.133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10</v>
      </c>
      <c r="D11" s="46">
        <v>2021</v>
      </c>
      <c r="E11" s="107"/>
      <c r="F11" s="48">
        <v>0.15</v>
      </c>
      <c r="G11" s="107"/>
      <c r="H11" s="48">
        <v>0.5927</v>
      </c>
      <c r="I11" s="65"/>
      <c r="J11" s="76">
        <v>1.133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10</v>
      </c>
      <c r="D12" s="46">
        <v>2021</v>
      </c>
      <c r="E12" s="107"/>
      <c r="F12" s="48">
        <v>0.15</v>
      </c>
      <c r="G12" s="107"/>
      <c r="H12" s="48">
        <v>0.5927</v>
      </c>
      <c r="I12" s="65"/>
      <c r="J12" s="76">
        <v>1.133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10</v>
      </c>
      <c r="D13" s="46">
        <v>2021</v>
      </c>
      <c r="E13" s="107"/>
      <c r="F13" s="48">
        <v>0.15</v>
      </c>
      <c r="G13" s="107"/>
      <c r="H13" s="48">
        <v>0.5927</v>
      </c>
      <c r="I13" s="65"/>
      <c r="J13" s="76">
        <v>1.133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10</v>
      </c>
      <c r="D14" s="46">
        <v>2021</v>
      </c>
      <c r="E14" s="107"/>
      <c r="F14" s="48">
        <v>0.15</v>
      </c>
      <c r="G14" s="107"/>
      <c r="H14" s="48">
        <v>0.5927</v>
      </c>
      <c r="I14" s="65"/>
      <c r="J14" s="76">
        <v>1.133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10</v>
      </c>
      <c r="D15" s="46">
        <v>2021</v>
      </c>
      <c r="E15" s="107"/>
      <c r="F15" s="48">
        <v>0.15</v>
      </c>
      <c r="G15" s="107"/>
      <c r="H15" s="48">
        <v>0.5927</v>
      </c>
      <c r="I15" s="65"/>
      <c r="J15" s="76">
        <v>1.133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10</v>
      </c>
      <c r="D16" s="46">
        <v>2021</v>
      </c>
      <c r="E16" s="107"/>
      <c r="F16" s="48">
        <v>0.15</v>
      </c>
      <c r="G16" s="107"/>
      <c r="H16" s="48">
        <v>0.5927</v>
      </c>
      <c r="I16" s="65"/>
      <c r="J16" s="76">
        <v>1.133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10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10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10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10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10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10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10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10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10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10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10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10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10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10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10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10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19540.000000000873</v>
      </c>
      <c r="F33" s="104">
        <v>0</v>
      </c>
      <c r="G33" s="101">
        <f>SUM(G2:G32)</f>
        <v>5180</v>
      </c>
      <c r="H33" s="102">
        <v>0</v>
      </c>
      <c r="I33" s="103">
        <f>SUM(I2:I32)</f>
        <v>207</v>
      </c>
      <c r="J33" s="104">
        <v>0</v>
      </c>
      <c r="K33" s="105">
        <v>0</v>
      </c>
      <c r="L33" s="102">
        <v>0</v>
      </c>
      <c r="M33" s="106">
        <f t="shared" ref="M33:O33" si="1">SUM(M2:M32)</f>
        <v>13</v>
      </c>
      <c r="N33" s="106">
        <f t="shared" si="1"/>
        <v>33</v>
      </c>
      <c r="O33" s="106">
        <f t="shared" si="1"/>
        <v>94</v>
      </c>
    </row>
    <row r="40" spans="1:15" x14ac:dyDescent="0.2">
      <c r="C40" s="44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Q18" sqref="Q1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127</v>
      </c>
      <c r="C2" s="113" t="s">
        <v>11</v>
      </c>
      <c r="D2" s="113" t="s">
        <v>12</v>
      </c>
      <c r="E2" s="113" t="s">
        <v>13</v>
      </c>
      <c r="F2" s="113" t="s">
        <v>14</v>
      </c>
      <c r="G2" s="118" t="s">
        <v>15</v>
      </c>
      <c r="H2" s="120" t="s">
        <v>16</v>
      </c>
      <c r="I2" s="113" t="s">
        <v>17</v>
      </c>
      <c r="J2" s="123" t="s">
        <v>18</v>
      </c>
      <c r="K2" s="124"/>
      <c r="L2" s="125"/>
      <c r="M2" s="118" t="s">
        <v>19</v>
      </c>
      <c r="N2" s="120" t="s">
        <v>20</v>
      </c>
      <c r="O2" s="121" t="s">
        <v>21</v>
      </c>
      <c r="P2" s="120" t="s">
        <v>22</v>
      </c>
      <c r="Q2" s="126" t="s">
        <v>23</v>
      </c>
      <c r="R2" s="113" t="s">
        <v>24</v>
      </c>
      <c r="S2" s="113" t="s">
        <v>25</v>
      </c>
      <c r="T2" s="113" t="s">
        <v>26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27</v>
      </c>
      <c r="K3" s="18" t="s">
        <v>28</v>
      </c>
      <c r="L3" s="18" t="s">
        <v>29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44470</v>
      </c>
      <c r="B4" s="1">
        <v>1.1052999999999999</v>
      </c>
      <c r="C4" s="1">
        <v>251.99</v>
      </c>
      <c r="D4" s="1">
        <v>7695259.3700000001</v>
      </c>
      <c r="E4" s="1">
        <v>8463720.8399999999</v>
      </c>
      <c r="F4" s="1">
        <v>2.6013999999999999</v>
      </c>
      <c r="G4" s="1">
        <v>822.81</v>
      </c>
      <c r="H4" s="1">
        <v>673.55</v>
      </c>
      <c r="I4" s="1">
        <v>673.55</v>
      </c>
      <c r="J4" s="1">
        <v>340.26</v>
      </c>
      <c r="K4" s="1">
        <v>366.68</v>
      </c>
      <c r="L4" s="1">
        <v>252.43</v>
      </c>
      <c r="M4" s="1">
        <v>589.02</v>
      </c>
      <c r="N4" s="1">
        <v>539.5</v>
      </c>
      <c r="O4" s="1">
        <v>171.7</v>
      </c>
      <c r="P4" s="1">
        <v>708.43</v>
      </c>
      <c r="Q4" s="1">
        <v>523.95000000000005</v>
      </c>
      <c r="R4" s="1">
        <v>181.76</v>
      </c>
      <c r="S4" s="1">
        <v>126.27</v>
      </c>
      <c r="T4" s="1">
        <v>463.12</v>
      </c>
      <c r="V4" s="71">
        <v>13</v>
      </c>
      <c r="W4" s="71">
        <v>33</v>
      </c>
      <c r="X4" s="71">
        <v>94</v>
      </c>
      <c r="Y4" s="17"/>
    </row>
    <row r="5" spans="1:25" ht="21" customHeight="1" x14ac:dyDescent="0.25">
      <c r="A5" s="8">
        <v>44471</v>
      </c>
      <c r="B5" s="1">
        <v>1.1065</v>
      </c>
      <c r="C5" s="1">
        <v>252.23</v>
      </c>
      <c r="D5" s="1">
        <v>7697169.8899999997</v>
      </c>
      <c r="E5" s="1">
        <v>8465922.1899999995</v>
      </c>
      <c r="F5" s="1">
        <v>2.6036999999999999</v>
      </c>
      <c r="G5" s="1">
        <v>823.6</v>
      </c>
      <c r="H5" s="1">
        <v>674.1</v>
      </c>
      <c r="I5" s="1">
        <v>674.1</v>
      </c>
      <c r="J5" s="1">
        <v>340.48</v>
      </c>
      <c r="K5" s="1">
        <v>366.91</v>
      </c>
      <c r="L5" s="1">
        <v>252.61</v>
      </c>
      <c r="M5" s="1">
        <v>589.76</v>
      </c>
      <c r="N5" s="1">
        <v>540.19000000000005</v>
      </c>
      <c r="O5" s="1">
        <v>171.91</v>
      </c>
      <c r="P5" s="1">
        <v>709.24</v>
      </c>
      <c r="Q5" s="1">
        <v>524.5</v>
      </c>
      <c r="R5" s="1">
        <v>182</v>
      </c>
      <c r="S5" s="1">
        <v>126.39</v>
      </c>
      <c r="T5" s="1">
        <v>463.38</v>
      </c>
      <c r="V5" s="71"/>
      <c r="W5" s="71"/>
      <c r="X5" s="71"/>
      <c r="Y5" s="17"/>
    </row>
    <row r="6" spans="1:25" ht="21" customHeight="1" x14ac:dyDescent="0.25">
      <c r="A6" s="8">
        <v>44472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V6" s="71"/>
      <c r="W6" s="71"/>
      <c r="X6" s="71"/>
      <c r="Y6" s="17"/>
    </row>
    <row r="7" spans="1:25" ht="21" customHeight="1" x14ac:dyDescent="0.25">
      <c r="A7" s="8">
        <v>44473</v>
      </c>
      <c r="B7" s="1"/>
      <c r="C7" s="1"/>
      <c r="D7" s="10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71"/>
      <c r="W7" s="71"/>
      <c r="X7" s="71"/>
      <c r="Y7" s="17"/>
    </row>
    <row r="8" spans="1:25" ht="21" customHeight="1" x14ac:dyDescent="0.25">
      <c r="A8" s="8">
        <v>44474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44475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44476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44477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44478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44479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44480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44481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44482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44483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44484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44485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44486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44487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44488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44489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44490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44491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44492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44493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44497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44498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44499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13</v>
      </c>
      <c r="W35" s="78">
        <f>SUM(W4:W34)</f>
        <v>33</v>
      </c>
      <c r="X35" s="78">
        <f>SUM(X4:X34)</f>
        <v>94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41" sqref="E4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31</v>
      </c>
      <c r="B2" s="113" t="s">
        <v>32</v>
      </c>
      <c r="C2" s="113" t="s">
        <v>33</v>
      </c>
      <c r="D2" s="113" t="s">
        <v>119</v>
      </c>
      <c r="E2" s="121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22"/>
      <c r="B3" s="114"/>
      <c r="C3" s="114"/>
      <c r="D3" s="114"/>
      <c r="E3" s="122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550.00000000006821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11528.130000000425</v>
      </c>
    </row>
    <row r="5" spans="1:22" x14ac:dyDescent="0.25">
      <c r="A5" s="3">
        <f>'Kwh Reading'!A5</f>
        <v>44471</v>
      </c>
      <c r="B5" s="26">
        <f>TOTAL!E3</f>
        <v>0</v>
      </c>
      <c r="C5" s="4">
        <f>('Kwh Reading'!T6-'Kwh Reading'!T5)*1000</f>
        <v>-463380</v>
      </c>
      <c r="D5" s="2">
        <f>('Kwh Reading'!F6-'Kwh Reading'!F5)*1000000</f>
        <v>-2603700</v>
      </c>
      <c r="E5" s="2">
        <f>('Kwh Reading'!C6-'Kwh Reading'!C5)*1000</f>
        <v>-252230</v>
      </c>
      <c r="F5" s="2">
        <f>('Kwh Reading'!J6-'Kwh Reading'!J5)*1000</f>
        <v>-340480</v>
      </c>
      <c r="G5" s="2">
        <f>('Kwh Reading'!K6-'Kwh Reading'!K5)*1000</f>
        <v>-366910</v>
      </c>
      <c r="H5" s="2">
        <f>('Kwh Reading'!L6-'Kwh Reading'!L5)*1000</f>
        <v>-252610</v>
      </c>
      <c r="I5" s="2">
        <f>('Kwh Reading'!R6-'Kwh Reading'!R5)*1000</f>
        <v>-182000</v>
      </c>
      <c r="J5" s="2">
        <f>('Kwh Reading'!S6-'Kwh Reading'!S5)*1000</f>
        <v>-126390</v>
      </c>
      <c r="K5" s="2">
        <f>('Kwh Reading'!I6-'Kwh Reading'!I5)*1000</f>
        <v>-674100</v>
      </c>
      <c r="L5" s="2">
        <f>('Kwh Reading'!B6-'Kwh Reading'!B5)*1000000</f>
        <v>-1106500</v>
      </c>
      <c r="M5" s="2">
        <f>('Kwh Reading'!M6-'Kwh Reading'!M5)*1000</f>
        <v>-589760</v>
      </c>
      <c r="N5" s="2">
        <f>('Kwh Reading'!H6-'Kwh Reading'!H5)*1000</f>
        <v>-674100</v>
      </c>
      <c r="O5" s="2">
        <f>('Kwh Reading'!P6-'Kwh Reading'!P5)*1000</f>
        <v>-709240</v>
      </c>
      <c r="P5" s="2">
        <f>('Kwh Reading'!G6-'Kwh Reading'!G5)*1000</f>
        <v>-823600</v>
      </c>
      <c r="Q5" s="2">
        <f>('Kwh Reading'!Q6-'Kwh Reading'!Q5)*1000</f>
        <v>-524500</v>
      </c>
      <c r="R5" s="2">
        <f>('Kwh Reading'!N6-'Kwh Reading'!N5)*1000</f>
        <v>-540190</v>
      </c>
      <c r="S5" s="2">
        <f>'Kwh Reading'!E6-'Kwh Reading'!E5</f>
        <v>-8465922.1899999995</v>
      </c>
      <c r="T5" s="2">
        <f>'Kwh Reading'!D6-'Kwh Reading'!D5</f>
        <v>-7697169.8899999997</v>
      </c>
      <c r="U5" s="27">
        <f>('Kwh Reading'!O6-'Kwh Reading'!O5)*1000</f>
        <v>-171910</v>
      </c>
      <c r="V5" s="16">
        <f t="shared" ref="V5:V11" si="0">B5-(SUM(C5:U5))</f>
        <v>26564692.079999998</v>
      </c>
    </row>
    <row r="6" spans="1:22" x14ac:dyDescent="0.25">
      <c r="A6" s="3">
        <f>'Kwh Reading'!A6</f>
        <v>44472</v>
      </c>
      <c r="B6" s="26">
        <f>TOTAL!E4</f>
        <v>0</v>
      </c>
      <c r="C6" s="4">
        <f>('Kwh Reading'!T7-'Kwh Reading'!T6)*1000</f>
        <v>0</v>
      </c>
      <c r="D6" s="2">
        <f>('Kwh Reading'!F7-'Kwh Reading'!F6)*1000000</f>
        <v>0</v>
      </c>
      <c r="E6" s="2">
        <f>('Kwh Reading'!C7-'Kwh Reading'!C6)*1000</f>
        <v>0</v>
      </c>
      <c r="F6" s="2">
        <f>('Kwh Reading'!J7-'Kwh Reading'!J6)*1000</f>
        <v>0</v>
      </c>
      <c r="G6" s="2">
        <f>('Kwh Reading'!K7-'Kwh Reading'!K6)*1000</f>
        <v>0</v>
      </c>
      <c r="H6" s="2">
        <f>('Kwh Reading'!L7-'Kwh Reading'!L6)*1000</f>
        <v>0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0</v>
      </c>
      <c r="L6" s="2">
        <f>('Kwh Reading'!B7-'Kwh Reading'!B6)*1000000</f>
        <v>0</v>
      </c>
      <c r="M6" s="2">
        <f>('Kwh Reading'!M7-'Kwh Reading'!M6)*1000</f>
        <v>0</v>
      </c>
      <c r="N6" s="2">
        <f>('Kwh Reading'!H7-'Kwh Reading'!H6)*1000</f>
        <v>0</v>
      </c>
      <c r="O6" s="2">
        <f>('Kwh Reading'!P7-'Kwh Reading'!P6)*1000</f>
        <v>0</v>
      </c>
      <c r="P6" s="2">
        <f>('Kwh Reading'!G7-'Kwh Reading'!G6)*1000</f>
        <v>0</v>
      </c>
      <c r="Q6" s="2">
        <f>('Kwh Reading'!Q7-'Kwh Reading'!Q6)*1000</f>
        <v>0</v>
      </c>
      <c r="R6" s="2">
        <f>('Kwh Reading'!N7-'Kwh Reading'!N6)*1000</f>
        <v>0</v>
      </c>
      <c r="S6" s="2">
        <f>'Kwh Reading'!E7-'Kwh Reading'!E6</f>
        <v>0</v>
      </c>
      <c r="T6" s="2">
        <f>'Kwh Reading'!D7-'Kwh Reading'!D6</f>
        <v>0</v>
      </c>
      <c r="U6" s="27">
        <f>('Kwh Reading'!O7-'Kwh Reading'!O6)*1000</f>
        <v>0</v>
      </c>
      <c r="V6" s="16">
        <f t="shared" si="0"/>
        <v>0</v>
      </c>
    </row>
    <row r="7" spans="1:22" x14ac:dyDescent="0.25">
      <c r="A7" s="3">
        <f>'Kwh Reading'!A7</f>
        <v>44473</v>
      </c>
      <c r="B7" s="26">
        <f>TOTAL!E5</f>
        <v>0</v>
      </c>
      <c r="C7" s="4">
        <f>('Kwh Reading'!T8-'Kwh Reading'!T7)*1000</f>
        <v>0</v>
      </c>
      <c r="D7" s="2">
        <f>('Kwh Reading'!F8-'Kwh Reading'!F7)*1000000</f>
        <v>0</v>
      </c>
      <c r="E7" s="2">
        <f>('Kwh Reading'!C8-'Kwh Reading'!C7)*1000</f>
        <v>0</v>
      </c>
      <c r="F7" s="2">
        <f>('Kwh Reading'!J8-'Kwh Reading'!J7)*1000</f>
        <v>0</v>
      </c>
      <c r="G7" s="2">
        <f>('Kwh Reading'!K8-'Kwh Reading'!K7)*1000</f>
        <v>0</v>
      </c>
      <c r="H7" s="2">
        <f>('Kwh Reading'!L8-'Kwh Reading'!L7)*1000</f>
        <v>0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0</v>
      </c>
      <c r="L7" s="2">
        <f>('Kwh Reading'!B8-'Kwh Reading'!B7)*1000000</f>
        <v>0</v>
      </c>
      <c r="M7" s="2">
        <f>('Kwh Reading'!M8-'Kwh Reading'!M7)*1000</f>
        <v>0</v>
      </c>
      <c r="N7" s="2">
        <f>('Kwh Reading'!H8-'Kwh Reading'!H7)*1000</f>
        <v>0</v>
      </c>
      <c r="O7" s="2">
        <f>('Kwh Reading'!P8-'Kwh Reading'!P7)*1000</f>
        <v>0</v>
      </c>
      <c r="P7" s="2">
        <f>('Kwh Reading'!G8-'Kwh Reading'!G7)*1000</f>
        <v>0</v>
      </c>
      <c r="Q7" s="2">
        <f>('Kwh Reading'!Q8-'Kwh Reading'!Q7)*1000</f>
        <v>0</v>
      </c>
      <c r="R7" s="2">
        <f>('Kwh Reading'!N8-'Kwh Reading'!N7)*1000</f>
        <v>0</v>
      </c>
      <c r="S7" s="2">
        <f>'Kwh Reading'!E8-'Kwh Reading'!E7</f>
        <v>0</v>
      </c>
      <c r="T7" s="2">
        <f>'Kwh Reading'!D8-'Kwh Reading'!D7</f>
        <v>0</v>
      </c>
      <c r="U7" s="27">
        <f>('Kwh Reading'!O8-'Kwh Reading'!O7)*1000</f>
        <v>0</v>
      </c>
      <c r="V7" s="16">
        <f t="shared" si="0"/>
        <v>0</v>
      </c>
    </row>
    <row r="8" spans="1:22" x14ac:dyDescent="0.25">
      <c r="A8" s="3">
        <f>'Kwh Reading'!A8</f>
        <v>44474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44475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44476</v>
      </c>
      <c r="B10" s="26">
        <v>22320.000000001754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si="0"/>
        <v>22320.000000001754</v>
      </c>
    </row>
    <row r="11" spans="1:22" x14ac:dyDescent="0.25">
      <c r="A11" s="3">
        <f>'Kwh Reading'!A11</f>
        <v>44477</v>
      </c>
      <c r="B11" s="26">
        <v>20830.000000000611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20830.000000000611</v>
      </c>
    </row>
    <row r="12" spans="1:22" x14ac:dyDescent="0.25">
      <c r="A12" s="3">
        <f>'Kwh Reading'!A12</f>
        <v>44478</v>
      </c>
      <c r="B12" s="26">
        <v>20069.999999998345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20069.999999998345</v>
      </c>
    </row>
    <row r="13" spans="1:22" x14ac:dyDescent="0.25">
      <c r="A13" s="3">
        <f>'Kwh Reading'!A13</f>
        <v>44479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44480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44481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44482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44483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44484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44485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44486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44487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44488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44489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44490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44491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44492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44493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44494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44495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44496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44497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44498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88740.000000000698</v>
      </c>
      <c r="C35" s="75">
        <f t="shared" ref="C35" si="2">SUM(C4:C34)</f>
        <v>-463120</v>
      </c>
      <c r="D35" s="75">
        <f t="shared" ref="D35" si="3">SUM(D4:D34)</f>
        <v>-2601400</v>
      </c>
      <c r="E35" s="75">
        <f t="shared" ref="E35" si="4">SUM(E4:E34)</f>
        <v>-251990.00000000003</v>
      </c>
      <c r="F35" s="75">
        <f t="shared" ref="F35" si="5">SUM(F4:F34)</f>
        <v>-340260</v>
      </c>
      <c r="G35" s="75">
        <f t="shared" ref="G35:U35" si="6">SUM(G4:G34)</f>
        <v>-366680</v>
      </c>
      <c r="H35" s="75">
        <f t="shared" si="6"/>
        <v>-252430</v>
      </c>
      <c r="I35" s="75">
        <f t="shared" si="6"/>
        <v>-181760</v>
      </c>
      <c r="J35" s="75">
        <f t="shared" si="6"/>
        <v>-126270</v>
      </c>
      <c r="K35" s="75">
        <f t="shared" si="6"/>
        <v>-673549.99999999988</v>
      </c>
      <c r="L35" s="75">
        <f t="shared" si="6"/>
        <v>-1105300</v>
      </c>
      <c r="M35" s="75">
        <f t="shared" si="6"/>
        <v>-589020</v>
      </c>
      <c r="N35" s="75">
        <f t="shared" si="6"/>
        <v>-673549.99999999988</v>
      </c>
      <c r="O35" s="75">
        <f t="shared" si="6"/>
        <v>-708429.99999999988</v>
      </c>
      <c r="P35" s="75">
        <f t="shared" si="6"/>
        <v>-822809.99999999988</v>
      </c>
      <c r="Q35" s="75">
        <f t="shared" si="6"/>
        <v>-523950.00000000006</v>
      </c>
      <c r="R35" s="75">
        <f t="shared" si="6"/>
        <v>-539500</v>
      </c>
      <c r="S35" s="75">
        <f t="shared" si="6"/>
        <v>-8463720.8399999999</v>
      </c>
      <c r="T35" s="75">
        <f t="shared" si="6"/>
        <v>-7695259.3700000001</v>
      </c>
      <c r="U35" s="75">
        <f t="shared" si="6"/>
        <v>-171700</v>
      </c>
      <c r="V35" s="75">
        <f>SUM(V4:V34)</f>
        <v>26639440.209999997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44470</v>
      </c>
      <c r="B3" s="83">
        <f>TOTAL!E2</f>
        <v>19540.000000000873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1750.000000000158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2">
        <f t="shared" ref="L3:L33" si="0">B3-C3-D3-E3-F3-G3-H3-I3-J3-K3</f>
        <v>5548.1300000012952</v>
      </c>
    </row>
    <row r="4" spans="1:12" x14ac:dyDescent="0.25">
      <c r="A4" s="14">
        <f>'Kwh Reading'!A5</f>
        <v>44471</v>
      </c>
      <c r="B4" s="83">
        <f>TOTAL!E3</f>
        <v>0</v>
      </c>
      <c r="C4" s="1">
        <f>'Kwh Consumption'!C5</f>
        <v>-463380</v>
      </c>
      <c r="D4" s="1">
        <f>'Kwh Consumption'!D5</f>
        <v>-2603700</v>
      </c>
      <c r="E4" s="1">
        <f>'Kwh Consumption'!E5</f>
        <v>-252230</v>
      </c>
      <c r="F4" s="1">
        <f>('Kwh Consumption'!F5+'Kwh Consumption'!G5+'Kwh Consumption'!H5)</f>
        <v>-960000</v>
      </c>
      <c r="G4" s="16">
        <f>('Kwh Consumption'!I5+'Kwh Consumption'!J5)</f>
        <v>-308390</v>
      </c>
      <c r="H4" s="1">
        <f>('Kwh Consumption'!K5+'Kwh Consumption'!L5)</f>
        <v>-1780600</v>
      </c>
      <c r="I4" s="1">
        <f>('Kwh Consumption'!M5+'Kwh Consumption'!N5+'Kwh Consumption'!O5+'Kwh Consumption'!P5+'Kwh Consumption'!Q5+'Kwh Consumption'!R5)</f>
        <v>-3861390</v>
      </c>
      <c r="J4" s="1">
        <f>('Kwh Consumption'!S5+'Kwh Consumption'!T5)</f>
        <v>-16163092.079999998</v>
      </c>
      <c r="K4" s="1">
        <f>'Kwh Consumption'!U5</f>
        <v>-171910</v>
      </c>
      <c r="L4" s="32">
        <f t="shared" si="0"/>
        <v>26564692.079999998</v>
      </c>
    </row>
    <row r="5" spans="1:12" x14ac:dyDescent="0.25">
      <c r="A5" s="14">
        <f>'Kwh Reading'!A6</f>
        <v>44472</v>
      </c>
      <c r="B5" s="83">
        <f>TOTAL!E4</f>
        <v>0</v>
      </c>
      <c r="C5" s="1">
        <f>'Kwh Consumption'!C6</f>
        <v>0</v>
      </c>
      <c r="D5" s="1">
        <f>'Kwh Consumption'!D6</f>
        <v>0</v>
      </c>
      <c r="E5" s="1">
        <f>'Kwh Consumption'!E6</f>
        <v>0</v>
      </c>
      <c r="F5" s="1">
        <f>('Kwh Consumption'!F6+'Kwh Consumption'!G6+'Kwh Consumption'!H6)</f>
        <v>0</v>
      </c>
      <c r="G5" s="16">
        <f>('Kwh Consumption'!I6+'Kwh Consumption'!J6)</f>
        <v>0</v>
      </c>
      <c r="H5" s="1">
        <f>('Kwh Consumption'!K6+'Kwh Consumption'!L6)</f>
        <v>0</v>
      </c>
      <c r="I5" s="1">
        <f>('Kwh Consumption'!M6+'Kwh Consumption'!N6+'Kwh Consumption'!O6+'Kwh Consumption'!P6+'Kwh Consumption'!Q6+'Kwh Consumption'!R6)</f>
        <v>0</v>
      </c>
      <c r="J5" s="1">
        <f>('Kwh Consumption'!S6+'Kwh Consumption'!T6)</f>
        <v>0</v>
      </c>
      <c r="K5" s="1">
        <f>'Kwh Consumption'!U6</f>
        <v>0</v>
      </c>
      <c r="L5" s="32">
        <f t="shared" si="0"/>
        <v>0</v>
      </c>
    </row>
    <row r="6" spans="1:12" x14ac:dyDescent="0.25">
      <c r="A6" s="14">
        <f>'Kwh Reading'!A7</f>
        <v>44473</v>
      </c>
      <c r="B6" s="83">
        <f>TOTAL!E5</f>
        <v>0</v>
      </c>
      <c r="C6" s="1">
        <f>'Kwh Consumption'!C7</f>
        <v>0</v>
      </c>
      <c r="D6" s="1">
        <f>'Kwh Consumption'!D7</f>
        <v>0</v>
      </c>
      <c r="E6" s="1">
        <f>'Kwh Consumption'!E7</f>
        <v>0</v>
      </c>
      <c r="F6" s="1">
        <f>('Kwh Consumption'!F7+'Kwh Consumption'!G7+'Kwh Consumption'!H7)</f>
        <v>0</v>
      </c>
      <c r="G6" s="16">
        <f>('Kwh Consumption'!I7+'Kwh Consumption'!J7)</f>
        <v>0</v>
      </c>
      <c r="H6" s="1">
        <f>('Kwh Consumption'!K7+'Kwh Consumption'!L7)</f>
        <v>0</v>
      </c>
      <c r="I6" s="1">
        <f>('Kwh Consumption'!M7+'Kwh Consumption'!N7+'Kwh Consumption'!O7+'Kwh Consumption'!P7+'Kwh Consumption'!Q7+'Kwh Consumption'!R7)</f>
        <v>0</v>
      </c>
      <c r="J6" s="1">
        <f>('Kwh Consumption'!S7+'Kwh Consumption'!T7)</f>
        <v>0</v>
      </c>
      <c r="K6" s="1">
        <f>'Kwh Consumption'!U7</f>
        <v>0</v>
      </c>
      <c r="L6" s="32">
        <f t="shared" si="0"/>
        <v>0</v>
      </c>
    </row>
    <row r="7" spans="1:12" x14ac:dyDescent="0.25">
      <c r="A7" s="14">
        <f>'Kwh Reading'!A8</f>
        <v>44474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44475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44476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44477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44478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44479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44480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44481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44482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44483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44484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44485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44486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44487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44488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44489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44490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44491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44492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44493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44494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44495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44496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44497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44498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44499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44500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19540.000000000873</v>
      </c>
      <c r="C34" s="75">
        <f>SUM(C3:C33)</f>
        <v>-463120</v>
      </c>
      <c r="D34" s="75">
        <f t="shared" ref="D34:L34" si="1">SUM(D3:D33)</f>
        <v>-2601400</v>
      </c>
      <c r="E34" s="75">
        <f t="shared" si="1"/>
        <v>-251990.00000000003</v>
      </c>
      <c r="F34" s="75">
        <f t="shared" si="1"/>
        <v>-959370</v>
      </c>
      <c r="G34" s="75">
        <f t="shared" si="1"/>
        <v>-308030</v>
      </c>
      <c r="H34" s="75">
        <f t="shared" si="1"/>
        <v>-1778849.9999999998</v>
      </c>
      <c r="I34" s="75">
        <f t="shared" si="1"/>
        <v>-3857260</v>
      </c>
      <c r="J34" s="75">
        <f t="shared" si="1"/>
        <v>-16158980.209999999</v>
      </c>
      <c r="K34" s="75">
        <f t="shared" si="1"/>
        <v>-171700</v>
      </c>
      <c r="L34" s="75">
        <f t="shared" si="1"/>
        <v>26570240.210000001</v>
      </c>
      <c r="M34" s="84">
        <f>C34+D34+E34+F34+G34+H34+I34+J34+K34+L34</f>
        <v>19540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-69468</v>
      </c>
      <c r="D36" s="75">
        <f>D34*B36</f>
        <v>-390210</v>
      </c>
      <c r="E36" s="75">
        <f>E34*B36</f>
        <v>-37798.5</v>
      </c>
      <c r="F36" s="75">
        <f>F34*B36</f>
        <v>-143905.5</v>
      </c>
      <c r="G36" s="75">
        <f>G34*B36</f>
        <v>-46204.5</v>
      </c>
      <c r="H36" s="75">
        <f>H34*B36</f>
        <v>-266827.49999999994</v>
      </c>
      <c r="I36" s="75">
        <f>I34*B36</f>
        <v>-578589</v>
      </c>
      <c r="J36" s="75">
        <f>J34*B36</f>
        <v>-2423847.0314999996</v>
      </c>
      <c r="K36" s="75">
        <f>K34*B36</f>
        <v>-25755</v>
      </c>
      <c r="L36" s="75">
        <f>L34*B36</f>
        <v>3985536.0315</v>
      </c>
      <c r="M36" s="84">
        <f>C36+D36+E36+F36+G36+H36+I36+J36+K36+L36</f>
        <v>2931.0000000004657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262.5000000000237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1729.2195000000636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0</v>
      </c>
      <c r="D4" s="1">
        <f>'Kwh Consumption'!C5*' Kwh area wise $ '!B4</f>
        <v>-69507</v>
      </c>
      <c r="E4" s="1">
        <f>'Kwh Consumption'!D5*' Kwh area wise $ '!B4</f>
        <v>-390555</v>
      </c>
      <c r="F4" s="1">
        <f>'Kwh Consumption'!E5*' Kwh area wise $ '!B4</f>
        <v>-37834.5</v>
      </c>
      <c r="G4" s="1">
        <f>('Kwh Consumption'!F5+'Kwh Consumption'!G5+'Kwh Consumption'!H5)*' Kwh area wise $ '!B4</f>
        <v>-144000</v>
      </c>
      <c r="H4" s="16">
        <f>('Kwh Consumption'!I5+'Kwh Consumption'!J5)*' Kwh area wise $ '!B4</f>
        <v>-46258.5</v>
      </c>
      <c r="I4" s="1">
        <f>('Kwh Consumption'!K5+'Kwh Consumption'!L5)*' Kwh area wise $ '!B4</f>
        <v>-267090</v>
      </c>
      <c r="J4" s="1">
        <f>('Kwh Consumption'!M5+'Kwh Consumption'!N5+'Kwh Consumption'!O5+'Kwh Consumption'!P5+'Kwh Consumption'!Q5+'Kwh Consumption'!R5)*' Kwh area wise $ '!B4</f>
        <v>-579208.5</v>
      </c>
      <c r="K4" s="1">
        <f>('Kwh Consumption'!S5+'Kwh Consumption'!T5)*' Kwh area wise $ '!B4</f>
        <v>-2424463.8119999995</v>
      </c>
      <c r="L4" s="1">
        <f>'Kwh Consumption'!U5*' Kwh area wise $ '!B4</f>
        <v>-25786.5</v>
      </c>
      <c r="M4" s="1">
        <f>'Kwh Consumption'!V5*' Kwh area wise $ '!B4</f>
        <v>3984703.8119999995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1">
        <f>('Kwh Consumption'!S6+'Kwh Consumption'!T6)*' Kwh area wise $ '!B5</f>
        <v>0</v>
      </c>
      <c r="L5" s="1">
        <f>'Kwh Consumption'!U6*' Kwh area wise $ '!B5</f>
        <v>0</v>
      </c>
      <c r="M5" s="1">
        <f>'Kwh Consumption'!V6*' Kwh area wise $ '!B5</f>
        <v>0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3348.0000000002628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3348.0000000002628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3124.5000000000914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3124.5000000000914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3010.4999999997517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3010.4999999997517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13311.000000000106</v>
      </c>
      <c r="D34" s="75">
        <f t="shared" si="0"/>
        <v>-69468</v>
      </c>
      <c r="E34" s="75">
        <f t="shared" si="0"/>
        <v>-390210</v>
      </c>
      <c r="F34" s="75">
        <f t="shared" si="0"/>
        <v>-37798.5</v>
      </c>
      <c r="G34" s="75">
        <f t="shared" si="0"/>
        <v>-143905.5</v>
      </c>
      <c r="H34" s="75">
        <f t="shared" si="0"/>
        <v>-46204.5</v>
      </c>
      <c r="I34" s="75">
        <f t="shared" si="0"/>
        <v>-266827.5</v>
      </c>
      <c r="J34" s="75">
        <f t="shared" si="0"/>
        <v>-578589</v>
      </c>
      <c r="K34" s="75">
        <f t="shared" si="0"/>
        <v>-2423847.0314999996</v>
      </c>
      <c r="L34" s="75">
        <f t="shared" si="0"/>
        <v>-25755</v>
      </c>
      <c r="M34" s="75">
        <f>SUM(M3:M33)</f>
        <v>3995916.0314999996</v>
      </c>
      <c r="N34" s="84">
        <f>D34+E34+F34+G34+H34+I34+J34+K34+L34+M34</f>
        <v>13311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5" sqref="R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44470</v>
      </c>
      <c r="B3" s="33">
        <v>186122</v>
      </c>
      <c r="C3" s="56">
        <v>148431</v>
      </c>
      <c r="D3" s="33">
        <v>223125</v>
      </c>
      <c r="E3" s="33">
        <v>253147</v>
      </c>
      <c r="F3" s="33">
        <v>66997</v>
      </c>
      <c r="G3" s="33">
        <v>113275</v>
      </c>
      <c r="H3" s="33">
        <v>56358</v>
      </c>
      <c r="I3" s="33">
        <v>66371</v>
      </c>
      <c r="J3" s="33">
        <v>21313</v>
      </c>
      <c r="K3" s="33">
        <v>1024</v>
      </c>
      <c r="L3" s="33">
        <v>17921</v>
      </c>
      <c r="M3" s="33">
        <v>25569</v>
      </c>
      <c r="N3" s="33">
        <v>7704</v>
      </c>
      <c r="O3" s="33">
        <v>1768</v>
      </c>
      <c r="P3" s="33">
        <v>28036</v>
      </c>
      <c r="Q3" s="33">
        <v>28036</v>
      </c>
      <c r="R3" s="33">
        <v>6759</v>
      </c>
    </row>
    <row r="4" spans="1:21" x14ac:dyDescent="0.25">
      <c r="A4" s="54">
        <v>44471</v>
      </c>
      <c r="B4" s="56">
        <v>186215</v>
      </c>
      <c r="C4" s="56">
        <v>148545</v>
      </c>
      <c r="D4" s="55">
        <v>223199</v>
      </c>
      <c r="E4" s="55">
        <v>253195</v>
      </c>
      <c r="F4" s="55">
        <v>66997</v>
      </c>
      <c r="G4" s="55">
        <v>113291</v>
      </c>
      <c r="H4" s="33">
        <v>56395</v>
      </c>
      <c r="I4" s="55">
        <v>66395</v>
      </c>
      <c r="J4" s="55">
        <v>21322</v>
      </c>
      <c r="K4" s="55">
        <v>1024</v>
      </c>
      <c r="L4" s="55">
        <v>17928</v>
      </c>
      <c r="M4" s="55">
        <v>25582</v>
      </c>
      <c r="N4" s="55">
        <v>7709</v>
      </c>
      <c r="O4" s="55">
        <v>1768</v>
      </c>
      <c r="P4" s="55">
        <v>28036</v>
      </c>
      <c r="Q4" s="33">
        <v>28043</v>
      </c>
      <c r="R4" s="55">
        <v>6761</v>
      </c>
    </row>
    <row r="5" spans="1:21" x14ac:dyDescent="0.25">
      <c r="A5" s="54">
        <v>44472</v>
      </c>
      <c r="B5" s="55"/>
      <c r="C5" s="33"/>
      <c r="D5" s="55"/>
      <c r="E5" s="55"/>
      <c r="F5" s="55"/>
      <c r="G5" s="55"/>
      <c r="H5" s="33"/>
      <c r="I5" s="55"/>
      <c r="J5" s="55"/>
      <c r="K5" s="55"/>
      <c r="L5" s="55"/>
      <c r="M5" s="55"/>
      <c r="N5" s="55"/>
      <c r="O5" s="55"/>
      <c r="P5" s="55"/>
      <c r="Q5" s="33"/>
      <c r="R5" s="55"/>
    </row>
    <row r="6" spans="1:21" x14ac:dyDescent="0.25">
      <c r="A6" s="54">
        <v>44473</v>
      </c>
      <c r="B6" s="56"/>
      <c r="C6" s="56"/>
      <c r="D6" s="55"/>
      <c r="E6" s="55"/>
      <c r="F6" s="55"/>
      <c r="G6" s="55"/>
      <c r="H6" s="33"/>
      <c r="I6" s="55"/>
      <c r="J6" s="55"/>
      <c r="K6" s="55"/>
      <c r="L6" s="55"/>
      <c r="M6" s="55"/>
      <c r="N6" s="55"/>
      <c r="O6" s="55"/>
      <c r="P6" s="55"/>
      <c r="Q6" s="33"/>
      <c r="R6" s="55"/>
    </row>
    <row r="7" spans="1:21" x14ac:dyDescent="0.25">
      <c r="A7" s="54">
        <v>44474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21" x14ac:dyDescent="0.25">
      <c r="A8" s="54">
        <v>44475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44476</v>
      </c>
      <c r="B9" s="56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44477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44478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44479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44480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44481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44482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44483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44484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44485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44486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44487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44488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44489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44490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  <c r="S23" s="10" t="s">
        <v>128</v>
      </c>
    </row>
    <row r="24" spans="1:22" x14ac:dyDescent="0.25">
      <c r="A24" s="54">
        <v>44491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44492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44493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44494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44495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44496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44497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44498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44499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44500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44501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3" sqref="C1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31</v>
      </c>
      <c r="B2" s="140" t="s">
        <v>108</v>
      </c>
      <c r="C2" s="140" t="s">
        <v>109</v>
      </c>
      <c r="D2" s="140"/>
      <c r="E2" s="141" t="s">
        <v>97</v>
      </c>
      <c r="F2" s="138"/>
      <c r="G2" s="135" t="s">
        <v>112</v>
      </c>
      <c r="H2" s="138"/>
      <c r="I2" s="135" t="s">
        <v>110</v>
      </c>
      <c r="J2" s="138"/>
      <c r="K2" s="135" t="s">
        <v>111</v>
      </c>
      <c r="L2" s="138"/>
      <c r="M2" s="135" t="s">
        <v>107</v>
      </c>
      <c r="N2" s="138"/>
      <c r="O2" s="135" t="s">
        <v>106</v>
      </c>
      <c r="P2" s="138"/>
      <c r="Q2" s="135" t="s">
        <v>113</v>
      </c>
      <c r="R2" s="138"/>
      <c r="S2" s="135" t="s">
        <v>114</v>
      </c>
      <c r="T2" s="138"/>
      <c r="U2" s="135" t="s">
        <v>115</v>
      </c>
      <c r="V2" s="138"/>
      <c r="W2" s="135" t="s">
        <v>99</v>
      </c>
      <c r="X2" s="136"/>
      <c r="Y2" s="137" t="s">
        <v>52</v>
      </c>
      <c r="Z2" s="137"/>
    </row>
    <row r="3" spans="1:26" ht="30" x14ac:dyDescent="0.35">
      <c r="A3" s="139"/>
      <c r="B3" s="140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44470</v>
      </c>
      <c r="B4" s="65">
        <v>469</v>
      </c>
      <c r="C4" s="66">
        <f>('Water Reading'!B4-'Water Reading'!B3)+('Water Reading'!C4-'Water Reading'!C3)</f>
        <v>207</v>
      </c>
      <c r="D4" s="67">
        <f>C4/B4</f>
        <v>0.44136460554371004</v>
      </c>
      <c r="E4" s="88">
        <f>'Water Reading'!H4-'Water Reading'!H3</f>
        <v>37</v>
      </c>
      <c r="F4" s="89">
        <f>E4/C4</f>
        <v>0.17874396135265699</v>
      </c>
      <c r="G4" s="93">
        <f>('Water Reading'!D4-'Water Reading'!D3)-('Water Reading'!R4-'Water Reading'!R3)-('Water Reading'!Q4-'Water Reading'!Q3)</f>
        <v>65</v>
      </c>
      <c r="H4" s="89">
        <f>G4/C4</f>
        <v>0.3140096618357488</v>
      </c>
      <c r="I4" s="90">
        <f>'Water Reading'!P4-'Water Reading'!P3</f>
        <v>0</v>
      </c>
      <c r="J4" s="68">
        <f>I4/C4</f>
        <v>0</v>
      </c>
      <c r="K4" s="91">
        <f>('Water Reading'!I4-'Water Reading'!I3)-('Water Reading'!P4-'Water Reading'!P3)</f>
        <v>24</v>
      </c>
      <c r="L4" s="68">
        <f>K4/C4</f>
        <v>0.11594202898550725</v>
      </c>
      <c r="M4" s="90">
        <f>'Water Reading'!R4-'Water Reading'!R3</f>
        <v>2</v>
      </c>
      <c r="N4" s="92">
        <f>M4/C4</f>
        <v>9.6618357487922701E-3</v>
      </c>
      <c r="O4" s="90">
        <f>'Water Reading'!Q4-'Water Reading'!Q3</f>
        <v>7</v>
      </c>
      <c r="P4" s="99">
        <f>O4/C4</f>
        <v>3.3816425120772944E-2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48</v>
      </c>
      <c r="T4" s="100">
        <f>S4/C4</f>
        <v>0.2318840579710145</v>
      </c>
      <c r="U4" s="90">
        <f>'Water Reading'!G4-'Water Reading'!G3</f>
        <v>16</v>
      </c>
      <c r="V4" s="100">
        <f>U4/C4</f>
        <v>7.7294685990338161E-2</v>
      </c>
      <c r="W4" s="90">
        <f>'Water Reading'!J4-'Water Reading'!J3</f>
        <v>9</v>
      </c>
      <c r="X4" s="100">
        <f>W4/C4</f>
        <v>4.3478260869565216E-2</v>
      </c>
      <c r="Y4" s="66">
        <f t="shared" ref="Y4:Y34" si="0">E4+I4+K4+M4+O4+G4+Q4+S4+U4+W4</f>
        <v>208</v>
      </c>
      <c r="Z4" s="67">
        <f t="shared" ref="Z4:Z35" si="1">Y4/B4</f>
        <v>0.44349680170575695</v>
      </c>
    </row>
    <row r="5" spans="1:26" x14ac:dyDescent="0.25">
      <c r="A5" s="8">
        <f>'Water Reading'!A4</f>
        <v>44471</v>
      </c>
      <c r="B5" s="65">
        <f>TOTAL!I3</f>
        <v>0</v>
      </c>
      <c r="C5" s="66">
        <v>385</v>
      </c>
      <c r="D5" s="67" t="e">
        <f t="shared" ref="D5:D34" si="2">C5/B5</f>
        <v>#DIV/0!</v>
      </c>
      <c r="E5" s="88">
        <f>'Water Reading'!H5-'Water Reading'!H4</f>
        <v>-56395</v>
      </c>
      <c r="F5" s="89">
        <f t="shared" ref="F5:F34" si="3">E5/C5</f>
        <v>-146.48051948051949</v>
      </c>
      <c r="G5" s="93">
        <f>('Water Reading'!D5-'Water Reading'!D4)-('Water Reading'!R5-'Water Reading'!R4)-('Water Reading'!Q5-'Water Reading'!Q4)</f>
        <v>-188395</v>
      </c>
      <c r="H5" s="89">
        <f t="shared" ref="H5:H34" si="4">G5/C5</f>
        <v>-489.33766233766232</v>
      </c>
      <c r="I5" s="90">
        <f>'Water Reading'!P5-'Water Reading'!P4</f>
        <v>-28036</v>
      </c>
      <c r="J5" s="68">
        <f t="shared" ref="J5:J34" si="5">I5/C5</f>
        <v>-72.820779220779215</v>
      </c>
      <c r="K5" s="91">
        <f>('Water Reading'!I5-'Water Reading'!I4)-('Water Reading'!P5-'Water Reading'!P4)</f>
        <v>-38359</v>
      </c>
      <c r="L5" s="68">
        <f t="shared" ref="L5:L34" si="6">K5/C5</f>
        <v>-99.633766233766238</v>
      </c>
      <c r="M5" s="90">
        <f>'Water Reading'!R5-'Water Reading'!R4</f>
        <v>-6761</v>
      </c>
      <c r="N5" s="92">
        <f t="shared" ref="N5:N34" si="7">M5/C5</f>
        <v>-17.56103896103896</v>
      </c>
      <c r="O5" s="90">
        <f>'Water Reading'!Q5-'Water Reading'!Q4</f>
        <v>-28043</v>
      </c>
      <c r="P5" s="99">
        <f t="shared" ref="P5:P34" si="8">O5/C5</f>
        <v>-72.838961038961045</v>
      </c>
      <c r="Q5" s="91">
        <f>'Water Reading'!F5-'Water Reading'!F4</f>
        <v>-66997</v>
      </c>
      <c r="R5" s="100">
        <f t="shared" ref="R5:R34" si="9">Q5/C5</f>
        <v>-174.01818181818183</v>
      </c>
      <c r="S5" s="90">
        <f>'Water Reading'!E5-'Water Reading'!E4</f>
        <v>-253195</v>
      </c>
      <c r="T5" s="100">
        <f t="shared" ref="T5:T34" si="10">S5/C5</f>
        <v>-657.64935064935059</v>
      </c>
      <c r="U5" s="90">
        <f>'Water Reading'!G5-'Water Reading'!G4</f>
        <v>-113291</v>
      </c>
      <c r="V5" s="100">
        <f t="shared" ref="V5:V34" si="11">U5/C5</f>
        <v>-294.26233766233764</v>
      </c>
      <c r="W5" s="90">
        <f>'Water Reading'!J5-'Water Reading'!J4</f>
        <v>-21322</v>
      </c>
      <c r="X5" s="100">
        <f t="shared" ref="X5:X34" si="12">W5/C5</f>
        <v>-55.381818181818183</v>
      </c>
      <c r="Y5" s="66">
        <f t="shared" si="0"/>
        <v>-800794</v>
      </c>
      <c r="Z5" s="67" t="e">
        <f t="shared" si="1"/>
        <v>#DIV/0!</v>
      </c>
    </row>
    <row r="6" spans="1:26" x14ac:dyDescent="0.25">
      <c r="A6" s="8">
        <f>'Water Reading'!A5</f>
        <v>44472</v>
      </c>
      <c r="B6" s="65">
        <f>TOTAL!I4</f>
        <v>0</v>
      </c>
      <c r="C6" s="66">
        <f>('Water Reading'!B6-'Water Reading'!B5)+('Water Reading'!C6-'Water Reading'!C5)</f>
        <v>0</v>
      </c>
      <c r="D6" s="67" t="e">
        <f t="shared" si="2"/>
        <v>#DIV/0!</v>
      </c>
      <c r="E6" s="88">
        <f>'Water Reading'!H6-'Water Reading'!H5</f>
        <v>0</v>
      </c>
      <c r="F6" s="89" t="e">
        <f t="shared" si="3"/>
        <v>#DIV/0!</v>
      </c>
      <c r="G6" s="93">
        <f>('Water Reading'!D6-'Water Reading'!D5)-('Water Reading'!R6-'Water Reading'!R5)-('Water Reading'!Q6-'Water Reading'!Q5)</f>
        <v>0</v>
      </c>
      <c r="H6" s="89" t="e">
        <f t="shared" si="4"/>
        <v>#DIV/0!</v>
      </c>
      <c r="I6" s="90">
        <f>'Water Reading'!P6-'Water Reading'!P5</f>
        <v>0</v>
      </c>
      <c r="J6" s="68" t="e">
        <f t="shared" si="5"/>
        <v>#DIV/0!</v>
      </c>
      <c r="K6" s="91">
        <f>('Water Reading'!I6-'Water Reading'!I5)-('Water Reading'!P6-'Water Reading'!P5)</f>
        <v>0</v>
      </c>
      <c r="L6" s="68" t="e">
        <f t="shared" si="6"/>
        <v>#DIV/0!</v>
      </c>
      <c r="M6" s="90">
        <f>'Water Reading'!R6-'Water Reading'!R5</f>
        <v>0</v>
      </c>
      <c r="N6" s="92" t="e">
        <f t="shared" si="7"/>
        <v>#DIV/0!</v>
      </c>
      <c r="O6" s="90">
        <f>'Water Reading'!Q6-'Water Reading'!Q5</f>
        <v>0</v>
      </c>
      <c r="P6" s="99" t="e">
        <f t="shared" si="8"/>
        <v>#DIV/0!</v>
      </c>
      <c r="Q6" s="91">
        <f>'Water Reading'!F6-'Water Reading'!F5</f>
        <v>0</v>
      </c>
      <c r="R6" s="100" t="e">
        <f t="shared" si="9"/>
        <v>#DIV/0!</v>
      </c>
      <c r="S6" s="90">
        <f>'Water Reading'!E6-'Water Reading'!E5</f>
        <v>0</v>
      </c>
      <c r="T6" s="100" t="e">
        <f t="shared" si="10"/>
        <v>#DIV/0!</v>
      </c>
      <c r="U6" s="90">
        <f>'Water Reading'!G6-'Water Reading'!G5</f>
        <v>0</v>
      </c>
      <c r="V6" s="100" t="e">
        <f t="shared" si="11"/>
        <v>#DIV/0!</v>
      </c>
      <c r="W6" s="90">
        <f>'Water Reading'!J6-'Water Reading'!J5</f>
        <v>0</v>
      </c>
      <c r="X6" s="100" t="e">
        <f t="shared" si="12"/>
        <v>#DIV/0!</v>
      </c>
      <c r="Y6" s="66">
        <f t="shared" si="0"/>
        <v>0</v>
      </c>
      <c r="Z6" s="67" t="e">
        <f t="shared" si="1"/>
        <v>#DIV/0!</v>
      </c>
    </row>
    <row r="7" spans="1:26" x14ac:dyDescent="0.25">
      <c r="A7" s="8">
        <f>'Water Reading'!A6</f>
        <v>44473</v>
      </c>
      <c r="B7" s="65">
        <f>TOTAL!I5</f>
        <v>0</v>
      </c>
      <c r="C7" s="66">
        <f>('Water Reading'!B7-'Water Reading'!B6)+('Water Reading'!C7-'Water Reading'!C6)</f>
        <v>0</v>
      </c>
      <c r="D7" s="67" t="e">
        <f t="shared" si="2"/>
        <v>#DIV/0!</v>
      </c>
      <c r="E7" s="88">
        <f>'Water Reading'!H7-'Water Reading'!H6</f>
        <v>0</v>
      </c>
      <c r="F7" s="89" t="e">
        <f t="shared" si="3"/>
        <v>#DIV/0!</v>
      </c>
      <c r="G7" s="93">
        <f>('Water Reading'!D7-'Water Reading'!D6)-('Water Reading'!R7-'Water Reading'!R6)-('Water Reading'!Q7-'Water Reading'!Q6)</f>
        <v>0</v>
      </c>
      <c r="H7" s="89" t="e">
        <f t="shared" si="4"/>
        <v>#DIV/0!</v>
      </c>
      <c r="I7" s="90">
        <f>'Water Reading'!P7-'Water Reading'!P6</f>
        <v>0</v>
      </c>
      <c r="J7" s="68" t="e">
        <f t="shared" si="5"/>
        <v>#DIV/0!</v>
      </c>
      <c r="K7" s="91">
        <f>('Water Reading'!I7-'Water Reading'!I6)-('Water Reading'!P7-'Water Reading'!P6)</f>
        <v>0</v>
      </c>
      <c r="L7" s="68" t="e">
        <f t="shared" si="6"/>
        <v>#DIV/0!</v>
      </c>
      <c r="M7" s="90">
        <f>'Water Reading'!R7-'Water Reading'!R6</f>
        <v>0</v>
      </c>
      <c r="N7" s="92" t="e">
        <f t="shared" si="7"/>
        <v>#DIV/0!</v>
      </c>
      <c r="O7" s="90">
        <f>'Water Reading'!Q7-'Water Reading'!Q6</f>
        <v>0</v>
      </c>
      <c r="P7" s="99" t="e">
        <f t="shared" si="8"/>
        <v>#DIV/0!</v>
      </c>
      <c r="Q7" s="91">
        <f>'Water Reading'!F7-'Water Reading'!F6</f>
        <v>0</v>
      </c>
      <c r="R7" s="100" t="e">
        <f t="shared" si="9"/>
        <v>#DIV/0!</v>
      </c>
      <c r="S7" s="90">
        <f>'Water Reading'!E7-'Water Reading'!E6</f>
        <v>0</v>
      </c>
      <c r="T7" s="100" t="e">
        <f t="shared" si="10"/>
        <v>#DIV/0!</v>
      </c>
      <c r="U7" s="90">
        <f>'Water Reading'!G7-'Water Reading'!G6</f>
        <v>0</v>
      </c>
      <c r="V7" s="100" t="e">
        <f t="shared" si="11"/>
        <v>#DIV/0!</v>
      </c>
      <c r="W7" s="90">
        <f>'Water Reading'!J7-'Water Reading'!J6</f>
        <v>0</v>
      </c>
      <c r="X7" s="100" t="e">
        <f t="shared" si="12"/>
        <v>#DIV/0!</v>
      </c>
      <c r="Y7" s="66">
        <f t="shared" si="0"/>
        <v>0</v>
      </c>
      <c r="Z7" s="67" t="e">
        <f t="shared" si="1"/>
        <v>#DIV/0!</v>
      </c>
    </row>
    <row r="8" spans="1:26" x14ac:dyDescent="0.25">
      <c r="A8" s="8">
        <f>'Water Reading'!A7</f>
        <v>44474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Reading'!I7)-('Water Reading'!P8-'Water Reading'!P7)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44475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44476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44477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44478</v>
      </c>
      <c r="B12" s="65">
        <f>TOTAL!I10</f>
        <v>0</v>
      </c>
      <c r="C12" s="66">
        <v>250</v>
      </c>
      <c r="D12" s="67" t="e">
        <f t="shared" si="2"/>
        <v>#DIV/0!</v>
      </c>
      <c r="E12" s="88">
        <f>'Water Reading'!H12-'Water Reading'!H11</f>
        <v>0</v>
      </c>
      <c r="F12" s="89">
        <f t="shared" si="3"/>
        <v>0</v>
      </c>
      <c r="G12" s="93">
        <f>('Water Reading'!D12-'Water Reading'!D11)-('Water Reading'!R12-'Water Reading'!R11)-('Water Reading'!Q12-'Water Reading'!Q11)</f>
        <v>0</v>
      </c>
      <c r="H12" s="89">
        <f t="shared" si="4"/>
        <v>0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Reading'!I11)-('Water Reading'!P12-'Water Reading'!P11)</f>
        <v>0</v>
      </c>
      <c r="L12" s="68">
        <f t="shared" si="6"/>
        <v>0</v>
      </c>
      <c r="M12" s="90">
        <f>'Water Reading'!R12-'Water Reading'!R11</f>
        <v>0</v>
      </c>
      <c r="N12" s="92">
        <f t="shared" si="7"/>
        <v>0</v>
      </c>
      <c r="O12" s="98">
        <f>'Water Reading'!Q12-'Water Reading'!Q11</f>
        <v>0</v>
      </c>
      <c r="P12" s="99">
        <f t="shared" si="8"/>
        <v>0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0</v>
      </c>
      <c r="T12" s="100">
        <f t="shared" si="10"/>
        <v>0</v>
      </c>
      <c r="U12" s="90">
        <f>'Water Reading'!G12-'Water Reading'!G11</f>
        <v>0</v>
      </c>
      <c r="V12" s="100">
        <f t="shared" si="11"/>
        <v>0</v>
      </c>
      <c r="W12" s="90">
        <f>'Water Reading'!J12-'Water Reading'!J11</f>
        <v>0</v>
      </c>
      <c r="X12" s="100">
        <f t="shared" si="12"/>
        <v>0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44479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44480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44481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44482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44483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44484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44485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44486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44487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44488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44489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44490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44491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44492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44493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44494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44495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44496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44497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44498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44499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44500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469</v>
      </c>
      <c r="C35" s="75">
        <f>SUM(C4:C34)</f>
        <v>842</v>
      </c>
      <c r="D35" s="96">
        <f>C35/B35</f>
        <v>1.7953091684434968</v>
      </c>
      <c r="E35" s="7">
        <f>SUM(E4:E34)</f>
        <v>-56358</v>
      </c>
      <c r="F35" s="95">
        <f>E35/C35</f>
        <v>-66.933491686460812</v>
      </c>
      <c r="G35" s="75">
        <f>SUM(G4:G34)</f>
        <v>-188330</v>
      </c>
      <c r="H35" s="95">
        <f>G35/C35</f>
        <v>-223.66983372921615</v>
      </c>
      <c r="I35" s="7">
        <f>SUM(I4:I34)</f>
        <v>-28036</v>
      </c>
      <c r="J35" s="95">
        <f>I35/C35</f>
        <v>-33.296912114014255</v>
      </c>
      <c r="K35" s="7">
        <f>SUM(K4:K34)</f>
        <v>-38335</v>
      </c>
      <c r="L35" s="95">
        <f>K35/C35</f>
        <v>-45.528503562945367</v>
      </c>
      <c r="M35" s="7">
        <f>SUM(M4:M34)</f>
        <v>-6759</v>
      </c>
      <c r="N35" s="95">
        <f>M35/C35</f>
        <v>-8.0273159144893107</v>
      </c>
      <c r="O35" s="7">
        <f>SUM(O4:O34)</f>
        <v>-28036</v>
      </c>
      <c r="P35" s="95">
        <f>O35/C35</f>
        <v>-33.296912114014255</v>
      </c>
      <c r="Q35" s="7">
        <f>SUM(Q4:Q34)</f>
        <v>-66997</v>
      </c>
      <c r="R35" s="95">
        <f>Q35/C35</f>
        <v>-79.568883610451309</v>
      </c>
      <c r="S35" s="75">
        <f>SUM(S4:S34)</f>
        <v>-253147</v>
      </c>
      <c r="T35" s="95">
        <f>S35/C35</f>
        <v>-300.64964370546318</v>
      </c>
      <c r="U35" s="7">
        <f>SUM(U4:U34)</f>
        <v>-113275</v>
      </c>
      <c r="V35" s="95">
        <f>U35/C35</f>
        <v>-134.53087885985749</v>
      </c>
      <c r="W35" s="7">
        <f>SUM(W4:W34)</f>
        <v>-21313</v>
      </c>
      <c r="X35" s="95">
        <f>W35/C35</f>
        <v>-25.312351543942992</v>
      </c>
      <c r="Y35" s="75">
        <f>SUM(Y4:Y34)</f>
        <v>-800586</v>
      </c>
      <c r="Z35" s="95">
        <f t="shared" si="1"/>
        <v>-1707.006396588486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2021-10-02T08:17:53Z</dcterms:modified>
  <cp:category/>
  <cp:contentStatus/>
</cp:coreProperties>
</file>