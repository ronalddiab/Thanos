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Y34" i="10" l="1"/>
  <c r="Y35" i="10"/>
  <c r="Y36" i="10"/>
  <c r="Y37" i="10"/>
  <c r="Y38" i="10"/>
  <c r="Y39" i="10"/>
  <c r="Y40" i="10"/>
  <c r="Y31" i="10"/>
  <c r="Y32" i="10"/>
  <c r="Y33" i="10"/>
  <c r="G38" i="6"/>
  <c r="E38" i="6"/>
  <c r="C38" i="6"/>
  <c r="G37" i="6"/>
  <c r="E37" i="6"/>
  <c r="C37" i="6"/>
  <c r="G33" i="4"/>
  <c r="E33" i="4"/>
  <c r="C33" i="4"/>
  <c r="G32" i="4"/>
  <c r="E32" i="4"/>
  <c r="C32" i="4"/>
  <c r="G36" i="6" l="1"/>
  <c r="E36" i="6"/>
  <c r="C36" i="6"/>
  <c r="G31" i="4"/>
  <c r="E31" i="4"/>
  <c r="C31" i="4"/>
  <c r="G35" i="6" l="1"/>
  <c r="E35" i="6"/>
  <c r="C35" i="6"/>
  <c r="E20" i="4"/>
  <c r="E21" i="4"/>
  <c r="E22" i="4"/>
  <c r="E23" i="4"/>
  <c r="E24" i="4"/>
  <c r="E25" i="4"/>
  <c r="E26" i="4"/>
  <c r="E27" i="4"/>
  <c r="E28" i="4"/>
  <c r="E29" i="4"/>
  <c r="E30" i="4"/>
  <c r="E34" i="4"/>
  <c r="C20" i="4"/>
  <c r="C21" i="4"/>
  <c r="C22" i="4"/>
  <c r="C23" i="4"/>
  <c r="C24" i="4"/>
  <c r="C25" i="4"/>
  <c r="C26" i="4"/>
  <c r="C27" i="4"/>
  <c r="C28" i="4"/>
  <c r="C29" i="4"/>
  <c r="C30" i="4"/>
  <c r="G30" i="4"/>
  <c r="G34" i="6" l="1"/>
  <c r="E34" i="6"/>
  <c r="C34" i="6"/>
  <c r="G33" i="6" l="1"/>
  <c r="E33" i="6"/>
  <c r="C33" i="6"/>
  <c r="G32" i="6"/>
  <c r="E32" i="6"/>
  <c r="C32" i="6"/>
  <c r="G31" i="6"/>
  <c r="E31" i="6"/>
  <c r="C31" i="6"/>
  <c r="G30" i="6"/>
  <c r="E30" i="6"/>
  <c r="C30" i="6"/>
  <c r="G28" i="4"/>
  <c r="G27" i="4"/>
  <c r="G26" i="4"/>
  <c r="G25" i="4"/>
  <c r="G29" i="6" l="1"/>
  <c r="E29" i="6"/>
  <c r="C29" i="6"/>
  <c r="G24" i="4"/>
  <c r="G28" i="6" l="1"/>
  <c r="E28" i="6"/>
  <c r="C28" i="6"/>
  <c r="G23" i="4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4"/>
  <c r="G21" i="4"/>
  <c r="G20" i="4"/>
  <c r="G19" i="4"/>
  <c r="E19" i="4"/>
  <c r="C19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G29" i="4" l="1"/>
  <c r="C18" i="4"/>
  <c r="G18" i="4"/>
  <c r="E18" i="4"/>
  <c r="E48" i="6"/>
  <c r="E38" i="4"/>
  <c r="AC43" i="4"/>
  <c r="C8" i="4"/>
  <c r="C38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I40" i="6"/>
  <c r="I41" i="6"/>
  <c r="I42" i="6"/>
  <c r="I43" i="6"/>
  <c r="I44" i="6"/>
  <c r="I45" i="6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I32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26" i="4" l="1"/>
  <c r="P39" i="4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<sst xmlns="http://schemas.openxmlformats.org/spreadsheetml/2006/main" count="163" uniqueCount="86">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</sst>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240</c:v>
                </c:pt>
                <c:pt idx="7">
                  <c:v>370</c:v>
                </c:pt>
                <c:pt idx="8">
                  <c:v>270</c:v>
                </c:pt>
                <c:pt idx="9">
                  <c:v>260</c:v>
                </c:pt>
                <c:pt idx="10">
                  <c:v>290</c:v>
                </c:pt>
                <c:pt idx="11">
                  <c:v>290</c:v>
                </c:pt>
                <c:pt idx="12">
                  <c:v>680</c:v>
                </c:pt>
                <c:pt idx="13">
                  <c:v>590</c:v>
                </c:pt>
                <c:pt idx="14">
                  <c:v>460</c:v>
                </c:pt>
                <c:pt idx="15">
                  <c:v>340</c:v>
                </c:pt>
                <c:pt idx="16">
                  <c:v>400</c:v>
                </c:pt>
                <c:pt idx="17">
                  <c:v>360</c:v>
                </c:pt>
                <c:pt idx="18">
                  <c:v>330</c:v>
                </c:pt>
                <c:pt idx="19">
                  <c:v>430</c:v>
                </c:pt>
                <c:pt idx="20">
                  <c:v>370</c:v>
                </c:pt>
                <c:pt idx="21">
                  <c:v>410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01824"/>
        <c:axId val="177124096"/>
      </c:lineChart>
      <c:dateAx>
        <c:axId val="17710182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24096"/>
        <c:crosses val="autoZero"/>
        <c:auto val="1"/>
        <c:lblOffset val="100"/>
        <c:baseTimeUnit val="days"/>
      </c:dateAx>
      <c:valAx>
        <c:axId val="17712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01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4367</c:v>
                </c:pt>
                <c:pt idx="7">
                  <c:v>3964</c:v>
                </c:pt>
                <c:pt idx="8">
                  <c:v>4789</c:v>
                </c:pt>
                <c:pt idx="9">
                  <c:v>5329</c:v>
                </c:pt>
                <c:pt idx="10">
                  <c:v>4615</c:v>
                </c:pt>
                <c:pt idx="11">
                  <c:v>5977</c:v>
                </c:pt>
                <c:pt idx="12">
                  <c:v>5155</c:v>
                </c:pt>
                <c:pt idx="13">
                  <c:v>3827</c:v>
                </c:pt>
                <c:pt idx="14">
                  <c:v>3386</c:v>
                </c:pt>
                <c:pt idx="15">
                  <c:v>2179</c:v>
                </c:pt>
                <c:pt idx="16">
                  <c:v>4057</c:v>
                </c:pt>
                <c:pt idx="17">
                  <c:v>3380</c:v>
                </c:pt>
                <c:pt idx="18">
                  <c:v>4522</c:v>
                </c:pt>
                <c:pt idx="19">
                  <c:v>7027</c:v>
                </c:pt>
                <c:pt idx="20">
                  <c:v>3939</c:v>
                </c:pt>
                <c:pt idx="21">
                  <c:v>4096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7728</c:v>
                </c:pt>
                <c:pt idx="7">
                  <c:v>6968</c:v>
                </c:pt>
                <c:pt idx="8">
                  <c:v>5553</c:v>
                </c:pt>
                <c:pt idx="9">
                  <c:v>7255</c:v>
                </c:pt>
                <c:pt idx="10">
                  <c:v>6897</c:v>
                </c:pt>
                <c:pt idx="11">
                  <c:v>7062</c:v>
                </c:pt>
                <c:pt idx="12">
                  <c:v>7662</c:v>
                </c:pt>
                <c:pt idx="13">
                  <c:v>7483</c:v>
                </c:pt>
                <c:pt idx="14">
                  <c:v>5555</c:v>
                </c:pt>
                <c:pt idx="15">
                  <c:v>6098</c:v>
                </c:pt>
                <c:pt idx="16">
                  <c:v>5130</c:v>
                </c:pt>
                <c:pt idx="17">
                  <c:v>5102</c:v>
                </c:pt>
                <c:pt idx="18">
                  <c:v>6037</c:v>
                </c:pt>
                <c:pt idx="19">
                  <c:v>7252</c:v>
                </c:pt>
                <c:pt idx="20">
                  <c:v>5902</c:v>
                </c:pt>
                <c:pt idx="21">
                  <c:v>6799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3816</c:v>
                </c:pt>
                <c:pt idx="7">
                  <c:v>3679</c:v>
                </c:pt>
                <c:pt idx="8">
                  <c:v>3876</c:v>
                </c:pt>
                <c:pt idx="9">
                  <c:v>3557</c:v>
                </c:pt>
                <c:pt idx="10">
                  <c:v>3794</c:v>
                </c:pt>
                <c:pt idx="11">
                  <c:v>3863</c:v>
                </c:pt>
                <c:pt idx="12">
                  <c:v>3736</c:v>
                </c:pt>
                <c:pt idx="13">
                  <c:v>3443</c:v>
                </c:pt>
                <c:pt idx="14">
                  <c:v>2257</c:v>
                </c:pt>
                <c:pt idx="15">
                  <c:v>2350</c:v>
                </c:pt>
                <c:pt idx="16">
                  <c:v>2621</c:v>
                </c:pt>
                <c:pt idx="17">
                  <c:v>2600</c:v>
                </c:pt>
                <c:pt idx="18">
                  <c:v>3297</c:v>
                </c:pt>
                <c:pt idx="19">
                  <c:v>3361</c:v>
                </c:pt>
                <c:pt idx="20">
                  <c:v>3725</c:v>
                </c:pt>
                <c:pt idx="21">
                  <c:v>3405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69920"/>
        <c:axId val="177171456"/>
      </c:lineChart>
      <c:dateAx>
        <c:axId val="1771699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71456"/>
        <c:crosses val="autoZero"/>
        <c:auto val="1"/>
        <c:lblOffset val="100"/>
        <c:baseTimeUnit val="days"/>
      </c:dateAx>
      <c:valAx>
        <c:axId val="1771714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699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259.7</c:v>
                </c:pt>
                <c:pt idx="8">
                  <c:v>185.5</c:v>
                </c:pt>
                <c:pt idx="9">
                  <c:v>37.1</c:v>
                </c:pt>
                <c:pt idx="10">
                  <c:v>185.5</c:v>
                </c:pt>
                <c:pt idx="11">
                  <c:v>445.20000000000005</c:v>
                </c:pt>
                <c:pt idx="12">
                  <c:v>222.60000000000002</c:v>
                </c:pt>
                <c:pt idx="13">
                  <c:v>111.30000000000001</c:v>
                </c:pt>
                <c:pt idx="14">
                  <c:v>111.30000000000001</c:v>
                </c:pt>
                <c:pt idx="15">
                  <c:v>482.3</c:v>
                </c:pt>
                <c:pt idx="16">
                  <c:v>185.5</c:v>
                </c:pt>
                <c:pt idx="17">
                  <c:v>371</c:v>
                </c:pt>
                <c:pt idx="18">
                  <c:v>333.90000000000003</c:v>
                </c:pt>
                <c:pt idx="19">
                  <c:v>148.4</c:v>
                </c:pt>
                <c:pt idx="20">
                  <c:v>408.1</c:v>
                </c:pt>
                <c:pt idx="21">
                  <c:v>185.5</c:v>
                </c:pt>
                <c:pt idx="22">
                  <c:v>296.8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92320"/>
        <c:axId val="187438208"/>
      </c:lineChart>
      <c:dateAx>
        <c:axId val="1771923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38208"/>
        <c:crosses val="autoZero"/>
        <c:auto val="1"/>
        <c:lblOffset val="100"/>
        <c:baseTimeUnit val="days"/>
      </c:dateAx>
      <c:valAx>
        <c:axId val="187438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9232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4" sqref="A24:XFD24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15911</v>
      </c>
      <c r="F9" s="161">
        <v>0.99</v>
      </c>
      <c r="G9" s="161">
        <f>'Consommation du 01.10 au 31.10'!U17</f>
        <v>259.7</v>
      </c>
      <c r="H9" s="161">
        <v>7.8338000000000001</v>
      </c>
      <c r="I9" s="161">
        <f>'Consommation du 01.10 au 31.10'!Y17*1000</f>
        <v>7169.9999999982538</v>
      </c>
      <c r="J9" s="161">
        <v>0.53</v>
      </c>
      <c r="K9" s="161">
        <f>'Consommation du 01.10 au 31.10'!D17</f>
        <v>240</v>
      </c>
      <c r="L9" s="161">
        <v>12.67</v>
      </c>
      <c r="M9" s="160">
        <f>'Consommation du 01.10 au 31.10'!AC17</f>
        <v>17</v>
      </c>
      <c r="N9" s="160">
        <v>17</v>
      </c>
      <c r="O9" s="161">
        <f t="shared" si="0"/>
        <v>24627.227859999071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14611</v>
      </c>
      <c r="F10" s="161">
        <v>0.99</v>
      </c>
      <c r="G10" s="161">
        <f>'Consommation du 01.10 au 31.10'!U18</f>
        <v>185.5</v>
      </c>
      <c r="H10" s="161">
        <v>7.8338000000000001</v>
      </c>
      <c r="I10" s="161">
        <f>'Consommation du 01.10 au 31.10'!Y18*1000</f>
        <v>8430.000000000291</v>
      </c>
      <c r="J10" s="161">
        <v>0.53</v>
      </c>
      <c r="K10" s="161">
        <f>'Consommation du 01.10 au 31.10'!D18</f>
        <v>370</v>
      </c>
      <c r="L10" s="161">
        <v>12.67</v>
      </c>
      <c r="M10" s="160">
        <f>'Consommation du 01.10 au 31.10'!AC18</f>
        <v>33</v>
      </c>
      <c r="N10" s="160">
        <v>33</v>
      </c>
      <c r="O10" s="161">
        <f t="shared" si="0"/>
        <v>25073.859900000156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14218</v>
      </c>
      <c r="F11" s="161">
        <v>0.99</v>
      </c>
      <c r="G11" s="161">
        <f>'Consommation du 01.10 au 31.10'!U19</f>
        <v>37.1</v>
      </c>
      <c r="H11" s="161">
        <v>7.8338000000000001</v>
      </c>
      <c r="I11" s="161">
        <f>'Consommation du 01.10 au 31.10'!Y19*1000</f>
        <v>9299.9999999992724</v>
      </c>
      <c r="J11" s="161">
        <v>0.53</v>
      </c>
      <c r="K11" s="161">
        <f>'Consommation du 01.10 au 31.10'!D19</f>
        <v>270</v>
      </c>
      <c r="L11" s="161">
        <v>12.67</v>
      </c>
      <c r="M11" s="160">
        <f>'Consommation du 01.10 au 31.10'!AC19</f>
        <v>50</v>
      </c>
      <c r="N11" s="160">
        <v>50</v>
      </c>
      <c r="O11" s="161">
        <f t="shared" si="0"/>
        <v>22716.353979999614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16141</v>
      </c>
      <c r="F12" s="161">
        <v>0.99</v>
      </c>
      <c r="G12" s="161">
        <f>'Consommation du 01.10 au 31.10'!U20</f>
        <v>185.5</v>
      </c>
      <c r="H12" s="161">
        <v>7.8338000000000001</v>
      </c>
      <c r="I12" s="161">
        <f>'Consommation du 01.10 au 31.10'!Y20*1000</f>
        <v>8479.9999999995634</v>
      </c>
      <c r="J12" s="161">
        <v>0.53</v>
      </c>
      <c r="K12" s="161">
        <f>'Consommation du 01.10 au 31.10'!D20</f>
        <v>260</v>
      </c>
      <c r="L12" s="161">
        <v>12.67</v>
      </c>
      <c r="M12" s="160">
        <f>'Consommation du 01.10 au 31.10'!AC20</f>
        <v>29</v>
      </c>
      <c r="N12" s="160">
        <v>29</v>
      </c>
      <c r="O12" s="161">
        <f t="shared" si="0"/>
        <v>25221.35989999977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15306</v>
      </c>
      <c r="F13" s="161">
        <v>0.99</v>
      </c>
      <c r="G13" s="161">
        <f>'Consommation du 01.10 au 31.10'!U21</f>
        <v>445.20000000000005</v>
      </c>
      <c r="H13" s="161">
        <v>7.8338000000000001</v>
      </c>
      <c r="I13" s="161">
        <f>'Consommation du 01.10 au 31.10'!Y21*1000</f>
        <v>6380.0000000010186</v>
      </c>
      <c r="J13" s="161">
        <v>0.53</v>
      </c>
      <c r="K13" s="161">
        <f>'Consommation du 01.10 au 31.10'!D21</f>
        <v>290</v>
      </c>
      <c r="L13" s="161">
        <v>12.67</v>
      </c>
      <c r="M13" s="160">
        <f>'Consommation du 01.10 au 31.10'!AC21</f>
        <v>29</v>
      </c>
      <c r="N13" s="160">
        <v>29</v>
      </c>
      <c r="O13" s="161">
        <f t="shared" si="0"/>
        <v>25696.24776000054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16902</v>
      </c>
      <c r="F14" s="161">
        <v>0.99</v>
      </c>
      <c r="G14" s="161">
        <f>'Consommation du 01.10 au 31.10'!U22</f>
        <v>222.60000000000002</v>
      </c>
      <c r="H14" s="161">
        <v>7.8338000000000001</v>
      </c>
      <c r="I14" s="161">
        <f>'Consommation du 01.10 au 31.10'!Y22*1000</f>
        <v>10029.999999998836</v>
      </c>
      <c r="J14" s="161">
        <v>0.53</v>
      </c>
      <c r="K14" s="161">
        <f>'Consommation du 01.10 au 31.10'!D22</f>
        <v>290</v>
      </c>
      <c r="L14" s="161">
        <v>12.67</v>
      </c>
      <c r="M14" s="160">
        <f>'Consommation du 01.10 au 31.10'!AC22</f>
        <v>27</v>
      </c>
      <c r="N14" s="160">
        <v>27</v>
      </c>
      <c r="O14" s="161">
        <f t="shared" si="0"/>
        <v>27466.983879999381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16553</v>
      </c>
      <c r="F15" s="161">
        <v>0.99</v>
      </c>
      <c r="G15" s="161">
        <f>'Consommation du 01.10 au 31.10'!U23</f>
        <v>111.30000000000001</v>
      </c>
      <c r="H15" s="161">
        <v>7.8338000000000001</v>
      </c>
      <c r="I15" s="161">
        <f>'Consommation du 01.10 au 31.10'!Y23*1000</f>
        <v>9530.0000000024738</v>
      </c>
      <c r="J15" s="161">
        <v>0.53</v>
      </c>
      <c r="K15" s="161">
        <f>'Consommation du 01.10 au 31.10'!D23</f>
        <v>680</v>
      </c>
      <c r="L15" s="161">
        <v>12.67</v>
      </c>
      <c r="M15" s="160">
        <f>'Consommation du 01.10 au 31.10'!AC23</f>
        <v>21</v>
      </c>
      <c r="N15" s="160">
        <v>21</v>
      </c>
      <c r="O15" s="161">
        <f t="shared" si="0"/>
        <v>30925.871940001314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14753</v>
      </c>
      <c r="F16" s="161">
        <v>0.99</v>
      </c>
      <c r="G16" s="161">
        <f>'Consommation du 01.10 au 31.10'!U24</f>
        <v>111.30000000000001</v>
      </c>
      <c r="H16" s="161">
        <v>7.8338000000000001</v>
      </c>
      <c r="I16" s="161">
        <f>'Consommation du 01.10 au 31.10'!Y24*1000</f>
        <v>10049.999999999272</v>
      </c>
      <c r="J16" s="161">
        <v>0.53</v>
      </c>
      <c r="K16" s="161">
        <f>'Consommation du 01.10 au 31.10'!D24</f>
        <v>590</v>
      </c>
      <c r="L16" s="161">
        <v>12.67</v>
      </c>
      <c r="M16" s="160">
        <f>'Consommation du 01.10 au 31.10'!AC24</f>
        <v>22</v>
      </c>
      <c r="N16" s="160">
        <v>22</v>
      </c>
      <c r="O16" s="161">
        <f t="shared" si="0"/>
        <v>28279.171939999611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11198</v>
      </c>
      <c r="F17" s="161">
        <v>0.99</v>
      </c>
      <c r="G17" s="161">
        <f>'Consommation du 01.10 au 31.10'!U25</f>
        <v>482.3</v>
      </c>
      <c r="H17" s="161">
        <v>7.8338000000000001</v>
      </c>
      <c r="I17" s="161">
        <f>'Consommation du 01.10 au 31.10'!Y25*1000</f>
        <v>11130.000000001019</v>
      </c>
      <c r="J17" s="161">
        <v>0.53</v>
      </c>
      <c r="K17" s="161">
        <f>'Consommation du 01.10 au 31.10'!D25</f>
        <v>460</v>
      </c>
      <c r="L17" s="161">
        <v>12.67</v>
      </c>
      <c r="M17" s="160">
        <f>'Consommation du 01.10 au 31.10'!AC25</f>
        <v>44</v>
      </c>
      <c r="N17" s="160">
        <v>44</v>
      </c>
      <c r="O17" s="161">
        <f t="shared" si="0"/>
        <v>26591.361740000542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10627</v>
      </c>
      <c r="F18" s="161">
        <v>0.99</v>
      </c>
      <c r="G18" s="161">
        <f>'Consommation du 01.10 au 31.10'!U26</f>
        <v>185.5</v>
      </c>
      <c r="H18" s="161">
        <v>7.8338000000000001</v>
      </c>
      <c r="I18" s="161">
        <f>'Consommation du 01.10 au 31.10'!Y26*1000</f>
        <v>14529.999999998836</v>
      </c>
      <c r="J18" s="161">
        <v>0.53</v>
      </c>
      <c r="K18" s="161">
        <f>'Consommation du 01.10 au 31.10'!D26</f>
        <v>340</v>
      </c>
      <c r="L18" s="161">
        <v>12.67</v>
      </c>
      <c r="M18" s="160">
        <f>'Consommation du 01.10 au 31.10'!AC26</f>
        <v>57</v>
      </c>
      <c r="N18" s="160">
        <v>57</v>
      </c>
      <c r="O18" s="161">
        <f t="shared" si="0"/>
        <v>23982.599899999383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11808</v>
      </c>
      <c r="F19" s="161">
        <v>0.99</v>
      </c>
      <c r="G19" s="161">
        <f>'Consommation du 01.10 au 31.10'!U27</f>
        <v>371</v>
      </c>
      <c r="H19" s="161">
        <v>7.8338000000000001</v>
      </c>
      <c r="I19" s="161">
        <f>'Consommation du 01.10 au 31.10'!Y27*1000</f>
        <v>15040.000000000873</v>
      </c>
      <c r="J19" s="161">
        <v>0.53</v>
      </c>
      <c r="K19" s="161">
        <f>'Consommation du 01.10 au 31.10'!D27</f>
        <v>400</v>
      </c>
      <c r="L19" s="161">
        <v>12.67</v>
      </c>
      <c r="M19" s="160">
        <f>'Consommation du 01.10 au 31.10'!AC27</f>
        <v>45</v>
      </c>
      <c r="N19" s="160">
        <v>45</v>
      </c>
      <c r="O19" s="161">
        <f t="shared" si="0"/>
        <v>27635.459800000463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11082</v>
      </c>
      <c r="F20" s="161">
        <v>0.99</v>
      </c>
      <c r="G20" s="161">
        <f>'Consommation du 01.10 au 31.10'!U28</f>
        <v>333.90000000000003</v>
      </c>
      <c r="H20" s="161">
        <v>7.8338000000000001</v>
      </c>
      <c r="I20" s="161">
        <f>'Consommation du 01.10 au 31.10'!Y28*1000</f>
        <v>8949.9999999970896</v>
      </c>
      <c r="J20" s="161">
        <v>0.53</v>
      </c>
      <c r="K20" s="161">
        <f>'Consommation du 01.10 au 31.10'!D28</f>
        <v>360</v>
      </c>
      <c r="L20" s="161">
        <v>12.67</v>
      </c>
      <c r="M20" s="160">
        <f>'Consommation du 01.10 au 31.10'!AC28</f>
        <v>51</v>
      </c>
      <c r="N20" s="160">
        <v>51</v>
      </c>
      <c r="O20" s="161">
        <f t="shared" si="0"/>
        <v>22891.585819998458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13856</v>
      </c>
      <c r="F21" s="161">
        <v>0.99</v>
      </c>
      <c r="G21" s="161">
        <f>'Consommation du 01.10 au 31.10'!U29</f>
        <v>148.4</v>
      </c>
      <c r="H21" s="161">
        <v>7.8338000000000001</v>
      </c>
      <c r="I21" s="161">
        <f>'Consommation du 01.10 au 31.10'!Y29*1000</f>
        <v>14920.000000001892</v>
      </c>
      <c r="J21" s="161">
        <v>0.53</v>
      </c>
      <c r="K21" s="161">
        <f>'Consommation du 01.10 au 31.10'!D29</f>
        <v>330</v>
      </c>
      <c r="L21" s="161">
        <v>12.67</v>
      </c>
      <c r="M21" s="160">
        <f>'Consommation du 01.10 au 31.10'!AC29</f>
        <v>30</v>
      </c>
      <c r="N21" s="160">
        <v>30</v>
      </c>
      <c r="O21" s="161">
        <f t="shared" si="0"/>
        <v>26968.675920001006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17640</v>
      </c>
      <c r="F22" s="161">
        <v>0.99</v>
      </c>
      <c r="G22" s="161">
        <f>'Consommation du 01.10 au 31.10'!U30</f>
        <v>408.1</v>
      </c>
      <c r="H22" s="161">
        <v>7.8338000000000001</v>
      </c>
      <c r="I22" s="161">
        <f>'Consommation du 01.10 au 31.10'!Y30*1000</f>
        <v>13759.999999998399</v>
      </c>
      <c r="J22" s="161">
        <v>0.53</v>
      </c>
      <c r="K22" s="161">
        <f>'Consommation du 01.10 au 31.10'!D30</f>
        <v>430</v>
      </c>
      <c r="L22" s="161">
        <v>12.67</v>
      </c>
      <c r="M22" s="160">
        <f>'Consommation du 01.10 au 31.10'!AC30</f>
        <v>23</v>
      </c>
      <c r="N22" s="160">
        <v>23</v>
      </c>
      <c r="O22" s="161">
        <f t="shared" si="0"/>
        <v>33401.473779999149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13566</v>
      </c>
      <c r="F23" s="161">
        <v>0.99</v>
      </c>
      <c r="G23" s="161">
        <f>'Consommation du 01.10 au 31.10'!U31</f>
        <v>185.5</v>
      </c>
      <c r="H23" s="161">
        <v>7.8338000000000001</v>
      </c>
      <c r="I23" s="161">
        <f>'Consommation du 01.10 au 31.10'!Y31*1000</f>
        <v>14069.999999999709</v>
      </c>
      <c r="J23" s="161">
        <v>0.53</v>
      </c>
      <c r="K23" s="161">
        <f>'Consommation du 01.10 au 31.10'!D31</f>
        <v>370</v>
      </c>
      <c r="L23" s="161">
        <v>12.67</v>
      </c>
      <c r="M23" s="160">
        <f>'Consommation du 01.10 au 31.10'!AC31</f>
        <v>33</v>
      </c>
      <c r="N23" s="160">
        <v>33</v>
      </c>
      <c r="O23" s="161">
        <f t="shared" si="0"/>
        <v>27028.509899999844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14300</v>
      </c>
      <c r="F24" s="161">
        <v>0.99</v>
      </c>
      <c r="G24" s="161">
        <f>'Consommation du 01.10 au 31.10'!U32</f>
        <v>296.8</v>
      </c>
      <c r="H24" s="161">
        <v>7.8338000000000001</v>
      </c>
      <c r="I24" s="161">
        <f>'Consommation du 01.10 au 31.10'!Y32*1000</f>
        <v>15390.000000003056</v>
      </c>
      <c r="J24" s="161">
        <v>0.53</v>
      </c>
      <c r="K24" s="161">
        <f>'Consommation du 01.10 au 31.10'!D32</f>
        <v>410</v>
      </c>
      <c r="L24" s="161">
        <v>12.67</v>
      </c>
      <c r="M24" s="160">
        <f>'Consommation du 01.10 au 31.10'!AC32</f>
        <v>52</v>
      </c>
      <c r="N24" s="160">
        <v>52</v>
      </c>
      <c r="O24" s="161">
        <f t="shared" si="0"/>
        <v>29833.471840001621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587873.95720000181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A32" sqref="A32:XFD3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186">
        <f t="shared" ref="F10:F40" si="0">D10*12.67</f>
        <v>3040.8</v>
      </c>
      <c r="G10" s="187"/>
      <c r="H10" s="18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1551.262925333436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186">
        <f t="shared" si="0"/>
        <v>3420.9</v>
      </c>
      <c r="G11" s="187"/>
      <c r="H11" s="18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807.25936875000252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5">
        <f t="shared" si="0"/>
        <v>3420.9</v>
      </c>
      <c r="G13" s="206"/>
      <c r="H13" s="207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186">
        <f t="shared" si="0"/>
        <v>2787.4</v>
      </c>
      <c r="G14" s="187"/>
      <c r="H14" s="18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1833.1484949999549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8">
        <f t="shared" si="0"/>
        <v>2787.4</v>
      </c>
      <c r="G15" s="209"/>
      <c r="H15" s="210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581.26796000000002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20189.007960000461</v>
      </c>
      <c r="AK15" s="129">
        <f t="shared" si="3"/>
        <v>1442.07199714289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5">
        <f t="shared" si="0"/>
        <v>4054.4</v>
      </c>
      <c r="G16" s="206"/>
      <c r="H16" s="207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1453.1699000000001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23385.019900001236</v>
      </c>
      <c r="AK16" s="129">
        <f t="shared" si="3"/>
        <v>1948.7516583334364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240</v>
      </c>
      <c r="E17" s="96"/>
      <c r="F17" s="186">
        <f t="shared" si="0"/>
        <v>3040.8</v>
      </c>
      <c r="G17" s="187"/>
      <c r="H17" s="188"/>
      <c r="I17" s="143"/>
      <c r="J17" s="94">
        <f>'Suivi EAU-ELEC'!E22</f>
        <v>4367</v>
      </c>
      <c r="K17" s="95">
        <f>'Suivi EAU-ELEC'!G22</f>
        <v>7728</v>
      </c>
      <c r="L17" s="95">
        <f>'Suivi EAU-ELEC'!I22</f>
        <v>3816</v>
      </c>
      <c r="M17" s="82">
        <f t="shared" si="4"/>
        <v>15911</v>
      </c>
      <c r="N17" s="58"/>
      <c r="O17" s="59">
        <f t="shared" si="5"/>
        <v>15751.89</v>
      </c>
      <c r="P17" s="57"/>
      <c r="Q17" s="55"/>
      <c r="R17" s="56"/>
      <c r="S17" s="55"/>
      <c r="T17" s="96"/>
      <c r="U17" s="60">
        <f>'Suivi Gaz'!O17</f>
        <v>259.7</v>
      </c>
      <c r="V17" s="58"/>
      <c r="W17" s="59">
        <f t="shared" si="6"/>
        <v>2034.43786</v>
      </c>
      <c r="X17" s="65">
        <v>17075.830000000002</v>
      </c>
      <c r="Y17" s="149">
        <f t="shared" si="1"/>
        <v>7.1699999999982538</v>
      </c>
      <c r="Z17" s="64">
        <f t="shared" si="7"/>
        <v>3800.0999999990745</v>
      </c>
      <c r="AA17" s="67"/>
      <c r="AB17" s="61">
        <v>31</v>
      </c>
      <c r="AC17" s="78">
        <v>17</v>
      </c>
      <c r="AD17" s="79">
        <v>0.1232</v>
      </c>
      <c r="AE17" s="83">
        <v>28.5</v>
      </c>
      <c r="AF17" s="83">
        <v>29</v>
      </c>
      <c r="AG17" s="80" t="s">
        <v>85</v>
      </c>
      <c r="AH17" s="81" t="s">
        <v>85</v>
      </c>
      <c r="AI17" s="44"/>
      <c r="AJ17" s="130">
        <f t="shared" si="2"/>
        <v>24627.227859999075</v>
      </c>
      <c r="AK17" s="129">
        <f t="shared" si="3"/>
        <v>1448.6604623528867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370</v>
      </c>
      <c r="E18" s="96"/>
      <c r="F18" s="208">
        <f t="shared" si="0"/>
        <v>4687.8999999999996</v>
      </c>
      <c r="G18" s="209"/>
      <c r="H18" s="210"/>
      <c r="I18" s="143"/>
      <c r="J18" s="94">
        <f>'Suivi EAU-ELEC'!E23</f>
        <v>3964</v>
      </c>
      <c r="K18" s="95">
        <f>'Suivi EAU-ELEC'!G23</f>
        <v>6968</v>
      </c>
      <c r="L18" s="95">
        <f>'Suivi EAU-ELEC'!I23</f>
        <v>3679</v>
      </c>
      <c r="M18" s="82">
        <f t="shared" si="4"/>
        <v>14611</v>
      </c>
      <c r="N18" s="58"/>
      <c r="O18" s="59">
        <f t="shared" si="5"/>
        <v>14464.89</v>
      </c>
      <c r="P18" s="57"/>
      <c r="Q18" s="55"/>
      <c r="R18" s="56"/>
      <c r="S18" s="55"/>
      <c r="T18" s="96"/>
      <c r="U18" s="60">
        <f>'Suivi Gaz'!O18</f>
        <v>185.5</v>
      </c>
      <c r="V18" s="58"/>
      <c r="W18" s="59">
        <f t="shared" si="6"/>
        <v>1453.1699000000001</v>
      </c>
      <c r="X18" s="65">
        <v>17083</v>
      </c>
      <c r="Y18" s="149">
        <f t="shared" si="1"/>
        <v>8.430000000000291</v>
      </c>
      <c r="Z18" s="64">
        <f t="shared" si="7"/>
        <v>4467.9000000001552</v>
      </c>
      <c r="AA18" s="67"/>
      <c r="AB18" s="61">
        <v>31</v>
      </c>
      <c r="AC18" s="78">
        <v>33</v>
      </c>
      <c r="AD18" s="79">
        <v>0.23910000000000001</v>
      </c>
      <c r="AE18" s="83">
        <v>29</v>
      </c>
      <c r="AF18" s="83">
        <v>30</v>
      </c>
      <c r="AG18" s="80" t="s">
        <v>85</v>
      </c>
      <c r="AH18" s="81" t="s">
        <v>85</v>
      </c>
      <c r="AI18" s="44"/>
      <c r="AJ18" s="130">
        <f t="shared" si="2"/>
        <v>25073.859900000156</v>
      </c>
      <c r="AK18" s="129">
        <f t="shared" si="3"/>
        <v>759.81393636364112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270</v>
      </c>
      <c r="E19" s="96"/>
      <c r="F19" s="186">
        <f t="shared" si="0"/>
        <v>3420.9</v>
      </c>
      <c r="G19" s="187"/>
      <c r="H19" s="188"/>
      <c r="I19" s="143"/>
      <c r="J19" s="94">
        <f>'Suivi EAU-ELEC'!E24</f>
        <v>4789</v>
      </c>
      <c r="K19" s="95">
        <f>'Suivi EAU-ELEC'!G24</f>
        <v>5553</v>
      </c>
      <c r="L19" s="95">
        <f>'Suivi EAU-ELEC'!I24</f>
        <v>3876</v>
      </c>
      <c r="M19" s="82">
        <f t="shared" si="4"/>
        <v>14218</v>
      </c>
      <c r="N19" s="58"/>
      <c r="O19" s="59">
        <f t="shared" si="5"/>
        <v>14075.82</v>
      </c>
      <c r="P19" s="57"/>
      <c r="Q19" s="55"/>
      <c r="R19" s="56"/>
      <c r="S19" s="55"/>
      <c r="T19" s="96"/>
      <c r="U19" s="60">
        <f>'Suivi Gaz'!O19</f>
        <v>37.1</v>
      </c>
      <c r="V19" s="58"/>
      <c r="W19" s="59">
        <f t="shared" si="6"/>
        <v>290.63398000000001</v>
      </c>
      <c r="X19" s="65">
        <v>17091.43</v>
      </c>
      <c r="Y19" s="149">
        <f t="shared" si="1"/>
        <v>9.2999999999992724</v>
      </c>
      <c r="Z19" s="64">
        <f t="shared" si="7"/>
        <v>4928.9999999996144</v>
      </c>
      <c r="AA19" s="67"/>
      <c r="AB19" s="61">
        <v>32</v>
      </c>
      <c r="AC19" s="78">
        <v>50</v>
      </c>
      <c r="AD19" s="79">
        <v>0.36759999999999998</v>
      </c>
      <c r="AE19" s="83">
        <v>29</v>
      </c>
      <c r="AF19" s="83">
        <v>30</v>
      </c>
      <c r="AG19" s="80" t="s">
        <v>85</v>
      </c>
      <c r="AH19" s="81" t="s">
        <v>85</v>
      </c>
      <c r="AI19" s="44"/>
      <c r="AJ19" s="130">
        <f t="shared" si="2"/>
        <v>22716.353979999614</v>
      </c>
      <c r="AK19" s="129">
        <f t="shared" si="3"/>
        <v>454.32707959999226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260</v>
      </c>
      <c r="E20" s="96"/>
      <c r="F20" s="205">
        <f t="shared" si="0"/>
        <v>3294.2</v>
      </c>
      <c r="G20" s="206"/>
      <c r="H20" s="207"/>
      <c r="I20" s="143"/>
      <c r="J20" s="94">
        <f>'Suivi EAU-ELEC'!E25</f>
        <v>5329</v>
      </c>
      <c r="K20" s="95">
        <f>'Suivi EAU-ELEC'!G25</f>
        <v>7255</v>
      </c>
      <c r="L20" s="95">
        <f>'Suivi EAU-ELEC'!I25</f>
        <v>3557</v>
      </c>
      <c r="M20" s="82">
        <f t="shared" si="4"/>
        <v>16141</v>
      </c>
      <c r="N20" s="58"/>
      <c r="O20" s="59">
        <f t="shared" si="5"/>
        <v>15979.59</v>
      </c>
      <c r="P20" s="57"/>
      <c r="Q20" s="55"/>
      <c r="R20" s="56"/>
      <c r="S20" s="55"/>
      <c r="T20" s="96"/>
      <c r="U20" s="60">
        <f>'Suivi Gaz'!O20</f>
        <v>185.5</v>
      </c>
      <c r="V20" s="58"/>
      <c r="W20" s="59">
        <f t="shared" si="6"/>
        <v>1453.1699000000001</v>
      </c>
      <c r="X20" s="65">
        <v>17100.73</v>
      </c>
      <c r="Y20" s="149">
        <f t="shared" si="1"/>
        <v>8.4799999999995634</v>
      </c>
      <c r="Z20" s="64">
        <f t="shared" si="7"/>
        <v>4494.3999999997686</v>
      </c>
      <c r="AA20" s="67">
        <v>14</v>
      </c>
      <c r="AB20" s="61">
        <v>31</v>
      </c>
      <c r="AC20" s="78">
        <v>29</v>
      </c>
      <c r="AD20" s="79">
        <v>0.23580000000000001</v>
      </c>
      <c r="AE20" s="83">
        <v>29.5</v>
      </c>
      <c r="AF20" s="83">
        <v>30</v>
      </c>
      <c r="AG20" s="80" t="s">
        <v>85</v>
      </c>
      <c r="AH20" s="81" t="s">
        <v>85</v>
      </c>
      <c r="AI20" s="44"/>
      <c r="AJ20" s="130">
        <f t="shared" si="2"/>
        <v>25221.35989999977</v>
      </c>
      <c r="AK20" s="129">
        <f t="shared" si="3"/>
        <v>869.70206551723345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290</v>
      </c>
      <c r="E21" s="96"/>
      <c r="F21" s="186">
        <f t="shared" si="0"/>
        <v>3674.3</v>
      </c>
      <c r="G21" s="187"/>
      <c r="H21" s="188"/>
      <c r="I21" s="143"/>
      <c r="J21" s="94">
        <f>'Suivi EAU-ELEC'!E26</f>
        <v>4615</v>
      </c>
      <c r="K21" s="95">
        <f>'Suivi EAU-ELEC'!G26</f>
        <v>6897</v>
      </c>
      <c r="L21" s="95">
        <f>'Suivi EAU-ELEC'!I26</f>
        <v>3794</v>
      </c>
      <c r="M21" s="82">
        <f t="shared" si="4"/>
        <v>15306</v>
      </c>
      <c r="N21" s="58"/>
      <c r="O21" s="59">
        <f t="shared" si="5"/>
        <v>15152.94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3487.6077600000003</v>
      </c>
      <c r="X21" s="65">
        <v>17109.21</v>
      </c>
      <c r="Y21" s="149">
        <f t="shared" si="1"/>
        <v>6.3800000000010186</v>
      </c>
      <c r="Z21" s="64">
        <f t="shared" si="7"/>
        <v>3381.4000000005403</v>
      </c>
      <c r="AA21" s="67">
        <v>14</v>
      </c>
      <c r="AB21" s="61">
        <v>31</v>
      </c>
      <c r="AC21" s="78">
        <v>29</v>
      </c>
      <c r="AD21" s="79">
        <v>0.2248</v>
      </c>
      <c r="AE21" s="83">
        <v>29</v>
      </c>
      <c r="AF21" s="83">
        <v>30</v>
      </c>
      <c r="AG21" s="80" t="s">
        <v>85</v>
      </c>
      <c r="AH21" s="81" t="s">
        <v>85</v>
      </c>
      <c r="AI21" s="44"/>
      <c r="AJ21" s="130">
        <f t="shared" si="2"/>
        <v>25696.24776000054</v>
      </c>
      <c r="AK21" s="129">
        <f>AJ21/AC21</f>
        <v>886.07750896553591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290</v>
      </c>
      <c r="E22" s="96"/>
      <c r="F22" s="208">
        <f t="shared" si="0"/>
        <v>3674.3</v>
      </c>
      <c r="G22" s="209"/>
      <c r="H22" s="210"/>
      <c r="I22" s="143"/>
      <c r="J22" s="94">
        <f>'Suivi EAU-ELEC'!E27</f>
        <v>5977</v>
      </c>
      <c r="K22" s="95">
        <f>'Suivi EAU-ELEC'!G27</f>
        <v>7062</v>
      </c>
      <c r="L22" s="95">
        <f>'Suivi EAU-ELEC'!I27</f>
        <v>3863</v>
      </c>
      <c r="M22" s="82">
        <f t="shared" si="4"/>
        <v>16902</v>
      </c>
      <c r="N22" s="58"/>
      <c r="O22" s="59">
        <f t="shared" si="5"/>
        <v>16732.98</v>
      </c>
      <c r="P22" s="57"/>
      <c r="Q22" s="55"/>
      <c r="R22" s="56"/>
      <c r="S22" s="55"/>
      <c r="T22" s="96"/>
      <c r="U22" s="60">
        <f>'Suivi Gaz'!O22</f>
        <v>222.60000000000002</v>
      </c>
      <c r="V22" s="58"/>
      <c r="W22" s="59">
        <f t="shared" si="6"/>
        <v>1743.8038800000002</v>
      </c>
      <c r="X22" s="65">
        <v>17115.59</v>
      </c>
      <c r="Y22" s="149">
        <f t="shared" si="1"/>
        <v>10.029999999998836</v>
      </c>
      <c r="Z22" s="64">
        <f t="shared" si="7"/>
        <v>5315.8999999993839</v>
      </c>
      <c r="AA22" s="58"/>
      <c r="AB22" s="61">
        <v>33</v>
      </c>
      <c r="AC22" s="78">
        <v>27</v>
      </c>
      <c r="AD22" s="79">
        <v>0.19570000000000001</v>
      </c>
      <c r="AE22" s="83">
        <v>29.5</v>
      </c>
      <c r="AF22" s="83">
        <v>30</v>
      </c>
      <c r="AG22" s="80" t="s">
        <v>85</v>
      </c>
      <c r="AH22" s="81" t="s">
        <v>85</v>
      </c>
      <c r="AI22" s="44"/>
      <c r="AJ22" s="130">
        <f t="shared" si="2"/>
        <v>27466.983879999381</v>
      </c>
      <c r="AK22" s="129">
        <f t="shared" si="3"/>
        <v>1017.2956992592364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680</v>
      </c>
      <c r="E23" s="96"/>
      <c r="F23" s="186">
        <f t="shared" si="0"/>
        <v>8615.6</v>
      </c>
      <c r="G23" s="187"/>
      <c r="H23" s="188"/>
      <c r="I23" s="143"/>
      <c r="J23" s="94">
        <f>'Suivi EAU-ELEC'!E28</f>
        <v>5155</v>
      </c>
      <c r="K23" s="95">
        <f>'Suivi EAU-ELEC'!G28</f>
        <v>7662</v>
      </c>
      <c r="L23" s="95">
        <f>'Suivi EAU-ELEC'!I28</f>
        <v>3736</v>
      </c>
      <c r="M23" s="82">
        <f t="shared" si="4"/>
        <v>16553</v>
      </c>
      <c r="N23" s="58"/>
      <c r="O23" s="59">
        <f t="shared" si="5"/>
        <v>16387.47</v>
      </c>
      <c r="P23" s="57"/>
      <c r="Q23" s="55"/>
      <c r="R23" s="56"/>
      <c r="S23" s="55"/>
      <c r="T23" s="96"/>
      <c r="U23" s="60">
        <f>'Suivi Gaz'!O23</f>
        <v>111.30000000000001</v>
      </c>
      <c r="V23" s="58"/>
      <c r="W23" s="59">
        <f t="shared" si="6"/>
        <v>871.90194000000008</v>
      </c>
      <c r="X23" s="65">
        <v>17125.62</v>
      </c>
      <c r="Y23" s="149">
        <f t="shared" si="1"/>
        <v>9.5300000000024738</v>
      </c>
      <c r="Z23" s="64">
        <f t="shared" si="7"/>
        <v>5050.9000000013111</v>
      </c>
      <c r="AA23" s="58"/>
      <c r="AB23" s="61">
        <v>25</v>
      </c>
      <c r="AC23" s="78">
        <v>21</v>
      </c>
      <c r="AD23" s="79">
        <v>0.15790000000000001</v>
      </c>
      <c r="AE23" s="83">
        <v>28.5</v>
      </c>
      <c r="AF23" s="83">
        <v>30</v>
      </c>
      <c r="AG23" s="80" t="s">
        <v>85</v>
      </c>
      <c r="AH23" s="81" t="s">
        <v>85</v>
      </c>
      <c r="AI23" s="44"/>
      <c r="AJ23" s="130">
        <f t="shared" si="2"/>
        <v>30925.871940001311</v>
      </c>
      <c r="AK23" s="129">
        <f t="shared" si="3"/>
        <v>1472.660568571491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590</v>
      </c>
      <c r="E24" s="96"/>
      <c r="F24" s="186">
        <f t="shared" si="0"/>
        <v>7475.3</v>
      </c>
      <c r="G24" s="187"/>
      <c r="H24" s="188"/>
      <c r="I24" s="143"/>
      <c r="J24" s="94">
        <f>'Suivi EAU-ELEC'!E29</f>
        <v>3827</v>
      </c>
      <c r="K24" s="95">
        <f>'Suivi EAU-ELEC'!G29</f>
        <v>7483</v>
      </c>
      <c r="L24" s="95">
        <f>'Suivi EAU-ELEC'!I29</f>
        <v>3443</v>
      </c>
      <c r="M24" s="82">
        <f t="shared" si="4"/>
        <v>14753</v>
      </c>
      <c r="N24" s="58"/>
      <c r="O24" s="59">
        <f t="shared" si="5"/>
        <v>14605.47</v>
      </c>
      <c r="P24" s="57"/>
      <c r="Q24" s="55"/>
      <c r="R24" s="56"/>
      <c r="S24" s="55"/>
      <c r="T24" s="96"/>
      <c r="U24" s="60">
        <f>'Suivi Gaz'!O24</f>
        <v>111.30000000000001</v>
      </c>
      <c r="V24" s="58"/>
      <c r="W24" s="59">
        <f t="shared" si="6"/>
        <v>871.90194000000008</v>
      </c>
      <c r="X24" s="65">
        <v>17135.150000000001</v>
      </c>
      <c r="Y24" s="149">
        <f t="shared" si="1"/>
        <v>10.049999999999272</v>
      </c>
      <c r="Z24" s="64">
        <f t="shared" si="7"/>
        <v>5326.4999999996144</v>
      </c>
      <c r="AA24" s="58"/>
      <c r="AB24" s="61">
        <v>22</v>
      </c>
      <c r="AC24" s="78">
        <v>22</v>
      </c>
      <c r="AD24" s="79">
        <v>0.16919999999999999</v>
      </c>
      <c r="AE24" s="83">
        <v>28</v>
      </c>
      <c r="AF24" s="83">
        <v>29</v>
      </c>
      <c r="AG24" s="80" t="s">
        <v>85</v>
      </c>
      <c r="AH24" s="81" t="s">
        <v>85</v>
      </c>
      <c r="AJ24" s="130">
        <f>(F24+O24+W24+Z24)</f>
        <v>28279.171939999615</v>
      </c>
      <c r="AK24" s="129">
        <f t="shared" si="3"/>
        <v>1285.4169063636189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460</v>
      </c>
      <c r="E25" s="96"/>
      <c r="F25" s="186">
        <f t="shared" si="0"/>
        <v>5828.2</v>
      </c>
      <c r="G25" s="187"/>
      <c r="H25" s="188"/>
      <c r="I25" s="143"/>
      <c r="J25" s="94">
        <f>'Suivi EAU-ELEC'!E30</f>
        <v>3386</v>
      </c>
      <c r="K25" s="95">
        <f>'Suivi EAU-ELEC'!G30</f>
        <v>5555</v>
      </c>
      <c r="L25" s="95">
        <f>'Suivi EAU-ELEC'!I30</f>
        <v>2257</v>
      </c>
      <c r="M25" s="82">
        <f t="shared" si="4"/>
        <v>11198</v>
      </c>
      <c r="N25" s="58"/>
      <c r="O25" s="59">
        <f t="shared" si="5"/>
        <v>11086.02</v>
      </c>
      <c r="P25" s="57"/>
      <c r="Q25" s="55"/>
      <c r="R25" s="56"/>
      <c r="S25" s="55"/>
      <c r="T25" s="96"/>
      <c r="U25" s="60">
        <f>'Suivi Gaz'!O25</f>
        <v>482.3</v>
      </c>
      <c r="V25" s="58"/>
      <c r="W25" s="59">
        <f t="shared" si="6"/>
        <v>3778.2417399999999</v>
      </c>
      <c r="X25" s="65">
        <v>17145.2</v>
      </c>
      <c r="Y25" s="149">
        <f t="shared" si="1"/>
        <v>11.130000000001019</v>
      </c>
      <c r="Z25" s="64">
        <f t="shared" si="7"/>
        <v>5898.9000000005399</v>
      </c>
      <c r="AA25" s="58"/>
      <c r="AB25" s="61">
        <v>21</v>
      </c>
      <c r="AC25" s="78">
        <v>44</v>
      </c>
      <c r="AD25" s="79">
        <v>0.31879999999999997</v>
      </c>
      <c r="AE25" s="83">
        <v>27.5</v>
      </c>
      <c r="AF25" s="83">
        <v>28.5</v>
      </c>
      <c r="AG25" s="80" t="s">
        <v>85</v>
      </c>
      <c r="AH25" s="81" t="s">
        <v>85</v>
      </c>
      <c r="AI25" s="44"/>
      <c r="AJ25" s="130">
        <f>(F25+O25+W25+Z25)</f>
        <v>26591.361740000542</v>
      </c>
      <c r="AK25" s="129">
        <f t="shared" si="3"/>
        <v>604.34913045455778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340</v>
      </c>
      <c r="E26" s="151"/>
      <c r="F26" s="186">
        <f t="shared" si="0"/>
        <v>4307.8</v>
      </c>
      <c r="G26" s="187"/>
      <c r="H26" s="188"/>
      <c r="I26" s="143"/>
      <c r="J26" s="94">
        <f>'Suivi EAU-ELEC'!E31</f>
        <v>2179</v>
      </c>
      <c r="K26" s="95">
        <f>'Suivi EAU-ELEC'!G31</f>
        <v>6098</v>
      </c>
      <c r="L26" s="95">
        <f>'Suivi EAU-ELEC'!I31</f>
        <v>2350</v>
      </c>
      <c r="M26" s="82">
        <f t="shared" si="4"/>
        <v>10627</v>
      </c>
      <c r="N26" s="58"/>
      <c r="O26" s="59">
        <f t="shared" si="5"/>
        <v>10520.73</v>
      </c>
      <c r="P26" s="57"/>
      <c r="Q26" s="55"/>
      <c r="R26" s="56"/>
      <c r="S26" s="55"/>
      <c r="T26" s="96"/>
      <c r="U26" s="60">
        <f>'Suivi Gaz'!O26</f>
        <v>185.5</v>
      </c>
      <c r="V26" s="85"/>
      <c r="W26" s="59">
        <f t="shared" si="6"/>
        <v>1453.1699000000001</v>
      </c>
      <c r="X26" s="65">
        <v>17156.330000000002</v>
      </c>
      <c r="Y26" s="149">
        <f t="shared" si="1"/>
        <v>14.529999999998836</v>
      </c>
      <c r="Z26" s="64">
        <f t="shared" si="7"/>
        <v>7700.8999999993839</v>
      </c>
      <c r="AA26" s="85"/>
      <c r="AB26" s="61">
        <v>21</v>
      </c>
      <c r="AC26" s="78">
        <v>57</v>
      </c>
      <c r="AD26" s="79">
        <v>0.41299999999999998</v>
      </c>
      <c r="AE26" s="83">
        <v>25</v>
      </c>
      <c r="AF26" s="83">
        <v>28</v>
      </c>
      <c r="AG26" s="80">
        <v>25</v>
      </c>
      <c r="AH26" s="81">
        <v>25</v>
      </c>
      <c r="AI26" s="44"/>
      <c r="AJ26" s="130">
        <f>(F26+O26+W26+Z26)</f>
        <v>23982.599899999383</v>
      </c>
      <c r="AK26" s="129">
        <f t="shared" si="3"/>
        <v>420.74736666665581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400</v>
      </c>
      <c r="E27" s="151"/>
      <c r="F27" s="186">
        <f t="shared" si="0"/>
        <v>5068</v>
      </c>
      <c r="G27" s="187"/>
      <c r="H27" s="188"/>
      <c r="I27" s="143"/>
      <c r="J27" s="94">
        <f>'Suivi EAU-ELEC'!E32</f>
        <v>4057</v>
      </c>
      <c r="K27" s="95">
        <f>'Suivi EAU-ELEC'!G32</f>
        <v>5130</v>
      </c>
      <c r="L27" s="95">
        <f>'Suivi EAU-ELEC'!I32</f>
        <v>2621</v>
      </c>
      <c r="M27" s="82">
        <f t="shared" si="4"/>
        <v>11808</v>
      </c>
      <c r="N27" s="58"/>
      <c r="O27" s="59">
        <f t="shared" si="5"/>
        <v>11689.919999999998</v>
      </c>
      <c r="P27" s="57"/>
      <c r="Q27" s="55"/>
      <c r="R27" s="56"/>
      <c r="S27" s="55"/>
      <c r="T27" s="96"/>
      <c r="U27" s="60">
        <f>'Suivi Gaz'!O27</f>
        <v>371</v>
      </c>
      <c r="V27" s="85"/>
      <c r="W27" s="59">
        <f t="shared" si="6"/>
        <v>2906.3398000000002</v>
      </c>
      <c r="X27" s="65">
        <v>17170.86</v>
      </c>
      <c r="Y27" s="149">
        <f t="shared" si="1"/>
        <v>15.040000000000873</v>
      </c>
      <c r="Z27" s="64">
        <f t="shared" si="7"/>
        <v>7971.2000000004637</v>
      </c>
      <c r="AA27" s="85"/>
      <c r="AB27" s="61">
        <v>24</v>
      </c>
      <c r="AC27" s="78">
        <v>45</v>
      </c>
      <c r="AD27" s="79">
        <v>0.35709999999999997</v>
      </c>
      <c r="AE27" s="83">
        <v>28.5</v>
      </c>
      <c r="AF27" s="83">
        <v>29</v>
      </c>
      <c r="AG27" s="80">
        <v>26</v>
      </c>
      <c r="AH27" s="81">
        <v>27</v>
      </c>
      <c r="AI27" s="44"/>
      <c r="AJ27" s="130">
        <f t="shared" si="2"/>
        <v>27635.459800000463</v>
      </c>
      <c r="AK27" s="129">
        <f t="shared" si="3"/>
        <v>614.12132888889914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360</v>
      </c>
      <c r="E28" s="151"/>
      <c r="F28" s="205">
        <f t="shared" si="0"/>
        <v>4561.2</v>
      </c>
      <c r="G28" s="206"/>
      <c r="H28" s="207"/>
      <c r="I28" s="144"/>
      <c r="J28" s="94">
        <f>'Suivi EAU-ELEC'!E33</f>
        <v>3380</v>
      </c>
      <c r="K28" s="95">
        <f>'Suivi EAU-ELEC'!G33</f>
        <v>5102</v>
      </c>
      <c r="L28" s="95">
        <f>'Suivi EAU-ELEC'!I33</f>
        <v>2600</v>
      </c>
      <c r="M28" s="82">
        <f t="shared" si="4"/>
        <v>11082</v>
      </c>
      <c r="N28" s="58"/>
      <c r="O28" s="59">
        <f t="shared" si="5"/>
        <v>10971.18</v>
      </c>
      <c r="P28" s="57"/>
      <c r="Q28" s="55"/>
      <c r="R28" s="56"/>
      <c r="S28" s="55"/>
      <c r="T28" s="96"/>
      <c r="U28" s="60">
        <f>'Suivi Gaz'!O28</f>
        <v>333.90000000000003</v>
      </c>
      <c r="V28" s="85"/>
      <c r="W28" s="59">
        <f t="shared" si="6"/>
        <v>2615.7058200000001</v>
      </c>
      <c r="X28" s="65">
        <v>17185.900000000001</v>
      </c>
      <c r="Y28" s="149">
        <f t="shared" si="1"/>
        <v>8.9499999999970896</v>
      </c>
      <c r="Z28" s="64">
        <f t="shared" si="7"/>
        <v>4743.4999999984584</v>
      </c>
      <c r="AA28" s="85"/>
      <c r="AB28" s="61">
        <v>28</v>
      </c>
      <c r="AC28" s="78">
        <v>51</v>
      </c>
      <c r="AD28" s="79">
        <v>0.375</v>
      </c>
      <c r="AE28" s="83">
        <v>28</v>
      </c>
      <c r="AF28" s="83">
        <v>30</v>
      </c>
      <c r="AG28" s="80">
        <v>28</v>
      </c>
      <c r="AH28" s="81">
        <v>28</v>
      </c>
      <c r="AI28" s="44"/>
      <c r="AJ28" s="130">
        <f>(F28+O28+W28+Z28)</f>
        <v>22891.585819998458</v>
      </c>
      <c r="AK28" s="129">
        <f t="shared" si="3"/>
        <v>448.8546239215384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330</v>
      </c>
      <c r="E29" s="151"/>
      <c r="F29" s="186">
        <f t="shared" si="0"/>
        <v>4181.1000000000004</v>
      </c>
      <c r="G29" s="187"/>
      <c r="H29" s="188"/>
      <c r="I29" s="144"/>
      <c r="J29" s="94">
        <f>'Suivi EAU-ELEC'!E34</f>
        <v>4522</v>
      </c>
      <c r="K29" s="95">
        <f>'Suivi EAU-ELEC'!G34</f>
        <v>6037</v>
      </c>
      <c r="L29" s="95">
        <f>'Suivi EAU-ELEC'!I34</f>
        <v>3297</v>
      </c>
      <c r="M29" s="82">
        <f t="shared" si="4"/>
        <v>13856</v>
      </c>
      <c r="N29" s="58"/>
      <c r="O29" s="59">
        <f t="shared" si="5"/>
        <v>13717.439999999999</v>
      </c>
      <c r="P29" s="57"/>
      <c r="Q29" s="55"/>
      <c r="R29" s="56"/>
      <c r="S29" s="55"/>
      <c r="T29" s="96"/>
      <c r="U29" s="60">
        <f>'Suivi Gaz'!O29</f>
        <v>148.4</v>
      </c>
      <c r="V29" s="85"/>
      <c r="W29" s="59">
        <f t="shared" si="6"/>
        <v>1162.53592</v>
      </c>
      <c r="X29" s="65">
        <v>17194.849999999999</v>
      </c>
      <c r="Y29" s="149">
        <f t="shared" si="1"/>
        <v>14.920000000001892</v>
      </c>
      <c r="Z29" s="64">
        <f t="shared" si="7"/>
        <v>7907.6000000010035</v>
      </c>
      <c r="AA29" s="85"/>
      <c r="AB29" s="61">
        <v>30</v>
      </c>
      <c r="AC29" s="78">
        <v>30</v>
      </c>
      <c r="AD29" s="79">
        <v>0.22059999999999999</v>
      </c>
      <c r="AE29" s="83">
        <v>28.5</v>
      </c>
      <c r="AF29" s="83">
        <v>30</v>
      </c>
      <c r="AG29" s="80">
        <v>28</v>
      </c>
      <c r="AH29" s="81">
        <v>28</v>
      </c>
      <c r="AI29" s="44"/>
      <c r="AJ29" s="130">
        <f t="shared" si="2"/>
        <v>26968.675920001002</v>
      </c>
      <c r="AK29" s="129">
        <f t="shared" si="3"/>
        <v>898.95586400003344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430</v>
      </c>
      <c r="E30" s="151"/>
      <c r="F30" s="205">
        <f t="shared" si="0"/>
        <v>5448.1</v>
      </c>
      <c r="G30" s="206"/>
      <c r="H30" s="207"/>
      <c r="I30" s="144"/>
      <c r="J30" s="94">
        <f>'Suivi EAU-ELEC'!E35</f>
        <v>7027</v>
      </c>
      <c r="K30" s="95">
        <f>'Suivi EAU-ELEC'!G35</f>
        <v>7252</v>
      </c>
      <c r="L30" s="95">
        <f>'Suivi EAU-ELEC'!I35</f>
        <v>3361</v>
      </c>
      <c r="M30" s="82">
        <f t="shared" si="4"/>
        <v>17640</v>
      </c>
      <c r="N30" s="58"/>
      <c r="O30" s="59">
        <f t="shared" si="5"/>
        <v>17463.599999999999</v>
      </c>
      <c r="P30" s="57"/>
      <c r="Q30" s="55"/>
      <c r="R30" s="56"/>
      <c r="S30" s="55"/>
      <c r="T30" s="96"/>
      <c r="U30" s="60">
        <f>'Suivi Gaz'!O30</f>
        <v>408.1</v>
      </c>
      <c r="V30" s="85"/>
      <c r="W30" s="59">
        <f t="shared" si="6"/>
        <v>3196.9737800000003</v>
      </c>
      <c r="X30" s="65">
        <v>17209.77</v>
      </c>
      <c r="Y30" s="149">
        <f t="shared" si="1"/>
        <v>13.759999999998399</v>
      </c>
      <c r="Z30" s="64">
        <f t="shared" si="7"/>
        <v>7292.7999999991525</v>
      </c>
      <c r="AA30" s="85"/>
      <c r="AB30" s="61">
        <v>22</v>
      </c>
      <c r="AC30" s="78">
        <v>23</v>
      </c>
      <c r="AD30" s="79">
        <v>0.1729</v>
      </c>
      <c r="AE30" s="83">
        <v>29</v>
      </c>
      <c r="AF30" s="83">
        <v>30</v>
      </c>
      <c r="AG30" s="80">
        <v>28</v>
      </c>
      <c r="AH30" s="81">
        <v>26</v>
      </c>
      <c r="AI30" s="44"/>
      <c r="AJ30" s="130">
        <f t="shared" si="2"/>
        <v>33401.473779999149</v>
      </c>
      <c r="AK30" s="129">
        <f t="shared" si="3"/>
        <v>1452.2379904347456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370</v>
      </c>
      <c r="E31" s="96"/>
      <c r="F31" s="186">
        <f t="shared" si="0"/>
        <v>4687.8999999999996</v>
      </c>
      <c r="G31" s="187"/>
      <c r="H31" s="188"/>
      <c r="I31" s="145"/>
      <c r="J31" s="94">
        <f>'Suivi EAU-ELEC'!E36</f>
        <v>3939</v>
      </c>
      <c r="K31" s="95">
        <f>'Suivi EAU-ELEC'!G36</f>
        <v>5902</v>
      </c>
      <c r="L31" s="95">
        <f>'Suivi EAU-ELEC'!I36</f>
        <v>3725</v>
      </c>
      <c r="M31" s="82">
        <f t="shared" si="4"/>
        <v>13566</v>
      </c>
      <c r="N31" s="58"/>
      <c r="O31" s="59">
        <f t="shared" si="5"/>
        <v>13430.34</v>
      </c>
      <c r="P31" s="57"/>
      <c r="Q31" s="55"/>
      <c r="R31" s="56"/>
      <c r="S31" s="55"/>
      <c r="T31" s="96"/>
      <c r="U31" s="60">
        <f>'Suivi Gaz'!O31</f>
        <v>185.5</v>
      </c>
      <c r="V31" s="58"/>
      <c r="W31" s="59">
        <f t="shared" si="6"/>
        <v>1453.1699000000001</v>
      </c>
      <c r="X31" s="65">
        <v>17223.53</v>
      </c>
      <c r="Y31" s="149">
        <f t="shared" si="1"/>
        <v>14.069999999999709</v>
      </c>
      <c r="Z31" s="64">
        <f t="shared" si="7"/>
        <v>7457.0999999998457</v>
      </c>
      <c r="AA31" s="58"/>
      <c r="AB31" s="61">
        <v>21</v>
      </c>
      <c r="AC31" s="78">
        <v>33</v>
      </c>
      <c r="AD31" s="79">
        <v>0.23910000000000001</v>
      </c>
      <c r="AE31" s="83">
        <v>29</v>
      </c>
      <c r="AF31" s="83">
        <v>30</v>
      </c>
      <c r="AG31" s="80">
        <v>28</v>
      </c>
      <c r="AH31" s="81">
        <v>28</v>
      </c>
      <c r="AI31" s="44"/>
      <c r="AJ31" s="130">
        <f t="shared" si="2"/>
        <v>27028.509899999844</v>
      </c>
      <c r="AK31" s="129">
        <f t="shared" si="3"/>
        <v>819.04575454544988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410</v>
      </c>
      <c r="E32" s="96"/>
      <c r="F32" s="186">
        <f t="shared" si="0"/>
        <v>5194.7</v>
      </c>
      <c r="G32" s="187"/>
      <c r="H32" s="188"/>
      <c r="I32" s="142"/>
      <c r="J32" s="94">
        <f>'Suivi EAU-ELEC'!E37</f>
        <v>4096</v>
      </c>
      <c r="K32" s="95">
        <f>'Suivi EAU-ELEC'!G37</f>
        <v>6799</v>
      </c>
      <c r="L32" s="95">
        <f>'Suivi EAU-ELEC'!I37</f>
        <v>3405</v>
      </c>
      <c r="M32" s="82">
        <f t="shared" si="4"/>
        <v>14300</v>
      </c>
      <c r="N32" s="58"/>
      <c r="O32" s="59">
        <f t="shared" si="5"/>
        <v>14157</v>
      </c>
      <c r="P32" s="57"/>
      <c r="Q32" s="55"/>
      <c r="R32" s="56"/>
      <c r="S32" s="55"/>
      <c r="T32" s="96"/>
      <c r="U32" s="60">
        <f>'Suivi Gaz'!O32</f>
        <v>296.8</v>
      </c>
      <c r="V32" s="58"/>
      <c r="W32" s="59">
        <f t="shared" si="6"/>
        <v>2325.0718400000001</v>
      </c>
      <c r="X32" s="65">
        <v>17237.599999999999</v>
      </c>
      <c r="Y32" s="149">
        <f t="shared" si="1"/>
        <v>15.390000000003056</v>
      </c>
      <c r="Z32" s="64">
        <f t="shared" si="7"/>
        <v>8156.7000000016205</v>
      </c>
      <c r="AA32" s="58"/>
      <c r="AB32" s="61">
        <v>22</v>
      </c>
      <c r="AC32" s="78">
        <v>52</v>
      </c>
      <c r="AD32" s="79">
        <v>0.38240000000000002</v>
      </c>
      <c r="AE32" s="83">
        <v>29</v>
      </c>
      <c r="AF32" s="83">
        <v>30</v>
      </c>
      <c r="AG32" s="80">
        <v>28</v>
      </c>
      <c r="AH32" s="81">
        <v>29</v>
      </c>
      <c r="AI32" s="44"/>
      <c r="AJ32" s="130">
        <f t="shared" si="2"/>
        <v>29833.471840001621</v>
      </c>
      <c r="AK32" s="129">
        <f t="shared" si="3"/>
        <v>573.72061230772351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>
        <v>17252.990000000002</v>
      </c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186">
        <f t="shared" si="0"/>
        <v>0</v>
      </c>
      <c r="G34" s="187"/>
      <c r="H34" s="18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101486.70000000001</v>
      </c>
      <c r="G41" s="218"/>
      <c r="H41" s="219"/>
      <c r="I41" s="102"/>
      <c r="J41" s="104">
        <f>SUM(J10:J40)</f>
        <v>101066</v>
      </c>
      <c r="K41" s="104">
        <f>SUM(K10:K40)</f>
        <v>151895</v>
      </c>
      <c r="L41" s="104">
        <f>SUM(L10:L40)</f>
        <v>77149</v>
      </c>
      <c r="M41" s="104">
        <f>SUM(M10:M40)</f>
        <v>330110</v>
      </c>
      <c r="N41" s="103"/>
      <c r="O41" s="104">
        <f>SUM(O10:O40)</f>
        <v>326808.90000000002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5194.0000000000009</v>
      </c>
      <c r="V41" s="58"/>
      <c r="W41" s="104">
        <f>SUM(W10:W40)</f>
        <v>40688.7572</v>
      </c>
      <c r="X41" s="140"/>
      <c r="Y41" s="104">
        <f>SUM(Y10:Y40)</f>
        <v>224.32000000000335</v>
      </c>
      <c r="Z41" s="104">
        <f>SUM(Z10:Z40)</f>
        <v>118889.6000000018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587873.95720000181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101066</v>
      </c>
      <c r="H43" s="228"/>
      <c r="I43" s="229"/>
      <c r="J43" s="230">
        <f>G43*F43</f>
        <v>65586.780700000003</v>
      </c>
      <c r="K43" s="231"/>
      <c r="L43" s="232">
        <f>J43+J44+J45</f>
        <v>295980.05961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151895</v>
      </c>
      <c r="H44" s="228"/>
      <c r="I44" s="229"/>
      <c r="J44" s="230">
        <f>G44*F44</f>
        <v>134586.56474999999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77149</v>
      </c>
      <c r="H45" s="242"/>
      <c r="I45" s="243"/>
      <c r="J45" s="230">
        <f>G45*F45</f>
        <v>95806.714160000003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5194.0000000000009</v>
      </c>
      <c r="H47" s="257"/>
      <c r="I47" s="258"/>
      <c r="J47" s="256">
        <f>G47*F47</f>
        <v>40688.757200000007</v>
      </c>
      <c r="K47" s="258"/>
      <c r="L47" s="259">
        <f>J47</f>
        <v>40688.757200000007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33" si="15">IF(AC9&gt;0,((B9-R9)+(S9-B10)),IF(B10=0, ,(B9-B10)))</f>
        <v>7</v>
      </c>
      <c r="D9" s="20">
        <v>72</v>
      </c>
      <c r="E9" s="18">
        <f t="shared" ref="E9:E34" si="16">IF(AC9&gt;0,((D9-U9)+(V9-D10)),IF(D10=0, ,(D9-D10)))</f>
        <v>4</v>
      </c>
      <c r="F9" s="20">
        <v>67</v>
      </c>
      <c r="G9" s="18">
        <f t="shared" ref="G9:G33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0.5</v>
      </c>
      <c r="M15" s="18">
        <f t="shared" si="7"/>
        <v>28000</v>
      </c>
      <c r="N15" s="18">
        <f t="shared" si="23"/>
        <v>140</v>
      </c>
      <c r="O15" s="18">
        <f t="shared" si="24"/>
        <v>74.2</v>
      </c>
      <c r="P15" s="21">
        <f t="shared" si="25"/>
        <v>581.26796000000002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19"/>
        <v>0</v>
      </c>
      <c r="J16" s="18">
        <f t="shared" si="20"/>
        <v>238</v>
      </c>
      <c r="K16" s="18">
        <f t="shared" si="21"/>
        <v>59.5</v>
      </c>
      <c r="L16" s="18">
        <f t="shared" si="22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25"/>
        <v>1453.1699000000001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2</v>
      </c>
      <c r="D17" s="20">
        <v>60</v>
      </c>
      <c r="E17" s="18">
        <f t="shared" si="16"/>
        <v>0</v>
      </c>
      <c r="F17" s="20">
        <v>55</v>
      </c>
      <c r="G17" s="18">
        <f t="shared" si="17"/>
        <v>3</v>
      </c>
      <c r="H17" s="20">
        <v>60</v>
      </c>
      <c r="I17" s="18">
        <f t="shared" si="19"/>
        <v>2</v>
      </c>
      <c r="J17" s="18">
        <f t="shared" si="20"/>
        <v>233</v>
      </c>
      <c r="K17" s="18">
        <f t="shared" si="21"/>
        <v>58.25</v>
      </c>
      <c r="L17" s="18">
        <f t="shared" ref="L17:L42" si="30">IF(AC17&gt;0,((K17-AD17)+(AE17-K18)),IF(K18=0, ,(K17-K18)))</f>
        <v>1.75</v>
      </c>
      <c r="M17" s="18">
        <f t="shared" si="7"/>
        <v>28000</v>
      </c>
      <c r="N17" s="18">
        <f t="shared" si="28"/>
        <v>490</v>
      </c>
      <c r="O17" s="18">
        <f t="shared" si="29"/>
        <v>259.7</v>
      </c>
      <c r="P17" s="21">
        <f t="shared" si="25"/>
        <v>2034.43786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>
        <v>56</v>
      </c>
      <c r="C18" s="18">
        <f t="shared" si="15"/>
        <v>1</v>
      </c>
      <c r="D18" s="20">
        <v>60</v>
      </c>
      <c r="E18" s="18">
        <f t="shared" si="16"/>
        <v>2</v>
      </c>
      <c r="F18" s="20">
        <v>52</v>
      </c>
      <c r="G18" s="18">
        <f t="shared" si="17"/>
        <v>0</v>
      </c>
      <c r="H18" s="20">
        <v>58</v>
      </c>
      <c r="I18" s="18">
        <f t="shared" ref="I18:I42" si="31">IF(AC18&gt;0,((H18-AA18)+(AB18-H19)),IF(H19=0, ,(H18-H19)))</f>
        <v>2</v>
      </c>
      <c r="J18" s="18">
        <f t="shared" si="20"/>
        <v>226</v>
      </c>
      <c r="K18" s="18">
        <f t="shared" si="21"/>
        <v>56.5</v>
      </c>
      <c r="L18" s="18">
        <f t="shared" si="30"/>
        <v>1.25</v>
      </c>
      <c r="M18" s="18">
        <f t="shared" si="7"/>
        <v>28000</v>
      </c>
      <c r="N18" s="18">
        <f t="shared" si="28"/>
        <v>350</v>
      </c>
      <c r="O18" s="18">
        <f t="shared" si="29"/>
        <v>185.5</v>
      </c>
      <c r="P18" s="21">
        <f t="shared" si="25"/>
        <v>1453.1699000000001</v>
      </c>
      <c r="Q18" s="18">
        <v>2404</v>
      </c>
      <c r="R18" s="18">
        <v>55</v>
      </c>
      <c r="S18" s="18">
        <v>85</v>
      </c>
      <c r="T18" s="18">
        <v>2403</v>
      </c>
      <c r="U18" s="18">
        <v>58</v>
      </c>
      <c r="V18" s="18">
        <v>85</v>
      </c>
      <c r="W18" s="18">
        <v>2602</v>
      </c>
      <c r="X18" s="18">
        <v>52</v>
      </c>
      <c r="Y18" s="18">
        <v>85</v>
      </c>
      <c r="Z18" s="18">
        <v>2465</v>
      </c>
      <c r="AA18" s="18">
        <v>56</v>
      </c>
      <c r="AB18" s="18">
        <v>85</v>
      </c>
      <c r="AC18" s="18">
        <f t="shared" si="13"/>
        <v>9874</v>
      </c>
      <c r="AD18" s="49">
        <f t="shared" si="26"/>
        <v>55.25</v>
      </c>
      <c r="AE18" s="49">
        <f t="shared" si="27"/>
        <v>85</v>
      </c>
    </row>
    <row r="19" spans="1:31" ht="32.25" customHeight="1" x14ac:dyDescent="0.3">
      <c r="A19" s="19">
        <f t="shared" si="14"/>
        <v>44114</v>
      </c>
      <c r="B19" s="20">
        <v>85</v>
      </c>
      <c r="C19" s="18">
        <f t="shared" si="15"/>
        <v>0</v>
      </c>
      <c r="D19" s="20">
        <v>85</v>
      </c>
      <c r="E19" s="18">
        <f t="shared" si="16"/>
        <v>0</v>
      </c>
      <c r="F19" s="20">
        <v>85</v>
      </c>
      <c r="G19" s="18">
        <f t="shared" si="17"/>
        <v>1</v>
      </c>
      <c r="H19" s="20">
        <v>85</v>
      </c>
      <c r="I19" s="18">
        <f t="shared" si="31"/>
        <v>0</v>
      </c>
      <c r="J19" s="18">
        <f t="shared" si="20"/>
        <v>340</v>
      </c>
      <c r="K19" s="18">
        <f t="shared" si="21"/>
        <v>85</v>
      </c>
      <c r="L19" s="18">
        <f t="shared" si="30"/>
        <v>0.25</v>
      </c>
      <c r="M19" s="18">
        <f t="shared" si="7"/>
        <v>28000</v>
      </c>
      <c r="N19" s="18">
        <f t="shared" si="28"/>
        <v>70</v>
      </c>
      <c r="O19" s="18">
        <f t="shared" si="29"/>
        <v>37.1</v>
      </c>
      <c r="P19" s="21">
        <f t="shared" si="25"/>
        <v>290.63398000000001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>
        <v>85</v>
      </c>
      <c r="C20" s="18">
        <f t="shared" si="15"/>
        <v>1</v>
      </c>
      <c r="D20" s="20">
        <v>85</v>
      </c>
      <c r="E20" s="18">
        <f t="shared" si="16"/>
        <v>0</v>
      </c>
      <c r="F20" s="20">
        <v>84</v>
      </c>
      <c r="G20" s="18">
        <f t="shared" si="17"/>
        <v>3</v>
      </c>
      <c r="H20" s="20">
        <v>85</v>
      </c>
      <c r="I20" s="18">
        <f t="shared" si="31"/>
        <v>1</v>
      </c>
      <c r="J20" s="18">
        <f t="shared" si="20"/>
        <v>339</v>
      </c>
      <c r="K20" s="18">
        <f t="shared" si="21"/>
        <v>84.75</v>
      </c>
      <c r="L20" s="18">
        <f t="shared" si="30"/>
        <v>1.25</v>
      </c>
      <c r="M20" s="18">
        <f t="shared" si="7"/>
        <v>28000</v>
      </c>
      <c r="N20" s="18">
        <f t="shared" si="28"/>
        <v>350</v>
      </c>
      <c r="O20" s="18">
        <f t="shared" si="29"/>
        <v>185.5</v>
      </c>
      <c r="P20" s="21">
        <f t="shared" si="25"/>
        <v>1453.1699000000001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>
        <v>84</v>
      </c>
      <c r="C21" s="18">
        <f t="shared" si="15"/>
        <v>4</v>
      </c>
      <c r="D21" s="20">
        <v>85</v>
      </c>
      <c r="E21" s="18">
        <f t="shared" si="16"/>
        <v>3</v>
      </c>
      <c r="F21" s="20">
        <v>81</v>
      </c>
      <c r="G21" s="18">
        <f t="shared" si="17"/>
        <v>2</v>
      </c>
      <c r="H21" s="20">
        <v>84</v>
      </c>
      <c r="I21" s="18">
        <f t="shared" si="31"/>
        <v>3</v>
      </c>
      <c r="J21" s="18">
        <f t="shared" si="20"/>
        <v>334</v>
      </c>
      <c r="K21" s="18">
        <f t="shared" si="21"/>
        <v>83.5</v>
      </c>
      <c r="L21" s="18">
        <f t="shared" si="30"/>
        <v>3</v>
      </c>
      <c r="M21" s="18">
        <f t="shared" si="7"/>
        <v>28000</v>
      </c>
      <c r="N21" s="18">
        <f t="shared" si="28"/>
        <v>840</v>
      </c>
      <c r="O21" s="18">
        <f t="shared" si="29"/>
        <v>445.20000000000005</v>
      </c>
      <c r="P21" s="21">
        <f t="shared" si="25"/>
        <v>3487.6077600000003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>
        <v>80</v>
      </c>
      <c r="C22" s="18">
        <f t="shared" si="15"/>
        <v>0</v>
      </c>
      <c r="D22" s="20">
        <v>82</v>
      </c>
      <c r="E22" s="18">
        <f t="shared" si="16"/>
        <v>2</v>
      </c>
      <c r="F22" s="20">
        <v>79</v>
      </c>
      <c r="G22" s="18">
        <f t="shared" si="17"/>
        <v>4</v>
      </c>
      <c r="H22" s="20">
        <v>81</v>
      </c>
      <c r="I22" s="18">
        <f t="shared" si="31"/>
        <v>0</v>
      </c>
      <c r="J22" s="18">
        <f t="shared" si="20"/>
        <v>322</v>
      </c>
      <c r="K22" s="18">
        <f t="shared" si="21"/>
        <v>80.5</v>
      </c>
      <c r="L22" s="18">
        <f t="shared" si="30"/>
        <v>1.5</v>
      </c>
      <c r="M22" s="18">
        <f t="shared" si="7"/>
        <v>28000</v>
      </c>
      <c r="N22" s="18">
        <f t="shared" si="28"/>
        <v>420</v>
      </c>
      <c r="O22" s="18">
        <f t="shared" si="29"/>
        <v>222.60000000000002</v>
      </c>
      <c r="P22" s="21">
        <f t="shared" si="25"/>
        <v>1743.8038800000002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>
        <v>80</v>
      </c>
      <c r="C23" s="18">
        <f t="shared" si="15"/>
        <v>2</v>
      </c>
      <c r="D23" s="20">
        <v>80</v>
      </c>
      <c r="E23" s="18">
        <f t="shared" si="16"/>
        <v>1</v>
      </c>
      <c r="F23" s="20">
        <v>75</v>
      </c>
      <c r="G23" s="18">
        <f t="shared" si="17"/>
        <v>0</v>
      </c>
      <c r="H23" s="20">
        <v>81</v>
      </c>
      <c r="I23" s="18">
        <f t="shared" si="31"/>
        <v>0</v>
      </c>
      <c r="J23" s="18">
        <f t="shared" si="20"/>
        <v>316</v>
      </c>
      <c r="K23" s="18">
        <f t="shared" si="21"/>
        <v>79</v>
      </c>
      <c r="L23" s="18">
        <f t="shared" si="30"/>
        <v>0.75</v>
      </c>
      <c r="M23" s="18">
        <f t="shared" si="7"/>
        <v>28000</v>
      </c>
      <c r="N23" s="18">
        <f t="shared" si="28"/>
        <v>210</v>
      </c>
      <c r="O23" s="18">
        <f t="shared" si="29"/>
        <v>111.30000000000001</v>
      </c>
      <c r="P23" s="21">
        <f t="shared" si="25"/>
        <v>871.90194000000008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>
        <v>78</v>
      </c>
      <c r="C24" s="18">
        <f t="shared" si="15"/>
        <v>2</v>
      </c>
      <c r="D24" s="20">
        <v>79</v>
      </c>
      <c r="E24" s="18">
        <f t="shared" si="16"/>
        <v>1</v>
      </c>
      <c r="F24" s="20">
        <v>75</v>
      </c>
      <c r="G24" s="18">
        <f t="shared" si="17"/>
        <v>0</v>
      </c>
      <c r="H24" s="20">
        <v>81</v>
      </c>
      <c r="I24" s="18">
        <f t="shared" si="31"/>
        <v>0</v>
      </c>
      <c r="J24" s="18">
        <f t="shared" si="20"/>
        <v>313</v>
      </c>
      <c r="K24" s="18">
        <f t="shared" si="21"/>
        <v>78.25</v>
      </c>
      <c r="L24" s="18">
        <f t="shared" si="30"/>
        <v>0.75</v>
      </c>
      <c r="M24" s="18">
        <f t="shared" si="7"/>
        <v>28000</v>
      </c>
      <c r="N24" s="18">
        <f t="shared" si="28"/>
        <v>210</v>
      </c>
      <c r="O24" s="18">
        <f t="shared" si="29"/>
        <v>111.30000000000001</v>
      </c>
      <c r="P24" s="21">
        <f t="shared" si="25"/>
        <v>871.90194000000008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>
        <v>76</v>
      </c>
      <c r="C25" s="18">
        <f t="shared" si="15"/>
        <v>1</v>
      </c>
      <c r="D25" s="20">
        <v>78</v>
      </c>
      <c r="E25" s="18">
        <f t="shared" si="16"/>
        <v>3</v>
      </c>
      <c r="F25" s="20">
        <v>75</v>
      </c>
      <c r="G25" s="18">
        <f t="shared" si="17"/>
        <v>4</v>
      </c>
      <c r="H25" s="20">
        <v>81</v>
      </c>
      <c r="I25" s="18">
        <f t="shared" si="31"/>
        <v>5</v>
      </c>
      <c r="J25" s="18">
        <f t="shared" si="20"/>
        <v>310</v>
      </c>
      <c r="K25" s="18">
        <f t="shared" si="21"/>
        <v>77.5</v>
      </c>
      <c r="L25" s="18">
        <f t="shared" si="30"/>
        <v>3.25</v>
      </c>
      <c r="M25" s="18">
        <f t="shared" si="7"/>
        <v>28000</v>
      </c>
      <c r="N25" s="18">
        <f t="shared" si="28"/>
        <v>910</v>
      </c>
      <c r="O25" s="18">
        <f t="shared" si="29"/>
        <v>482.3</v>
      </c>
      <c r="P25" s="21">
        <f t="shared" si="25"/>
        <v>3778.2417399999999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>
        <v>75</v>
      </c>
      <c r="C26" s="18">
        <f t="shared" si="15"/>
        <v>0</v>
      </c>
      <c r="D26" s="20">
        <v>75</v>
      </c>
      <c r="E26" s="18">
        <f t="shared" si="16"/>
        <v>0</v>
      </c>
      <c r="F26" s="20">
        <v>71</v>
      </c>
      <c r="G26" s="18">
        <f t="shared" si="17"/>
        <v>1</v>
      </c>
      <c r="H26" s="20">
        <v>76</v>
      </c>
      <c r="I26" s="18">
        <f t="shared" si="31"/>
        <v>4</v>
      </c>
      <c r="J26" s="18">
        <f t="shared" si="20"/>
        <v>297</v>
      </c>
      <c r="K26" s="18">
        <f t="shared" si="21"/>
        <v>74.25</v>
      </c>
      <c r="L26" s="18">
        <f t="shared" si="30"/>
        <v>1.25</v>
      </c>
      <c r="M26" s="18">
        <f t="shared" si="7"/>
        <v>28000</v>
      </c>
      <c r="N26" s="18">
        <f t="shared" si="28"/>
        <v>350</v>
      </c>
      <c r="O26" s="18">
        <f t="shared" si="29"/>
        <v>185.5</v>
      </c>
      <c r="P26" s="21">
        <f t="shared" si="25"/>
        <v>1453.1699000000001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>
        <v>75</v>
      </c>
      <c r="C27" s="18">
        <f t="shared" si="15"/>
        <v>4</v>
      </c>
      <c r="D27" s="20">
        <v>75</v>
      </c>
      <c r="E27" s="18">
        <f t="shared" si="16"/>
        <v>2</v>
      </c>
      <c r="F27" s="20">
        <v>70</v>
      </c>
      <c r="G27" s="18">
        <f t="shared" si="17"/>
        <v>2</v>
      </c>
      <c r="H27" s="20">
        <v>72</v>
      </c>
      <c r="I27" s="18">
        <f t="shared" si="31"/>
        <v>2</v>
      </c>
      <c r="J27" s="18">
        <f t="shared" si="20"/>
        <v>292</v>
      </c>
      <c r="K27" s="18">
        <f t="shared" si="21"/>
        <v>73</v>
      </c>
      <c r="L27" s="18">
        <f t="shared" si="30"/>
        <v>2.5</v>
      </c>
      <c r="M27" s="18">
        <f t="shared" si="7"/>
        <v>28000</v>
      </c>
      <c r="N27" s="18">
        <f t="shared" si="28"/>
        <v>700</v>
      </c>
      <c r="O27" s="18">
        <f t="shared" si="29"/>
        <v>371</v>
      </c>
      <c r="P27" s="21">
        <f t="shared" si="25"/>
        <v>2906.3398000000002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>
        <v>71</v>
      </c>
      <c r="C28" s="18">
        <f t="shared" si="15"/>
        <v>2</v>
      </c>
      <c r="D28" s="20">
        <v>73</v>
      </c>
      <c r="E28" s="18">
        <f t="shared" si="16"/>
        <v>2</v>
      </c>
      <c r="F28" s="20">
        <v>68</v>
      </c>
      <c r="G28" s="18">
        <f t="shared" si="17"/>
        <v>3</v>
      </c>
      <c r="H28" s="20">
        <v>70</v>
      </c>
      <c r="I28" s="18">
        <f t="shared" si="31"/>
        <v>2</v>
      </c>
      <c r="J28" s="18">
        <f t="shared" si="20"/>
        <v>282</v>
      </c>
      <c r="K28" s="18">
        <f t="shared" si="21"/>
        <v>70.5</v>
      </c>
      <c r="L28" s="18">
        <f t="shared" si="30"/>
        <v>2.25</v>
      </c>
      <c r="M28" s="18">
        <f t="shared" si="7"/>
        <v>28000</v>
      </c>
      <c r="N28" s="18">
        <f t="shared" si="28"/>
        <v>630</v>
      </c>
      <c r="O28" s="18">
        <f t="shared" si="29"/>
        <v>333.90000000000003</v>
      </c>
      <c r="P28" s="21">
        <f t="shared" si="25"/>
        <v>2615.7058200000001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>
        <v>69</v>
      </c>
      <c r="C29" s="18">
        <f t="shared" si="15"/>
        <v>1</v>
      </c>
      <c r="D29" s="20">
        <v>71</v>
      </c>
      <c r="E29" s="18">
        <f t="shared" si="16"/>
        <v>1</v>
      </c>
      <c r="F29" s="20">
        <v>65</v>
      </c>
      <c r="G29" s="18">
        <f t="shared" si="17"/>
        <v>0</v>
      </c>
      <c r="H29" s="20">
        <v>68</v>
      </c>
      <c r="I29" s="18">
        <f t="shared" si="31"/>
        <v>2</v>
      </c>
      <c r="J29" s="18">
        <f t="shared" si="20"/>
        <v>273</v>
      </c>
      <c r="K29" s="18">
        <f t="shared" si="21"/>
        <v>68.25</v>
      </c>
      <c r="L29" s="18">
        <f t="shared" si="30"/>
        <v>1</v>
      </c>
      <c r="M29" s="18">
        <f t="shared" si="7"/>
        <v>28000</v>
      </c>
      <c r="N29" s="18">
        <f t="shared" si="28"/>
        <v>280</v>
      </c>
      <c r="O29" s="18">
        <f t="shared" si="29"/>
        <v>148.4</v>
      </c>
      <c r="P29" s="21">
        <f t="shared" si="25"/>
        <v>1162.53592</v>
      </c>
      <c r="Q29" s="18">
        <v>1211</v>
      </c>
      <c r="R29" s="18">
        <v>68</v>
      </c>
      <c r="S29" s="18">
        <v>85</v>
      </c>
      <c r="T29" s="18">
        <v>1049</v>
      </c>
      <c r="U29" s="18">
        <v>70</v>
      </c>
      <c r="V29" s="18">
        <v>85</v>
      </c>
      <c r="W29" s="18">
        <v>1874</v>
      </c>
      <c r="X29" s="18">
        <v>65</v>
      </c>
      <c r="Y29" s="18">
        <v>85</v>
      </c>
      <c r="Z29" s="18">
        <v>1543</v>
      </c>
      <c r="AA29" s="18">
        <v>66</v>
      </c>
      <c r="AB29" s="18">
        <v>85</v>
      </c>
      <c r="AC29" s="18">
        <f t="shared" si="13"/>
        <v>5677</v>
      </c>
      <c r="AD29" s="49">
        <f t="shared" si="26"/>
        <v>67.25</v>
      </c>
      <c r="AE29" s="49">
        <f t="shared" si="27"/>
        <v>85</v>
      </c>
    </row>
    <row r="30" spans="1:31" ht="32.25" customHeight="1" x14ac:dyDescent="0.3">
      <c r="A30" s="19">
        <f t="shared" si="14"/>
        <v>44125</v>
      </c>
      <c r="B30" s="20">
        <v>85</v>
      </c>
      <c r="C30" s="18">
        <f t="shared" si="15"/>
        <v>2</v>
      </c>
      <c r="D30" s="20">
        <v>85</v>
      </c>
      <c r="E30" s="18">
        <f t="shared" si="16"/>
        <v>0</v>
      </c>
      <c r="F30" s="20">
        <v>85</v>
      </c>
      <c r="G30" s="18">
        <f t="shared" si="17"/>
        <v>5</v>
      </c>
      <c r="H30" s="20">
        <v>85</v>
      </c>
      <c r="I30" s="18">
        <f t="shared" si="31"/>
        <v>4</v>
      </c>
      <c r="J30" s="18">
        <f t="shared" si="20"/>
        <v>340</v>
      </c>
      <c r="K30" s="18">
        <f t="shared" si="21"/>
        <v>85</v>
      </c>
      <c r="L30" s="18">
        <f t="shared" si="30"/>
        <v>2.75</v>
      </c>
      <c r="M30" s="18">
        <f t="shared" si="7"/>
        <v>28000</v>
      </c>
      <c r="N30" s="18">
        <f t="shared" si="28"/>
        <v>770</v>
      </c>
      <c r="O30" s="18">
        <f t="shared" si="29"/>
        <v>408.1</v>
      </c>
      <c r="P30" s="21">
        <f t="shared" si="25"/>
        <v>3196.9737800000003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>
        <v>83</v>
      </c>
      <c r="C31" s="18">
        <f t="shared" si="15"/>
        <v>3</v>
      </c>
      <c r="D31" s="20">
        <v>85</v>
      </c>
      <c r="E31" s="18">
        <f t="shared" si="16"/>
        <v>0</v>
      </c>
      <c r="F31" s="20">
        <v>80</v>
      </c>
      <c r="G31" s="18">
        <f t="shared" si="17"/>
        <v>0</v>
      </c>
      <c r="H31" s="20">
        <v>81</v>
      </c>
      <c r="I31" s="18">
        <f t="shared" si="31"/>
        <v>2</v>
      </c>
      <c r="J31" s="18">
        <f t="shared" si="20"/>
        <v>329</v>
      </c>
      <c r="K31" s="18">
        <f t="shared" si="21"/>
        <v>82.25</v>
      </c>
      <c r="L31" s="18">
        <f t="shared" si="30"/>
        <v>1.25</v>
      </c>
      <c r="M31" s="18">
        <f t="shared" si="7"/>
        <v>28000</v>
      </c>
      <c r="N31" s="18">
        <f t="shared" si="28"/>
        <v>350</v>
      </c>
      <c r="O31" s="18">
        <f t="shared" si="29"/>
        <v>185.5</v>
      </c>
      <c r="P31" s="21">
        <f t="shared" si="25"/>
        <v>1453.1699000000001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>
        <v>80</v>
      </c>
      <c r="C32" s="18">
        <f t="shared" si="15"/>
        <v>1</v>
      </c>
      <c r="D32" s="20">
        <v>85</v>
      </c>
      <c r="E32" s="18">
        <f t="shared" si="16"/>
        <v>3</v>
      </c>
      <c r="F32" s="20">
        <v>80</v>
      </c>
      <c r="G32" s="18">
        <f t="shared" si="17"/>
        <v>0</v>
      </c>
      <c r="H32" s="20">
        <v>79</v>
      </c>
      <c r="I32" s="18">
        <f t="shared" si="31"/>
        <v>4</v>
      </c>
      <c r="J32" s="18">
        <f t="shared" si="20"/>
        <v>324</v>
      </c>
      <c r="K32" s="18">
        <f t="shared" si="21"/>
        <v>81</v>
      </c>
      <c r="L32" s="18">
        <f t="shared" si="30"/>
        <v>2</v>
      </c>
      <c r="M32" s="18">
        <f t="shared" si="7"/>
        <v>28000</v>
      </c>
      <c r="N32" s="18">
        <f t="shared" si="28"/>
        <v>560</v>
      </c>
      <c r="O32" s="18">
        <f t="shared" si="29"/>
        <v>296.8</v>
      </c>
      <c r="P32" s="21">
        <f t="shared" si="25"/>
        <v>2325.0718400000001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>
        <v>79</v>
      </c>
      <c r="C33" s="18">
        <f t="shared" si="15"/>
        <v>0</v>
      </c>
      <c r="D33" s="20">
        <v>82</v>
      </c>
      <c r="E33" s="18">
        <f t="shared" si="16"/>
        <v>0</v>
      </c>
      <c r="F33" s="20">
        <v>80</v>
      </c>
      <c r="G33" s="18">
        <f t="shared" si="17"/>
        <v>0</v>
      </c>
      <c r="H33" s="20">
        <v>75</v>
      </c>
      <c r="I33" s="18">
        <f t="shared" si="31"/>
        <v>0</v>
      </c>
      <c r="J33" s="18">
        <f t="shared" si="20"/>
        <v>316</v>
      </c>
      <c r="K33" s="18">
        <f t="shared" si="21"/>
        <v>79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ref="C32:C42" si="32">IF(AC34&gt;0,((B34-R34)+(S34-B35)),IF(B35=0, ,(B34-B35)))</f>
        <v>0</v>
      </c>
      <c r="D34" s="20"/>
      <c r="E34" s="18">
        <f t="shared" si="16"/>
        <v>0</v>
      </c>
      <c r="F34" s="20"/>
      <c r="G34" s="18">
        <f t="shared" ref="G32:G42" si="33">IF(AC34&gt;0,((F34-X34)+(Y34-F35)),IF(F35=0, ,(F34-F35)))</f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32"/>
        <v>0</v>
      </c>
      <c r="D35" s="20"/>
      <c r="E35" s="18">
        <f t="shared" ref="E35:E42" si="34">IF(AC35&gt;0,((D35-U35)+(V35-D36)),IF(D36=0, ,(D35-D36)))</f>
        <v>0</v>
      </c>
      <c r="F35" s="20"/>
      <c r="G35" s="18">
        <f t="shared" si="33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32"/>
        <v>0</v>
      </c>
      <c r="D36" s="20"/>
      <c r="E36" s="18">
        <f t="shared" si="34"/>
        <v>0</v>
      </c>
      <c r="F36" s="20"/>
      <c r="G36" s="18">
        <f t="shared" si="33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32"/>
        <v>0</v>
      </c>
      <c r="D37" s="20"/>
      <c r="E37" s="18">
        <f t="shared" si="34"/>
        <v>0</v>
      </c>
      <c r="F37" s="20"/>
      <c r="G37" s="18">
        <f t="shared" si="33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32"/>
        <v>0</v>
      </c>
      <c r="D38" s="20"/>
      <c r="E38" s="18">
        <f t="shared" si="34"/>
        <v>0</v>
      </c>
      <c r="F38" s="20"/>
      <c r="G38" s="18">
        <f t="shared" si="33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32"/>
        <v>0</v>
      </c>
      <c r="D39" s="20"/>
      <c r="E39" s="18">
        <f t="shared" si="34"/>
        <v>0</v>
      </c>
      <c r="F39" s="20"/>
      <c r="G39" s="18">
        <f t="shared" si="33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32"/>
        <v>0</v>
      </c>
      <c r="D40" s="20"/>
      <c r="E40" s="18">
        <f t="shared" si="34"/>
        <v>0</v>
      </c>
      <c r="F40" s="20"/>
      <c r="G40" s="18">
        <f t="shared" si="33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32"/>
        <v>0</v>
      </c>
      <c r="D41" s="20"/>
      <c r="E41" s="18">
        <f t="shared" si="34"/>
        <v>0</v>
      </c>
      <c r="F41" s="20"/>
      <c r="G41" s="18">
        <f t="shared" si="33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32"/>
        <v>0</v>
      </c>
      <c r="D42" s="20"/>
      <c r="E42" s="18">
        <f t="shared" si="34"/>
        <v>0</v>
      </c>
      <c r="F42" s="20"/>
      <c r="G42" s="18">
        <f t="shared" si="33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35</v>
      </c>
      <c r="D43" s="20"/>
      <c r="E43" s="18">
        <f>SUM(E10:E40)</f>
        <v>28</v>
      </c>
      <c r="F43" s="20"/>
      <c r="G43" s="18">
        <f>SUM(G10:G40)</f>
        <v>37</v>
      </c>
      <c r="H43" s="20"/>
      <c r="I43" s="18">
        <f>SUM(I10:I40)</f>
        <v>40</v>
      </c>
      <c r="J43" s="16"/>
      <c r="K43" s="16"/>
      <c r="L43" s="16"/>
      <c r="M43" s="16"/>
      <c r="N43" s="18">
        <f>SUM(N10:N40)</f>
        <v>9800</v>
      </c>
      <c r="O43" s="18">
        <f>N43*0.53</f>
        <v>5194</v>
      </c>
      <c r="P43" s="21">
        <f>O43*7.8338</f>
        <v>40688.7572</v>
      </c>
      <c r="Q43" s="277">
        <f>SUM(Q10:Q40)</f>
        <v>3615</v>
      </c>
      <c r="R43" s="278"/>
      <c r="S43" s="279"/>
      <c r="T43" s="277">
        <f>SUM(T10:T40)</f>
        <v>3452</v>
      </c>
      <c r="U43" s="278"/>
      <c r="V43" s="279"/>
      <c r="W43" s="277">
        <f>SUM(W10:W40)</f>
        <v>4476</v>
      </c>
      <c r="X43" s="278"/>
      <c r="Y43" s="279"/>
      <c r="Z43" s="277">
        <f>SUM(Z10:Z40)</f>
        <v>4008</v>
      </c>
      <c r="AA43" s="278"/>
      <c r="AB43" s="279"/>
      <c r="AC43" s="138">
        <f>SUM(AC10:AC40)</f>
        <v>15551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15551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15551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9800</v>
      </c>
      <c r="L47" s="29">
        <f>O43</f>
        <v>5194</v>
      </c>
      <c r="M47" s="29">
        <f>P43</f>
        <v>40688.7572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15551</v>
      </c>
      <c r="L48" s="27">
        <f>K48*0.53</f>
        <v>8242.0300000000007</v>
      </c>
      <c r="M48" s="27">
        <f>L48*7.8338</f>
        <v>64566.414614000008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9" sqref="B39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7770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38" si="0">IF(B10&lt;B9,0,B10-B9)*10</f>
        <v>250</v>
      </c>
      <c r="D9" s="42">
        <v>18572288</v>
      </c>
      <c r="E9" s="41">
        <f t="shared" ref="E9:E38" si="1">IF(D10&lt;D9,0,D10-D9)</f>
        <v>2010</v>
      </c>
      <c r="F9" s="42">
        <v>33372804</v>
      </c>
      <c r="G9" s="41">
        <f t="shared" ref="G9:G38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240</v>
      </c>
      <c r="D22" s="42">
        <v>18616948</v>
      </c>
      <c r="E22" s="41">
        <f t="shared" si="1"/>
        <v>4367</v>
      </c>
      <c r="F22" s="42">
        <v>33447002</v>
      </c>
      <c r="G22" s="41">
        <f t="shared" si="2"/>
        <v>7728</v>
      </c>
      <c r="H22" s="42">
        <v>14797378</v>
      </c>
      <c r="I22" s="41">
        <f t="shared" si="3"/>
        <v>3816</v>
      </c>
    </row>
    <row r="23" spans="1:9" ht="21" thickTop="1" thickBot="1" x14ac:dyDescent="0.35">
      <c r="A23" s="39">
        <f t="shared" si="4"/>
        <v>44113</v>
      </c>
      <c r="B23" s="40">
        <v>124906</v>
      </c>
      <c r="C23" s="41">
        <f t="shared" si="0"/>
        <v>370</v>
      </c>
      <c r="D23" s="42">
        <v>18621315</v>
      </c>
      <c r="E23" s="41">
        <f t="shared" si="1"/>
        <v>3964</v>
      </c>
      <c r="F23" s="42">
        <v>33454730</v>
      </c>
      <c r="G23" s="41">
        <f t="shared" si="2"/>
        <v>6968</v>
      </c>
      <c r="H23" s="42">
        <v>14801194</v>
      </c>
      <c r="I23" s="41">
        <f t="shared" si="3"/>
        <v>3679</v>
      </c>
    </row>
    <row r="24" spans="1:9" ht="21" thickTop="1" thickBot="1" x14ac:dyDescent="0.35">
      <c r="A24" s="39">
        <f t="shared" si="4"/>
        <v>44114</v>
      </c>
      <c r="B24" s="40">
        <v>124943</v>
      </c>
      <c r="C24" s="41">
        <f t="shared" si="0"/>
        <v>270</v>
      </c>
      <c r="D24" s="42">
        <v>18625279</v>
      </c>
      <c r="E24" s="41">
        <f t="shared" si="1"/>
        <v>4789</v>
      </c>
      <c r="F24" s="42">
        <v>33461698</v>
      </c>
      <c r="G24" s="41">
        <f t="shared" si="2"/>
        <v>5553</v>
      </c>
      <c r="H24" s="42">
        <v>14804873</v>
      </c>
      <c r="I24" s="41">
        <f t="shared" si="3"/>
        <v>3876</v>
      </c>
    </row>
    <row r="25" spans="1:9" ht="21" thickTop="1" thickBot="1" x14ac:dyDescent="0.35">
      <c r="A25" s="39">
        <f t="shared" si="4"/>
        <v>44115</v>
      </c>
      <c r="B25" s="40">
        <v>124970</v>
      </c>
      <c r="C25" s="41">
        <f t="shared" si="0"/>
        <v>260</v>
      </c>
      <c r="D25" s="42">
        <v>18630068</v>
      </c>
      <c r="E25" s="41">
        <f t="shared" si="1"/>
        <v>5329</v>
      </c>
      <c r="F25" s="42">
        <v>33467251</v>
      </c>
      <c r="G25" s="41">
        <f t="shared" si="2"/>
        <v>7255</v>
      </c>
      <c r="H25" s="42">
        <v>14808749</v>
      </c>
      <c r="I25" s="41">
        <f t="shared" si="3"/>
        <v>3557</v>
      </c>
    </row>
    <row r="26" spans="1:9" ht="21" thickTop="1" thickBot="1" x14ac:dyDescent="0.35">
      <c r="A26" s="39">
        <f t="shared" si="4"/>
        <v>44116</v>
      </c>
      <c r="B26" s="40">
        <v>124996</v>
      </c>
      <c r="C26" s="41">
        <f t="shared" si="0"/>
        <v>290</v>
      </c>
      <c r="D26" s="42">
        <v>18635397</v>
      </c>
      <c r="E26" s="41">
        <f t="shared" si="1"/>
        <v>4615</v>
      </c>
      <c r="F26" s="42">
        <v>33474506</v>
      </c>
      <c r="G26" s="41">
        <f t="shared" si="2"/>
        <v>6897</v>
      </c>
      <c r="H26" s="42">
        <v>14812306</v>
      </c>
      <c r="I26" s="41">
        <f t="shared" si="3"/>
        <v>3794</v>
      </c>
    </row>
    <row r="27" spans="1:9" ht="21" thickTop="1" thickBot="1" x14ac:dyDescent="0.35">
      <c r="A27" s="39">
        <f t="shared" si="4"/>
        <v>44117</v>
      </c>
      <c r="B27" s="40">
        <v>125025</v>
      </c>
      <c r="C27" s="41">
        <f t="shared" si="0"/>
        <v>290</v>
      </c>
      <c r="D27" s="42">
        <v>18640012</v>
      </c>
      <c r="E27" s="41">
        <f t="shared" si="1"/>
        <v>5977</v>
      </c>
      <c r="F27" s="42">
        <v>33481403</v>
      </c>
      <c r="G27" s="41">
        <f t="shared" si="2"/>
        <v>7062</v>
      </c>
      <c r="H27" s="42">
        <v>14816100</v>
      </c>
      <c r="I27" s="41">
        <f t="shared" si="3"/>
        <v>3863</v>
      </c>
    </row>
    <row r="28" spans="1:9" ht="21" thickTop="1" thickBot="1" x14ac:dyDescent="0.35">
      <c r="A28" s="39">
        <f t="shared" si="4"/>
        <v>44118</v>
      </c>
      <c r="B28" s="40">
        <v>125054</v>
      </c>
      <c r="C28" s="41">
        <f t="shared" si="0"/>
        <v>680</v>
      </c>
      <c r="D28" s="42">
        <v>18645989</v>
      </c>
      <c r="E28" s="41">
        <f t="shared" si="1"/>
        <v>5155</v>
      </c>
      <c r="F28" s="42">
        <v>33488465</v>
      </c>
      <c r="G28" s="41">
        <f t="shared" si="2"/>
        <v>7662</v>
      </c>
      <c r="H28" s="42">
        <v>14819963</v>
      </c>
      <c r="I28" s="41">
        <f t="shared" si="3"/>
        <v>3736</v>
      </c>
    </row>
    <row r="29" spans="1:9" ht="21" thickTop="1" thickBot="1" x14ac:dyDescent="0.35">
      <c r="A29" s="39">
        <f t="shared" si="4"/>
        <v>44119</v>
      </c>
      <c r="B29" s="40">
        <v>125122</v>
      </c>
      <c r="C29" s="41">
        <f t="shared" si="0"/>
        <v>590</v>
      </c>
      <c r="D29" s="42">
        <v>18651144</v>
      </c>
      <c r="E29" s="41">
        <f t="shared" si="1"/>
        <v>3827</v>
      </c>
      <c r="F29" s="42">
        <v>33496127</v>
      </c>
      <c r="G29" s="41">
        <f t="shared" si="2"/>
        <v>7483</v>
      </c>
      <c r="H29" s="42">
        <v>14823699</v>
      </c>
      <c r="I29" s="41">
        <f t="shared" si="3"/>
        <v>3443</v>
      </c>
    </row>
    <row r="30" spans="1:9" ht="21" thickTop="1" thickBot="1" x14ac:dyDescent="0.35">
      <c r="A30" s="39">
        <f t="shared" si="4"/>
        <v>44120</v>
      </c>
      <c r="B30" s="40">
        <v>125181</v>
      </c>
      <c r="C30" s="41">
        <f t="shared" si="0"/>
        <v>460</v>
      </c>
      <c r="D30" s="42">
        <v>18654971</v>
      </c>
      <c r="E30" s="41">
        <f t="shared" si="1"/>
        <v>3386</v>
      </c>
      <c r="F30" s="42">
        <v>33503610</v>
      </c>
      <c r="G30" s="41">
        <f t="shared" si="2"/>
        <v>5555</v>
      </c>
      <c r="H30" s="42">
        <v>14827142</v>
      </c>
      <c r="I30" s="41">
        <f t="shared" si="3"/>
        <v>2257</v>
      </c>
    </row>
    <row r="31" spans="1:9" ht="21" thickTop="1" thickBot="1" x14ac:dyDescent="0.35">
      <c r="A31" s="39">
        <f t="shared" si="4"/>
        <v>44121</v>
      </c>
      <c r="B31" s="40">
        <v>125227</v>
      </c>
      <c r="C31" s="41">
        <f t="shared" si="0"/>
        <v>340</v>
      </c>
      <c r="D31" s="42">
        <v>18658357</v>
      </c>
      <c r="E31" s="41">
        <f t="shared" si="1"/>
        <v>2179</v>
      </c>
      <c r="F31" s="42">
        <v>33509165</v>
      </c>
      <c r="G31" s="41">
        <f t="shared" si="2"/>
        <v>6098</v>
      </c>
      <c r="H31" s="42">
        <v>14829399</v>
      </c>
      <c r="I31" s="41">
        <f t="shared" si="3"/>
        <v>2350</v>
      </c>
    </row>
    <row r="32" spans="1:9" ht="21" thickTop="1" thickBot="1" x14ac:dyDescent="0.35">
      <c r="A32" s="39">
        <f t="shared" si="4"/>
        <v>44122</v>
      </c>
      <c r="B32" s="40">
        <v>125261</v>
      </c>
      <c r="C32" s="41">
        <f t="shared" si="0"/>
        <v>400</v>
      </c>
      <c r="D32" s="42">
        <v>18660536</v>
      </c>
      <c r="E32" s="41">
        <f t="shared" si="1"/>
        <v>4057</v>
      </c>
      <c r="F32" s="42">
        <v>33515263</v>
      </c>
      <c r="G32" s="41">
        <f t="shared" si="2"/>
        <v>5130</v>
      </c>
      <c r="H32" s="42">
        <v>14831749</v>
      </c>
      <c r="I32" s="41">
        <f t="shared" si="3"/>
        <v>2621</v>
      </c>
    </row>
    <row r="33" spans="1:9" ht="21" thickTop="1" thickBot="1" x14ac:dyDescent="0.35">
      <c r="A33" s="39">
        <f t="shared" si="4"/>
        <v>44123</v>
      </c>
      <c r="B33" s="40">
        <v>125301</v>
      </c>
      <c r="C33" s="41">
        <f t="shared" si="0"/>
        <v>360</v>
      </c>
      <c r="D33" s="42">
        <v>18664593</v>
      </c>
      <c r="E33" s="41">
        <f t="shared" si="1"/>
        <v>3380</v>
      </c>
      <c r="F33" s="42">
        <v>33520393</v>
      </c>
      <c r="G33" s="41">
        <f t="shared" si="2"/>
        <v>5102</v>
      </c>
      <c r="H33" s="42">
        <v>14834370</v>
      </c>
      <c r="I33" s="41">
        <f t="shared" si="3"/>
        <v>2600</v>
      </c>
    </row>
    <row r="34" spans="1:9" ht="21" thickTop="1" thickBot="1" x14ac:dyDescent="0.35">
      <c r="A34" s="39">
        <f t="shared" si="4"/>
        <v>44124</v>
      </c>
      <c r="B34" s="40">
        <v>125337</v>
      </c>
      <c r="C34" s="41">
        <f t="shared" si="0"/>
        <v>330</v>
      </c>
      <c r="D34" s="42">
        <v>18667973</v>
      </c>
      <c r="E34" s="41">
        <f t="shared" si="1"/>
        <v>4522</v>
      </c>
      <c r="F34" s="42">
        <v>33525495</v>
      </c>
      <c r="G34" s="41">
        <f t="shared" si="2"/>
        <v>6037</v>
      </c>
      <c r="H34" s="42">
        <v>14836970</v>
      </c>
      <c r="I34" s="41">
        <f t="shared" si="3"/>
        <v>3297</v>
      </c>
    </row>
    <row r="35" spans="1:9" ht="21" thickTop="1" thickBot="1" x14ac:dyDescent="0.35">
      <c r="A35" s="39">
        <f t="shared" si="4"/>
        <v>44125</v>
      </c>
      <c r="B35" s="40">
        <v>125370</v>
      </c>
      <c r="C35" s="41">
        <f t="shared" si="0"/>
        <v>430</v>
      </c>
      <c r="D35" s="42">
        <v>18672495</v>
      </c>
      <c r="E35" s="41">
        <f t="shared" si="1"/>
        <v>7027</v>
      </c>
      <c r="F35" s="42">
        <v>33531532</v>
      </c>
      <c r="G35" s="41">
        <f t="shared" si="2"/>
        <v>7252</v>
      </c>
      <c r="H35" s="42">
        <v>14840267</v>
      </c>
      <c r="I35" s="41">
        <f t="shared" si="3"/>
        <v>3361</v>
      </c>
    </row>
    <row r="36" spans="1:9" ht="21" thickTop="1" thickBot="1" x14ac:dyDescent="0.35">
      <c r="A36" s="39">
        <f t="shared" si="4"/>
        <v>44126</v>
      </c>
      <c r="B36" s="40">
        <v>125413</v>
      </c>
      <c r="C36" s="41">
        <f t="shared" si="0"/>
        <v>370</v>
      </c>
      <c r="D36" s="42">
        <v>18679522</v>
      </c>
      <c r="E36" s="41">
        <f t="shared" si="1"/>
        <v>3939</v>
      </c>
      <c r="F36" s="42">
        <v>33538784</v>
      </c>
      <c r="G36" s="41">
        <f t="shared" si="2"/>
        <v>5902</v>
      </c>
      <c r="H36" s="42">
        <v>14843628</v>
      </c>
      <c r="I36" s="41">
        <f t="shared" si="3"/>
        <v>3725</v>
      </c>
    </row>
    <row r="37" spans="1:9" ht="21" thickTop="1" thickBot="1" x14ac:dyDescent="0.35">
      <c r="A37" s="39">
        <f t="shared" si="4"/>
        <v>44127</v>
      </c>
      <c r="B37" s="40">
        <v>125450</v>
      </c>
      <c r="C37" s="41">
        <f t="shared" si="0"/>
        <v>410</v>
      </c>
      <c r="D37" s="42">
        <v>18683461</v>
      </c>
      <c r="E37" s="41">
        <f t="shared" si="1"/>
        <v>4096</v>
      </c>
      <c r="F37" s="42">
        <v>33544686</v>
      </c>
      <c r="G37" s="41">
        <f t="shared" si="2"/>
        <v>6799</v>
      </c>
      <c r="H37" s="42">
        <v>14847353</v>
      </c>
      <c r="I37" s="41">
        <f t="shared" si="3"/>
        <v>3405</v>
      </c>
    </row>
    <row r="38" spans="1:9" ht="21" thickTop="1" thickBot="1" x14ac:dyDescent="0.35">
      <c r="A38" s="39">
        <f t="shared" si="4"/>
        <v>44128</v>
      </c>
      <c r="B38" s="40">
        <v>125491</v>
      </c>
      <c r="C38" s="41">
        <f t="shared" si="0"/>
        <v>0</v>
      </c>
      <c r="D38" s="42">
        <v>18687557</v>
      </c>
      <c r="E38" s="41">
        <f t="shared" si="1"/>
        <v>0</v>
      </c>
      <c r="F38" s="42">
        <v>33551485</v>
      </c>
      <c r="G38" s="41">
        <f t="shared" si="2"/>
        <v>0</v>
      </c>
      <c r="H38" s="42">
        <v>14850758</v>
      </c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ref="C37:C47" si="5">IF(B40&lt;B39,0,B40-B39)*10</f>
        <v>0</v>
      </c>
      <c r="D39" s="42"/>
      <c r="E39" s="41">
        <f t="shared" ref="E37:E47" si="6">IF(D40&lt;D39,0,D40-D39)</f>
        <v>0</v>
      </c>
      <c r="F39" s="42"/>
      <c r="G39" s="41">
        <f t="shared" ref="G37:G47" si="7">IF(F40&lt;F39,0,F40-F39)</f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8010</v>
      </c>
      <c r="E48" s="41">
        <f>SUM(E15:E45)</f>
        <v>101066</v>
      </c>
      <c r="F48" s="53"/>
      <c r="G48" s="41">
        <f>SUM(G15:G45)</f>
        <v>151895</v>
      </c>
      <c r="H48" s="53"/>
      <c r="I48" s="41">
        <f>SUM(I15:I45)</f>
        <v>77149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0" priority="882" stopIfTrue="1" operator="lessThanOrEqual">
      <formula>0</formula>
    </cfRule>
  </conditionalFormatting>
  <conditionalFormatting sqref="C48">
    <cfRule type="cellIs" dxfId="99" priority="544" stopIfTrue="1" operator="lessThanOrEqual">
      <formula>0</formula>
    </cfRule>
  </conditionalFormatting>
  <conditionalFormatting sqref="C48">
    <cfRule type="cellIs" dxfId="98" priority="543" stopIfTrue="1" operator="lessThanOrEqual">
      <formula>0</formula>
    </cfRule>
  </conditionalFormatting>
  <conditionalFormatting sqref="C48">
    <cfRule type="cellIs" dxfId="97" priority="542" stopIfTrue="1" operator="lessThanOrEqual">
      <formula>0</formula>
    </cfRule>
  </conditionalFormatting>
  <conditionalFormatting sqref="C48">
    <cfRule type="cellIs" dxfId="96" priority="541" stopIfTrue="1" operator="lessThanOrEqual">
      <formula>0</formula>
    </cfRule>
  </conditionalFormatting>
  <conditionalFormatting sqref="C39:C47">
    <cfRule type="cellIs" dxfId="95" priority="96" stopIfTrue="1" operator="lessThanOrEqual">
      <formula>0</formula>
    </cfRule>
  </conditionalFormatting>
  <conditionalFormatting sqref="C39:C47">
    <cfRule type="cellIs" dxfId="94" priority="95" stopIfTrue="1" operator="lessThanOrEqual">
      <formula>0</formula>
    </cfRule>
  </conditionalFormatting>
  <conditionalFormatting sqref="C39:C47">
    <cfRule type="cellIs" dxfId="93" priority="94" stopIfTrue="1" operator="lessThanOrEqual">
      <formula>0</formula>
    </cfRule>
  </conditionalFormatting>
  <conditionalFormatting sqref="C39:C47">
    <cfRule type="cellIs" dxfId="92" priority="93" stopIfTrue="1" operator="lessThanOrEqual">
      <formula>0</formula>
    </cfRule>
  </conditionalFormatting>
  <conditionalFormatting sqref="C9:C10">
    <cfRule type="cellIs" dxfId="91" priority="92" stopIfTrue="1" operator="lessThanOrEqual">
      <formula>0</formula>
    </cfRule>
  </conditionalFormatting>
  <conditionalFormatting sqref="C9:C10">
    <cfRule type="cellIs" dxfId="90" priority="91" stopIfTrue="1" operator="lessThanOrEqual">
      <formula>0</formula>
    </cfRule>
  </conditionalFormatting>
  <conditionalFormatting sqref="C9:C10">
    <cfRule type="cellIs" dxfId="89" priority="90" stopIfTrue="1" operator="lessThanOrEqual">
      <formula>0</formula>
    </cfRule>
  </conditionalFormatting>
  <conditionalFormatting sqref="C9:C10">
    <cfRule type="cellIs" dxfId="88" priority="89" stopIfTrue="1" operator="lessThanOrEqual">
      <formula>0</formula>
    </cfRule>
  </conditionalFormatting>
  <conditionalFormatting sqref="C11">
    <cfRule type="cellIs" dxfId="87" priority="88" stopIfTrue="1" operator="lessThanOrEqual">
      <formula>0</formula>
    </cfRule>
  </conditionalFormatting>
  <conditionalFormatting sqref="C11">
    <cfRule type="cellIs" dxfId="86" priority="87" stopIfTrue="1" operator="lessThanOrEqual">
      <formula>0</formula>
    </cfRule>
  </conditionalFormatting>
  <conditionalFormatting sqref="C11">
    <cfRule type="cellIs" dxfId="85" priority="86" stopIfTrue="1" operator="lessThanOrEqual">
      <formula>0</formula>
    </cfRule>
  </conditionalFormatting>
  <conditionalFormatting sqref="C11">
    <cfRule type="cellIs" dxfId="84" priority="85" stopIfTrue="1" operator="lessThanOrEqual">
      <formula>0</formula>
    </cfRule>
  </conditionalFormatting>
  <conditionalFormatting sqref="C12">
    <cfRule type="cellIs" dxfId="83" priority="84" stopIfTrue="1" operator="lessThanOrEqual">
      <formula>0</formula>
    </cfRule>
  </conditionalFormatting>
  <conditionalFormatting sqref="C12">
    <cfRule type="cellIs" dxfId="82" priority="83" stopIfTrue="1" operator="lessThanOrEqual">
      <formula>0</formula>
    </cfRule>
  </conditionalFormatting>
  <conditionalFormatting sqref="C12">
    <cfRule type="cellIs" dxfId="81" priority="82" stopIfTrue="1" operator="lessThanOrEqual">
      <formula>0</formula>
    </cfRule>
  </conditionalFormatting>
  <conditionalFormatting sqref="C12">
    <cfRule type="cellIs" dxfId="80" priority="81" stopIfTrue="1" operator="lessThanOrEqual">
      <formula>0</formula>
    </cfRule>
  </conditionalFormatting>
  <conditionalFormatting sqref="C13">
    <cfRule type="cellIs" dxfId="79" priority="80" stopIfTrue="1" operator="lessThanOrEqual">
      <formula>0</formula>
    </cfRule>
  </conditionalFormatting>
  <conditionalFormatting sqref="C13">
    <cfRule type="cellIs" dxfId="78" priority="79" stopIfTrue="1" operator="lessThanOrEqual">
      <formula>0</formula>
    </cfRule>
  </conditionalFormatting>
  <conditionalFormatting sqref="C13">
    <cfRule type="cellIs" dxfId="77" priority="78" stopIfTrue="1" operator="lessThanOrEqual">
      <formula>0</formula>
    </cfRule>
  </conditionalFormatting>
  <conditionalFormatting sqref="C13">
    <cfRule type="cellIs" dxfId="76" priority="77" stopIfTrue="1" operator="lessThanOrEqual">
      <formula>0</formula>
    </cfRule>
  </conditionalFormatting>
  <conditionalFormatting sqref="C14">
    <cfRule type="cellIs" dxfId="75" priority="76" stopIfTrue="1" operator="lessThanOrEqual">
      <formula>0</formula>
    </cfRule>
  </conditionalFormatting>
  <conditionalFormatting sqref="C14">
    <cfRule type="cellIs" dxfId="74" priority="75" stopIfTrue="1" operator="lessThanOrEqual">
      <formula>0</formula>
    </cfRule>
  </conditionalFormatting>
  <conditionalFormatting sqref="C14">
    <cfRule type="cellIs" dxfId="73" priority="74" stopIfTrue="1" operator="lessThanOrEqual">
      <formula>0</formula>
    </cfRule>
  </conditionalFormatting>
  <conditionalFormatting sqref="C14">
    <cfRule type="cellIs" dxfId="72" priority="73" stopIfTrue="1" operator="lessThanOrEqual">
      <formula>0</formula>
    </cfRule>
  </conditionalFormatting>
  <conditionalFormatting sqref="C15">
    <cfRule type="cellIs" dxfId="71" priority="72" stopIfTrue="1" operator="lessThanOrEqual">
      <formula>0</formula>
    </cfRule>
  </conditionalFormatting>
  <conditionalFormatting sqref="C15">
    <cfRule type="cellIs" dxfId="70" priority="71" stopIfTrue="1" operator="lessThanOrEqual">
      <formula>0</formula>
    </cfRule>
  </conditionalFormatting>
  <conditionalFormatting sqref="C15">
    <cfRule type="cellIs" dxfId="69" priority="70" stopIfTrue="1" operator="lessThanOrEqual">
      <formula>0</formula>
    </cfRule>
  </conditionalFormatting>
  <conditionalFormatting sqref="C15">
    <cfRule type="cellIs" dxfId="68" priority="69" stopIfTrue="1" operator="lessThanOrEqual">
      <formula>0</formula>
    </cfRule>
  </conditionalFormatting>
  <conditionalFormatting sqref="E48">
    <cfRule type="cellIs" dxfId="67" priority="68" stopIfTrue="1" operator="lessThanOrEqual">
      <formula>0</formula>
    </cfRule>
  </conditionalFormatting>
  <conditionalFormatting sqref="E48">
    <cfRule type="cellIs" dxfId="66" priority="67" stopIfTrue="1" operator="lessThanOrEqual">
      <formula>0</formula>
    </cfRule>
  </conditionalFormatting>
  <conditionalFormatting sqref="E48">
    <cfRule type="cellIs" dxfId="65" priority="66" stopIfTrue="1" operator="lessThanOrEqual">
      <formula>0</formula>
    </cfRule>
  </conditionalFormatting>
  <conditionalFormatting sqref="E48">
    <cfRule type="cellIs" dxfId="64" priority="65" stopIfTrue="1" operator="lessThanOrEqual">
      <formula>0</formula>
    </cfRule>
  </conditionalFormatting>
  <conditionalFormatting sqref="G48">
    <cfRule type="cellIs" dxfId="63" priority="64" stopIfTrue="1" operator="lessThanOrEqual">
      <formula>0</formula>
    </cfRule>
  </conditionalFormatting>
  <conditionalFormatting sqref="G48">
    <cfRule type="cellIs" dxfId="62" priority="63" stopIfTrue="1" operator="lessThanOrEqual">
      <formula>0</formula>
    </cfRule>
  </conditionalFormatting>
  <conditionalFormatting sqref="G48">
    <cfRule type="cellIs" dxfId="61" priority="62" stopIfTrue="1" operator="lessThanOrEqual">
      <formula>0</formula>
    </cfRule>
  </conditionalFormatting>
  <conditionalFormatting sqref="G48">
    <cfRule type="cellIs" dxfId="60" priority="61" stopIfTrue="1" operator="lessThanOrEqual">
      <formula>0</formula>
    </cfRule>
  </conditionalFormatting>
  <conditionalFormatting sqref="I48">
    <cfRule type="cellIs" dxfId="59" priority="60" stopIfTrue="1" operator="lessThanOrEqual">
      <formula>0</formula>
    </cfRule>
  </conditionalFormatting>
  <conditionalFormatting sqref="I48">
    <cfRule type="cellIs" dxfId="58" priority="59" stopIfTrue="1" operator="lessThanOrEqual">
      <formula>0</formula>
    </cfRule>
  </conditionalFormatting>
  <conditionalFormatting sqref="I48">
    <cfRule type="cellIs" dxfId="57" priority="58" stopIfTrue="1" operator="lessThanOrEqual">
      <formula>0</formula>
    </cfRule>
  </conditionalFormatting>
  <conditionalFormatting sqref="I48">
    <cfRule type="cellIs" dxfId="56" priority="57" stopIfTrue="1" operator="lessThanOrEqual">
      <formula>0</formula>
    </cfRule>
  </conditionalFormatting>
  <conditionalFormatting sqref="C16">
    <cfRule type="cellIs" dxfId="55" priority="56" stopIfTrue="1" operator="lessThanOrEqual">
      <formula>0</formula>
    </cfRule>
  </conditionalFormatting>
  <conditionalFormatting sqref="C16">
    <cfRule type="cellIs" dxfId="54" priority="55" stopIfTrue="1" operator="lessThanOrEqual">
      <formula>0</formula>
    </cfRule>
  </conditionalFormatting>
  <conditionalFormatting sqref="C16">
    <cfRule type="cellIs" dxfId="53" priority="54" stopIfTrue="1" operator="lessThanOrEqual">
      <formula>0</formula>
    </cfRule>
  </conditionalFormatting>
  <conditionalFormatting sqref="C16">
    <cfRule type="cellIs" dxfId="52" priority="53" stopIfTrue="1" operator="lessThanOrEqual">
      <formula>0</formula>
    </cfRule>
  </conditionalFormatting>
  <conditionalFormatting sqref="C17:C19">
    <cfRule type="cellIs" dxfId="51" priority="52" stopIfTrue="1" operator="lessThanOrEqual">
      <formula>0</formula>
    </cfRule>
  </conditionalFormatting>
  <conditionalFormatting sqref="C17:C19">
    <cfRule type="cellIs" dxfId="50" priority="51" stopIfTrue="1" operator="lessThanOrEqual">
      <formula>0</formula>
    </cfRule>
  </conditionalFormatting>
  <conditionalFormatting sqref="C17:C19">
    <cfRule type="cellIs" dxfId="49" priority="50" stopIfTrue="1" operator="lessThanOrEqual">
      <formula>0</formula>
    </cfRule>
  </conditionalFormatting>
  <conditionalFormatting sqref="C17:C19">
    <cfRule type="cellIs" dxfId="48" priority="49" stopIfTrue="1" operator="lessThanOrEqual">
      <formula>0</formula>
    </cfRule>
  </conditionalFormatting>
  <conditionalFormatting sqref="C20">
    <cfRule type="cellIs" dxfId="47" priority="48" stopIfTrue="1" operator="lessThanOrEqual">
      <formula>0</formula>
    </cfRule>
  </conditionalFormatting>
  <conditionalFormatting sqref="C20">
    <cfRule type="cellIs" dxfId="46" priority="47" stopIfTrue="1" operator="lessThanOrEqual">
      <formula>0</formula>
    </cfRule>
  </conditionalFormatting>
  <conditionalFormatting sqref="C20">
    <cfRule type="cellIs" dxfId="45" priority="46" stopIfTrue="1" operator="lessThanOrEqual">
      <formula>0</formula>
    </cfRule>
  </conditionalFormatting>
  <conditionalFormatting sqref="C20">
    <cfRule type="cellIs" dxfId="44" priority="45" stopIfTrue="1" operator="lessThanOrEqual">
      <formula>0</formula>
    </cfRule>
  </conditionalFormatting>
  <conditionalFormatting sqref="C21">
    <cfRule type="cellIs" dxfId="43" priority="44" stopIfTrue="1" operator="lessThanOrEqual">
      <formula>0</formula>
    </cfRule>
  </conditionalFormatting>
  <conditionalFormatting sqref="C21">
    <cfRule type="cellIs" dxfId="42" priority="43" stopIfTrue="1" operator="lessThanOrEqual">
      <formula>0</formula>
    </cfRule>
  </conditionalFormatting>
  <conditionalFormatting sqref="C21">
    <cfRule type="cellIs" dxfId="41" priority="42" stopIfTrue="1" operator="lessThanOrEqual">
      <formula>0</formula>
    </cfRule>
  </conditionalFormatting>
  <conditionalFormatting sqref="C21">
    <cfRule type="cellIs" dxfId="40" priority="41" stopIfTrue="1" operator="lessThanOrEqual">
      <formula>0</formula>
    </cfRule>
  </conditionalFormatting>
  <conditionalFormatting sqref="C22">
    <cfRule type="cellIs" dxfId="39" priority="40" stopIfTrue="1" operator="lessThanOrEqual">
      <formula>0</formula>
    </cfRule>
  </conditionalFormatting>
  <conditionalFormatting sqref="C22">
    <cfRule type="cellIs" dxfId="38" priority="39" stopIfTrue="1" operator="lessThanOrEqual">
      <formula>0</formula>
    </cfRule>
  </conditionalFormatting>
  <conditionalFormatting sqref="C22">
    <cfRule type="cellIs" dxfId="37" priority="38" stopIfTrue="1" operator="lessThanOrEqual">
      <formula>0</formula>
    </cfRule>
  </conditionalFormatting>
  <conditionalFormatting sqref="C22">
    <cfRule type="cellIs" dxfId="36" priority="37" stopIfTrue="1" operator="lessThanOrEqual">
      <formula>0</formula>
    </cfRule>
  </conditionalFormatting>
  <conditionalFormatting sqref="C23:C27">
    <cfRule type="cellIs" dxfId="35" priority="32" stopIfTrue="1" operator="lessThanOrEqual">
      <formula>0</formula>
    </cfRule>
  </conditionalFormatting>
  <conditionalFormatting sqref="C23:C27">
    <cfRule type="cellIs" dxfId="34" priority="31" stopIfTrue="1" operator="lessThanOrEqual">
      <formula>0</formula>
    </cfRule>
  </conditionalFormatting>
  <conditionalFormatting sqref="C23:C27">
    <cfRule type="cellIs" dxfId="33" priority="30" stopIfTrue="1" operator="lessThanOrEqual">
      <formula>0</formula>
    </cfRule>
  </conditionalFormatting>
  <conditionalFormatting sqref="C23:C27">
    <cfRule type="cellIs" dxfId="32" priority="29" stopIfTrue="1" operator="lessThanOrEqual">
      <formula>0</formula>
    </cfRule>
  </conditionalFormatting>
  <conditionalFormatting sqref="C28">
    <cfRule type="cellIs" dxfId="31" priority="28" stopIfTrue="1" operator="lessThanOrEqual">
      <formula>0</formula>
    </cfRule>
  </conditionalFormatting>
  <conditionalFormatting sqref="C28">
    <cfRule type="cellIs" dxfId="30" priority="27" stopIfTrue="1" operator="lessThanOrEqual">
      <formula>0</formula>
    </cfRule>
  </conditionalFormatting>
  <conditionalFormatting sqref="C28">
    <cfRule type="cellIs" dxfId="29" priority="26" stopIfTrue="1" operator="lessThanOrEqual">
      <formula>0</formula>
    </cfRule>
  </conditionalFormatting>
  <conditionalFormatting sqref="C28">
    <cfRule type="cellIs" dxfId="28" priority="25" stopIfTrue="1" operator="lessThanOrEqual">
      <formula>0</formula>
    </cfRule>
  </conditionalFormatting>
  <conditionalFormatting sqref="C29">
    <cfRule type="cellIs" dxfId="27" priority="24" stopIfTrue="1" operator="lessThanOrEqual">
      <formula>0</formula>
    </cfRule>
  </conditionalFormatting>
  <conditionalFormatting sqref="C29">
    <cfRule type="cellIs" dxfId="26" priority="23" stopIfTrue="1" operator="lessThanOrEqual">
      <formula>0</formula>
    </cfRule>
  </conditionalFormatting>
  <conditionalFormatting sqref="C29">
    <cfRule type="cellIs" dxfId="25" priority="22" stopIfTrue="1" operator="lessThanOrEqual">
      <formula>0</formula>
    </cfRule>
  </conditionalFormatting>
  <conditionalFormatting sqref="C29">
    <cfRule type="cellIs" dxfId="24" priority="21" stopIfTrue="1" operator="lessThanOrEqual">
      <formula>0</formula>
    </cfRule>
  </conditionalFormatting>
  <conditionalFormatting sqref="C30:C33">
    <cfRule type="cellIs" dxfId="23" priority="20" stopIfTrue="1" operator="lessThanOrEqual">
      <formula>0</formula>
    </cfRule>
  </conditionalFormatting>
  <conditionalFormatting sqref="C30:C33">
    <cfRule type="cellIs" dxfId="22" priority="19" stopIfTrue="1" operator="lessThanOrEqual">
      <formula>0</formula>
    </cfRule>
  </conditionalFormatting>
  <conditionalFormatting sqref="C30:C33">
    <cfRule type="cellIs" dxfId="21" priority="18" stopIfTrue="1" operator="lessThanOrEqual">
      <formula>0</formula>
    </cfRule>
  </conditionalFormatting>
  <conditionalFormatting sqref="C30:C33">
    <cfRule type="cellIs" dxfId="20" priority="17" stopIfTrue="1" operator="lessThanOrEqual">
      <formula>0</formula>
    </cfRule>
  </conditionalFormatting>
  <conditionalFormatting sqref="C34">
    <cfRule type="cellIs" dxfId="19" priority="16" stopIfTrue="1" operator="lessThanOrEqual">
      <formula>0</formula>
    </cfRule>
  </conditionalFormatting>
  <conditionalFormatting sqref="C34">
    <cfRule type="cellIs" dxfId="18" priority="15" stopIfTrue="1" operator="lessThanOrEqual">
      <formula>0</formula>
    </cfRule>
  </conditionalFormatting>
  <conditionalFormatting sqref="C34">
    <cfRule type="cellIs" dxfId="17" priority="14" stopIfTrue="1" operator="lessThanOrEqual">
      <formula>0</formula>
    </cfRule>
  </conditionalFormatting>
  <conditionalFormatting sqref="C34">
    <cfRule type="cellIs" dxfId="16" priority="13" stopIfTrue="1" operator="lessThanOrEqual">
      <formula>0</formula>
    </cfRule>
  </conditionalFormatting>
  <conditionalFormatting sqref="C35">
    <cfRule type="cellIs" dxfId="15" priority="12" stopIfTrue="1" operator="lessThanOrEqual">
      <formula>0</formula>
    </cfRule>
  </conditionalFormatting>
  <conditionalFormatting sqref="C35">
    <cfRule type="cellIs" dxfId="14" priority="11" stopIfTrue="1" operator="lessThanOrEqual">
      <formula>0</formula>
    </cfRule>
  </conditionalFormatting>
  <conditionalFormatting sqref="C35">
    <cfRule type="cellIs" dxfId="13" priority="10" stopIfTrue="1" operator="lessThanOrEqual">
      <formula>0</formula>
    </cfRule>
  </conditionalFormatting>
  <conditionalFormatting sqref="C35">
    <cfRule type="cellIs" dxfId="12" priority="9" stopIfTrue="1" operator="lessThanOrEqual">
      <formula>0</formula>
    </cfRule>
  </conditionalFormatting>
  <conditionalFormatting sqref="C36">
    <cfRule type="cellIs" dxfId="11" priority="8" stopIfTrue="1" operator="lessThanOrEqual">
      <formula>0</formula>
    </cfRule>
  </conditionalFormatting>
  <conditionalFormatting sqref="C36">
    <cfRule type="cellIs" dxfId="10" priority="7" stopIfTrue="1" operator="lessThanOrEqual">
      <formula>0</formula>
    </cfRule>
  </conditionalFormatting>
  <conditionalFormatting sqref="C36">
    <cfRule type="cellIs" dxfId="9" priority="6" stopIfTrue="1" operator="lessThanOrEqual">
      <formula>0</formula>
    </cfRule>
  </conditionalFormatting>
  <conditionalFormatting sqref="C36">
    <cfRule type="cellIs" dxfId="8" priority="5" stopIfTrue="1" operator="lessThanOrEqual">
      <formula>0</formula>
    </cfRule>
  </conditionalFormatting>
  <conditionalFormatting sqref="C37:C38">
    <cfRule type="cellIs" dxfId="7" priority="4" stopIfTrue="1" operator="lessThanOrEqual">
      <formula>0</formula>
    </cfRule>
  </conditionalFormatting>
  <conditionalFormatting sqref="C37:C38">
    <cfRule type="cellIs" dxfId="5" priority="3" stopIfTrue="1" operator="lessThanOrEqual">
      <formula>0</formula>
    </cfRule>
  </conditionalFormatting>
  <conditionalFormatting sqref="C37:C38">
    <cfRule type="cellIs" dxfId="3" priority="2" stopIfTrue="1" operator="lessThanOrEqual">
      <formula>0</formula>
    </cfRule>
  </conditionalFormatting>
  <conditionalFormatting sqref="C37:C3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2020-10-24T16:19:44Z</dcterms:modified>
</cp:coreProperties>
</file>