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2\February 2022\"/>
    </mc:Choice>
  </mc:AlternateContent>
  <xr:revisionPtr revIDLastSave="0" documentId="13_ncr:1_{9631E77B-8BA7-4C92-898E-8B982FF10C32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2" sheetId="31" r:id="rId2"/>
  </sheets>
  <calcPr calcId="191029" iterate="1" calcOnSave="0" concurrentCalc="0"/>
</workbook>
</file>

<file path=xl/calcChain.xml><?xml version="1.0" encoding="utf-8"?>
<calcChain xmlns="http://schemas.openxmlformats.org/spreadsheetml/2006/main">
  <c r="L25" i="31" l="1"/>
  <c r="I25" i="31"/>
  <c r="G25" i="31"/>
  <c r="L24" i="31"/>
  <c r="I24" i="31"/>
  <c r="G24" i="31"/>
  <c r="L21" i="31"/>
  <c r="L22" i="31"/>
  <c r="L23" i="31"/>
  <c r="G21" i="31"/>
  <c r="G22" i="31"/>
  <c r="G23" i="31"/>
  <c r="I21" i="31"/>
  <c r="I22" i="31"/>
  <c r="I23" i="31"/>
  <c r="L20" i="31"/>
  <c r="I20" i="31"/>
  <c r="G20" i="31"/>
  <c r="L19" i="31"/>
  <c r="G19" i="31"/>
  <c r="I19" i="31"/>
  <c r="L18" i="31"/>
  <c r="G18" i="31"/>
  <c r="I18" i="31"/>
  <c r="L7" i="31"/>
  <c r="L17" i="31"/>
  <c r="I17" i="31"/>
  <c r="G17" i="31"/>
  <c r="G6" i="31"/>
  <c r="G7" i="31"/>
  <c r="G8" i="31"/>
  <c r="G9" i="31"/>
  <c r="G10" i="31"/>
  <c r="G11" i="31"/>
  <c r="G12" i="31"/>
  <c r="G13" i="31"/>
  <c r="G14" i="31"/>
  <c r="G15" i="31"/>
  <c r="G16" i="31"/>
  <c r="I8" i="31"/>
  <c r="I7" i="31"/>
  <c r="L6" i="31"/>
  <c r="L8" i="31"/>
  <c r="L9" i="31"/>
  <c r="L10" i="31"/>
  <c r="L11" i="31"/>
  <c r="L12" i="31"/>
  <c r="L13" i="31"/>
  <c r="L14" i="31"/>
  <c r="L15" i="31"/>
  <c r="L16" i="31"/>
  <c r="I6" i="31"/>
  <c r="I9" i="31"/>
  <c r="I10" i="31"/>
  <c r="I11" i="31"/>
  <c r="I12" i="31"/>
  <c r="I13" i="31"/>
  <c r="I14" i="31"/>
  <c r="I15" i="31"/>
  <c r="I16" i="31"/>
  <c r="I5" i="31"/>
  <c r="L5" i="31"/>
  <c r="G5" i="3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<sst xmlns="http://schemas.openxmlformats.org/spreadsheetml/2006/main" count="67" uniqueCount="32">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</sst>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21" sqref="Q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2022</v>
      </c>
      <c r="E2" s="14">
        <f>'Feb 2022'!F5</f>
        <v>206754</v>
      </c>
      <c r="F2" s="10">
        <v>2.9000000000000001E-2</v>
      </c>
      <c r="G2" s="1">
        <f>'Feb 2022'!J5</f>
        <v>0</v>
      </c>
      <c r="H2" s="10">
        <v>0.112</v>
      </c>
      <c r="I2" s="1">
        <f>'Feb 2022'!G5*1000</f>
        <v>27000</v>
      </c>
      <c r="J2" s="10">
        <v>3.61E-2</v>
      </c>
      <c r="K2" s="1">
        <f>'Feb 2022'!I5</f>
        <v>414</v>
      </c>
      <c r="L2" s="10">
        <v>0.75</v>
      </c>
      <c r="M2" s="10">
        <f>'Feb 2022'!L5</f>
        <v>0</v>
      </c>
      <c r="N2" s="10">
        <v>0.56299999999999994</v>
      </c>
      <c r="O2" s="14">
        <f>'Feb 2022'!D5</f>
        <v>146</v>
      </c>
    </row>
    <row r="3" spans="1:17" x14ac:dyDescent="0.2">
      <c r="A3" t="s">
        <v>19</v>
      </c>
      <c r="B3">
        <f>B2+1</f>
        <v>2</v>
      </c>
      <c r="C3" s="5">
        <v>2</v>
      </c>
      <c r="D3">
        <v>2022</v>
      </c>
      <c r="E3" s="14">
        <f>'Feb 2022'!F6</f>
        <v>206781</v>
      </c>
      <c r="F3" s="10">
        <v>2.9000000000000001E-2</v>
      </c>
      <c r="G3" s="1">
        <f>'Feb 2022'!J6</f>
        <v>2970</v>
      </c>
      <c r="H3" s="10">
        <v>0.112</v>
      </c>
      <c r="I3" s="1">
        <f>'Feb 2022'!G6*1000</f>
        <v>26000</v>
      </c>
      <c r="J3" s="10">
        <v>3.61E-2</v>
      </c>
      <c r="K3" s="1">
        <f>'Feb 2022'!I6</f>
        <v>417</v>
      </c>
      <c r="L3" s="10">
        <v>0.75</v>
      </c>
      <c r="M3" s="10">
        <f>'Feb 2022'!L6</f>
        <v>0</v>
      </c>
      <c r="N3" s="10">
        <v>0.56299999999999994</v>
      </c>
      <c r="O3" s="14">
        <f>'Feb 2022'!D6</f>
        <v>234</v>
      </c>
    </row>
    <row r="4" spans="1:17" x14ac:dyDescent="0.2">
      <c r="A4" t="s">
        <v>19</v>
      </c>
      <c r="B4">
        <f t="shared" ref="B4:B29" si="0">B3+1</f>
        <v>3</v>
      </c>
      <c r="C4" s="5">
        <v>2</v>
      </c>
      <c r="D4">
        <v>2022</v>
      </c>
      <c r="E4" s="14">
        <f>'Feb 2022'!F7</f>
        <v>206807</v>
      </c>
      <c r="F4" s="10">
        <v>2.9000000000000001E-2</v>
      </c>
      <c r="G4" s="1">
        <f>'Feb 2022'!J7</f>
        <v>2970</v>
      </c>
      <c r="H4" s="10">
        <v>0.112</v>
      </c>
      <c r="I4" s="1">
        <f>'Feb 2022'!G7*1000</f>
        <v>30000</v>
      </c>
      <c r="J4" s="10">
        <v>3.61E-2</v>
      </c>
      <c r="K4" s="1">
        <f>'Feb 2022'!I7</f>
        <v>453</v>
      </c>
      <c r="L4" s="10">
        <v>0.75</v>
      </c>
      <c r="M4" s="10">
        <f>'Feb 2022'!L7</f>
        <v>66</v>
      </c>
      <c r="N4" s="10">
        <v>0.56299999999999994</v>
      </c>
      <c r="O4" s="14">
        <f>'Feb 2022'!D7</f>
        <v>244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2022</v>
      </c>
      <c r="E5" s="14">
        <f>'Feb 2022'!F8</f>
        <v>206837</v>
      </c>
      <c r="F5" s="10">
        <v>2.9000000000000001E-2</v>
      </c>
      <c r="G5" s="1">
        <f>'Feb 2022'!J8</f>
        <v>2970</v>
      </c>
      <c r="H5" s="10">
        <v>0.112</v>
      </c>
      <c r="I5" s="1">
        <f>'Feb 2022'!G8*1000</f>
        <v>33000</v>
      </c>
      <c r="J5" s="10">
        <v>3.61E-2</v>
      </c>
      <c r="K5" s="1">
        <f>'Feb 2022'!I8</f>
        <v>454</v>
      </c>
      <c r="L5" s="10">
        <v>0.75</v>
      </c>
      <c r="M5" s="10">
        <f>'Feb 2022'!L8</f>
        <v>0</v>
      </c>
      <c r="N5" s="10">
        <v>0.56299999999999994</v>
      </c>
      <c r="O5" s="14">
        <f>'Feb 2022'!D8</f>
        <v>172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2022</v>
      </c>
      <c r="E6" s="14">
        <f>'Feb 2022'!F9</f>
        <v>206870</v>
      </c>
      <c r="F6" s="10">
        <v>2.9000000000000001E-2</v>
      </c>
      <c r="G6" s="1">
        <f>'Feb 2022'!J9</f>
        <v>2970</v>
      </c>
      <c r="H6" s="10">
        <v>0.112</v>
      </c>
      <c r="I6" s="1">
        <f>'Feb 2022'!G9*1000</f>
        <v>28000</v>
      </c>
      <c r="J6" s="10">
        <v>3.61E-2</v>
      </c>
      <c r="K6" s="1">
        <f>'Feb 2022'!I9</f>
        <v>454</v>
      </c>
      <c r="L6" s="10">
        <v>0.75</v>
      </c>
      <c r="M6" s="10">
        <f>'Feb 2022'!L9</f>
        <v>0</v>
      </c>
      <c r="N6" s="10">
        <v>0.56299999999999994</v>
      </c>
      <c r="O6" s="14">
        <f>'Feb 2022'!D9</f>
        <v>80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2022</v>
      </c>
      <c r="E7" s="14">
        <f>'Feb 2022'!E10</f>
        <v>34780</v>
      </c>
      <c r="F7" s="10">
        <v>2.9000000000000001E-2</v>
      </c>
      <c r="G7" s="1">
        <v>0</v>
      </c>
      <c r="H7" s="10">
        <v>0.112</v>
      </c>
      <c r="I7" s="1">
        <f>'Feb 2022'!G10*1000</f>
        <v>24000</v>
      </c>
      <c r="J7" s="10">
        <v>3.61E-2</v>
      </c>
      <c r="K7" s="1">
        <f>'Feb 2022'!I10</f>
        <v>454</v>
      </c>
      <c r="L7" s="10">
        <v>0.75</v>
      </c>
      <c r="M7" s="10">
        <f>'Feb 2022'!L10</f>
        <v>29</v>
      </c>
      <c r="N7" s="10">
        <v>0.56299999999999994</v>
      </c>
      <c r="O7" s="14">
        <f>'Feb 2022'!D10</f>
        <v>57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2022</v>
      </c>
      <c r="E8" s="14">
        <f>'Feb 2022'!E11</f>
        <v>33999</v>
      </c>
      <c r="F8" s="10">
        <v>2.9000000000000001E-2</v>
      </c>
      <c r="G8" s="1">
        <f>'Feb 2022'!J11</f>
        <v>2970</v>
      </c>
      <c r="H8" s="10">
        <v>0.112</v>
      </c>
      <c r="I8" s="1">
        <f>'Feb 2022'!G11*1000</f>
        <v>22000</v>
      </c>
      <c r="J8" s="10">
        <v>3.61E-2</v>
      </c>
      <c r="K8" s="1">
        <f>'Feb 2022'!I11</f>
        <v>335</v>
      </c>
      <c r="L8" s="10">
        <v>0.75</v>
      </c>
      <c r="M8" s="10">
        <f>'Feb 2022'!L11</f>
        <v>107</v>
      </c>
      <c r="N8" s="10">
        <v>0.56299999999999994</v>
      </c>
      <c r="O8" s="14">
        <f>'Feb 2022'!D11</f>
        <v>66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2022</v>
      </c>
      <c r="E9" s="14">
        <f>'Feb 2022'!E12</f>
        <v>35444</v>
      </c>
      <c r="F9" s="10">
        <v>2.9000000000000001E-2</v>
      </c>
      <c r="G9" s="1">
        <f>'Feb 2022'!J12</f>
        <v>0</v>
      </c>
      <c r="H9" s="10">
        <v>0.112</v>
      </c>
      <c r="I9" s="1">
        <f>'Feb 2022'!G12*1000</f>
        <v>24000</v>
      </c>
      <c r="J9" s="10">
        <v>3.61E-2</v>
      </c>
      <c r="K9" s="1">
        <f>'Feb 2022'!I12</f>
        <v>324</v>
      </c>
      <c r="L9" s="10">
        <v>0.75</v>
      </c>
      <c r="M9" s="10">
        <f>'Feb 2022'!L12</f>
        <v>99</v>
      </c>
      <c r="N9" s="10">
        <v>0.56299999999999994</v>
      </c>
      <c r="O9" s="14">
        <f>'Feb 2022'!D12</f>
        <v>83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2022</v>
      </c>
      <c r="E10" s="14">
        <f>'Feb 2022'!E13</f>
        <v>34441</v>
      </c>
      <c r="F10" s="10">
        <v>2.9000000000000001E-2</v>
      </c>
      <c r="G10" s="1">
        <f>'Feb 2022'!J13</f>
        <v>2970</v>
      </c>
      <c r="H10" s="10">
        <v>0.112</v>
      </c>
      <c r="I10" s="1">
        <f>'Feb 2022'!G13*1000</f>
        <v>27000</v>
      </c>
      <c r="J10" s="10">
        <v>3.61E-2</v>
      </c>
      <c r="K10" s="1">
        <f>'Feb 2022'!I13</f>
        <v>336</v>
      </c>
      <c r="L10" s="10">
        <v>0.75</v>
      </c>
      <c r="M10" s="10">
        <f>'Feb 2022'!L13</f>
        <v>107</v>
      </c>
      <c r="N10" s="10">
        <v>0.56299999999999994</v>
      </c>
      <c r="O10" s="14">
        <f>'Feb 2022'!D13</f>
        <v>110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2022</v>
      </c>
      <c r="E11" s="14">
        <f>'Feb 2022'!E14</f>
        <v>35098</v>
      </c>
      <c r="F11" s="10">
        <v>2.9000000000000001E-2</v>
      </c>
      <c r="G11" s="1">
        <f>'Feb 2022'!J14</f>
        <v>2970</v>
      </c>
      <c r="H11" s="10">
        <v>0.112</v>
      </c>
      <c r="I11" s="1">
        <f>'Feb 2022'!G14*1000</f>
        <v>28000</v>
      </c>
      <c r="J11" s="10">
        <v>3.61E-2</v>
      </c>
      <c r="K11" s="1">
        <f>'Feb 2022'!I14</f>
        <v>357</v>
      </c>
      <c r="L11" s="10">
        <v>0.75</v>
      </c>
      <c r="M11" s="10">
        <f>'Feb 2022'!L14</f>
        <v>107</v>
      </c>
      <c r="N11" s="10">
        <v>0.56299999999999994</v>
      </c>
      <c r="O11" s="14">
        <f>'Feb 2022'!D14</f>
        <v>149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2022</v>
      </c>
      <c r="E12" s="14">
        <f>'Feb 2022'!E15</f>
        <v>34857</v>
      </c>
      <c r="F12" s="10">
        <v>2.9000000000000001E-2</v>
      </c>
      <c r="G12" s="1">
        <f>'Feb 2022'!J15</f>
        <v>2970</v>
      </c>
      <c r="H12" s="10">
        <v>0.112</v>
      </c>
      <c r="I12" s="1">
        <f>'Feb 2022'!G15*1000</f>
        <v>33000</v>
      </c>
      <c r="J12" s="10">
        <v>3.61E-2</v>
      </c>
      <c r="K12" s="1">
        <f>'Feb 2022'!I15</f>
        <v>401</v>
      </c>
      <c r="L12" s="10">
        <v>0.75</v>
      </c>
      <c r="M12" s="10">
        <f>'Feb 2022'!L15</f>
        <v>27</v>
      </c>
      <c r="N12" s="10">
        <v>0.56299999999999994</v>
      </c>
      <c r="O12" s="14">
        <f>'Feb 2022'!D15</f>
        <v>135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2022</v>
      </c>
      <c r="E13" s="14">
        <f>'Feb 2022'!E16</f>
        <v>34678</v>
      </c>
      <c r="F13" s="10">
        <v>2.9000000000000001E-2</v>
      </c>
      <c r="G13" s="1">
        <f>'Feb 2022'!J16</f>
        <v>2970</v>
      </c>
      <c r="H13" s="10">
        <v>0.112</v>
      </c>
      <c r="I13" s="1">
        <f>'Feb 2022'!G16*1000</f>
        <v>29000</v>
      </c>
      <c r="J13" s="10">
        <v>3.61E-2</v>
      </c>
      <c r="K13" s="1">
        <f>'Feb 2022'!I16</f>
        <v>426</v>
      </c>
      <c r="L13" s="10">
        <v>0.75</v>
      </c>
      <c r="M13" s="10">
        <f>'Feb 2022'!L16</f>
        <v>53</v>
      </c>
      <c r="N13" s="10">
        <v>0.56299999999999994</v>
      </c>
      <c r="O13" s="14">
        <f>'Feb 2022'!D16</f>
        <v>114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2022</v>
      </c>
      <c r="E14" s="14">
        <f>'Feb 2022'!E17</f>
        <v>34105</v>
      </c>
      <c r="F14" s="10">
        <v>2.9000000000000001E-2</v>
      </c>
      <c r="G14" s="1">
        <f>'Feb 2022'!J17</f>
        <v>0</v>
      </c>
      <c r="H14" s="10">
        <v>0.112</v>
      </c>
      <c r="I14" s="1">
        <f>'Feb 2022'!G17*1000</f>
        <v>25000</v>
      </c>
      <c r="J14" s="10">
        <v>3.61E-2</v>
      </c>
      <c r="K14" s="1">
        <f>'Feb 2022'!I17</f>
        <v>367</v>
      </c>
      <c r="L14" s="10">
        <v>0.75</v>
      </c>
      <c r="M14" s="10">
        <f>'Feb 2022'!L17</f>
        <v>78</v>
      </c>
      <c r="N14" s="10">
        <v>0.56299999999999994</v>
      </c>
      <c r="O14" s="14">
        <f>'Feb 2022'!D17</f>
        <v>166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2022</v>
      </c>
      <c r="E15" s="14">
        <f>'Feb 2022'!E18</f>
        <v>36001</v>
      </c>
      <c r="F15" s="10">
        <v>2.9000000000000001E-2</v>
      </c>
      <c r="G15" s="1">
        <f>'Feb 2022'!J18</f>
        <v>2970</v>
      </c>
      <c r="H15" s="10">
        <v>0.112</v>
      </c>
      <c r="I15" s="1">
        <f>'Feb 2022'!G18*1000</f>
        <v>30000</v>
      </c>
      <c r="J15" s="10">
        <v>3.61E-2</v>
      </c>
      <c r="K15" s="1">
        <f>'Feb 2022'!I18</f>
        <v>367</v>
      </c>
      <c r="L15" s="10">
        <v>0.75</v>
      </c>
      <c r="M15" s="10">
        <f>'Feb 2022'!L18</f>
        <v>86</v>
      </c>
      <c r="N15" s="10">
        <v>0.56299999999999994</v>
      </c>
      <c r="O15" s="14">
        <f>'Feb 2022'!D17</f>
        <v>166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2022</v>
      </c>
      <c r="E16" s="14">
        <f>'Feb 2022'!E19</f>
        <v>37392</v>
      </c>
      <c r="F16" s="10">
        <v>2.9000000000000001E-2</v>
      </c>
      <c r="G16" s="1">
        <f>'Feb 2022'!J19</f>
        <v>2970</v>
      </c>
      <c r="H16" s="10">
        <v>0.112</v>
      </c>
      <c r="I16" s="1">
        <f>'Feb 2022'!G20*1000</f>
        <v>28000</v>
      </c>
      <c r="J16" s="10">
        <v>3.61E-2</v>
      </c>
      <c r="K16" s="1">
        <f>'Feb 2022'!I19</f>
        <v>461</v>
      </c>
      <c r="L16" s="10">
        <v>0.75</v>
      </c>
      <c r="M16" s="10">
        <f>'Feb 2022'!L19</f>
        <v>35</v>
      </c>
      <c r="N16" s="10">
        <v>0.56299999999999994</v>
      </c>
      <c r="O16" s="14">
        <f>'Feb 2022'!D18</f>
        <v>233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2022</v>
      </c>
      <c r="E17" s="14">
        <f>'Feb 2022'!E20</f>
        <v>35259</v>
      </c>
      <c r="F17" s="10">
        <v>2.9000000000000001E-2</v>
      </c>
      <c r="G17" s="1">
        <f>'Feb 2022'!J21</f>
        <v>2970</v>
      </c>
      <c r="H17" s="10">
        <v>0.112</v>
      </c>
      <c r="I17" s="1">
        <f>'Feb 2022'!G21*1000</f>
        <v>32000</v>
      </c>
      <c r="J17" s="10">
        <v>3.61E-2</v>
      </c>
      <c r="K17" s="1">
        <f>'Feb 2022'!I20</f>
        <v>454</v>
      </c>
      <c r="L17" s="10">
        <v>0.75</v>
      </c>
      <c r="M17" s="10">
        <f>'Feb 2022'!L20</f>
        <v>64</v>
      </c>
      <c r="N17" s="10">
        <v>0.56299999999999994</v>
      </c>
      <c r="O17" s="14">
        <f>'Feb 2022'!D20</f>
        <v>102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2022</v>
      </c>
      <c r="E18" s="14">
        <f>'Feb 2022'!E21</f>
        <v>36098</v>
      </c>
      <c r="F18" s="10">
        <v>2.9000000000000001E-2</v>
      </c>
      <c r="G18" s="1">
        <f>'Feb 2022'!J22</f>
        <v>0</v>
      </c>
      <c r="H18" s="10">
        <v>0.112</v>
      </c>
      <c r="I18" s="1">
        <f>'Feb 2022'!G22*1000</f>
        <v>32000</v>
      </c>
      <c r="J18" s="10">
        <v>3.61E-2</v>
      </c>
      <c r="K18" s="1">
        <f>'Feb 2022'!I21</f>
        <v>402</v>
      </c>
      <c r="L18" s="10">
        <v>0.75</v>
      </c>
      <c r="M18" s="10">
        <f>'Feb 2022'!L21</f>
        <v>77</v>
      </c>
      <c r="N18" s="10">
        <v>0.56299999999999994</v>
      </c>
      <c r="O18" s="14">
        <f>'Feb 2022'!D21</f>
        <v>128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2022</v>
      </c>
      <c r="E19" s="14">
        <f>'Feb 2022'!E22</f>
        <v>35768</v>
      </c>
      <c r="F19" s="10">
        <v>2.9000000000000001E-2</v>
      </c>
      <c r="G19" s="1">
        <f>'Feb 2022'!J22</f>
        <v>0</v>
      </c>
      <c r="H19" s="10">
        <v>0.112</v>
      </c>
      <c r="I19" s="1">
        <f>'Feb 2022'!G23*1000</f>
        <v>35000</v>
      </c>
      <c r="J19" s="10">
        <v>3.61E-2</v>
      </c>
      <c r="K19" s="1">
        <f>'Feb 2022'!I22</f>
        <v>460</v>
      </c>
      <c r="L19" s="10">
        <v>0.75</v>
      </c>
      <c r="M19" s="10">
        <f>'Feb 2022'!L22</f>
        <v>26</v>
      </c>
      <c r="N19" s="10">
        <v>0.56299999999999994</v>
      </c>
      <c r="O19" s="14">
        <f>'Feb 2022'!D22</f>
        <v>141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2022</v>
      </c>
      <c r="E20" s="14">
        <f>'Feb 2022'!E23</f>
        <v>36608</v>
      </c>
      <c r="F20" s="10">
        <v>2.9000000000000001E-2</v>
      </c>
      <c r="G20" s="1">
        <f>'Feb 2022'!J23</f>
        <v>2970</v>
      </c>
      <c r="H20" s="10">
        <v>0.112</v>
      </c>
      <c r="I20" s="1">
        <f>'Feb 2022'!G24*1000</f>
        <v>34000</v>
      </c>
      <c r="J20" s="10">
        <v>3.61E-2</v>
      </c>
      <c r="K20" s="1">
        <f>'Feb 2022'!I23</f>
        <v>435</v>
      </c>
      <c r="L20" s="10">
        <v>0.75</v>
      </c>
      <c r="M20" s="10">
        <f>'Feb 2022'!L23</f>
        <v>64</v>
      </c>
      <c r="N20" s="10">
        <v>0.56299999999999994</v>
      </c>
      <c r="O20" s="14">
        <f>'Feb 2022'!D23</f>
        <v>131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2022</v>
      </c>
      <c r="E21" s="14">
        <f>'Feb 2022'!E24</f>
        <v>35177</v>
      </c>
      <c r="F21" s="10">
        <v>2.9000000000000001E-2</v>
      </c>
      <c r="G21" s="1">
        <f>'Feb 2022'!J23</f>
        <v>2970</v>
      </c>
      <c r="H21" s="10">
        <v>0.112</v>
      </c>
      <c r="I21" s="1">
        <f>'Feb 2022'!G25*1000</f>
        <v>28000</v>
      </c>
      <c r="J21" s="10">
        <v>3.61E-2</v>
      </c>
      <c r="K21" s="1">
        <f>'Feb 2022'!I23</f>
        <v>435</v>
      </c>
      <c r="L21" s="10">
        <v>0.75</v>
      </c>
      <c r="M21" s="10">
        <f>'Feb 2022'!L24</f>
        <v>34</v>
      </c>
      <c r="N21" s="10">
        <v>0.56299999999999994</v>
      </c>
      <c r="O21" s="14">
        <f>'Feb 2022'!D24</f>
        <v>103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2022</v>
      </c>
      <c r="E22" s="14">
        <f>'Feb 2022'!E25</f>
        <v>31831</v>
      </c>
      <c r="F22" s="10">
        <v>2.9000000000000001E-2</v>
      </c>
      <c r="G22" s="1">
        <f>'Feb 2022'!J24</f>
        <v>2970</v>
      </c>
      <c r="H22" s="10">
        <v>0.112</v>
      </c>
      <c r="I22" s="1">
        <f>'Feb 2022'!G26*1000</f>
        <v>0</v>
      </c>
      <c r="J22" s="10">
        <v>3.61E-2</v>
      </c>
      <c r="K22" s="1">
        <f>'Feb 2022'!I24</f>
        <v>394</v>
      </c>
      <c r="L22" s="10">
        <v>0.75</v>
      </c>
      <c r="M22" s="10">
        <f>'Feb 2022'!L25</f>
        <v>125</v>
      </c>
      <c r="N22" s="10">
        <v>0.56299999999999994</v>
      </c>
      <c r="O22" s="14">
        <f>'Feb 2022'!D25</f>
        <v>141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2022</v>
      </c>
      <c r="E23" s="14">
        <f>'Feb 2022'!E26</f>
        <v>0</v>
      </c>
      <c r="F23" s="10">
        <v>2.9000000000000001E-2</v>
      </c>
      <c r="G23" s="1">
        <f>'Feb 2022'!J25</f>
        <v>2970</v>
      </c>
      <c r="H23" s="10">
        <v>0.112</v>
      </c>
      <c r="I23" s="1">
        <f>'Feb 2022'!G27*1000</f>
        <v>0</v>
      </c>
      <c r="J23" s="10">
        <v>3.61E-2</v>
      </c>
      <c r="K23" s="1">
        <f>'Feb 2022'!I26</f>
        <v>0</v>
      </c>
      <c r="L23" s="10">
        <v>0.75</v>
      </c>
      <c r="M23" s="10">
        <f>'Feb 2022'!L26</f>
        <v>0</v>
      </c>
      <c r="N23" s="10">
        <v>0.56299999999999994</v>
      </c>
      <c r="O23" s="14">
        <f>'Feb 2022'!D26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2022</v>
      </c>
      <c r="E24" s="14">
        <f>'Feb 2022'!E27</f>
        <v>0</v>
      </c>
      <c r="F24" s="10">
        <v>2.9000000000000001E-2</v>
      </c>
      <c r="G24" s="1">
        <f>'Feb 2022'!J27</f>
        <v>0</v>
      </c>
      <c r="H24" s="10">
        <v>0.112</v>
      </c>
      <c r="I24" s="1">
        <f>'Feb 2022'!G27*1000</f>
        <v>0</v>
      </c>
      <c r="J24" s="10">
        <v>3.61E-2</v>
      </c>
      <c r="K24" s="1">
        <f>'Feb 2022'!I27</f>
        <v>0</v>
      </c>
      <c r="L24" s="10">
        <v>0.75</v>
      </c>
      <c r="M24" s="10">
        <f>'Feb 2022'!L27</f>
        <v>0</v>
      </c>
      <c r="N24" s="10">
        <v>0.56299999999999994</v>
      </c>
      <c r="O24" s="14">
        <f>'Feb 2022'!D27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2022</v>
      </c>
      <c r="E25" s="14">
        <f>'Feb 2022'!E28</f>
        <v>0</v>
      </c>
      <c r="F25" s="10">
        <v>2.9000000000000001E-2</v>
      </c>
      <c r="G25" s="1">
        <f>'Feb 2022'!J28</f>
        <v>0</v>
      </c>
      <c r="H25" s="10">
        <v>0.112</v>
      </c>
      <c r="I25" s="1">
        <f>'Feb 2022'!G28*1000</f>
        <v>0</v>
      </c>
      <c r="J25" s="10">
        <v>3.61E-2</v>
      </c>
      <c r="K25" s="1">
        <f>'Feb 2022'!I28</f>
        <v>0</v>
      </c>
      <c r="L25" s="10">
        <v>0.75</v>
      </c>
      <c r="M25" s="10">
        <f>'Feb 2022'!L28</f>
        <v>0</v>
      </c>
      <c r="N25" s="10">
        <v>0.56299999999999994</v>
      </c>
      <c r="O25" s="14">
        <f>'Feb 2022'!D28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2022</v>
      </c>
      <c r="E26" s="14">
        <f>'Feb 2022'!E29</f>
        <v>0</v>
      </c>
      <c r="F26" s="10">
        <v>2.9000000000000001E-2</v>
      </c>
      <c r="G26" s="1">
        <f>'Feb 2022'!J29</f>
        <v>0</v>
      </c>
      <c r="H26" s="10">
        <v>0.112</v>
      </c>
      <c r="I26" s="1">
        <f>'Feb 2022'!G29*1000</f>
        <v>0</v>
      </c>
      <c r="J26" s="10">
        <v>3.61E-2</v>
      </c>
      <c r="K26" s="1">
        <f>'Feb 2022'!I29</f>
        <v>0</v>
      </c>
      <c r="L26" s="10">
        <v>0.75</v>
      </c>
      <c r="M26" s="10">
        <f>'Feb 2022'!L29</f>
        <v>0</v>
      </c>
      <c r="N26" s="10">
        <v>0.56299999999999994</v>
      </c>
      <c r="O26" s="14">
        <f>'Feb 2022'!D29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2022</v>
      </c>
      <c r="E27" s="14">
        <f>'Feb 2022'!E30</f>
        <v>0</v>
      </c>
      <c r="F27" s="10">
        <v>2.9000000000000001E-2</v>
      </c>
      <c r="G27" s="1">
        <f>'Feb 2022'!J30</f>
        <v>0</v>
      </c>
      <c r="H27" s="10">
        <v>0.112</v>
      </c>
      <c r="I27" s="1">
        <f>'Feb 2022'!G30*1000</f>
        <v>0</v>
      </c>
      <c r="J27" s="10">
        <v>3.61E-2</v>
      </c>
      <c r="K27" s="1">
        <f>'Feb 2022'!I30</f>
        <v>0</v>
      </c>
      <c r="L27" s="10">
        <v>0.75</v>
      </c>
      <c r="M27" s="10">
        <f>'Feb 2022'!L30</f>
        <v>0</v>
      </c>
      <c r="N27" s="10">
        <v>0.56299999999999994</v>
      </c>
      <c r="O27" s="14">
        <f>'Feb 2022'!D30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2022</v>
      </c>
      <c r="E28" s="14">
        <f>'Feb 2022'!E31</f>
        <v>0</v>
      </c>
      <c r="F28" s="10">
        <v>2.9000000000000001E-2</v>
      </c>
      <c r="G28" s="1">
        <f>'Feb 2022'!J31</f>
        <v>0</v>
      </c>
      <c r="H28" s="10">
        <v>0.112</v>
      </c>
      <c r="I28" s="1">
        <f>'Feb 2022'!G31*1000</f>
        <v>0</v>
      </c>
      <c r="J28" s="10">
        <v>3.61E-2</v>
      </c>
      <c r="K28" s="1">
        <f>'Feb 2022'!I31</f>
        <v>0</v>
      </c>
      <c r="L28" s="10">
        <v>0.75</v>
      </c>
      <c r="M28" s="10">
        <f>'Feb 2022'!L31</f>
        <v>0</v>
      </c>
      <c r="N28" s="10">
        <v>0.56299999999999994</v>
      </c>
      <c r="O28" s="14">
        <f>'Feb 2022'!D31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2022</v>
      </c>
      <c r="E29" s="14">
        <f>'Feb 2022'!E32</f>
        <v>0</v>
      </c>
      <c r="F29" s="10">
        <v>2.9000000000000001E-2</v>
      </c>
      <c r="G29" s="1">
        <f>'Feb 2022'!J32</f>
        <v>0</v>
      </c>
      <c r="H29" s="10">
        <v>0.112</v>
      </c>
      <c r="I29" s="1">
        <f>'Feb 2022'!G32*1000</f>
        <v>0</v>
      </c>
      <c r="J29" s="10">
        <v>3.61E-2</v>
      </c>
      <c r="K29" s="1">
        <f>'Feb 2022'!I32</f>
        <v>0</v>
      </c>
      <c r="L29" s="10">
        <v>0.75</v>
      </c>
      <c r="M29" s="10">
        <f>'Feb 2022'!L32</f>
        <v>0</v>
      </c>
      <c r="N29" s="10">
        <v>0.56299999999999994</v>
      </c>
      <c r="O29" s="14">
        <f>'Feb 2022'!D32</f>
        <v>0</v>
      </c>
    </row>
    <row r="30" spans="1:15" x14ac:dyDescent="0.2">
      <c r="A30" t="s">
        <v>19</v>
      </c>
      <c r="C30" s="5">
        <v>2</v>
      </c>
      <c r="D30">
        <v>2022</v>
      </c>
      <c r="E30" s="14">
        <f>'Feb 2022'!E33</f>
        <v>0</v>
      </c>
      <c r="F30" s="10">
        <v>2.9000000000000001E-2</v>
      </c>
      <c r="G30" s="1">
        <f>'Feb 2022'!J33</f>
        <v>0</v>
      </c>
      <c r="H30" s="10">
        <v>0.112</v>
      </c>
      <c r="I30" s="1">
        <f>'Feb 2022'!G33*1000</f>
        <v>0</v>
      </c>
      <c r="J30" s="10">
        <v>3.61E-2</v>
      </c>
      <c r="K30" s="1">
        <f>'Feb 2022'!I33</f>
        <v>0</v>
      </c>
      <c r="L30" s="10">
        <v>0.75</v>
      </c>
      <c r="M30" s="10">
        <f>'Feb 2022'!L33</f>
        <v>0</v>
      </c>
      <c r="N30" s="10">
        <v>0.56299999999999994</v>
      </c>
      <c r="O30" s="14">
        <f>'Feb 2022'!D33</f>
        <v>0</v>
      </c>
    </row>
    <row r="31" spans="1:15" x14ac:dyDescent="0.2">
      <c r="A31" t="s">
        <v>19</v>
      </c>
      <c r="C31" s="5">
        <v>2</v>
      </c>
      <c r="D31">
        <v>2022</v>
      </c>
      <c r="E31" s="14">
        <f>'Feb 2022'!E34</f>
        <v>0</v>
      </c>
      <c r="F31" s="10">
        <v>2.9000000000000001E-2</v>
      </c>
      <c r="G31" s="1">
        <f>'Feb 2022'!J34</f>
        <v>0</v>
      </c>
      <c r="H31" s="10">
        <v>0.112</v>
      </c>
      <c r="I31" s="1">
        <f>'Feb 2022'!G34*1000</f>
        <v>0</v>
      </c>
      <c r="J31" s="10">
        <v>3.61E-2</v>
      </c>
      <c r="K31" s="1">
        <f>'Feb 2022'!I34</f>
        <v>0</v>
      </c>
      <c r="L31" s="10">
        <v>0.75</v>
      </c>
      <c r="M31" s="10">
        <f>'Feb 2022'!L34</f>
        <v>0</v>
      </c>
      <c r="N31" s="10">
        <v>0.56299999999999994</v>
      </c>
      <c r="O31" s="14">
        <f>'Feb 2022'!D34</f>
        <v>0</v>
      </c>
    </row>
    <row r="32" spans="1:15" x14ac:dyDescent="0.2">
      <c r="A32" t="s">
        <v>19</v>
      </c>
      <c r="C32" s="5">
        <v>2</v>
      </c>
      <c r="D32">
        <v>2022</v>
      </c>
      <c r="E32" s="14">
        <f>'Feb 2022'!E35</f>
        <v>0</v>
      </c>
      <c r="F32" s="10">
        <v>2.9000000000000001E-2</v>
      </c>
      <c r="G32" s="1">
        <f>'Feb 2022'!J35</f>
        <v>0</v>
      </c>
      <c r="H32" s="10">
        <v>0.112</v>
      </c>
      <c r="I32" s="1">
        <f>'Feb 2022'!G35*1000</f>
        <v>0</v>
      </c>
      <c r="J32" s="10">
        <v>3.61E-2</v>
      </c>
      <c r="K32" s="1">
        <f>'Feb 2022'!I35</f>
        <v>0</v>
      </c>
      <c r="L32" s="10">
        <v>0.75</v>
      </c>
      <c r="M32" s="10">
        <f>'Feb 2022'!L35</f>
        <v>0</v>
      </c>
      <c r="N32" s="10">
        <v>0.56299999999999994</v>
      </c>
      <c r="O32" s="14">
        <f>'Feb 2022'!D35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J29" sqref="J2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2" t="s">
        <v>18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4" ht="15" x14ac:dyDescent="0.2">
      <c r="B3" s="43" t="s">
        <v>16</v>
      </c>
      <c r="C3" s="45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4"/>
      <c r="C4" s="46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44593</v>
      </c>
      <c r="D5" s="7">
        <v>146</v>
      </c>
      <c r="E5" s="4">
        <v>34789</v>
      </c>
      <c r="F5" s="12">
        <v>206754</v>
      </c>
      <c r="G5" s="8">
        <f>F6-F5</f>
        <v>27</v>
      </c>
      <c r="H5" s="4">
        <v>582171</v>
      </c>
      <c r="I5" s="3">
        <f>H6-H5</f>
        <v>414</v>
      </c>
      <c r="J5" s="3">
        <v>0</v>
      </c>
      <c r="K5" s="4">
        <v>322571</v>
      </c>
      <c r="L5" s="9">
        <f>K6-K5</f>
        <v>0</v>
      </c>
      <c r="N5" s="1"/>
    </row>
    <row r="6" spans="1:14" x14ac:dyDescent="0.2">
      <c r="B6" s="2">
        <v>2</v>
      </c>
      <c r="C6" s="11">
        <v>44594</v>
      </c>
      <c r="D6" s="7">
        <v>234</v>
      </c>
      <c r="E6" s="4">
        <v>34765</v>
      </c>
      <c r="F6" s="12">
        <v>206781</v>
      </c>
      <c r="G6" s="8">
        <f t="shared" ref="G6:G25" si="0">F7-F6</f>
        <v>26</v>
      </c>
      <c r="H6" s="4">
        <v>582585</v>
      </c>
      <c r="I6" s="3">
        <f t="shared" ref="I6:I23" si="1">H7-H6</f>
        <v>417</v>
      </c>
      <c r="J6" s="3">
        <v>2970</v>
      </c>
      <c r="K6" s="4">
        <v>322571</v>
      </c>
      <c r="L6" s="9">
        <f t="shared" ref="L6:L25" si="2">K7-K6</f>
        <v>0</v>
      </c>
      <c r="N6" s="1"/>
    </row>
    <row r="7" spans="1:14" x14ac:dyDescent="0.2">
      <c r="B7" s="2">
        <v>3</v>
      </c>
      <c r="C7" s="11">
        <v>44595</v>
      </c>
      <c r="D7" s="7">
        <v>244</v>
      </c>
      <c r="E7" s="4">
        <v>33267</v>
      </c>
      <c r="F7" s="12">
        <v>206807</v>
      </c>
      <c r="G7" s="8">
        <f t="shared" si="0"/>
        <v>30</v>
      </c>
      <c r="H7" s="7">
        <v>583002</v>
      </c>
      <c r="I7" s="3">
        <f>H8-H7</f>
        <v>453</v>
      </c>
      <c r="J7" s="3">
        <v>2970</v>
      </c>
      <c r="K7" s="4">
        <v>322571</v>
      </c>
      <c r="L7" s="9">
        <f t="shared" si="2"/>
        <v>66</v>
      </c>
      <c r="N7" s="1"/>
    </row>
    <row r="8" spans="1:14" x14ac:dyDescent="0.2">
      <c r="B8" s="2">
        <v>4</v>
      </c>
      <c r="C8" s="11">
        <v>44596</v>
      </c>
      <c r="D8" s="7">
        <v>172</v>
      </c>
      <c r="E8" s="4">
        <v>35678</v>
      </c>
      <c r="F8" s="12">
        <v>206837</v>
      </c>
      <c r="G8" s="8">
        <f t="shared" si="0"/>
        <v>33</v>
      </c>
      <c r="H8" s="7">
        <v>583455</v>
      </c>
      <c r="I8" s="3">
        <f>H9-H8</f>
        <v>454</v>
      </c>
      <c r="J8" s="3">
        <v>2970</v>
      </c>
      <c r="K8" s="4">
        <v>322637</v>
      </c>
      <c r="L8" s="9">
        <f t="shared" si="2"/>
        <v>0</v>
      </c>
      <c r="N8" s="1"/>
    </row>
    <row r="9" spans="1:14" ht="12" customHeight="1" x14ac:dyDescent="0.2">
      <c r="B9" s="2">
        <v>5</v>
      </c>
      <c r="C9" s="11">
        <v>44597</v>
      </c>
      <c r="D9" s="7">
        <v>80</v>
      </c>
      <c r="E9" s="4">
        <v>35421</v>
      </c>
      <c r="F9" s="12">
        <v>206870</v>
      </c>
      <c r="G9" s="8">
        <f t="shared" si="0"/>
        <v>28</v>
      </c>
      <c r="H9" s="27">
        <v>583909</v>
      </c>
      <c r="I9" s="3">
        <f t="shared" si="1"/>
        <v>454</v>
      </c>
      <c r="J9" s="3">
        <v>2970</v>
      </c>
      <c r="K9" s="4">
        <v>322637</v>
      </c>
      <c r="L9" s="9">
        <f t="shared" si="2"/>
        <v>0</v>
      </c>
      <c r="N9" s="1"/>
    </row>
    <row r="10" spans="1:14" x14ac:dyDescent="0.2">
      <c r="B10" s="2">
        <v>6</v>
      </c>
      <c r="C10" s="11">
        <v>44598</v>
      </c>
      <c r="D10" s="7">
        <v>57</v>
      </c>
      <c r="E10" s="7">
        <v>34780</v>
      </c>
      <c r="F10" s="40">
        <v>206898</v>
      </c>
      <c r="G10" s="8">
        <f t="shared" si="0"/>
        <v>24</v>
      </c>
      <c r="H10" s="7">
        <v>584363</v>
      </c>
      <c r="I10" s="3">
        <f t="shared" si="1"/>
        <v>454</v>
      </c>
      <c r="J10" s="3">
        <v>2970</v>
      </c>
      <c r="K10" s="4">
        <v>322637</v>
      </c>
      <c r="L10" s="9">
        <f t="shared" si="2"/>
        <v>29</v>
      </c>
      <c r="N10" s="1"/>
    </row>
    <row r="11" spans="1:14" x14ac:dyDescent="0.2">
      <c r="B11" s="2">
        <v>7</v>
      </c>
      <c r="C11" s="11">
        <v>44599</v>
      </c>
      <c r="D11" s="7">
        <v>66</v>
      </c>
      <c r="E11" s="7">
        <v>33999</v>
      </c>
      <c r="F11" s="40">
        <v>206922</v>
      </c>
      <c r="G11" s="8">
        <f t="shared" si="0"/>
        <v>22</v>
      </c>
      <c r="H11" s="7">
        <v>584817</v>
      </c>
      <c r="I11" s="3">
        <f t="shared" si="1"/>
        <v>335</v>
      </c>
      <c r="J11" s="3">
        <v>2970</v>
      </c>
      <c r="K11" s="4">
        <v>322666</v>
      </c>
      <c r="L11" s="9">
        <f t="shared" si="2"/>
        <v>107</v>
      </c>
      <c r="N11" s="1"/>
    </row>
    <row r="12" spans="1:14" x14ac:dyDescent="0.2">
      <c r="B12" s="2">
        <v>8</v>
      </c>
      <c r="C12" s="11">
        <v>44600</v>
      </c>
      <c r="D12" s="7">
        <v>83</v>
      </c>
      <c r="E12" s="4">
        <v>35444</v>
      </c>
      <c r="F12" s="40">
        <v>206944</v>
      </c>
      <c r="G12" s="8">
        <f t="shared" si="0"/>
        <v>24</v>
      </c>
      <c r="H12" s="7">
        <v>585152</v>
      </c>
      <c r="I12" s="3">
        <f t="shared" si="1"/>
        <v>324</v>
      </c>
      <c r="J12" s="3">
        <v>0</v>
      </c>
      <c r="K12" s="4">
        <v>322773</v>
      </c>
      <c r="L12" s="9">
        <f t="shared" si="2"/>
        <v>99</v>
      </c>
      <c r="N12" s="1"/>
    </row>
    <row r="13" spans="1:14" x14ac:dyDescent="0.2">
      <c r="A13" t="s">
        <v>20</v>
      </c>
      <c r="B13" s="2">
        <v>9</v>
      </c>
      <c r="C13" s="11">
        <v>44601</v>
      </c>
      <c r="D13" s="7">
        <v>110</v>
      </c>
      <c r="E13" s="7">
        <v>34441</v>
      </c>
      <c r="F13" s="41">
        <v>206968</v>
      </c>
      <c r="G13" s="8">
        <f t="shared" si="0"/>
        <v>27</v>
      </c>
      <c r="H13" s="27">
        <v>585476</v>
      </c>
      <c r="I13" s="3">
        <f t="shared" si="1"/>
        <v>336</v>
      </c>
      <c r="J13" s="3">
        <v>2970</v>
      </c>
      <c r="K13" s="25">
        <v>322872</v>
      </c>
      <c r="L13" s="9">
        <f t="shared" si="2"/>
        <v>107</v>
      </c>
      <c r="N13" s="1"/>
    </row>
    <row r="14" spans="1:14" x14ac:dyDescent="0.2">
      <c r="B14" s="2">
        <v>10</v>
      </c>
      <c r="C14" s="11">
        <v>44602</v>
      </c>
      <c r="D14" s="7">
        <v>149</v>
      </c>
      <c r="E14" s="7">
        <v>35098</v>
      </c>
      <c r="F14" s="40">
        <v>206995</v>
      </c>
      <c r="G14" s="8">
        <f t="shared" si="0"/>
        <v>28</v>
      </c>
      <c r="H14" s="16">
        <v>585812</v>
      </c>
      <c r="I14" s="3">
        <f t="shared" si="1"/>
        <v>357</v>
      </c>
      <c r="J14" s="3">
        <v>2970</v>
      </c>
      <c r="K14" s="24">
        <v>322979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44603</v>
      </c>
      <c r="D15" s="7">
        <v>135</v>
      </c>
      <c r="E15" s="12">
        <v>34857</v>
      </c>
      <c r="F15" s="25">
        <v>207023</v>
      </c>
      <c r="G15" s="8">
        <f t="shared" si="0"/>
        <v>33</v>
      </c>
      <c r="H15" s="27">
        <v>586169</v>
      </c>
      <c r="I15" s="3">
        <f t="shared" si="1"/>
        <v>401</v>
      </c>
      <c r="J15" s="3">
        <v>2970</v>
      </c>
      <c r="K15" s="25">
        <v>323086</v>
      </c>
      <c r="L15" s="9">
        <f t="shared" si="2"/>
        <v>27</v>
      </c>
      <c r="N15" s="1"/>
    </row>
    <row r="16" spans="1:14" ht="13.5" customHeight="1" x14ac:dyDescent="0.2">
      <c r="B16" s="2">
        <v>12</v>
      </c>
      <c r="C16" s="11">
        <v>44604</v>
      </c>
      <c r="D16" s="7">
        <v>114</v>
      </c>
      <c r="E16" s="12">
        <v>34678</v>
      </c>
      <c r="F16" s="25">
        <v>207056</v>
      </c>
      <c r="G16" s="8">
        <f t="shared" si="0"/>
        <v>29</v>
      </c>
      <c r="H16" s="27">
        <v>586570</v>
      </c>
      <c r="I16" s="3">
        <f t="shared" si="1"/>
        <v>426</v>
      </c>
      <c r="J16" s="3">
        <v>2970</v>
      </c>
      <c r="K16" s="25">
        <v>323113</v>
      </c>
      <c r="L16" s="9">
        <f t="shared" si="2"/>
        <v>53</v>
      </c>
      <c r="N16" s="1"/>
    </row>
    <row r="17" spans="1:14" x14ac:dyDescent="0.2">
      <c r="B17" s="2">
        <v>13</v>
      </c>
      <c r="C17" s="11">
        <v>44605</v>
      </c>
      <c r="D17" s="7">
        <v>166</v>
      </c>
      <c r="E17" s="12">
        <v>34105</v>
      </c>
      <c r="F17" s="24">
        <v>207085</v>
      </c>
      <c r="G17" s="8">
        <f t="shared" si="0"/>
        <v>25</v>
      </c>
      <c r="H17" s="7">
        <v>586996</v>
      </c>
      <c r="I17" s="3">
        <f t="shared" si="1"/>
        <v>367</v>
      </c>
      <c r="J17" s="3">
        <v>0</v>
      </c>
      <c r="K17" s="4">
        <v>323166</v>
      </c>
      <c r="L17" s="9">
        <f t="shared" si="2"/>
        <v>78</v>
      </c>
      <c r="N17" s="1"/>
    </row>
    <row r="18" spans="1:14" ht="13.5" customHeight="1" x14ac:dyDescent="0.2">
      <c r="B18" s="2">
        <v>14</v>
      </c>
      <c r="C18" s="11">
        <v>44606</v>
      </c>
      <c r="D18" s="7">
        <v>233</v>
      </c>
      <c r="E18" s="27">
        <v>36001</v>
      </c>
      <c r="F18" s="25">
        <v>207110</v>
      </c>
      <c r="G18" s="8">
        <f t="shared" si="0"/>
        <v>30</v>
      </c>
      <c r="H18" s="7">
        <v>587363</v>
      </c>
      <c r="I18" s="3">
        <f t="shared" si="1"/>
        <v>367</v>
      </c>
      <c r="J18" s="3">
        <v>2970</v>
      </c>
      <c r="K18" s="4">
        <v>323244</v>
      </c>
      <c r="L18" s="9">
        <f t="shared" si="2"/>
        <v>86</v>
      </c>
      <c r="N18" s="1"/>
    </row>
    <row r="19" spans="1:14" x14ac:dyDescent="0.2">
      <c r="B19" s="2">
        <v>15</v>
      </c>
      <c r="C19" s="11">
        <v>44607</v>
      </c>
      <c r="D19" s="16">
        <v>180</v>
      </c>
      <c r="E19" s="27">
        <v>37392</v>
      </c>
      <c r="F19" s="4">
        <v>207140</v>
      </c>
      <c r="G19" s="8">
        <f t="shared" si="0"/>
        <v>31</v>
      </c>
      <c r="H19" s="7">
        <v>587730</v>
      </c>
      <c r="I19" s="3">
        <f t="shared" si="1"/>
        <v>461</v>
      </c>
      <c r="J19" s="3">
        <v>2970</v>
      </c>
      <c r="K19" s="4">
        <v>323330</v>
      </c>
      <c r="L19" s="9">
        <f t="shared" si="2"/>
        <v>35</v>
      </c>
      <c r="N19" s="1"/>
    </row>
    <row r="20" spans="1:14" x14ac:dyDescent="0.2">
      <c r="A20" t="s">
        <v>20</v>
      </c>
      <c r="B20" s="2">
        <v>16</v>
      </c>
      <c r="C20" s="11">
        <v>44608</v>
      </c>
      <c r="D20" s="7">
        <v>102</v>
      </c>
      <c r="E20" s="27">
        <v>35259</v>
      </c>
      <c r="F20" s="4">
        <v>207171</v>
      </c>
      <c r="G20" s="8">
        <f t="shared" si="0"/>
        <v>28</v>
      </c>
      <c r="H20" s="27">
        <v>588191</v>
      </c>
      <c r="I20" s="3">
        <f t="shared" si="1"/>
        <v>454</v>
      </c>
      <c r="J20" s="31">
        <v>0</v>
      </c>
      <c r="K20" s="4">
        <v>323365</v>
      </c>
      <c r="L20" s="9">
        <f t="shared" si="2"/>
        <v>64</v>
      </c>
      <c r="N20" s="1"/>
    </row>
    <row r="21" spans="1:14" x14ac:dyDescent="0.2">
      <c r="B21" s="2">
        <v>17</v>
      </c>
      <c r="C21" s="11">
        <v>44609</v>
      </c>
      <c r="D21" s="7">
        <v>128</v>
      </c>
      <c r="E21" s="7">
        <v>36098</v>
      </c>
      <c r="F21" s="25">
        <v>207199</v>
      </c>
      <c r="G21" s="8">
        <f t="shared" si="0"/>
        <v>32</v>
      </c>
      <c r="H21" s="28">
        <v>588645</v>
      </c>
      <c r="I21" s="3">
        <f t="shared" si="1"/>
        <v>402</v>
      </c>
      <c r="J21" s="21">
        <v>2970</v>
      </c>
      <c r="K21" s="20">
        <v>323429</v>
      </c>
      <c r="L21" s="9">
        <f t="shared" si="2"/>
        <v>77</v>
      </c>
      <c r="N21" s="1"/>
    </row>
    <row r="22" spans="1:14" x14ac:dyDescent="0.2">
      <c r="B22" s="2">
        <v>18</v>
      </c>
      <c r="C22" s="11">
        <v>44610</v>
      </c>
      <c r="D22" s="7">
        <v>141</v>
      </c>
      <c r="E22" s="7">
        <v>35768</v>
      </c>
      <c r="F22" s="4">
        <v>207231</v>
      </c>
      <c r="G22" s="8">
        <f t="shared" si="0"/>
        <v>32</v>
      </c>
      <c r="H22" s="29">
        <v>589047</v>
      </c>
      <c r="I22" s="3">
        <f t="shared" si="1"/>
        <v>460</v>
      </c>
      <c r="J22" s="21">
        <v>0</v>
      </c>
      <c r="K22" s="25">
        <v>323506</v>
      </c>
      <c r="L22" s="9">
        <f t="shared" si="2"/>
        <v>26</v>
      </c>
      <c r="N22" s="1"/>
    </row>
    <row r="23" spans="1:14" x14ac:dyDescent="0.2">
      <c r="B23" s="2">
        <v>19</v>
      </c>
      <c r="C23" s="11">
        <v>44611</v>
      </c>
      <c r="D23" s="7">
        <v>131</v>
      </c>
      <c r="E23" s="27">
        <v>36608</v>
      </c>
      <c r="F23" s="4">
        <v>207263</v>
      </c>
      <c r="G23" s="8">
        <f t="shared" si="0"/>
        <v>35</v>
      </c>
      <c r="H23" s="4">
        <v>589507</v>
      </c>
      <c r="I23" s="3">
        <f t="shared" si="1"/>
        <v>435</v>
      </c>
      <c r="J23" s="21">
        <v>2970</v>
      </c>
      <c r="K23" s="25">
        <v>323532</v>
      </c>
      <c r="L23" s="9">
        <f t="shared" si="2"/>
        <v>64</v>
      </c>
      <c r="N23" s="1"/>
    </row>
    <row r="24" spans="1:14" ht="12" customHeight="1" x14ac:dyDescent="0.2">
      <c r="B24" s="2">
        <v>20</v>
      </c>
      <c r="C24" s="11">
        <v>44612</v>
      </c>
      <c r="D24" s="7">
        <v>103</v>
      </c>
      <c r="E24" s="27">
        <v>35177</v>
      </c>
      <c r="F24" s="4">
        <v>207298</v>
      </c>
      <c r="G24" s="8">
        <f t="shared" si="0"/>
        <v>34</v>
      </c>
      <c r="H24" s="25">
        <v>589942</v>
      </c>
      <c r="I24" s="3">
        <f>H25-H24</f>
        <v>394</v>
      </c>
      <c r="J24" s="3">
        <v>2970</v>
      </c>
      <c r="K24" s="4">
        <v>323596</v>
      </c>
      <c r="L24" s="9">
        <f t="shared" si="2"/>
        <v>34</v>
      </c>
      <c r="N24" s="1"/>
    </row>
    <row r="25" spans="1:14" x14ac:dyDescent="0.2">
      <c r="B25" s="2">
        <v>21</v>
      </c>
      <c r="C25" s="11">
        <v>44613</v>
      </c>
      <c r="D25" s="7">
        <v>141</v>
      </c>
      <c r="E25" s="7">
        <v>31831</v>
      </c>
      <c r="F25" s="25">
        <v>207332</v>
      </c>
      <c r="G25" s="8">
        <f t="shared" si="0"/>
        <v>28</v>
      </c>
      <c r="H25" s="24">
        <v>590336</v>
      </c>
      <c r="I25" s="3">
        <f>H26-H25</f>
        <v>447</v>
      </c>
      <c r="J25" s="3">
        <v>2970</v>
      </c>
      <c r="K25" s="4">
        <v>323630</v>
      </c>
      <c r="L25" s="9">
        <f t="shared" si="2"/>
        <v>125</v>
      </c>
      <c r="N25" s="1"/>
    </row>
    <row r="26" spans="1:14" x14ac:dyDescent="0.2">
      <c r="B26" s="2">
        <v>22</v>
      </c>
      <c r="C26" s="11">
        <v>44614</v>
      </c>
      <c r="D26" s="7"/>
      <c r="E26" s="7"/>
      <c r="F26" s="4">
        <v>207360</v>
      </c>
      <c r="G26" s="8"/>
      <c r="H26" s="4">
        <v>590783</v>
      </c>
      <c r="I26" s="3"/>
      <c r="J26" s="21">
        <v>0</v>
      </c>
      <c r="K26" s="24">
        <v>323755</v>
      </c>
      <c r="L26" s="9"/>
      <c r="N26" s="1"/>
    </row>
    <row r="27" spans="1:14" x14ac:dyDescent="0.2">
      <c r="B27" s="2">
        <v>23</v>
      </c>
      <c r="C27" s="11">
        <v>44615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44616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44617</v>
      </c>
      <c r="D29" s="7"/>
      <c r="E29" s="7"/>
      <c r="F29" s="4"/>
      <c r="G29" s="8"/>
      <c r="H29" s="24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44618</v>
      </c>
      <c r="D30" s="7"/>
      <c r="E30" s="7"/>
      <c r="F30" s="4"/>
      <c r="G30" s="8"/>
      <c r="H30" s="7"/>
      <c r="I30" s="3"/>
      <c r="J30" s="3"/>
      <c r="K30" s="4"/>
      <c r="L30" s="9"/>
      <c r="N30" s="1"/>
    </row>
    <row r="31" spans="1:14" x14ac:dyDescent="0.2">
      <c r="A31" t="s">
        <v>21</v>
      </c>
      <c r="B31" s="2">
        <v>27</v>
      </c>
      <c r="C31" s="11">
        <v>44619</v>
      </c>
      <c r="D31" s="7"/>
      <c r="E31" s="7"/>
      <c r="F31" s="2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44620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/>
      <c r="C34" s="11"/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/>
      <c r="C35" s="11"/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2022-02-22T05:35:58Z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