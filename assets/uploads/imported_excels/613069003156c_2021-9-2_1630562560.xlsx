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sha.govinden\Downloads\"/>
    </mc:Choice>
  </mc:AlternateContent>
  <bookViews>
    <workbookView xWindow="-120" yWindow="-120" windowWidth="20730" windowHeight="11160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4" i="3" l="1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K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DA35" i="3"/>
  <c r="CO35" i="3"/>
  <c r="CC35" i="3"/>
  <c r="BE35" i="3"/>
  <c r="AU35" i="3"/>
  <c r="AK35" i="3"/>
  <c r="Y35" i="3"/>
  <c r="AC35" i="3"/>
  <c r="AI35" i="3"/>
  <c r="EB35" i="3"/>
  <c r="DX35" i="3"/>
  <c r="CX35" i="3"/>
  <c r="CU35" i="3"/>
  <c r="CR35" i="3"/>
  <c r="BZ35" i="3"/>
  <c r="BS35" i="3"/>
  <c r="BG35" i="3"/>
  <c r="BO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CB35" i="3"/>
  <c r="AM35" i="3"/>
  <c r="AO35" i="3"/>
  <c r="AQ35" i="3"/>
  <c r="AS35" i="3"/>
  <c r="AW35" i="3"/>
  <c r="AY35" i="3"/>
  <c r="BA35" i="3"/>
  <c r="T35" i="3"/>
  <c r="E35" i="3"/>
  <c r="BJ4" i="3" l="1"/>
  <c r="BK4" i="3" s="1"/>
  <c r="BT4" i="3"/>
  <c r="BU35" i="3"/>
  <c r="BM35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5" i="3" l="1"/>
  <c r="DS35" i="3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<sst xmlns="http://schemas.openxmlformats.org/spreadsheetml/2006/main" count="273" uniqueCount="128">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</sst>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0" fillId="9" borderId="26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/>
    <cellStyle name="Normal 2" xfId="2"/>
  </cellStyles>
  <dxfs count="108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9" activePane="bottomRight" state="frozen"/>
      <selection pane="topRight" activeCell="E1" sqref="E1"/>
      <selection pane="bottomLeft" activeCell="A14" sqref="A14"/>
      <selection pane="bottomRight" activeCell="C2" sqref="C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5</v>
      </c>
      <c r="D2" s="7">
        <v>2021</v>
      </c>
      <c r="E2" s="8">
        <f>HOTEL!E4</f>
        <v>5123</v>
      </c>
      <c r="F2" s="16">
        <v>6.21</v>
      </c>
      <c r="G2" s="8">
        <f>HOTEL!CK4</f>
        <v>107.75</v>
      </c>
      <c r="H2" s="16">
        <v>57.45</v>
      </c>
      <c r="I2" s="8">
        <f>HOTEL!V4+HOTEL!Y4</f>
        <v>46</v>
      </c>
      <c r="J2" s="16">
        <f>P2</f>
        <v>99.999203002339542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99.999203002339542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4599.9633381076192</v>
      </c>
    </row>
    <row r="3" spans="1:21" x14ac:dyDescent="0.2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5520</v>
      </c>
      <c r="F3" s="16">
        <v>6.21</v>
      </c>
      <c r="G3" s="8">
        <f>HOTEL!CK5</f>
        <v>107.75</v>
      </c>
      <c r="H3" s="16">
        <v>57.45</v>
      </c>
      <c r="I3" s="8">
        <f>HOTEL!V5+HOTEL!Y5</f>
        <v>71</v>
      </c>
      <c r="J3" s="16">
        <f t="shared" ref="J3:J31" si="1">P3</f>
        <v>99.998769859510389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99.998769859510389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6190.2375000000002</v>
      </c>
      <c r="U3" s="8">
        <f t="shared" ref="U3:U31" si="4">I3*P3</f>
        <v>7099.9126600252375</v>
      </c>
    </row>
    <row r="4" spans="1:21" x14ac:dyDescent="0.2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5209</v>
      </c>
      <c r="F4" s="16">
        <v>6.21</v>
      </c>
      <c r="G4" s="8">
        <f>HOTEL!CK6</f>
        <v>107.75</v>
      </c>
      <c r="H4" s="16">
        <v>57.45</v>
      </c>
      <c r="I4" s="8">
        <f>HOTEL!V6+HOTEL!Y6</f>
        <v>127</v>
      </c>
      <c r="J4" s="16">
        <f t="shared" si="1"/>
        <v>99.997799640203638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99.997799640203638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6190.2375000000002</v>
      </c>
      <c r="U4" s="8">
        <f t="shared" si="4"/>
        <v>12699.720554305863</v>
      </c>
    </row>
    <row r="5" spans="1:21" x14ac:dyDescent="0.2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5725</v>
      </c>
      <c r="F5" s="16">
        <v>6.21</v>
      </c>
      <c r="G5" s="8">
        <f>HOTEL!CK7</f>
        <v>215.5</v>
      </c>
      <c r="H5" s="16">
        <v>57.45</v>
      </c>
      <c r="I5" s="8">
        <f>HOTEL!V7+HOTEL!Y7</f>
        <v>91</v>
      </c>
      <c r="J5" s="16">
        <f t="shared" si="1"/>
        <v>99.99842334934047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99.99842334934047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12380.475</v>
      </c>
      <c r="U5" s="8">
        <f t="shared" si="4"/>
        <v>9099.8565247899824</v>
      </c>
    </row>
    <row r="6" spans="1:21" x14ac:dyDescent="0.2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5621</v>
      </c>
      <c r="F6" s="16">
        <v>6.21</v>
      </c>
      <c r="G6" s="8">
        <f>HOTEL!CK8</f>
        <v>107.75</v>
      </c>
      <c r="H6" s="16">
        <v>57.45</v>
      </c>
      <c r="I6" s="8">
        <f>HOTEL!V8+HOTEL!Y8</f>
        <v>109</v>
      </c>
      <c r="J6" s="16">
        <f t="shared" si="1"/>
        <v>99.998111493298481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99.998111493298481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10899.794152769535</v>
      </c>
    </row>
    <row r="7" spans="1:21" x14ac:dyDescent="0.2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5578</v>
      </c>
      <c r="F7" s="16">
        <v>6.21</v>
      </c>
      <c r="G7" s="8">
        <f>HOTEL!CK9</f>
        <v>107.75</v>
      </c>
      <c r="H7" s="16">
        <v>57.45</v>
      </c>
      <c r="I7" s="8">
        <f>HOTEL!V9+HOTEL!Y9</f>
        <v>100</v>
      </c>
      <c r="J7" s="16">
        <f t="shared" si="1"/>
        <v>99.99826742095108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99.99826742095108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9999.8267420951088</v>
      </c>
    </row>
    <row r="8" spans="1:21" x14ac:dyDescent="0.2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4939</v>
      </c>
      <c r="F8" s="16">
        <v>6.21</v>
      </c>
      <c r="G8" s="8">
        <f>HOTEL!CK10</f>
        <v>107.75</v>
      </c>
      <c r="H8" s="16">
        <v>57.45</v>
      </c>
      <c r="I8" s="8">
        <f>HOTEL!V10+HOTEL!Y10</f>
        <v>70</v>
      </c>
      <c r="J8" s="16">
        <f t="shared" si="1"/>
        <v>99.998787185114409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99.998787185114409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6999.9151029580089</v>
      </c>
    </row>
    <row r="9" spans="1:21" x14ac:dyDescent="0.2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4878</v>
      </c>
      <c r="F9" s="16">
        <v>6.21</v>
      </c>
      <c r="G9" s="8">
        <f>HOTEL!CK11</f>
        <v>107.75</v>
      </c>
      <c r="H9" s="16">
        <v>57.45</v>
      </c>
      <c r="I9" s="8">
        <f>HOTEL!V11+HOTEL!Y11</f>
        <v>60</v>
      </c>
      <c r="J9" s="16">
        <f t="shared" si="1"/>
        <v>99.998960441654788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99.998960441654788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6190.2375000000002</v>
      </c>
      <c r="U9" s="8">
        <f t="shared" si="4"/>
        <v>5999.937626499287</v>
      </c>
    </row>
    <row r="10" spans="1:21" x14ac:dyDescent="0.2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5240</v>
      </c>
      <c r="F10" s="16">
        <v>6.21</v>
      </c>
      <c r="G10" s="8">
        <f>HOTEL!CK12</f>
        <v>107.75</v>
      </c>
      <c r="H10" s="16">
        <v>57.45</v>
      </c>
      <c r="I10" s="8">
        <f>HOTEL!V12+HOTEL!Y12</f>
        <v>100</v>
      </c>
      <c r="J10" s="16">
        <f t="shared" si="1"/>
        <v>95.111111111111114</v>
      </c>
      <c r="K10" s="7">
        <f>HOTEL!EE12</f>
        <v>2</v>
      </c>
      <c r="L10" s="18"/>
      <c r="N10" s="7">
        <f>HOTEL!W20</f>
        <v>50</v>
      </c>
      <c r="O10" s="7">
        <f t="shared" si="0"/>
        <v>125000</v>
      </c>
      <c r="P10" s="8">
        <f>IFERROR(((((HOTEL!V12*34))+(N10*2500))/(I10+N10*25)),0)</f>
        <v>95.111111111111114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6190.2375000000002</v>
      </c>
      <c r="U10" s="8">
        <f t="shared" si="4"/>
        <v>9511.1111111111113</v>
      </c>
    </row>
    <row r="11" spans="1:21" x14ac:dyDescent="0.2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4995</v>
      </c>
      <c r="F11" s="16">
        <v>6.21</v>
      </c>
      <c r="G11" s="8">
        <f>HOTEL!CK13</f>
        <v>0</v>
      </c>
      <c r="H11" s="16">
        <v>57.45</v>
      </c>
      <c r="I11" s="8">
        <f>HOTEL!V13+HOTEL!Y13</f>
        <v>73</v>
      </c>
      <c r="J11" s="16">
        <f t="shared" si="1"/>
        <v>96.358276643990934</v>
      </c>
      <c r="K11" s="7">
        <f>HOTEL!EE13</f>
        <v>2</v>
      </c>
      <c r="L11" s="18"/>
      <c r="N11" s="7">
        <f>HOTEL!W21</f>
        <v>50</v>
      </c>
      <c r="O11" s="7">
        <f>N11*2500</f>
        <v>125000</v>
      </c>
      <c r="P11" s="8">
        <f>IFERROR(((((HOTEL!V13*34))+(N11*2500))/(I11+N11*25)),0)</f>
        <v>96.358276643990934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7034.1541950113378</v>
      </c>
    </row>
    <row r="12" spans="1:21" x14ac:dyDescent="0.2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5512</v>
      </c>
      <c r="F12" s="16">
        <v>6.21</v>
      </c>
      <c r="G12" s="8">
        <f>HOTEL!CK14</f>
        <v>107.75</v>
      </c>
      <c r="H12" s="16">
        <v>57.45</v>
      </c>
      <c r="I12" s="8">
        <f>HOTEL!V14+HOTEL!Y14</f>
        <v>82</v>
      </c>
      <c r="J12" s="16">
        <f t="shared" si="1"/>
        <v>95.936936936936931</v>
      </c>
      <c r="K12" s="7">
        <f>HOTEL!EE14</f>
        <v>2</v>
      </c>
      <c r="L12" s="18"/>
      <c r="N12" s="7">
        <f>HOTEL!W22</f>
        <v>50</v>
      </c>
      <c r="O12" s="7">
        <f>N12*2500</f>
        <v>125000</v>
      </c>
      <c r="P12" s="8">
        <f>IFERROR(((((HOTEL!V14*34))+(N12*2500))/(I12+N12*25)),0)</f>
        <v>95.936936936936931</v>
      </c>
      <c r="Q12" s="7">
        <v>6.21</v>
      </c>
      <c r="R12" s="16">
        <f t="shared" si="2"/>
        <v>57.45</v>
      </c>
      <c r="S12" s="7">
        <v>33.93</v>
      </c>
      <c r="T12" s="8">
        <f>G12*H12</f>
        <v>6190.2375000000002</v>
      </c>
      <c r="U12" s="8">
        <f t="shared" si="4"/>
        <v>7866.8288288288286</v>
      </c>
    </row>
    <row r="13" spans="1:21" x14ac:dyDescent="0.2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5664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8</v>
      </c>
      <c r="J13" s="16">
        <f t="shared" si="1"/>
        <v>99.580286168521468</v>
      </c>
      <c r="K13" s="7">
        <f>HOTEL!EE15</f>
        <v>2</v>
      </c>
      <c r="L13" s="18"/>
      <c r="N13" s="7">
        <f>HOTEL!W23</f>
        <v>50</v>
      </c>
      <c r="O13" s="7">
        <f t="shared" si="0"/>
        <v>125000</v>
      </c>
      <c r="P13" s="8">
        <f>IFERROR(((((HOTEL!V15*34))+(N13*2500))/(I13+N13*25)),0)</f>
        <v>99.580286168521468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796.64228934817174</v>
      </c>
    </row>
    <row r="14" spans="1:21" x14ac:dyDescent="0.2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4020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0</v>
      </c>
      <c r="J14" s="16">
        <f t="shared" si="1"/>
        <v>100</v>
      </c>
      <c r="K14" s="7">
        <f>HOTEL!EE16</f>
        <v>2</v>
      </c>
      <c r="L14" s="18"/>
      <c r="N14" s="7">
        <f>HOTEL!X24</f>
        <v>152641</v>
      </c>
      <c r="O14" s="7">
        <f t="shared" si="0"/>
        <v>381602500</v>
      </c>
      <c r="P14" s="8">
        <f>IFERROR(((((HOTEL!V16*34))+(N14*2500))/(I14+N14*25)),0)</f>
        <v>100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0</v>
      </c>
    </row>
    <row r="15" spans="1:21" x14ac:dyDescent="0.2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3633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100</v>
      </c>
      <c r="K15" s="7">
        <f>HOTEL!EE17</f>
        <v>2</v>
      </c>
      <c r="L15" s="18"/>
      <c r="N15" s="7">
        <f>HOTEL!W25</f>
        <v>50</v>
      </c>
      <c r="O15" s="7">
        <f t="shared" si="0"/>
        <v>125000</v>
      </c>
      <c r="P15" s="8">
        <f>IFERROR(((((HOTEL!V17*34))+(N15*2500))/(I15+N15*25)),0)</f>
        <v>100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 x14ac:dyDescent="0.2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5338</v>
      </c>
      <c r="F16" s="16">
        <v>6.21</v>
      </c>
      <c r="G16" s="8">
        <f>HOTEL!CK18</f>
        <v>107.75</v>
      </c>
      <c r="H16" s="16">
        <v>57.45</v>
      </c>
      <c r="I16" s="8">
        <f>HOTEL!V18+HOTEL!Y18</f>
        <v>0</v>
      </c>
      <c r="J16" s="16">
        <f t="shared" si="1"/>
        <v>100</v>
      </c>
      <c r="K16" s="7">
        <f>HOTEL!EE18</f>
        <v>2</v>
      </c>
      <c r="L16" s="18"/>
      <c r="N16" s="7">
        <f>HOTEL!W26</f>
        <v>50</v>
      </c>
      <c r="O16" s="7">
        <f t="shared" si="0"/>
        <v>125000</v>
      </c>
      <c r="P16" s="8">
        <f>IFERROR(((((HOTEL!V18*34))+(N16*2500))/(I16+N16*25)),0)</f>
        <v>100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6190.2375000000002</v>
      </c>
      <c r="U16" s="8">
        <f t="shared" si="4"/>
        <v>0</v>
      </c>
    </row>
    <row r="17" spans="1:21" x14ac:dyDescent="0.2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3769</v>
      </c>
      <c r="F17" s="16">
        <v>6.21</v>
      </c>
      <c r="G17" s="8">
        <f>HOTEL!CK19</f>
        <v>107.75</v>
      </c>
      <c r="H17" s="16">
        <v>57.45</v>
      </c>
      <c r="I17" s="8">
        <f>HOTEL!V19+HOTEL!Y19</f>
        <v>112</v>
      </c>
      <c r="J17" s="16">
        <f t="shared" si="1"/>
        <v>99.998062962624246</v>
      </c>
      <c r="K17" s="7">
        <f>HOTEL!EE19</f>
        <v>2</v>
      </c>
      <c r="L17" s="18"/>
      <c r="N17" s="7">
        <f>HOTEL!X27</f>
        <v>152641</v>
      </c>
      <c r="O17" s="7">
        <f t="shared" si="0"/>
        <v>381602500</v>
      </c>
      <c r="P17" s="8">
        <f>IFERROR(((((HOTEL!V19*34))+(N17*2500))/(I17+N17*25)),0)</f>
        <v>99.998062962624246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6190.2375000000002</v>
      </c>
      <c r="U17" s="8">
        <f t="shared" si="4"/>
        <v>11199.783051813916</v>
      </c>
    </row>
    <row r="18" spans="1:21" x14ac:dyDescent="0.2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5204</v>
      </c>
      <c r="F18" s="16">
        <v>6.21</v>
      </c>
      <c r="G18" s="8">
        <f>HOTEL!CK20</f>
        <v>215.5</v>
      </c>
      <c r="H18" s="16">
        <v>57.45</v>
      </c>
      <c r="I18" s="8">
        <f>HOTEL!V20+HOTEL!Y20</f>
        <v>116</v>
      </c>
      <c r="J18" s="16">
        <f t="shared" si="1"/>
        <v>99.997993784820849</v>
      </c>
      <c r="K18" s="7">
        <f>HOTEL!EE20</f>
        <v>2</v>
      </c>
      <c r="L18" s="18"/>
      <c r="N18" s="7">
        <f>HOTEL!X28</f>
        <v>152641</v>
      </c>
      <c r="O18" s="7">
        <f t="shared" si="0"/>
        <v>381602500</v>
      </c>
      <c r="P18" s="8">
        <f>IFERROR(((((HOTEL!V20*34))+(N18*2500))/(I18+N18*25)),0)</f>
        <v>99.997993784820849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12380.475</v>
      </c>
      <c r="U18" s="8">
        <f t="shared" si="4"/>
        <v>11599.767279039219</v>
      </c>
    </row>
    <row r="19" spans="1:21" x14ac:dyDescent="0.2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5390</v>
      </c>
      <c r="F19" s="16">
        <v>6.21</v>
      </c>
      <c r="G19" s="8">
        <f>HOTEL!CK21</f>
        <v>0</v>
      </c>
      <c r="H19" s="16">
        <v>57.45</v>
      </c>
      <c r="I19" s="8">
        <f>HOTEL!V21+HOTEL!Y21</f>
        <v>301</v>
      </c>
      <c r="J19" s="16">
        <f t="shared" si="1"/>
        <v>99.992380105892423</v>
      </c>
      <c r="K19" s="7">
        <f>HOTEL!EE21</f>
        <v>2</v>
      </c>
      <c r="L19" s="18"/>
      <c r="N19" s="7">
        <f>HOTEL!X29</f>
        <v>152641</v>
      </c>
      <c r="O19" s="7">
        <f t="shared" si="0"/>
        <v>381602500</v>
      </c>
      <c r="P19" s="8">
        <f>IFERROR(((((HOTEL!V21*34))+(N19*2500))/(I19+N19*25)),0)</f>
        <v>99.992380105892423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30097.70641187362</v>
      </c>
    </row>
    <row r="20" spans="1:21" x14ac:dyDescent="0.2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5794</v>
      </c>
      <c r="F20" s="16">
        <v>6.21</v>
      </c>
      <c r="G20" s="8">
        <f>HOTEL!CK22</f>
        <v>107.75</v>
      </c>
      <c r="H20" s="16">
        <v>57.45</v>
      </c>
      <c r="I20" s="8">
        <f>HOTEL!V22+HOTEL!Y22</f>
        <v>109</v>
      </c>
      <c r="J20" s="16">
        <f t="shared" si="1"/>
        <v>99.998114846071971</v>
      </c>
      <c r="K20" s="7">
        <f>HOTEL!EE22</f>
        <v>2</v>
      </c>
      <c r="L20" s="18"/>
      <c r="N20" s="7">
        <f>HOTEL!X30</f>
        <v>152641</v>
      </c>
      <c r="O20" s="7">
        <f>N20*2500</f>
        <v>381602500</v>
      </c>
      <c r="P20" s="8">
        <f>IFERROR(((((HOTEL!V22*34))+(N20*2500))/(I20+N20*25)),0)</f>
        <v>99.998114846071971</v>
      </c>
      <c r="Q20" s="7">
        <v>6.21</v>
      </c>
      <c r="R20" s="16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10899.794518221845</v>
      </c>
    </row>
    <row r="21" spans="1:21" x14ac:dyDescent="0.2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5278</v>
      </c>
      <c r="F21" s="16">
        <v>6.21</v>
      </c>
      <c r="G21" s="8">
        <f>HOTEL!CK23</f>
        <v>323.25</v>
      </c>
      <c r="H21" s="16">
        <v>57.45</v>
      </c>
      <c r="I21" s="8">
        <f>HOTEL!V23+HOTEL!Y23</f>
        <v>50</v>
      </c>
      <c r="J21" s="16">
        <f t="shared" si="1"/>
        <v>99.999135237121905</v>
      </c>
      <c r="K21" s="7">
        <f>HOTEL!EE23</f>
        <v>2</v>
      </c>
      <c r="L21" s="18"/>
      <c r="N21" s="7">
        <f>HOTEL!X31</f>
        <v>152641</v>
      </c>
      <c r="O21" s="7">
        <f>N21*2500</f>
        <v>381602500</v>
      </c>
      <c r="P21" s="8">
        <f>IFERROR(((((HOTEL!V23*34))+(N21*2500))/(I21+N21*25)),0)</f>
        <v>99.999135237121905</v>
      </c>
      <c r="Q21" s="7">
        <v>6.21</v>
      </c>
      <c r="R21" s="16">
        <f t="shared" si="2"/>
        <v>57.45</v>
      </c>
      <c r="S21" s="7">
        <v>33.93</v>
      </c>
      <c r="T21" s="8">
        <f>G21*H21</f>
        <v>18570.712500000001</v>
      </c>
      <c r="U21" s="8">
        <f t="shared" si="4"/>
        <v>4999.956761856095</v>
      </c>
    </row>
    <row r="22" spans="1:21" x14ac:dyDescent="0.2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5749</v>
      </c>
      <c r="F22" s="16">
        <v>6.21</v>
      </c>
      <c r="G22" s="8">
        <f>HOTEL!CK24</f>
        <v>107.75</v>
      </c>
      <c r="H22" s="16">
        <v>57.45</v>
      </c>
      <c r="I22" s="8">
        <f>HOTEL!V24+HOTEL!Y24</f>
        <v>97</v>
      </c>
      <c r="J22" s="16">
        <f t="shared" si="1"/>
        <v>99.998322380678601</v>
      </c>
      <c r="K22" s="7">
        <f>HOTEL!EE24</f>
        <v>2</v>
      </c>
      <c r="L22" s="18"/>
      <c r="N22" s="7">
        <f>HOTEL!X32</f>
        <v>152641</v>
      </c>
      <c r="O22" s="7">
        <f t="shared" ref="O22:O31" si="6">N22*2500</f>
        <v>381602500</v>
      </c>
      <c r="P22" s="8">
        <f>IFERROR(((((HOTEL!V24*34))+(N22*2500))/(I22+N22*25)),0)</f>
        <v>99.998322380678601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9699.8372709258238</v>
      </c>
    </row>
    <row r="23" spans="1:21" x14ac:dyDescent="0.2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5414</v>
      </c>
      <c r="F23" s="16">
        <v>6.21</v>
      </c>
      <c r="G23" s="8">
        <f>HOTEL!CK25</f>
        <v>215.5</v>
      </c>
      <c r="H23" s="16">
        <v>57.45</v>
      </c>
      <c r="I23" s="8">
        <f>HOTEL!V25+HOTEL!Y25</f>
        <v>68</v>
      </c>
      <c r="J23" s="16">
        <f t="shared" si="1"/>
        <v>99.998823928033204</v>
      </c>
      <c r="K23" s="7">
        <f>HOTEL!EE25</f>
        <v>2</v>
      </c>
      <c r="L23" s="18"/>
      <c r="N23" s="7">
        <f>HOTEL!X33</f>
        <v>152641</v>
      </c>
      <c r="O23" s="7">
        <f t="shared" si="6"/>
        <v>381602500</v>
      </c>
      <c r="P23" s="8">
        <f>IFERROR(((((HOTEL!V25*34))+(N23*2500))/(I23+N23*25)),0)</f>
        <v>99.998823928033204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12380.475</v>
      </c>
      <c r="U23" s="8">
        <f t="shared" si="4"/>
        <v>6799.9200271062582</v>
      </c>
    </row>
    <row r="24" spans="1:21" x14ac:dyDescent="0.2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5712</v>
      </c>
      <c r="F24" s="16">
        <v>6.21</v>
      </c>
      <c r="G24" s="8">
        <f>HOTEL!CK26</f>
        <v>107.75</v>
      </c>
      <c r="H24" s="16">
        <v>57.45</v>
      </c>
      <c r="I24" s="8">
        <f>HOTEL!V26+HOTEL!Y26</f>
        <v>85</v>
      </c>
      <c r="J24" s="16">
        <f t="shared" si="1"/>
        <v>99.998529916590456</v>
      </c>
      <c r="K24" s="7">
        <f>HOTEL!EE26</f>
        <v>2</v>
      </c>
      <c r="L24" s="18"/>
      <c r="N24" s="7">
        <f>HOTEL!X34</f>
        <v>152641</v>
      </c>
      <c r="O24" s="7">
        <f t="shared" si="6"/>
        <v>381602500</v>
      </c>
      <c r="P24" s="8">
        <f>IFERROR(((((HOTEL!V26*34))+(N24*2500))/(I24+N24*25)),0)</f>
        <v>99.998529916590456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6190.2375000000002</v>
      </c>
      <c r="U24" s="8">
        <f t="shared" si="4"/>
        <v>8499.8750429101892</v>
      </c>
    </row>
    <row r="25" spans="1:21" x14ac:dyDescent="0.2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5501</v>
      </c>
      <c r="F25" s="16">
        <v>6.21</v>
      </c>
      <c r="G25" s="8">
        <f>HOTEL!CK27</f>
        <v>0</v>
      </c>
      <c r="H25" s="16">
        <v>57.45</v>
      </c>
      <c r="I25" s="8">
        <f>HOTEL!V27+HOTEL!Y27</f>
        <v>35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1190</v>
      </c>
    </row>
    <row r="26" spans="1:21" x14ac:dyDescent="0.2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6146</v>
      </c>
      <c r="F26" s="16">
        <v>6.21</v>
      </c>
      <c r="G26" s="8">
        <f>HOTEL!CK28</f>
        <v>215.5</v>
      </c>
      <c r="H26" s="16">
        <v>57.45</v>
      </c>
      <c r="I26" s="8">
        <f>HOTEL!V28+HOTEL!Y28</f>
        <v>4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12380.475</v>
      </c>
      <c r="U26" s="8">
        <f t="shared" si="4"/>
        <v>136</v>
      </c>
    </row>
    <row r="27" spans="1:21" x14ac:dyDescent="0.2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6190</v>
      </c>
      <c r="F27" s="16">
        <v>6.21</v>
      </c>
      <c r="G27" s="8">
        <f>HOTEL!CK29</f>
        <v>107.75</v>
      </c>
      <c r="H27" s="16">
        <v>57.45</v>
      </c>
      <c r="I27" s="8">
        <f>HOTEL!V29+HOTEL!Y29</f>
        <v>22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748</v>
      </c>
    </row>
    <row r="28" spans="1:21" x14ac:dyDescent="0.2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6333</v>
      </c>
      <c r="F28" s="16">
        <v>6.21</v>
      </c>
      <c r="G28" s="8">
        <f>HOTEL!CK30</f>
        <v>107.75</v>
      </c>
      <c r="H28" s="16">
        <v>57.45</v>
      </c>
      <c r="I28" s="8">
        <f>HOTEL!V30+HOTEL!Y30</f>
        <v>53</v>
      </c>
      <c r="J28" s="16">
        <f t="shared" si="1"/>
        <v>34</v>
      </c>
      <c r="K28" s="7">
        <f>HOTEL!EE30</f>
        <v>2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6190.2375000000002</v>
      </c>
      <c r="U28" s="8">
        <f t="shared" si="4"/>
        <v>1802</v>
      </c>
    </row>
    <row r="29" spans="1:21" x14ac:dyDescent="0.2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5744</v>
      </c>
      <c r="F29" s="16">
        <v>6.21</v>
      </c>
      <c r="G29" s="8">
        <f>HOTEL!CK31</f>
        <v>323.25</v>
      </c>
      <c r="H29" s="16">
        <v>57.45</v>
      </c>
      <c r="I29" s="8">
        <f>HOTEL!V31+HOTEL!Y31</f>
        <v>69</v>
      </c>
      <c r="J29" s="16">
        <f t="shared" si="1"/>
        <v>34</v>
      </c>
      <c r="K29" s="7">
        <f>HOTEL!EE31</f>
        <v>2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18570.712500000001</v>
      </c>
      <c r="U29" s="8">
        <f t="shared" si="4"/>
        <v>2346</v>
      </c>
    </row>
    <row r="30" spans="1:21" x14ac:dyDescent="0.2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6016</v>
      </c>
      <c r="F30" s="16">
        <v>6.21</v>
      </c>
      <c r="G30" s="8">
        <f>HOTEL!CK32</f>
        <v>215.5</v>
      </c>
      <c r="H30" s="16">
        <v>57.45</v>
      </c>
      <c r="I30" s="8">
        <f>HOTEL!V32+HOTEL!Y32</f>
        <v>58</v>
      </c>
      <c r="J30" s="16">
        <f t="shared" si="1"/>
        <v>34</v>
      </c>
      <c r="K30" s="7">
        <f>HOTEL!EE32</f>
        <v>2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16">
        <f t="shared" si="2"/>
        <v>57.45</v>
      </c>
      <c r="T30" s="8">
        <f t="shared" si="7"/>
        <v>12380.475</v>
      </c>
      <c r="U30" s="8">
        <f t="shared" si="4"/>
        <v>1972</v>
      </c>
    </row>
    <row r="31" spans="1:21" x14ac:dyDescent="0.2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6899</v>
      </c>
      <c r="F31" s="16">
        <v>6.21</v>
      </c>
      <c r="G31" s="8">
        <f>HOTEL!CK33</f>
        <v>0</v>
      </c>
      <c r="H31" s="16">
        <v>57.45</v>
      </c>
      <c r="I31" s="8">
        <f>HOTEL!V33+HOTEL!Y33</f>
        <v>32</v>
      </c>
      <c r="J31" s="16">
        <f t="shared" si="1"/>
        <v>34</v>
      </c>
      <c r="K31" s="7">
        <f>HOTEL!EE33</f>
        <v>2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1088</v>
      </c>
    </row>
    <row r="32" spans="1:21" x14ac:dyDescent="0.2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6590</v>
      </c>
      <c r="F32" s="16">
        <v>6.21</v>
      </c>
      <c r="G32" s="8">
        <f>HOTEL!CK34</f>
        <v>215.5</v>
      </c>
      <c r="H32" s="16">
        <v>57.45</v>
      </c>
      <c r="I32" s="8">
        <f>HOTEL!V34+HOTEL!Y34</f>
        <v>35</v>
      </c>
      <c r="J32" s="16">
        <f t="shared" ref="J32" si="8">P32</f>
        <v>34</v>
      </c>
      <c r="K32" s="7">
        <f>HOTEL!EE34</f>
        <v>2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34</v>
      </c>
      <c r="Q32" s="7">
        <v>6.21</v>
      </c>
      <c r="R32" s="16">
        <f t="shared" ref="R32" si="10">H32</f>
        <v>57.45</v>
      </c>
      <c r="T32" s="8">
        <f t="shared" ref="T32" si="11">G32*H32</f>
        <v>12380.475</v>
      </c>
      <c r="U32" s="8">
        <f t="shared" ref="U32" si="12">I32*P32</f>
        <v>1190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13" workbookViewId="0">
      <selection activeCell="C3" sqref="C3:C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v>1</v>
      </c>
      <c r="C2" s="113">
        <v>7</v>
      </c>
      <c r="D2" s="7">
        <v>2021</v>
      </c>
      <c r="E2" s="7">
        <f>TOTAL!E2</f>
        <v>5123</v>
      </c>
      <c r="F2" s="7">
        <f>HOTEL!R4</f>
        <v>40</v>
      </c>
      <c r="G2" s="7">
        <f>HOTEL!T4</f>
        <v>2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60</v>
      </c>
      <c r="M2" s="7">
        <f>HOTEL!AE4</f>
        <v>0</v>
      </c>
      <c r="N2" s="7">
        <f>HOTEL!AI4</f>
        <v>10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20</v>
      </c>
      <c r="X2" s="7">
        <f>HOTEL!BT4</f>
        <v>30</v>
      </c>
      <c r="Y2" s="7">
        <f>HOTEL!CO4</f>
        <v>0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2.39</v>
      </c>
      <c r="AD2" s="8">
        <f>HOTEL!DD4</f>
        <v>0</v>
      </c>
      <c r="AE2" s="7">
        <f>HOTEL!DG4</f>
        <v>2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 x14ac:dyDescent="0.2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5520</v>
      </c>
      <c r="F3" s="7">
        <f>HOTEL!R5</f>
        <v>165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70</v>
      </c>
      <c r="M3" s="7">
        <f>HOTEL!AE5</f>
        <v>0</v>
      </c>
      <c r="N3" s="7">
        <f>HOTEL!AI5</f>
        <v>30</v>
      </c>
      <c r="O3" s="7">
        <f>HOTEL!AM5</f>
        <v>2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 t="str">
        <f>HOTEL!AY5</f>
        <v>0</v>
      </c>
      <c r="V3" s="7">
        <f>HOTEL!BA5</f>
        <v>0</v>
      </c>
      <c r="W3" s="7">
        <f>HOTEL!BM5</f>
        <v>20</v>
      </c>
      <c r="X3" s="7">
        <f>HOTEL!BT5</f>
        <v>20</v>
      </c>
      <c r="Y3" s="7">
        <f>HOTEL!CO5</f>
        <v>14.39600000000355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4.78</v>
      </c>
      <c r="AD3" s="8">
        <f>HOTEL!DD5</f>
        <v>0</v>
      </c>
      <c r="AE3" s="7">
        <f>HOTEL!DG5</f>
        <v>1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 x14ac:dyDescent="0.2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5209</v>
      </c>
      <c r="F4" s="7">
        <f>HOTEL!R6</f>
        <v>129</v>
      </c>
      <c r="G4" s="7">
        <f>HOTEL!T6</f>
        <v>2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110</v>
      </c>
      <c r="M4" s="7">
        <f>HOTEL!AE6</f>
        <v>0</v>
      </c>
      <c r="N4" s="7">
        <f>HOTEL!AI6</f>
        <v>30</v>
      </c>
      <c r="O4" s="7">
        <f>HOTEL!AM6</f>
        <v>3</v>
      </c>
      <c r="P4" s="7">
        <f>HOTEL!AO6</f>
        <v>0</v>
      </c>
      <c r="Q4" s="7">
        <f>HOTEL!AQ6</f>
        <v>1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50</v>
      </c>
      <c r="X4" s="7">
        <f>HOTEL!BT6</f>
        <v>30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7.17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 x14ac:dyDescent="0.2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5725</v>
      </c>
      <c r="F5" s="7">
        <f>HOTEL!R7</f>
        <v>150</v>
      </c>
      <c r="G5" s="7">
        <f>HOTEL!T7</f>
        <v>2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100</v>
      </c>
      <c r="M5" s="7">
        <f>HOTEL!AE7</f>
        <v>0</v>
      </c>
      <c r="N5" s="7">
        <f>HOTEL!AI7</f>
        <v>32</v>
      </c>
      <c r="O5" s="7">
        <f>HOTEL!AM7</f>
        <v>4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40</v>
      </c>
      <c r="X5" s="7">
        <f>HOTEL!BT7</f>
        <v>28</v>
      </c>
      <c r="Y5" s="7">
        <f>HOTEL!CO7</f>
        <v>12.2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7.17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 x14ac:dyDescent="0.2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5621</v>
      </c>
      <c r="F6" s="7">
        <f>HOTEL!R8</f>
        <v>160</v>
      </c>
      <c r="G6" s="7">
        <f>HOTEL!T8</f>
        <v>163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130</v>
      </c>
      <c r="M6" s="7">
        <f>HOTEL!AE8</f>
        <v>0</v>
      </c>
      <c r="N6" s="7">
        <f>HOTEL!AI8</f>
        <v>38</v>
      </c>
      <c r="O6" s="7">
        <f>HOTEL!AM8</f>
        <v>13</v>
      </c>
      <c r="P6" s="7">
        <f>HOTEL!AO8</f>
        <v>0</v>
      </c>
      <c r="Q6" s="7">
        <f>HOTEL!AQ8</f>
        <v>1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70</v>
      </c>
      <c r="X6" s="7">
        <f>HOTEL!BT8</f>
        <v>22</v>
      </c>
      <c r="Y6" s="7">
        <f>HOTEL!CO8</f>
        <v>7.32</v>
      </c>
      <c r="Z6" s="7">
        <f>HOTEL!CR7</f>
        <v>0</v>
      </c>
      <c r="AA6" s="7">
        <f>HOTEL!CU8</f>
        <v>0</v>
      </c>
      <c r="AB6" s="8">
        <f>HOTEL!CX8</f>
        <v>80.52</v>
      </c>
      <c r="AC6" s="7">
        <f>HOTEL!DA8</f>
        <v>9.56</v>
      </c>
      <c r="AD6" s="8">
        <f>HOTEL!DD8</f>
        <v>0</v>
      </c>
      <c r="AE6" s="7">
        <f>HOTEL!DG8</f>
        <v>3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 x14ac:dyDescent="0.2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5578</v>
      </c>
      <c r="F7" s="7">
        <f>HOTEL!R9</f>
        <v>146</v>
      </c>
      <c r="G7" s="7">
        <f>HOTEL!T9</f>
        <v>6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110</v>
      </c>
      <c r="M7" s="7">
        <f>HOTEL!AE9</f>
        <v>0</v>
      </c>
      <c r="N7" s="7">
        <f>HOTEL!AI9</f>
        <v>30</v>
      </c>
      <c r="O7" s="7">
        <f>HOTEL!AM9</f>
        <v>3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50</v>
      </c>
      <c r="X7" s="7">
        <f>HOTEL!BT9</f>
        <v>30</v>
      </c>
      <c r="Y7" s="7">
        <f>HOTEL!CO9</f>
        <v>9.76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7.17</v>
      </c>
      <c r="AD7" s="8">
        <f>HOTEL!DD9</f>
        <v>0</v>
      </c>
      <c r="AE7" s="7" t="str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 x14ac:dyDescent="0.2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4939</v>
      </c>
      <c r="F8" s="7">
        <f>HOTEL!R10</f>
        <v>122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81</v>
      </c>
      <c r="M8" s="7">
        <f>HOTEL!AE10</f>
        <v>0</v>
      </c>
      <c r="N8" s="7">
        <f>HOTEL!AI10</f>
        <v>40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11</v>
      </c>
      <c r="Y8" s="7">
        <f>HOTEL!CO10</f>
        <v>9.76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0</v>
      </c>
      <c r="AD8" s="8">
        <f>HOTEL!DD10</f>
        <v>0</v>
      </c>
      <c r="AE8" s="7">
        <f>HOTEL!DG10</f>
        <v>4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 x14ac:dyDescent="0.2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4878</v>
      </c>
      <c r="F9" s="7">
        <f>HOTEL!R11</f>
        <v>44</v>
      </c>
      <c r="G9" s="7">
        <f>HOTEL!T11</f>
        <v>2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54</v>
      </c>
      <c r="M9" s="7">
        <f>HOTEL!AE11</f>
        <v>0</v>
      </c>
      <c r="N9" s="7">
        <f>HOTEL!AI11</f>
        <v>25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10</v>
      </c>
      <c r="X9" s="7">
        <f>HOTEL!BT11</f>
        <v>19</v>
      </c>
      <c r="Y9" s="7">
        <f>HOTEL!CO11</f>
        <v>4.88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 x14ac:dyDescent="0.2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5240</v>
      </c>
      <c r="F10" s="7">
        <f>HOTEL!R12</f>
        <v>140</v>
      </c>
      <c r="G10" s="7">
        <f>HOTEL!T12</f>
        <v>3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95</v>
      </c>
      <c r="M10" s="7">
        <f>HOTEL!AE12</f>
        <v>0</v>
      </c>
      <c r="N10" s="7">
        <f>HOTEL!AI12</f>
        <v>25</v>
      </c>
      <c r="O10" s="7">
        <f>HOTEL!AM12</f>
        <v>4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50</v>
      </c>
      <c r="X10" s="7">
        <f>HOTEL!BT12</f>
        <v>20</v>
      </c>
      <c r="Y10" s="7">
        <f>HOTEL!CO12</f>
        <v>9.76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6.9309999999991305</v>
      </c>
      <c r="AK10" s="7">
        <f>TOTAL!K10</f>
        <v>2</v>
      </c>
    </row>
    <row r="11" spans="1:38" ht="15" x14ac:dyDescent="0.2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4995</v>
      </c>
      <c r="F11" s="7">
        <f>HOTEL!R13</f>
        <v>147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70</v>
      </c>
      <c r="M11" s="7">
        <f>HOTEL!AE13</f>
        <v>0</v>
      </c>
      <c r="N11" s="7">
        <f>HOTEL!AI13</f>
        <v>40</v>
      </c>
      <c r="O11" s="7">
        <f>HOTEL!AM13</f>
        <v>0</v>
      </c>
      <c r="P11" s="7">
        <f>HOTEL!AO13</f>
        <v>0</v>
      </c>
      <c r="Q11" s="7">
        <f>HOTEL!AQ13</f>
        <v>1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10</v>
      </c>
      <c r="Y11" s="7">
        <f>HOTEL!CO13</f>
        <v>9.76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16.73</v>
      </c>
      <c r="AK11" s="7">
        <f>TOTAL!K11</f>
        <v>2</v>
      </c>
    </row>
    <row r="12" spans="1:38" ht="15" x14ac:dyDescent="0.2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5512</v>
      </c>
      <c r="F12" s="7">
        <f>HOTEL!R14</f>
        <v>164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100</v>
      </c>
      <c r="M12" s="7">
        <f>HOTEL!AE14</f>
        <v>0</v>
      </c>
      <c r="N12" s="7">
        <f>HOTEL!AI14</f>
        <v>30</v>
      </c>
      <c r="O12" s="7">
        <f>HOTEL!AM14</f>
        <v>6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50</v>
      </c>
      <c r="X12" s="7">
        <f>HOTEL!BT14</f>
        <v>20</v>
      </c>
      <c r="Y12" s="7">
        <f>HOTEL!CO14</f>
        <v>9.76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1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14.34</v>
      </c>
      <c r="AK12" s="7">
        <f>TOTAL!K12</f>
        <v>2</v>
      </c>
    </row>
    <row r="13" spans="1:38" ht="15" x14ac:dyDescent="0.2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5664</v>
      </c>
      <c r="F13" s="7">
        <f>HOTEL!R15</f>
        <v>161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80</v>
      </c>
      <c r="M13" s="7">
        <f>HOTEL!AE15</f>
        <v>0</v>
      </c>
      <c r="N13" s="7">
        <f>HOTEL!AI15</f>
        <v>30</v>
      </c>
      <c r="O13" s="7">
        <f>HOTEL!AM15</f>
        <v>4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40</v>
      </c>
      <c r="X13" s="7">
        <f>HOTEL!BT15</f>
        <v>10</v>
      </c>
      <c r="Y13" s="7">
        <f>HOTEL!CO15</f>
        <v>9.76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4.78</v>
      </c>
      <c r="AD13" s="8">
        <f>HOTEL!DD15</f>
        <v>0</v>
      </c>
      <c r="AE13" s="7" t="str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23.660999999999131</v>
      </c>
      <c r="AK13" s="7">
        <f>TOTAL!K13</f>
        <v>2</v>
      </c>
    </row>
    <row r="14" spans="1:38" ht="15" x14ac:dyDescent="0.2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4020</v>
      </c>
      <c r="F14" s="7">
        <f>HOTEL!R16</f>
        <v>158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120</v>
      </c>
      <c r="M14" s="7">
        <f>HOTEL!AE16</f>
        <v>0</v>
      </c>
      <c r="N14" s="7">
        <f>HOTEL!AI16</f>
        <v>40</v>
      </c>
      <c r="O14" s="7">
        <f>HOTEL!AM16</f>
        <v>3</v>
      </c>
      <c r="P14" s="7">
        <f>HOTEL!AO16</f>
        <v>0</v>
      </c>
      <c r="Q14" s="7">
        <f>HOTEL!AQ16</f>
        <v>1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60</v>
      </c>
      <c r="X14" s="7">
        <f>HOTEL!BT16</f>
        <v>20</v>
      </c>
      <c r="Y14" s="7">
        <f>HOTEL!CO16</f>
        <v>7.32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7.17</v>
      </c>
      <c r="AD14" s="8">
        <f>HOTEL!DD16</f>
        <v>0</v>
      </c>
      <c r="AE14" s="7">
        <f>HOTEL!DG16</f>
        <v>2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1.6730000000017391</v>
      </c>
      <c r="AK14" s="7">
        <f>TOTAL!K14</f>
        <v>2</v>
      </c>
    </row>
    <row r="15" spans="1:38" ht="15" x14ac:dyDescent="0.2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3633</v>
      </c>
      <c r="F15" s="7">
        <f>HOTEL!R17</f>
        <v>130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100</v>
      </c>
      <c r="M15" s="7">
        <f>HOTEL!AE17</f>
        <v>0</v>
      </c>
      <c r="N15" s="7">
        <f>HOTEL!AI17</f>
        <v>40</v>
      </c>
      <c r="O15" s="7">
        <f>HOTEL!AM17</f>
        <v>2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40</v>
      </c>
      <c r="X15" s="7">
        <f>HOTEL!BT17</f>
        <v>20</v>
      </c>
      <c r="Y15" s="7">
        <f>HOTEL!CO17</f>
        <v>4.88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7.17</v>
      </c>
      <c r="AD15" s="8">
        <f>HOTEL!DD17</f>
        <v>0</v>
      </c>
      <c r="AE15" s="7" t="str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 x14ac:dyDescent="0.2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5338</v>
      </c>
      <c r="F16" s="7">
        <f>HOTEL!R18</f>
        <v>48</v>
      </c>
      <c r="G16" s="7">
        <f>HOTEL!T18</f>
        <v>1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40</v>
      </c>
      <c r="M16" s="7">
        <f>HOTEL!AE18</f>
        <v>0</v>
      </c>
      <c r="N16" s="7">
        <f>HOTEL!AI18</f>
        <v>20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20</v>
      </c>
      <c r="X16" s="7">
        <f>HOTEL!BT18</f>
        <v>0</v>
      </c>
      <c r="Y16" s="7">
        <f>HOTEL!CO18</f>
        <v>2.44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2.39</v>
      </c>
      <c r="AD16" s="8">
        <f>HOTEL!DD18</f>
        <v>0</v>
      </c>
      <c r="AE16" s="7">
        <f>HOTEL!DG18</f>
        <v>1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 x14ac:dyDescent="0.2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3769</v>
      </c>
      <c r="F17" s="7">
        <f>HOTEL!R19</f>
        <v>128</v>
      </c>
      <c r="G17" s="7">
        <f>HOTEL!T19</f>
        <v>44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90</v>
      </c>
      <c r="M17" s="7">
        <f>HOTEL!AE19</f>
        <v>0</v>
      </c>
      <c r="N17" s="7">
        <f>HOTEL!AI19</f>
        <v>40</v>
      </c>
      <c r="O17" s="7">
        <f>HOTEL!AM19</f>
        <v>6</v>
      </c>
      <c r="P17" s="7">
        <f>HOTEL!AO19</f>
        <v>0</v>
      </c>
      <c r="Q17" s="7">
        <f>HOTEL!AQ19</f>
        <v>2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50</v>
      </c>
      <c r="X17" s="7">
        <f>HOTEL!BT19</f>
        <v>0</v>
      </c>
      <c r="Y17" s="7">
        <f>HOTEL!CO19</f>
        <v>9.76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7.17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 x14ac:dyDescent="0.2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5204</v>
      </c>
      <c r="F18" s="7">
        <f>HOTEL!R20</f>
        <v>98</v>
      </c>
      <c r="G18" s="7">
        <f>HOTEL!T20</f>
        <v>14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90</v>
      </c>
      <c r="M18" s="7">
        <f>HOTEL!AE20</f>
        <v>0</v>
      </c>
      <c r="N18" s="7">
        <f>HOTEL!AI20</f>
        <v>40</v>
      </c>
      <c r="O18" s="7">
        <f>HOTEL!AM20</f>
        <v>4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40</v>
      </c>
      <c r="X18" s="7">
        <f>HOTEL!BT20</f>
        <v>10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7.17</v>
      </c>
      <c r="AD18" s="8">
        <f>HOTEL!DD20</f>
        <v>0</v>
      </c>
      <c r="AE18" s="7">
        <f>HOTEL!DG20</f>
        <v>3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 x14ac:dyDescent="0.2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5390</v>
      </c>
      <c r="F19" s="7">
        <f>HOTEL!R21</f>
        <v>132</v>
      </c>
      <c r="G19" s="7">
        <f>HOTEL!T21</f>
        <v>134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110</v>
      </c>
      <c r="M19" s="7">
        <f>HOTEL!AE21</f>
        <v>0</v>
      </c>
      <c r="N19" s="7">
        <f>HOTEL!AI21</f>
        <v>30</v>
      </c>
      <c r="O19" s="7">
        <f>HOTEL!AM21</f>
        <v>13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60</v>
      </c>
      <c r="X19" s="7">
        <f>HOTEL!BT21</f>
        <v>20</v>
      </c>
      <c r="Y19" s="7">
        <f>HOTEL!CO21</f>
        <v>9.76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9.56</v>
      </c>
      <c r="AD19" s="8">
        <f>HOTEL!DD21</f>
        <v>0</v>
      </c>
      <c r="AE19" s="7" t="str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 x14ac:dyDescent="0.2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5794</v>
      </c>
      <c r="F20" s="7">
        <f>HOTEL!R22</f>
        <v>161</v>
      </c>
      <c r="G20" s="7">
        <f>HOTEL!T22</f>
        <v>158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106</v>
      </c>
      <c r="M20" s="7">
        <f>HOTEL!AE22</f>
        <v>0</v>
      </c>
      <c r="N20" s="7">
        <f>HOTEL!AI22</f>
        <v>40</v>
      </c>
      <c r="O20" s="7">
        <f>HOTEL!AM22</f>
        <v>16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60</v>
      </c>
      <c r="X20" s="7">
        <f>HOTEL!BT22</f>
        <v>6</v>
      </c>
      <c r="Y20" s="7">
        <f>HOTEL!CO22</f>
        <v>4.88</v>
      </c>
      <c r="Z20" s="7">
        <f>HOTEL!CR21</f>
        <v>0</v>
      </c>
      <c r="AA20" s="7">
        <f>HOTEL!CU22</f>
        <v>0</v>
      </c>
      <c r="AB20" s="8">
        <f>HOTEL!CX22</f>
        <v>43.92</v>
      </c>
      <c r="AC20" s="7">
        <f>HOTEL!DA22</f>
        <v>11.950000000000001</v>
      </c>
      <c r="AD20" s="8">
        <f>HOTEL!DD22</f>
        <v>0</v>
      </c>
      <c r="AE20" s="7">
        <f>HOTEL!DG22</f>
        <v>2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 ht="15" x14ac:dyDescent="0.2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5278</v>
      </c>
      <c r="F21" s="7">
        <f>HOTEL!R23</f>
        <v>246</v>
      </c>
      <c r="G21" s="7">
        <f>HOTEL!T23</f>
        <v>11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67</v>
      </c>
      <c r="M21" s="7">
        <f>HOTEL!AE23</f>
        <v>0</v>
      </c>
      <c r="N21" s="7">
        <f>HOTEL!AI23</f>
        <v>30</v>
      </c>
      <c r="O21" s="7">
        <f>HOTEL!AM23</f>
        <v>2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31</v>
      </c>
      <c r="X21" s="7">
        <f>HOTEL!BT23</f>
        <v>6</v>
      </c>
      <c r="Y21" s="7">
        <f>HOTEL!CO23</f>
        <v>7.32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7.17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 ht="15" x14ac:dyDescent="0.2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5749</v>
      </c>
      <c r="F22" s="7">
        <f>HOTEL!R24</f>
        <v>154</v>
      </c>
      <c r="G22" s="7">
        <f>HOTEL!T24</f>
        <v>3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81</v>
      </c>
      <c r="M22" s="7">
        <f>HOTEL!AE24</f>
        <v>0</v>
      </c>
      <c r="N22" s="7">
        <f>HOTEL!AI24</f>
        <v>30</v>
      </c>
      <c r="O22" s="7">
        <f>HOTEL!AM24</f>
        <v>2</v>
      </c>
      <c r="P22" s="7">
        <f>HOTEL!AO24</f>
        <v>0</v>
      </c>
      <c r="Q22" s="7">
        <f>HOTEL!AQ24</f>
        <v>1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39</v>
      </c>
      <c r="X22" s="7">
        <f>HOTEL!BT24</f>
        <v>12</v>
      </c>
      <c r="Y22" s="7">
        <f>HOTEL!CO24</f>
        <v>7.32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4.78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27.006999999998264</v>
      </c>
      <c r="AK22" s="7">
        <f>TOTAL!K22</f>
        <v>2</v>
      </c>
    </row>
    <row r="23" spans="1:37" ht="15" x14ac:dyDescent="0.2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5414</v>
      </c>
      <c r="F23" s="7">
        <f>HOTEL!R25</f>
        <v>52</v>
      </c>
      <c r="G23" s="7">
        <f>HOTEL!T25</f>
        <v>2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76</v>
      </c>
      <c r="M23" s="7">
        <f>HOTEL!AE25</f>
        <v>0</v>
      </c>
      <c r="N23" s="7">
        <f>HOTEL!AI25</f>
        <v>20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40</v>
      </c>
      <c r="X23" s="7">
        <f>HOTEL!BT25</f>
        <v>16</v>
      </c>
      <c r="Y23" s="7">
        <f>HOTEL!CO25</f>
        <v>4.88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4.78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18.642000000000436</v>
      </c>
      <c r="AK23" s="7">
        <f>TOTAL!K23</f>
        <v>2</v>
      </c>
    </row>
    <row r="24" spans="1:37" ht="15" x14ac:dyDescent="0.2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5712</v>
      </c>
      <c r="F24" s="7">
        <f>HOTEL!R26</f>
        <v>180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100</v>
      </c>
      <c r="M24" s="7">
        <f>HOTEL!AE26</f>
        <v>0</v>
      </c>
      <c r="N24" s="7">
        <f>HOTEL!AI26</f>
        <v>30</v>
      </c>
      <c r="O24" s="7">
        <f>HOTEL!AM26</f>
        <v>1</v>
      </c>
      <c r="P24" s="7">
        <f>HOTEL!AO26</f>
        <v>0</v>
      </c>
      <c r="Q24" s="7">
        <f>HOTEL!AQ26</f>
        <v>1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40</v>
      </c>
      <c r="X24" s="7">
        <f>HOTEL!BT26</f>
        <v>30</v>
      </c>
      <c r="Y24" s="7">
        <f>HOTEL!CO26</f>
        <v>7.32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7.17</v>
      </c>
      <c r="AD24" s="8">
        <f>HOTEL!DD26</f>
        <v>0</v>
      </c>
      <c r="AE24" s="7">
        <f>HOTEL!DG26</f>
        <v>1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2.6999999999998181</v>
      </c>
      <c r="AJ24" s="7">
        <f>HOTEL!DV26</f>
        <v>18.164000000000872</v>
      </c>
      <c r="AK24" s="7">
        <f>TOTAL!K24</f>
        <v>2</v>
      </c>
    </row>
    <row r="25" spans="1:37" ht="15" x14ac:dyDescent="0.2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5501</v>
      </c>
      <c r="F25" s="7">
        <f>HOTEL!R27</f>
        <v>167</v>
      </c>
      <c r="G25" s="7">
        <f>HOTEL!T27</f>
        <v>3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90</v>
      </c>
      <c r="M25" s="7">
        <f>HOTEL!AE27</f>
        <v>0</v>
      </c>
      <c r="N25" s="7">
        <f>HOTEL!AI27</f>
        <v>40</v>
      </c>
      <c r="O25" s="7">
        <f>HOTEL!AM27</f>
        <v>2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40</v>
      </c>
      <c r="X25" s="7">
        <f>HOTEL!BT27</f>
        <v>10</v>
      </c>
      <c r="Y25" s="7">
        <f>HOTEL!CO27</f>
        <v>7.32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7.17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3.1999999999998181</v>
      </c>
      <c r="AJ25" s="7">
        <f>HOTEL!DV27</f>
        <v>18.88099999999913</v>
      </c>
      <c r="AK25" s="7">
        <f>TOTAL!K25</f>
        <v>2</v>
      </c>
    </row>
    <row r="26" spans="1:37" ht="15" x14ac:dyDescent="0.2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6146</v>
      </c>
      <c r="F26" s="7">
        <f>HOTEL!R28</f>
        <v>153</v>
      </c>
      <c r="G26" s="7">
        <f>HOTEL!T28</f>
        <v>4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150</v>
      </c>
      <c r="M26" s="7">
        <f>HOTEL!AE28</f>
        <v>0</v>
      </c>
      <c r="N26" s="7">
        <f>HOTEL!AI28</f>
        <v>40</v>
      </c>
      <c r="O26" s="7">
        <f>HOTEL!AM28</f>
        <v>2</v>
      </c>
      <c r="P26" s="7">
        <f>HOTEL!AO28</f>
        <v>6</v>
      </c>
      <c r="Q26" s="7">
        <f>HOTEL!AQ28</f>
        <v>1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80</v>
      </c>
      <c r="X26" s="7">
        <f>HOTEL!BT28</f>
        <v>30</v>
      </c>
      <c r="Y26" s="7">
        <f>HOTEL!CO28</f>
        <v>9.76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7.17</v>
      </c>
      <c r="AD26" s="8">
        <f>HOTEL!DD28</f>
        <v>0</v>
      </c>
      <c r="AE26" s="7">
        <f>HOTEL!DG28</f>
        <v>2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1.3000000000001819</v>
      </c>
      <c r="AJ26" s="7">
        <f>HOTEL!DV28</f>
        <v>18.881000000001304</v>
      </c>
      <c r="AK26" s="7">
        <f>TOTAL!K26</f>
        <v>2</v>
      </c>
    </row>
    <row r="27" spans="1:37" ht="15" x14ac:dyDescent="0.2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6190</v>
      </c>
      <c r="F27" s="7">
        <f>HOTEL!R29</f>
        <v>208</v>
      </c>
      <c r="G27" s="7">
        <f>HOTEL!T29</f>
        <v>87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120</v>
      </c>
      <c r="M27" s="7">
        <f>HOTEL!AE29</f>
        <v>0</v>
      </c>
      <c r="N27" s="7">
        <f>HOTEL!AI29</f>
        <v>40</v>
      </c>
      <c r="O27" s="7">
        <f>HOTEL!AM29</f>
        <v>7</v>
      </c>
      <c r="P27" s="7">
        <f>HOTEL!AO29</f>
        <v>1</v>
      </c>
      <c r="Q27" s="7">
        <f>HOTEL!AQ29</f>
        <v>1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2</v>
      </c>
      <c r="W27" s="7">
        <f>HOTEL!BM29</f>
        <v>70</v>
      </c>
      <c r="X27" s="7">
        <f>HOTEL!BT29</f>
        <v>10</v>
      </c>
      <c r="Y27" s="7">
        <f>HOTEL!CO29</f>
        <v>12.2</v>
      </c>
      <c r="Z27" s="7">
        <f>HOTEL!CR28</f>
        <v>0</v>
      </c>
      <c r="AA27" s="7">
        <f>HOTEL!CU29</f>
        <v>0</v>
      </c>
      <c r="AB27" s="8">
        <f>HOTEL!CX29</f>
        <v>48.8</v>
      </c>
      <c r="AC27" s="7">
        <f>HOTEL!DA29</f>
        <v>9.56</v>
      </c>
      <c r="AD27" s="8">
        <f>HOTEL!DD29</f>
        <v>0</v>
      </c>
      <c r="AE27" s="7" t="str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 t="str">
        <f>HOTEL!DS29</f>
        <v>0</v>
      </c>
      <c r="AJ27" s="7">
        <f>HOTEL!DV29</f>
        <v>19.12</v>
      </c>
      <c r="AK27" s="7">
        <f>TOTAL!K27</f>
        <v>2</v>
      </c>
    </row>
    <row r="28" spans="1:37" ht="15" x14ac:dyDescent="0.2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6333</v>
      </c>
      <c r="F28" s="7">
        <f>HOTEL!R30</f>
        <v>174</v>
      </c>
      <c r="G28" s="7">
        <f>HOTEL!T30</f>
        <v>3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130</v>
      </c>
      <c r="M28" s="7">
        <f>HOTEL!AE30</f>
        <v>0</v>
      </c>
      <c r="N28" s="7">
        <f>HOTEL!AI30</f>
        <v>30</v>
      </c>
      <c r="O28" s="7">
        <f>HOTEL!AM30</f>
        <v>1</v>
      </c>
      <c r="P28" s="7">
        <f>HOTEL!AO30</f>
        <v>0</v>
      </c>
      <c r="Q28" s="7">
        <f>HOTEL!AQ30</f>
        <v>1</v>
      </c>
      <c r="R28" s="7">
        <f>HOTEL!AS30</f>
        <v>8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1</v>
      </c>
      <c r="W28" s="7">
        <f>HOTEL!BM30</f>
        <v>80</v>
      </c>
      <c r="X28" s="7">
        <f>HOTEL!BT30</f>
        <v>20</v>
      </c>
      <c r="Y28" s="7">
        <f>HOTEL!CO30</f>
        <v>17.079999999999998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7.17</v>
      </c>
      <c r="AD28" s="8">
        <f>HOTEL!DD30</f>
        <v>0</v>
      </c>
      <c r="AE28" s="7">
        <f>HOTEL!DG30</f>
        <v>1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0.5</v>
      </c>
      <c r="AJ28" s="7">
        <f>HOTEL!DV30</f>
        <v>20.553999999998698</v>
      </c>
      <c r="AK28" s="7">
        <f>TOTAL!K28</f>
        <v>2</v>
      </c>
    </row>
    <row r="29" spans="1:37" ht="15" x14ac:dyDescent="0.2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5744</v>
      </c>
      <c r="F29" s="7">
        <f>HOTEL!R31</f>
        <v>91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80</v>
      </c>
      <c r="M29" s="7">
        <f>HOTEL!AE31</f>
        <v>0</v>
      </c>
      <c r="N29" s="7">
        <f>HOTEL!AI31</f>
        <v>20</v>
      </c>
      <c r="O29" s="7">
        <f>HOTEL!AM31</f>
        <v>2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1</v>
      </c>
      <c r="U29" s="7">
        <f>HOTEL!AY31</f>
        <v>0</v>
      </c>
      <c r="V29" s="7">
        <f>HOTEL!BA31</f>
        <v>0</v>
      </c>
      <c r="W29" s="7">
        <f>HOTEL!BM31</f>
        <v>40</v>
      </c>
      <c r="X29" s="7">
        <f>HOTEL!BT31</f>
        <v>20</v>
      </c>
      <c r="Y29" s="7">
        <f>HOTEL!CO31</f>
        <v>7.32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7.17</v>
      </c>
      <c r="AD29" s="8">
        <f>HOTEL!DD31</f>
        <v>4</v>
      </c>
      <c r="AE29" s="7" t="str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 t="str">
        <f>HOTEL!DS31</f>
        <v>0</v>
      </c>
      <c r="AJ29" s="7">
        <f>HOTEL!DV31</f>
        <v>11.472000000000435</v>
      </c>
      <c r="AK29" s="7">
        <f>TOTAL!K29</f>
        <v>2</v>
      </c>
    </row>
    <row r="30" spans="1:37" ht="15" x14ac:dyDescent="0.2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6016</v>
      </c>
      <c r="F30" s="7">
        <f>HOTEL!R32</f>
        <v>33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90</v>
      </c>
      <c r="M30" s="7">
        <f>HOTEL!AE32</f>
        <v>0</v>
      </c>
      <c r="N30" s="7">
        <f>HOTEL!AI32</f>
        <v>10</v>
      </c>
      <c r="O30" s="7">
        <f>HOTEL!AM32</f>
        <v>1</v>
      </c>
      <c r="P30" s="7">
        <f>HOTEL!AO32</f>
        <v>0</v>
      </c>
      <c r="Q30" s="7">
        <f>HOTEL!AQ32</f>
        <v>1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40</v>
      </c>
      <c r="X30" s="7">
        <f>HOTEL!BT32</f>
        <v>40</v>
      </c>
      <c r="Y30" s="7">
        <f>HOTEL!CO32</f>
        <v>4.88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2.39</v>
      </c>
      <c r="AD30" s="8">
        <f>HOTEL!DD32</f>
        <v>0</v>
      </c>
      <c r="AE30" s="7">
        <f>HOTEL!DG32</f>
        <v>1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2.9999999999990905</v>
      </c>
      <c r="AJ30" s="7">
        <f>HOTEL!DV32</f>
        <v>23.660999999999131</v>
      </c>
      <c r="AK30" s="7">
        <f>TOTAL!K30</f>
        <v>2</v>
      </c>
    </row>
    <row r="31" spans="1:37" ht="15" x14ac:dyDescent="0.2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6899</v>
      </c>
      <c r="F31" s="7">
        <f>HOTEL!R33</f>
        <v>153</v>
      </c>
      <c r="G31" s="7">
        <f>HOTEL!T33</f>
        <v>24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100</v>
      </c>
      <c r="M31" s="7">
        <f>HOTEL!AE33</f>
        <v>0</v>
      </c>
      <c r="N31" s="7">
        <f>HOTEL!AI33</f>
        <v>40</v>
      </c>
      <c r="O31" s="7">
        <f>HOTEL!AM33</f>
        <v>3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40</v>
      </c>
      <c r="X31" s="7">
        <f>HOTEL!BT33</f>
        <v>20</v>
      </c>
      <c r="Y31" s="7">
        <f>HOTEL!CO33</f>
        <v>12.2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7.17</v>
      </c>
      <c r="AD31" s="8">
        <f>HOTEL!DD33</f>
        <v>0</v>
      </c>
      <c r="AE31" s="7">
        <f>HOTEL!DG33</f>
        <v>1</v>
      </c>
      <c r="AF31" s="7">
        <f>HOTEL!DJ33</f>
        <v>0</v>
      </c>
      <c r="AG31" s="7">
        <f>HOTEL!DM33</f>
        <v>0</v>
      </c>
      <c r="AH31" s="7">
        <f>HOTEL!DP33</f>
        <v>0</v>
      </c>
      <c r="AI31" s="7" t="str">
        <f>HOTEL!DS33</f>
        <v>0</v>
      </c>
      <c r="AJ31" s="7">
        <f>HOTEL!DV33</f>
        <v>13.384000000000871</v>
      </c>
      <c r="AK31" s="7">
        <f>TOTAL!K31</f>
        <v>2</v>
      </c>
    </row>
    <row r="32" spans="1:37" ht="15" x14ac:dyDescent="0.2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6590</v>
      </c>
      <c r="F32" s="7">
        <f>HOTEL!R34</f>
        <v>202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150</v>
      </c>
      <c r="M32" s="7">
        <f>HOTEL!AE34</f>
        <v>0</v>
      </c>
      <c r="N32" s="7">
        <f>HOTEL!AI34</f>
        <v>30</v>
      </c>
      <c r="O32" s="7">
        <f>HOTEL!AM34</f>
        <v>2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100</v>
      </c>
      <c r="X32" s="7">
        <f>HOTEL!BT34</f>
        <v>20</v>
      </c>
      <c r="Y32" s="7">
        <f>HOTEL!CO34</f>
        <v>9.76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7.17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3.8999999999996362</v>
      </c>
      <c r="AJ32" s="7">
        <f>HOTEL!DV34</f>
        <v>19.12</v>
      </c>
      <c r="AK32" s="7">
        <f>TOTAL!K32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P55"/>
  <sheetViews>
    <sheetView tabSelected="1" zoomScale="85" zoomScaleNormal="85" workbookViewId="0">
      <pane xSplit="1" ySplit="2" topLeftCell="BI3" activePane="bottomRight" state="frozen"/>
      <selection pane="topRight" activeCell="B1" sqref="B1"/>
      <selection pane="bottomLeft" activeCell="A3" sqref="A3"/>
      <selection pane="bottomRight" activeCell="BI45" sqref="BI45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 x14ac:dyDescent="0.25">
      <c r="B1" s="131" t="s">
        <v>52</v>
      </c>
      <c r="C1" s="133"/>
      <c r="D1" s="133"/>
      <c r="E1" s="133"/>
      <c r="F1" s="133"/>
      <c r="G1" s="133"/>
      <c r="H1" s="133"/>
      <c r="I1" s="134" t="s">
        <v>53</v>
      </c>
      <c r="J1" s="134"/>
      <c r="K1" s="134"/>
      <c r="L1" s="134"/>
      <c r="M1" s="134" t="s">
        <v>54</v>
      </c>
      <c r="N1" s="134"/>
      <c r="O1" s="134"/>
      <c r="P1" s="134"/>
      <c r="Q1" s="26" t="s">
        <v>55</v>
      </c>
      <c r="R1" s="124" t="s">
        <v>56</v>
      </c>
      <c r="S1" s="27" t="s">
        <v>22</v>
      </c>
      <c r="T1" s="28" t="s">
        <v>56</v>
      </c>
      <c r="U1" s="131" t="s">
        <v>57</v>
      </c>
      <c r="V1" s="132"/>
      <c r="W1" s="29" t="s">
        <v>58</v>
      </c>
      <c r="X1" s="29"/>
      <c r="Y1" s="29"/>
      <c r="Z1" s="30"/>
      <c r="AA1" s="30"/>
      <c r="AB1" s="135" t="s">
        <v>59</v>
      </c>
      <c r="AC1" s="135"/>
      <c r="AD1" s="125" t="s">
        <v>60</v>
      </c>
      <c r="AE1" s="125"/>
      <c r="AF1" s="29" t="s">
        <v>61</v>
      </c>
      <c r="AG1" s="125" t="s">
        <v>56</v>
      </c>
      <c r="AH1" s="129" t="s">
        <v>62</v>
      </c>
      <c r="AI1" s="130"/>
      <c r="AJ1" s="129" t="s">
        <v>63</v>
      </c>
      <c r="AK1" s="130"/>
      <c r="AL1" s="131" t="s">
        <v>64</v>
      </c>
      <c r="AM1" s="132"/>
      <c r="AN1" s="131" t="s">
        <v>65</v>
      </c>
      <c r="AO1" s="132"/>
      <c r="AP1" s="131" t="s">
        <v>66</v>
      </c>
      <c r="AQ1" s="132"/>
      <c r="AR1" s="131" t="s">
        <v>67</v>
      </c>
      <c r="AS1" s="132"/>
      <c r="AT1" s="131" t="s">
        <v>68</v>
      </c>
      <c r="AU1" s="132"/>
      <c r="AV1" s="131" t="s">
        <v>69</v>
      </c>
      <c r="AW1" s="132"/>
      <c r="AX1" s="131" t="s">
        <v>70</v>
      </c>
      <c r="AY1" s="132"/>
      <c r="AZ1" s="131" t="s">
        <v>71</v>
      </c>
      <c r="BA1" s="132"/>
      <c r="BB1" s="31"/>
      <c r="BC1" s="31"/>
      <c r="BD1" s="31"/>
      <c r="BE1" s="31"/>
      <c r="BF1" s="31"/>
      <c r="BG1" s="31"/>
      <c r="BH1" s="125"/>
      <c r="BI1" s="125"/>
      <c r="BJ1" s="125"/>
      <c r="BK1" s="125"/>
      <c r="BL1" s="129" t="s">
        <v>72</v>
      </c>
      <c r="BM1" s="130"/>
      <c r="BN1" s="129" t="s">
        <v>73</v>
      </c>
      <c r="BO1" s="130"/>
      <c r="BP1" s="131" t="s">
        <v>74</v>
      </c>
      <c r="BQ1" s="132"/>
      <c r="BR1" s="129" t="s">
        <v>75</v>
      </c>
      <c r="BS1" s="130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6" t="s">
        <v>78</v>
      </c>
      <c r="CW1" s="127"/>
      <c r="CX1" s="128"/>
      <c r="CY1" s="131" t="s">
        <v>64</v>
      </c>
      <c r="CZ1" s="133"/>
      <c r="DA1" s="132"/>
      <c r="DB1" s="126" t="s">
        <v>65</v>
      </c>
      <c r="DC1" s="127"/>
      <c r="DD1" s="128"/>
      <c r="DE1" s="126" t="s">
        <v>66</v>
      </c>
      <c r="DF1" s="127"/>
      <c r="DG1" s="128"/>
      <c r="DH1" s="126" t="s">
        <v>67</v>
      </c>
      <c r="DI1" s="127"/>
      <c r="DJ1" s="128"/>
      <c r="DK1" s="126" t="s">
        <v>68</v>
      </c>
      <c r="DL1" s="127"/>
      <c r="DM1" s="128"/>
      <c r="DN1" s="126" t="s">
        <v>69</v>
      </c>
      <c r="DO1" s="127"/>
      <c r="DP1" s="128"/>
      <c r="DQ1" s="126" t="s">
        <v>70</v>
      </c>
      <c r="DR1" s="127"/>
      <c r="DS1" s="128"/>
      <c r="DT1" s="126" t="s">
        <v>71</v>
      </c>
      <c r="DU1" s="127"/>
      <c r="DV1" s="128"/>
      <c r="DW1" s="36"/>
      <c r="DX1" s="36"/>
      <c r="DY1" s="36"/>
      <c r="DZ1" s="36"/>
      <c r="EH1" s="136" t="s">
        <v>79</v>
      </c>
      <c r="EI1" s="136"/>
      <c r="EJ1" s="136"/>
    </row>
    <row r="2" spans="1:146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s="20" customFormat="1" ht="15" x14ac:dyDescent="0.2">
      <c r="A3" s="71">
        <v>44408</v>
      </c>
      <c r="B3" s="78">
        <v>7381782</v>
      </c>
      <c r="C3" s="73">
        <v>5269</v>
      </c>
      <c r="D3" s="78">
        <v>6580928</v>
      </c>
      <c r="E3" s="73">
        <v>4791</v>
      </c>
      <c r="F3" s="22">
        <v>0.90928069842474857</v>
      </c>
      <c r="G3" s="74">
        <v>368</v>
      </c>
      <c r="H3" s="74">
        <v>306</v>
      </c>
      <c r="I3" s="75">
        <v>288064</v>
      </c>
      <c r="J3" s="76">
        <v>0</v>
      </c>
      <c r="K3" s="77">
        <v>776</v>
      </c>
      <c r="L3" s="73">
        <v>0</v>
      </c>
      <c r="M3" s="78">
        <v>633954</v>
      </c>
      <c r="N3" s="73">
        <v>0</v>
      </c>
      <c r="O3" s="78">
        <v>993</v>
      </c>
      <c r="P3" s="76">
        <v>0</v>
      </c>
      <c r="Q3" s="78">
        <v>2558860</v>
      </c>
      <c r="R3" s="76">
        <v>135</v>
      </c>
      <c r="S3" s="78">
        <v>2192512</v>
      </c>
      <c r="T3" s="76">
        <v>3</v>
      </c>
      <c r="U3" s="78">
        <v>117356</v>
      </c>
      <c r="V3" s="76">
        <v>73</v>
      </c>
      <c r="W3" s="86">
        <v>100</v>
      </c>
      <c r="X3" s="78">
        <v>152370</v>
      </c>
      <c r="Y3" s="76">
        <v>0</v>
      </c>
      <c r="Z3" s="78">
        <v>40521</v>
      </c>
      <c r="AA3" s="81">
        <v>5</v>
      </c>
      <c r="AB3" s="78">
        <v>1131</v>
      </c>
      <c r="AC3" s="82">
        <v>0</v>
      </c>
      <c r="AD3" s="78">
        <v>4605</v>
      </c>
      <c r="AE3" s="76">
        <v>0</v>
      </c>
      <c r="AF3" s="19"/>
      <c r="AG3" s="19"/>
      <c r="AH3" s="78">
        <v>583610</v>
      </c>
      <c r="AI3" s="76">
        <v>30</v>
      </c>
      <c r="AJ3" s="90">
        <v>826</v>
      </c>
      <c r="AK3" s="73">
        <v>1</v>
      </c>
      <c r="AL3" s="78">
        <v>52423</v>
      </c>
      <c r="AM3" s="87">
        <v>1</v>
      </c>
      <c r="AN3" s="78">
        <v>8931</v>
      </c>
      <c r="AO3" s="73">
        <v>0</v>
      </c>
      <c r="AP3" s="78">
        <v>10585</v>
      </c>
      <c r="AQ3" s="76">
        <v>0</v>
      </c>
      <c r="AR3" s="78">
        <v>14624</v>
      </c>
      <c r="AS3" s="73">
        <v>0</v>
      </c>
      <c r="AT3" s="78">
        <v>19369</v>
      </c>
      <c r="AU3" s="76">
        <v>0</v>
      </c>
      <c r="AV3" s="78">
        <v>20680</v>
      </c>
      <c r="AW3" s="81">
        <v>0</v>
      </c>
      <c r="AX3" s="78">
        <v>13872</v>
      </c>
      <c r="AY3" s="91">
        <v>0</v>
      </c>
      <c r="AZ3" s="78">
        <v>6225</v>
      </c>
      <c r="BA3" s="73">
        <v>0</v>
      </c>
      <c r="BB3" s="78">
        <v>26587</v>
      </c>
      <c r="BC3" s="73">
        <v>0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0</v>
      </c>
      <c r="BK3" s="81">
        <v>30</v>
      </c>
      <c r="BL3" s="78">
        <v>603990</v>
      </c>
      <c r="BM3" s="81">
        <v>20</v>
      </c>
      <c r="BN3" s="92">
        <v>747</v>
      </c>
      <c r="BO3" s="73">
        <v>0</v>
      </c>
      <c r="BP3" s="78">
        <v>784220</v>
      </c>
      <c r="BQ3" s="81">
        <v>40</v>
      </c>
      <c r="BR3" s="92">
        <v>7863</v>
      </c>
      <c r="BS3" s="81">
        <v>23</v>
      </c>
      <c r="BT3" s="91">
        <v>10</v>
      </c>
      <c r="BU3" s="81">
        <v>60</v>
      </c>
      <c r="BV3" s="93">
        <v>1</v>
      </c>
      <c r="BW3" s="78">
        <v>122</v>
      </c>
      <c r="BX3" s="94">
        <v>15128.057958131996</v>
      </c>
      <c r="BY3" s="99"/>
      <c r="BZ3" s="96">
        <v>0</v>
      </c>
      <c r="CA3" s="74">
        <v>207001</v>
      </c>
      <c r="CB3" s="81">
        <v>5</v>
      </c>
      <c r="CC3" s="91">
        <v>28.55</v>
      </c>
      <c r="CD3" s="74">
        <v>51</v>
      </c>
      <c r="CE3" s="100">
        <v>5495.25</v>
      </c>
      <c r="CF3" s="74">
        <v>52</v>
      </c>
      <c r="CG3" s="101">
        <v>5603</v>
      </c>
      <c r="CH3" s="74">
        <v>55</v>
      </c>
      <c r="CI3" s="102">
        <v>5926.25</v>
      </c>
      <c r="CJ3" s="103">
        <v>17024.5</v>
      </c>
      <c r="CK3" s="104">
        <v>0</v>
      </c>
      <c r="CL3" s="78"/>
      <c r="CM3" s="78">
        <v>34751.1</v>
      </c>
      <c r="CN3" s="81">
        <v>3.5999999999985448</v>
      </c>
      <c r="CO3" s="91">
        <v>8.7839999999964498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832280</v>
      </c>
      <c r="CW3" s="81">
        <v>0</v>
      </c>
      <c r="CX3" s="91">
        <v>0</v>
      </c>
      <c r="CY3" s="78">
        <v>6159</v>
      </c>
      <c r="CZ3" s="81">
        <v>2</v>
      </c>
      <c r="DA3" s="91">
        <v>4.78</v>
      </c>
      <c r="DB3" s="78">
        <v>7420</v>
      </c>
      <c r="DC3" s="81">
        <v>0</v>
      </c>
      <c r="DD3" s="81">
        <v>0</v>
      </c>
      <c r="DE3" s="78">
        <v>4214</v>
      </c>
      <c r="DF3" s="81">
        <v>2</v>
      </c>
      <c r="DG3" s="81">
        <v>0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6" ht="15" x14ac:dyDescent="0.25">
      <c r="A4" s="71">
        <v>44409</v>
      </c>
      <c r="B4" s="79">
        <v>7387489</v>
      </c>
      <c r="C4" s="73">
        <v>5707</v>
      </c>
      <c r="D4" s="78">
        <v>6586051</v>
      </c>
      <c r="E4" s="73">
        <v>5123</v>
      </c>
      <c r="F4" s="22">
        <v>0.89766952864902749</v>
      </c>
      <c r="G4" s="74">
        <v>368</v>
      </c>
      <c r="H4" s="74">
        <v>306</v>
      </c>
      <c r="I4" s="75">
        <v>288064</v>
      </c>
      <c r="J4" s="76">
        <v>0</v>
      </c>
      <c r="K4" s="77">
        <v>776</v>
      </c>
      <c r="L4" s="76">
        <v>0</v>
      </c>
      <c r="M4" s="78">
        <v>633954</v>
      </c>
      <c r="N4" s="76">
        <v>0</v>
      </c>
      <c r="O4" s="78">
        <v>993</v>
      </c>
      <c r="P4" s="76">
        <v>0</v>
      </c>
      <c r="Q4" s="78">
        <v>2558900</v>
      </c>
      <c r="R4" s="76">
        <v>40</v>
      </c>
      <c r="S4" s="78">
        <v>2192514</v>
      </c>
      <c r="T4" s="76">
        <v>2</v>
      </c>
      <c r="U4" s="74">
        <v>117402</v>
      </c>
      <c r="V4" s="76">
        <v>46</v>
      </c>
      <c r="W4" s="86">
        <v>50</v>
      </c>
      <c r="X4" s="78">
        <v>152370</v>
      </c>
      <c r="Y4" s="73">
        <v>0</v>
      </c>
      <c r="Z4" s="78">
        <v>40527</v>
      </c>
      <c r="AA4" s="81">
        <f t="shared" ref="AA4" si="0">IF((Z4-Z3)&lt;0,"0",(Z4-Z3))</f>
        <v>6</v>
      </c>
      <c r="AB4" s="84">
        <v>1132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583620</v>
      </c>
      <c r="AI4" s="76">
        <f t="shared" ref="AI4" si="1">IF((AH4-AH3)&lt;0,"0",(AH4-AH3))</f>
        <v>10</v>
      </c>
      <c r="AJ4" s="88">
        <v>826</v>
      </c>
      <c r="AK4" s="73">
        <f t="shared" ref="AK4" si="2">(AJ4-AJ3)</f>
        <v>0</v>
      </c>
      <c r="AL4" s="86">
        <v>52424</v>
      </c>
      <c r="AM4" s="87">
        <f t="shared" ref="AM4" si="3">(AL4-AL3)</f>
        <v>1</v>
      </c>
      <c r="AN4" s="77">
        <v>8931</v>
      </c>
      <c r="AO4" s="73">
        <v>0</v>
      </c>
      <c r="AP4" s="78">
        <v>10585</v>
      </c>
      <c r="AQ4" s="73">
        <f t="shared" ref="AQ4:AU4" si="4">(AP4-AP3)</f>
        <v>0</v>
      </c>
      <c r="AR4" s="78">
        <v>14624</v>
      </c>
      <c r="AS4" s="73">
        <f t="shared" si="4"/>
        <v>0</v>
      </c>
      <c r="AT4" s="78">
        <v>19369</v>
      </c>
      <c r="AU4" s="73">
        <f t="shared" si="4"/>
        <v>0</v>
      </c>
      <c r="AV4" s="78">
        <v>20680</v>
      </c>
      <c r="AW4" s="81">
        <f t="shared" ref="AW4" si="5">IF((AV4-AV3)&lt;0,"0",(AV4-AV3))</f>
        <v>0</v>
      </c>
      <c r="AX4" s="72">
        <v>13872</v>
      </c>
      <c r="AY4" s="81">
        <f t="shared" ref="AY4" si="6">IF((AX5-AX3)&lt;0,"0",(AX5-AX3))</f>
        <v>0</v>
      </c>
      <c r="AZ4" s="78">
        <v>6225</v>
      </c>
      <c r="BA4" s="83">
        <v>0</v>
      </c>
      <c r="BB4" s="78">
        <v>26587</v>
      </c>
      <c r="BC4" s="73">
        <f t="shared" ref="BC4" si="7">(BB4-BB3)</f>
        <v>0</v>
      </c>
      <c r="BD4" s="78">
        <v>1115</v>
      </c>
      <c r="BE4" s="73">
        <f t="shared" ref="BE4" si="8">(BD4-BD3)</f>
        <v>0</v>
      </c>
      <c r="BF4" s="78">
        <v>4378</v>
      </c>
      <c r="BG4" s="73">
        <f t="shared" ref="BG4" si="9">(BF4-BF3)</f>
        <v>0</v>
      </c>
      <c r="BH4" s="78">
        <v>3636</v>
      </c>
      <c r="BI4" s="73">
        <v>0</v>
      </c>
      <c r="BJ4" s="81">
        <f t="shared" ref="BJ4" si="10">AY4+AW4+AS4</f>
        <v>0</v>
      </c>
      <c r="BK4" s="81">
        <f t="shared" ref="BK4" si="11">AI4-BJ4</f>
        <v>10</v>
      </c>
      <c r="BL4" s="78">
        <v>604010</v>
      </c>
      <c r="BM4" s="81">
        <f t="shared" ref="BM4" si="12">IF((BL4-BL3)&lt;0,"0",(BL4-BL3))</f>
        <v>20</v>
      </c>
      <c r="BN4" s="92">
        <v>747</v>
      </c>
      <c r="BO4" s="73">
        <f t="shared" ref="BO4" si="13">(BN4-BN3)</f>
        <v>0</v>
      </c>
      <c r="BP4" s="78">
        <v>784260</v>
      </c>
      <c r="BQ4" s="81">
        <f t="shared" ref="BQ4" si="14">IF((BP4-BP3)&lt;0,"0",(BP4-BP3))</f>
        <v>40</v>
      </c>
      <c r="BR4" s="92">
        <v>7875</v>
      </c>
      <c r="BS4" s="81">
        <f t="shared" ref="BS4" si="15">IF((BR4-BR3)&lt;0,"0",(BR4-BR3))</f>
        <v>12</v>
      </c>
      <c r="BT4" s="91">
        <f t="shared" ref="BT4" si="16">BQ4-AI4</f>
        <v>30</v>
      </c>
      <c r="BU4" s="81">
        <f t="shared" ref="BU4" si="17">SUM(BM4, BQ4)</f>
        <v>60</v>
      </c>
      <c r="BV4" s="93">
        <f xml:space="preserve"> SUM(AM4,AO4,AQ4,AS4,AU4,AW4,AY4,BA4,BE4)</f>
        <v>1</v>
      </c>
      <c r="BW4" s="78">
        <v>124</v>
      </c>
      <c r="BX4" s="94">
        <f t="shared" ref="BX4" si="1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" si="19">(BY4-BY3)</f>
        <v>0</v>
      </c>
      <c r="CA4" s="75">
        <v>207002.1</v>
      </c>
      <c r="CB4" s="81">
        <f t="shared" ref="CB4" si="20">IF((CA4-CA3)&lt;0,"0",(CA4-CA3))</f>
        <v>1.1000000000058208</v>
      </c>
      <c r="CC4" s="91">
        <f t="shared" ref="CC4" si="21">CB4*5.71</f>
        <v>6.2810000000332362</v>
      </c>
      <c r="CD4" s="84">
        <v>51</v>
      </c>
      <c r="CE4" s="100">
        <f t="shared" ref="CE4" si="22">(CD4*10775)/100</f>
        <v>5495.25</v>
      </c>
      <c r="CF4" s="75">
        <v>51</v>
      </c>
      <c r="CG4" s="101">
        <f t="shared" ref="CG4" si="23">(CF4*10775)/100</f>
        <v>5495.25</v>
      </c>
      <c r="CH4" s="84">
        <v>55</v>
      </c>
      <c r="CI4" s="102">
        <f t="shared" ref="CI4" si="24">(CH4*10775)/100</f>
        <v>5926.25</v>
      </c>
      <c r="CJ4" s="103">
        <f t="shared" ref="CJ4" si="25">CE4+CG4+CI4</f>
        <v>16916.75</v>
      </c>
      <c r="CK4" s="104">
        <f t="shared" ref="CK4" si="26">IF((CJ3-CJ4+CL3)=CJ3,"0",(CJ3-CJ4+CL3))</f>
        <v>107.75</v>
      </c>
      <c r="CL4" s="78"/>
      <c r="CM4" s="78">
        <v>34571.1</v>
      </c>
      <c r="CN4" s="81" t="str">
        <f t="shared" ref="CN4" si="27">IF((CM4-CM3)&lt;0,"0",(CM4-CM3))</f>
        <v>0</v>
      </c>
      <c r="CO4" s="91">
        <f t="shared" ref="CO4" si="28">CN4*2.44</f>
        <v>0</v>
      </c>
      <c r="CP4" s="72">
        <v>34300</v>
      </c>
      <c r="CQ4" s="81">
        <f t="shared" ref="CQ4" si="29">IF((CP4-CP3)&lt;0,"0",(CP4-CP3))</f>
        <v>0</v>
      </c>
      <c r="CR4" s="91">
        <f t="shared" ref="CR4" si="30">CQ4*2.44</f>
        <v>0</v>
      </c>
      <c r="CS4" s="78">
        <v>10235.6</v>
      </c>
      <c r="CT4" s="81">
        <v>0</v>
      </c>
      <c r="CU4" s="91">
        <f t="shared" ref="CU4" si="31">CT4*2.44</f>
        <v>0</v>
      </c>
      <c r="CV4" s="78">
        <v>832280</v>
      </c>
      <c r="CW4" s="81">
        <f t="shared" ref="CW4" si="32">IF((CV4-CV3)&lt;0,"0",(CV4-CV3))</f>
        <v>0</v>
      </c>
      <c r="CX4" s="91">
        <f t="shared" ref="CX4" si="33">CW4*2.44</f>
        <v>0</v>
      </c>
      <c r="CY4" s="77">
        <v>6160</v>
      </c>
      <c r="CZ4" s="81">
        <f t="shared" ref="CZ4" si="34">IF((CY4-CY3)&lt;0,"0",(CY4-CY3))</f>
        <v>1</v>
      </c>
      <c r="DA4" s="91">
        <f t="shared" ref="DA4" si="35">CZ4*2.39</f>
        <v>2.39</v>
      </c>
      <c r="DB4" s="78">
        <v>7420</v>
      </c>
      <c r="DC4" s="81">
        <f t="shared" ref="DC4:DD4" si="36">IF((DB4-DB3)&lt;0,"0",(DB4-DB3))</f>
        <v>0</v>
      </c>
      <c r="DD4" s="81">
        <f t="shared" si="36"/>
        <v>0</v>
      </c>
      <c r="DE4" s="78">
        <v>4218</v>
      </c>
      <c r="DF4" s="81">
        <f t="shared" ref="DF4:DS4" si="37">IF((DE4-DE3)&lt;0,"0",(DE4-DE3))</f>
        <v>4</v>
      </c>
      <c r="DG4" s="81">
        <f t="shared" si="37"/>
        <v>2</v>
      </c>
      <c r="DH4" s="78">
        <v>1855.9</v>
      </c>
      <c r="DI4" s="81">
        <f t="shared" si="37"/>
        <v>0</v>
      </c>
      <c r="DJ4" s="81">
        <f t="shared" si="37"/>
        <v>0</v>
      </c>
      <c r="DK4" s="78">
        <v>5081.7</v>
      </c>
      <c r="DL4" s="81">
        <f t="shared" si="37"/>
        <v>0</v>
      </c>
      <c r="DM4" s="81">
        <f t="shared" si="37"/>
        <v>0</v>
      </c>
      <c r="DN4" s="78">
        <v>4454.7</v>
      </c>
      <c r="DO4" s="81">
        <f t="shared" si="37"/>
        <v>0</v>
      </c>
      <c r="DP4" s="81">
        <f t="shared" si="37"/>
        <v>0</v>
      </c>
      <c r="DQ4" s="78">
        <v>5089.6000000000004</v>
      </c>
      <c r="DR4" s="81">
        <f t="shared" si="37"/>
        <v>0</v>
      </c>
      <c r="DS4" s="81">
        <f t="shared" si="37"/>
        <v>0</v>
      </c>
      <c r="DT4" s="78">
        <v>5109.1000000000004</v>
      </c>
      <c r="DU4" s="81">
        <f t="shared" ref="DU4" si="38">IF((DT4-DT3)&lt;0,"0",(DT4-DT3))</f>
        <v>0</v>
      </c>
      <c r="DV4" s="91">
        <f t="shared" ref="DV4" si="39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4" si="40">(DY4-DY3)</f>
        <v>0</v>
      </c>
      <c r="EA4" s="109">
        <v>15588</v>
      </c>
      <c r="EB4" s="91">
        <f t="shared" si="40"/>
        <v>0</v>
      </c>
      <c r="EC4" s="72">
        <v>24679</v>
      </c>
      <c r="ED4" s="91">
        <f t="shared" ref="ED4" si="41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6" ht="15" x14ac:dyDescent="0.25">
      <c r="A5" s="71">
        <v>44410</v>
      </c>
      <c r="B5" s="74">
        <v>7393616</v>
      </c>
      <c r="C5" s="73">
        <v>6127</v>
      </c>
      <c r="D5" s="74">
        <v>6591571</v>
      </c>
      <c r="E5" s="73">
        <v>5520</v>
      </c>
      <c r="F5" s="22">
        <v>0.90093030847070343</v>
      </c>
      <c r="G5" s="74">
        <v>368</v>
      </c>
      <c r="H5" s="74">
        <v>316</v>
      </c>
      <c r="I5" s="75">
        <v>288064</v>
      </c>
      <c r="J5" s="76">
        <v>0</v>
      </c>
      <c r="K5" s="77">
        <v>776</v>
      </c>
      <c r="L5" s="76">
        <v>0</v>
      </c>
      <c r="M5" s="78">
        <v>633954</v>
      </c>
      <c r="N5" s="76">
        <v>0</v>
      </c>
      <c r="O5" s="78">
        <v>993</v>
      </c>
      <c r="P5" s="76">
        <v>0</v>
      </c>
      <c r="Q5" s="78">
        <v>2559065</v>
      </c>
      <c r="R5" s="76">
        <v>165</v>
      </c>
      <c r="S5" s="78">
        <v>2192517</v>
      </c>
      <c r="T5" s="76">
        <v>3</v>
      </c>
      <c r="U5" s="78">
        <v>117473</v>
      </c>
      <c r="V5" s="76">
        <v>71</v>
      </c>
      <c r="W5" s="86">
        <v>50</v>
      </c>
      <c r="X5" s="78">
        <v>152370</v>
      </c>
      <c r="Y5" s="73">
        <v>0</v>
      </c>
      <c r="Z5" s="85">
        <v>40536</v>
      </c>
      <c r="AA5" s="81">
        <v>9</v>
      </c>
      <c r="AB5" s="86">
        <v>1133</v>
      </c>
      <c r="AC5" s="82">
        <v>1</v>
      </c>
      <c r="AD5" s="75">
        <v>4605</v>
      </c>
      <c r="AE5" s="83">
        <v>0</v>
      </c>
      <c r="AF5" s="22"/>
      <c r="AG5" s="22"/>
      <c r="AH5" s="74">
        <v>583650</v>
      </c>
      <c r="AI5" s="76">
        <v>30</v>
      </c>
      <c r="AJ5" s="88">
        <v>828</v>
      </c>
      <c r="AK5" s="73">
        <v>2</v>
      </c>
      <c r="AL5" s="84">
        <v>52426</v>
      </c>
      <c r="AM5" s="87">
        <v>2</v>
      </c>
      <c r="AN5" s="75">
        <v>8931</v>
      </c>
      <c r="AO5" s="73">
        <v>0</v>
      </c>
      <c r="AP5" s="74">
        <v>10585</v>
      </c>
      <c r="AQ5" s="73">
        <v>0</v>
      </c>
      <c r="AR5" s="74">
        <v>14624</v>
      </c>
      <c r="AS5" s="73">
        <v>0</v>
      </c>
      <c r="AT5" s="78">
        <v>19369</v>
      </c>
      <c r="AU5" s="73">
        <v>0</v>
      </c>
      <c r="AV5" s="78">
        <v>20680</v>
      </c>
      <c r="AW5" s="81">
        <v>0</v>
      </c>
      <c r="AX5" s="78">
        <v>13872</v>
      </c>
      <c r="AY5" s="81" t="s">
        <v>127</v>
      </c>
      <c r="AZ5" s="78">
        <v>6225</v>
      </c>
      <c r="BA5" s="83">
        <v>0</v>
      </c>
      <c r="BB5" s="74">
        <v>26589</v>
      </c>
      <c r="BC5" s="73">
        <v>2</v>
      </c>
      <c r="BD5" s="74">
        <v>1115</v>
      </c>
      <c r="BE5" s="73">
        <v>0</v>
      </c>
      <c r="BF5" s="74">
        <v>4378</v>
      </c>
      <c r="BG5" s="73">
        <v>0</v>
      </c>
      <c r="BH5" s="78">
        <v>3636</v>
      </c>
      <c r="BI5" s="73">
        <v>0</v>
      </c>
      <c r="BJ5" s="81">
        <v>0</v>
      </c>
      <c r="BK5" s="81">
        <v>30</v>
      </c>
      <c r="BL5" s="74">
        <v>604030</v>
      </c>
      <c r="BM5" s="81">
        <v>20</v>
      </c>
      <c r="BN5" s="88">
        <v>747</v>
      </c>
      <c r="BO5" s="73">
        <v>0</v>
      </c>
      <c r="BP5" s="78">
        <v>784310</v>
      </c>
      <c r="BQ5" s="81">
        <v>50</v>
      </c>
      <c r="BR5" s="88">
        <v>7898</v>
      </c>
      <c r="BS5" s="81">
        <v>23</v>
      </c>
      <c r="BT5" s="91">
        <v>20</v>
      </c>
      <c r="BU5" s="81">
        <v>70</v>
      </c>
      <c r="BV5" s="93">
        <v>2</v>
      </c>
      <c r="BW5" s="78">
        <v>124</v>
      </c>
      <c r="BX5" s="94">
        <v>15439.411265508745</v>
      </c>
      <c r="BY5" s="99"/>
      <c r="BZ5" s="96">
        <v>0</v>
      </c>
      <c r="CA5" s="74">
        <v>207008</v>
      </c>
      <c r="CB5" s="81">
        <v>5.8999999999941792</v>
      </c>
      <c r="CC5" s="91">
        <v>33.688999999966761</v>
      </c>
      <c r="CD5" s="84">
        <v>51</v>
      </c>
      <c r="CE5" s="100">
        <v>5495.25</v>
      </c>
      <c r="CF5" s="75">
        <v>51</v>
      </c>
      <c r="CG5" s="101">
        <v>5495.25</v>
      </c>
      <c r="CH5" s="84">
        <v>54</v>
      </c>
      <c r="CI5" s="102">
        <v>5818.5</v>
      </c>
      <c r="CJ5" s="103">
        <v>16809</v>
      </c>
      <c r="CK5" s="104">
        <v>107.75</v>
      </c>
      <c r="CL5" s="78"/>
      <c r="CM5" s="74">
        <v>34757</v>
      </c>
      <c r="CN5" s="81">
        <v>5.9000000000014552</v>
      </c>
      <c r="CO5" s="91">
        <v>14.39600000000355</v>
      </c>
      <c r="CP5" s="78">
        <v>34300</v>
      </c>
      <c r="CQ5" s="81">
        <v>0</v>
      </c>
      <c r="CR5" s="91">
        <v>0</v>
      </c>
      <c r="CS5" s="78">
        <v>10235.6</v>
      </c>
      <c r="CT5" s="81">
        <v>0</v>
      </c>
      <c r="CU5" s="91">
        <v>0</v>
      </c>
      <c r="CV5" s="78">
        <v>832280</v>
      </c>
      <c r="CW5" s="81">
        <v>0</v>
      </c>
      <c r="CX5" s="91">
        <v>0</v>
      </c>
      <c r="CY5" s="78">
        <v>6162</v>
      </c>
      <c r="CZ5" s="81">
        <v>2</v>
      </c>
      <c r="DA5" s="91">
        <v>4.78</v>
      </c>
      <c r="DB5" s="74">
        <v>7420</v>
      </c>
      <c r="DC5" s="81">
        <v>0</v>
      </c>
      <c r="DD5" s="81">
        <v>0</v>
      </c>
      <c r="DE5" s="74">
        <v>4223</v>
      </c>
      <c r="DF5" s="81">
        <v>5</v>
      </c>
      <c r="DG5" s="81">
        <v>1</v>
      </c>
      <c r="DH5" s="78">
        <v>1855.9</v>
      </c>
      <c r="DI5" s="81">
        <v>0</v>
      </c>
      <c r="DJ5" s="81">
        <v>0</v>
      </c>
      <c r="DK5" s="78">
        <v>5081.7</v>
      </c>
      <c r="DL5" s="81">
        <v>0</v>
      </c>
      <c r="DM5" s="81">
        <v>0</v>
      </c>
      <c r="DN5" s="78">
        <v>4454.7</v>
      </c>
      <c r="DO5" s="81">
        <v>0</v>
      </c>
      <c r="DP5" s="81">
        <v>0</v>
      </c>
      <c r="DQ5" s="78">
        <v>5089.6000000000004</v>
      </c>
      <c r="DR5" s="81">
        <v>0</v>
      </c>
      <c r="DS5" s="81">
        <v>0</v>
      </c>
      <c r="DT5" s="78">
        <v>5109.1000000000004</v>
      </c>
      <c r="DU5" s="81">
        <v>0</v>
      </c>
      <c r="DV5" s="91">
        <v>0</v>
      </c>
      <c r="DW5" s="98">
        <v>12871</v>
      </c>
      <c r="DX5" s="91">
        <v>0</v>
      </c>
      <c r="DY5" s="98">
        <v>62789</v>
      </c>
      <c r="DZ5" s="91">
        <v>0</v>
      </c>
      <c r="EA5" s="109">
        <v>15588</v>
      </c>
      <c r="EB5" s="91">
        <v>0</v>
      </c>
      <c r="EC5" s="72">
        <v>24679</v>
      </c>
      <c r="ED5" s="91"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6" s="20" customFormat="1" ht="15" x14ac:dyDescent="0.2">
      <c r="A6" s="71">
        <v>44411</v>
      </c>
      <c r="B6" s="74">
        <v>7399324</v>
      </c>
      <c r="C6" s="73">
        <v>5708</v>
      </c>
      <c r="D6" s="74">
        <v>6596780</v>
      </c>
      <c r="E6" s="73">
        <v>5209</v>
      </c>
      <c r="F6" s="22">
        <v>0.91257883672039242</v>
      </c>
      <c r="G6" s="74">
        <v>368</v>
      </c>
      <c r="H6" s="77">
        <v>316</v>
      </c>
      <c r="I6" s="77">
        <v>288064</v>
      </c>
      <c r="J6" s="76">
        <v>0</v>
      </c>
      <c r="K6" s="77">
        <v>776</v>
      </c>
      <c r="L6" s="76">
        <v>0</v>
      </c>
      <c r="M6" s="78">
        <v>633954</v>
      </c>
      <c r="N6" s="76">
        <v>0</v>
      </c>
      <c r="O6" s="78">
        <v>993</v>
      </c>
      <c r="P6" s="76">
        <v>0</v>
      </c>
      <c r="Q6" s="78">
        <v>2559194</v>
      </c>
      <c r="R6" s="76">
        <v>129</v>
      </c>
      <c r="S6" s="78">
        <v>2192519</v>
      </c>
      <c r="T6" s="76">
        <v>2</v>
      </c>
      <c r="U6" s="78">
        <v>117600</v>
      </c>
      <c r="V6" s="76">
        <v>127</v>
      </c>
      <c r="W6" s="84">
        <v>50</v>
      </c>
      <c r="X6" s="78">
        <v>152370</v>
      </c>
      <c r="Y6" s="73">
        <v>0</v>
      </c>
      <c r="Z6" s="85">
        <v>40547</v>
      </c>
      <c r="AA6" s="81">
        <v>11</v>
      </c>
      <c r="AB6" s="86">
        <v>1133</v>
      </c>
      <c r="AC6" s="82">
        <v>0</v>
      </c>
      <c r="AD6" s="75">
        <v>4605</v>
      </c>
      <c r="AE6" s="83">
        <v>0</v>
      </c>
      <c r="AF6" s="22"/>
      <c r="AG6" s="22"/>
      <c r="AH6" s="74">
        <v>583680</v>
      </c>
      <c r="AI6" s="76">
        <v>30</v>
      </c>
      <c r="AJ6" s="88">
        <v>830</v>
      </c>
      <c r="AK6" s="73">
        <v>2</v>
      </c>
      <c r="AL6" s="74">
        <v>52429</v>
      </c>
      <c r="AM6" s="87">
        <v>3</v>
      </c>
      <c r="AN6" s="74">
        <v>8931</v>
      </c>
      <c r="AO6" s="73">
        <v>0</v>
      </c>
      <c r="AP6" s="74">
        <v>10586</v>
      </c>
      <c r="AQ6" s="73">
        <v>1</v>
      </c>
      <c r="AR6" s="74">
        <v>14624</v>
      </c>
      <c r="AS6" s="73">
        <v>0</v>
      </c>
      <c r="AT6" s="78">
        <v>19369</v>
      </c>
      <c r="AU6" s="73">
        <v>0</v>
      </c>
      <c r="AV6" s="78">
        <v>20680</v>
      </c>
      <c r="AW6" s="81">
        <v>0</v>
      </c>
      <c r="AX6" s="78">
        <v>13872</v>
      </c>
      <c r="AY6" s="81">
        <v>0</v>
      </c>
      <c r="AZ6" s="78">
        <v>6225</v>
      </c>
      <c r="BA6" s="83">
        <v>0</v>
      </c>
      <c r="BB6" s="74">
        <v>26589</v>
      </c>
      <c r="BC6" s="73">
        <v>0</v>
      </c>
      <c r="BD6" s="74">
        <v>1115</v>
      </c>
      <c r="BE6" s="73">
        <v>0</v>
      </c>
      <c r="BF6" s="74">
        <v>4378</v>
      </c>
      <c r="BG6" s="73">
        <v>0</v>
      </c>
      <c r="BH6" s="78">
        <v>3636</v>
      </c>
      <c r="BI6" s="73">
        <v>0</v>
      </c>
      <c r="BJ6" s="81">
        <v>0</v>
      </c>
      <c r="BK6" s="81">
        <v>30</v>
      </c>
      <c r="BL6" s="74">
        <v>604080</v>
      </c>
      <c r="BM6" s="81">
        <v>50</v>
      </c>
      <c r="BN6" s="88">
        <v>747</v>
      </c>
      <c r="BO6" s="73">
        <v>0</v>
      </c>
      <c r="BP6" s="78">
        <v>784370</v>
      </c>
      <c r="BQ6" s="81">
        <v>60</v>
      </c>
      <c r="BR6" s="88">
        <v>7919</v>
      </c>
      <c r="BS6" s="81">
        <v>21</v>
      </c>
      <c r="BT6" s="91">
        <v>30</v>
      </c>
      <c r="BU6" s="81">
        <v>110</v>
      </c>
      <c r="BV6" s="93">
        <v>4</v>
      </c>
      <c r="BW6" s="78">
        <v>124</v>
      </c>
      <c r="BX6" s="94">
        <v>15439.411265508745</v>
      </c>
      <c r="BY6" s="99"/>
      <c r="BZ6" s="96">
        <v>0</v>
      </c>
      <c r="CA6" s="74">
        <v>207021</v>
      </c>
      <c r="CB6" s="81">
        <v>13</v>
      </c>
      <c r="CC6" s="91">
        <v>74.23</v>
      </c>
      <c r="CD6" s="84">
        <v>50</v>
      </c>
      <c r="CE6" s="100">
        <v>5387.5</v>
      </c>
      <c r="CF6" s="75">
        <v>51</v>
      </c>
      <c r="CG6" s="101">
        <v>5495.25</v>
      </c>
      <c r="CH6" s="84">
        <v>54</v>
      </c>
      <c r="CI6" s="102">
        <v>5818.5</v>
      </c>
      <c r="CJ6" s="103">
        <v>16701.25</v>
      </c>
      <c r="CK6" s="104">
        <v>107.75</v>
      </c>
      <c r="CL6" s="78"/>
      <c r="CM6" s="74">
        <v>34760</v>
      </c>
      <c r="CN6" s="81">
        <v>3</v>
      </c>
      <c r="CO6" s="91">
        <v>7.32</v>
      </c>
      <c r="CP6" s="78">
        <v>34300</v>
      </c>
      <c r="CQ6" s="81">
        <v>0</v>
      </c>
      <c r="CR6" s="91">
        <v>0</v>
      </c>
      <c r="CS6" s="78">
        <v>10235.6</v>
      </c>
      <c r="CT6" s="81">
        <v>0</v>
      </c>
      <c r="CU6" s="91">
        <v>0</v>
      </c>
      <c r="CV6" s="78">
        <v>832280</v>
      </c>
      <c r="CW6" s="81">
        <v>0</v>
      </c>
      <c r="CX6" s="91">
        <v>0</v>
      </c>
      <c r="CY6" s="78">
        <v>6165</v>
      </c>
      <c r="CZ6" s="81">
        <v>3</v>
      </c>
      <c r="DA6" s="91">
        <v>7.17</v>
      </c>
      <c r="DB6" s="74">
        <v>7420</v>
      </c>
      <c r="DC6" s="81">
        <v>0</v>
      </c>
      <c r="DD6" s="81">
        <v>0</v>
      </c>
      <c r="DE6" s="74">
        <v>4228</v>
      </c>
      <c r="DF6" s="81">
        <v>5</v>
      </c>
      <c r="DG6" s="81">
        <v>0</v>
      </c>
      <c r="DH6" s="78">
        <v>1855.9</v>
      </c>
      <c r="DI6" s="81">
        <v>0</v>
      </c>
      <c r="DJ6" s="81">
        <v>0</v>
      </c>
      <c r="DK6" s="78">
        <v>5081.7</v>
      </c>
      <c r="DL6" s="81">
        <v>0</v>
      </c>
      <c r="DM6" s="81">
        <v>0</v>
      </c>
      <c r="DN6" s="78">
        <v>4454.7</v>
      </c>
      <c r="DO6" s="81">
        <v>0</v>
      </c>
      <c r="DP6" s="81">
        <v>0</v>
      </c>
      <c r="DQ6" s="78">
        <v>5089.6000000000004</v>
      </c>
      <c r="DR6" s="81">
        <v>0</v>
      </c>
      <c r="DS6" s="81">
        <v>0</v>
      </c>
      <c r="DT6" s="78">
        <v>5109.1000000000004</v>
      </c>
      <c r="DU6" s="81">
        <v>0</v>
      </c>
      <c r="DV6" s="91">
        <v>0</v>
      </c>
      <c r="DW6" s="98">
        <v>12871</v>
      </c>
      <c r="DX6" s="91">
        <v>0</v>
      </c>
      <c r="DY6" s="98">
        <v>62789</v>
      </c>
      <c r="DZ6" s="91">
        <v>0</v>
      </c>
      <c r="EA6" s="109">
        <v>15588</v>
      </c>
      <c r="EB6" s="91">
        <v>0</v>
      </c>
      <c r="EC6" s="109">
        <v>24679</v>
      </c>
      <c r="ED6" s="91"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6" s="20" customFormat="1" ht="15" x14ac:dyDescent="0.2">
      <c r="A7" s="71">
        <v>44412</v>
      </c>
      <c r="B7" s="78">
        <v>7405670</v>
      </c>
      <c r="C7" s="73">
        <v>6346</v>
      </c>
      <c r="D7" s="78">
        <v>6602505</v>
      </c>
      <c r="E7" s="73">
        <v>5725</v>
      </c>
      <c r="F7" s="22">
        <v>0.90214308225653961</v>
      </c>
      <c r="G7" s="74">
        <v>368</v>
      </c>
      <c r="H7" s="74">
        <v>338</v>
      </c>
      <c r="I7" s="77">
        <v>288064</v>
      </c>
      <c r="J7" s="76">
        <v>0</v>
      </c>
      <c r="K7" s="77">
        <v>776</v>
      </c>
      <c r="L7" s="73">
        <v>0</v>
      </c>
      <c r="M7" s="78">
        <v>633954</v>
      </c>
      <c r="N7" s="76">
        <v>0</v>
      </c>
      <c r="O7" s="78">
        <v>993</v>
      </c>
      <c r="P7" s="76">
        <v>0</v>
      </c>
      <c r="Q7" s="78">
        <v>2559344</v>
      </c>
      <c r="R7" s="76">
        <v>150</v>
      </c>
      <c r="S7" s="78">
        <v>2192521</v>
      </c>
      <c r="T7" s="76">
        <v>2</v>
      </c>
      <c r="U7" s="78">
        <v>117691</v>
      </c>
      <c r="V7" s="76">
        <v>91</v>
      </c>
      <c r="W7" s="84">
        <v>50</v>
      </c>
      <c r="X7" s="78">
        <v>152370</v>
      </c>
      <c r="Y7" s="73">
        <v>0</v>
      </c>
      <c r="Z7" s="85">
        <v>40557</v>
      </c>
      <c r="AA7" s="81">
        <v>10</v>
      </c>
      <c r="AB7" s="78">
        <v>1133</v>
      </c>
      <c r="AC7" s="82">
        <v>0</v>
      </c>
      <c r="AD7" s="74">
        <v>4605</v>
      </c>
      <c r="AE7" s="83">
        <v>0</v>
      </c>
      <c r="AF7" s="19"/>
      <c r="AG7" s="19"/>
      <c r="AH7" s="74">
        <v>583712</v>
      </c>
      <c r="AI7" s="76">
        <v>32</v>
      </c>
      <c r="AJ7" s="88">
        <v>831</v>
      </c>
      <c r="AK7" s="73">
        <v>1</v>
      </c>
      <c r="AL7" s="74">
        <v>52433</v>
      </c>
      <c r="AM7" s="87">
        <v>4</v>
      </c>
      <c r="AN7" s="78">
        <v>8931</v>
      </c>
      <c r="AO7" s="73">
        <v>0</v>
      </c>
      <c r="AP7" s="78">
        <v>10586</v>
      </c>
      <c r="AQ7" s="73">
        <v>0</v>
      </c>
      <c r="AR7" s="74">
        <v>14624</v>
      </c>
      <c r="AS7" s="73">
        <v>0</v>
      </c>
      <c r="AT7" s="78">
        <v>19369</v>
      </c>
      <c r="AU7" s="73">
        <v>0</v>
      </c>
      <c r="AV7" s="78">
        <v>20680</v>
      </c>
      <c r="AW7" s="81">
        <v>0</v>
      </c>
      <c r="AX7" s="78">
        <v>13872</v>
      </c>
      <c r="AY7" s="81">
        <v>0</v>
      </c>
      <c r="AZ7" s="78">
        <v>6225</v>
      </c>
      <c r="BA7" s="83">
        <v>0</v>
      </c>
      <c r="BB7" s="74">
        <v>26593</v>
      </c>
      <c r="BC7" s="73">
        <v>4</v>
      </c>
      <c r="BD7" s="74">
        <v>1115</v>
      </c>
      <c r="BE7" s="73">
        <v>0</v>
      </c>
      <c r="BF7" s="74">
        <v>4378</v>
      </c>
      <c r="BG7" s="73">
        <v>0</v>
      </c>
      <c r="BH7" s="78">
        <v>3636</v>
      </c>
      <c r="BI7" s="73">
        <v>0</v>
      </c>
      <c r="BJ7" s="81">
        <v>0</v>
      </c>
      <c r="BK7" s="81">
        <v>32</v>
      </c>
      <c r="BL7" s="74">
        <v>604120</v>
      </c>
      <c r="BM7" s="81">
        <v>40</v>
      </c>
      <c r="BN7" s="88">
        <v>747</v>
      </c>
      <c r="BO7" s="73">
        <v>0</v>
      </c>
      <c r="BP7" s="78">
        <v>784430</v>
      </c>
      <c r="BQ7" s="81">
        <v>60</v>
      </c>
      <c r="BR7" s="88">
        <v>7938</v>
      </c>
      <c r="BS7" s="81">
        <v>19</v>
      </c>
      <c r="BT7" s="91">
        <v>28</v>
      </c>
      <c r="BU7" s="81">
        <v>100</v>
      </c>
      <c r="BV7" s="93">
        <v>4</v>
      </c>
      <c r="BW7" s="78">
        <v>124</v>
      </c>
      <c r="BX7" s="94">
        <v>15439.411265508745</v>
      </c>
      <c r="BY7" s="78"/>
      <c r="BZ7" s="96">
        <v>0</v>
      </c>
      <c r="CA7" s="74">
        <v>207026</v>
      </c>
      <c r="CB7" s="81">
        <v>5</v>
      </c>
      <c r="CC7" s="91">
        <v>28.55</v>
      </c>
      <c r="CD7" s="74">
        <v>50</v>
      </c>
      <c r="CE7" s="100">
        <v>5387.5</v>
      </c>
      <c r="CF7" s="74">
        <v>50</v>
      </c>
      <c r="CG7" s="101">
        <v>5387.5</v>
      </c>
      <c r="CH7" s="78">
        <v>53</v>
      </c>
      <c r="CI7" s="102">
        <v>5710.75</v>
      </c>
      <c r="CJ7" s="103">
        <v>16485.75</v>
      </c>
      <c r="CK7" s="104">
        <v>215.5</v>
      </c>
      <c r="CL7" s="78"/>
      <c r="CM7" s="78">
        <v>34765</v>
      </c>
      <c r="CN7" s="81">
        <v>5</v>
      </c>
      <c r="CO7" s="91">
        <v>12.2</v>
      </c>
      <c r="CP7" s="78">
        <v>34300</v>
      </c>
      <c r="CQ7" s="81">
        <v>0</v>
      </c>
      <c r="CR7" s="91">
        <v>0</v>
      </c>
      <c r="CS7" s="78">
        <v>10235.6</v>
      </c>
      <c r="CT7" s="81">
        <v>0</v>
      </c>
      <c r="CU7" s="91">
        <v>0</v>
      </c>
      <c r="CV7" s="78">
        <v>832280</v>
      </c>
      <c r="CW7" s="81">
        <v>0</v>
      </c>
      <c r="CX7" s="91">
        <v>0</v>
      </c>
      <c r="CY7" s="78">
        <v>6168</v>
      </c>
      <c r="CZ7" s="81">
        <v>3</v>
      </c>
      <c r="DA7" s="91">
        <v>7.17</v>
      </c>
      <c r="DB7" s="78">
        <v>7420</v>
      </c>
      <c r="DC7" s="81">
        <v>0</v>
      </c>
      <c r="DD7" s="81">
        <v>0</v>
      </c>
      <c r="DE7" s="74">
        <v>4233</v>
      </c>
      <c r="DF7" s="81">
        <v>5</v>
      </c>
      <c r="DG7" s="81">
        <v>0</v>
      </c>
      <c r="DH7" s="78">
        <v>1855.9</v>
      </c>
      <c r="DI7" s="81">
        <v>0</v>
      </c>
      <c r="DJ7" s="81">
        <v>0</v>
      </c>
      <c r="DK7" s="78">
        <v>5081.7</v>
      </c>
      <c r="DL7" s="81">
        <v>0</v>
      </c>
      <c r="DM7" s="81">
        <v>0</v>
      </c>
      <c r="DN7" s="78">
        <v>4454.7</v>
      </c>
      <c r="DO7" s="81">
        <v>0</v>
      </c>
      <c r="DP7" s="81">
        <v>0</v>
      </c>
      <c r="DQ7" s="78">
        <v>5089.6000000000004</v>
      </c>
      <c r="DR7" s="81">
        <v>0</v>
      </c>
      <c r="DS7" s="81">
        <v>0</v>
      </c>
      <c r="DT7" s="78">
        <v>5109.1000000000004</v>
      </c>
      <c r="DU7" s="81">
        <v>0</v>
      </c>
      <c r="DV7" s="91">
        <v>0</v>
      </c>
      <c r="DW7" s="98">
        <v>12871</v>
      </c>
      <c r="DX7" s="91">
        <v>0</v>
      </c>
      <c r="DY7" s="98">
        <v>62789</v>
      </c>
      <c r="DZ7" s="91">
        <v>0</v>
      </c>
      <c r="EA7" s="109">
        <v>15588</v>
      </c>
      <c r="EB7" s="91">
        <v>0</v>
      </c>
      <c r="EC7" s="109">
        <v>24679</v>
      </c>
      <c r="ED7" s="91"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6" s="20" customFormat="1" ht="15" x14ac:dyDescent="0.2">
      <c r="A8" s="71">
        <v>44413</v>
      </c>
      <c r="B8" s="78">
        <v>7411859</v>
      </c>
      <c r="C8" s="73">
        <v>6189</v>
      </c>
      <c r="D8" s="78">
        <v>6608126</v>
      </c>
      <c r="E8" s="73">
        <v>5621</v>
      </c>
      <c r="F8" s="22">
        <v>0.90822426886411378</v>
      </c>
      <c r="G8" s="74">
        <v>368</v>
      </c>
      <c r="H8" s="74">
        <v>342</v>
      </c>
      <c r="I8" s="75">
        <v>288064</v>
      </c>
      <c r="J8" s="76">
        <v>0</v>
      </c>
      <c r="K8" s="77">
        <v>776</v>
      </c>
      <c r="L8" s="73">
        <v>0</v>
      </c>
      <c r="M8" s="78">
        <v>633954</v>
      </c>
      <c r="N8" s="76">
        <v>0</v>
      </c>
      <c r="O8" s="78">
        <v>993</v>
      </c>
      <c r="P8" s="76">
        <v>0</v>
      </c>
      <c r="Q8" s="78">
        <v>2559504</v>
      </c>
      <c r="R8" s="76">
        <v>160</v>
      </c>
      <c r="S8" s="78">
        <v>2192684</v>
      </c>
      <c r="T8" s="76">
        <v>163</v>
      </c>
      <c r="U8" s="78">
        <v>117800</v>
      </c>
      <c r="V8" s="76">
        <v>109</v>
      </c>
      <c r="W8" s="84">
        <v>50</v>
      </c>
      <c r="X8" s="78">
        <v>152370</v>
      </c>
      <c r="Y8" s="73">
        <v>0</v>
      </c>
      <c r="Z8" s="85">
        <v>40573</v>
      </c>
      <c r="AA8" s="81">
        <v>16</v>
      </c>
      <c r="AB8" s="78">
        <v>1133</v>
      </c>
      <c r="AC8" s="82">
        <v>0</v>
      </c>
      <c r="AD8" s="74">
        <v>4605</v>
      </c>
      <c r="AE8" s="83">
        <v>0</v>
      </c>
      <c r="AF8" s="19"/>
      <c r="AG8" s="19"/>
      <c r="AH8" s="74">
        <v>583750</v>
      </c>
      <c r="AI8" s="76">
        <v>38</v>
      </c>
      <c r="AJ8" s="88">
        <v>832</v>
      </c>
      <c r="AK8" s="73">
        <v>1</v>
      </c>
      <c r="AL8" s="78">
        <v>52446</v>
      </c>
      <c r="AM8" s="87">
        <v>13</v>
      </c>
      <c r="AN8" s="78">
        <v>8931</v>
      </c>
      <c r="AO8" s="73">
        <v>0</v>
      </c>
      <c r="AP8" s="78">
        <v>10587</v>
      </c>
      <c r="AQ8" s="73">
        <v>1</v>
      </c>
      <c r="AR8" s="74">
        <v>14624</v>
      </c>
      <c r="AS8" s="73">
        <v>0</v>
      </c>
      <c r="AT8" s="78">
        <v>19369</v>
      </c>
      <c r="AU8" s="73">
        <v>0</v>
      </c>
      <c r="AV8" s="78">
        <v>20680</v>
      </c>
      <c r="AW8" s="81">
        <v>0</v>
      </c>
      <c r="AX8" s="78">
        <v>13872</v>
      </c>
      <c r="AY8" s="81">
        <v>0</v>
      </c>
      <c r="AZ8" s="78">
        <v>6225</v>
      </c>
      <c r="BA8" s="83">
        <v>0</v>
      </c>
      <c r="BB8" s="78">
        <v>26596</v>
      </c>
      <c r="BC8" s="73">
        <v>3</v>
      </c>
      <c r="BD8" s="74">
        <v>1115</v>
      </c>
      <c r="BE8" s="73">
        <v>0</v>
      </c>
      <c r="BF8" s="74">
        <v>4378</v>
      </c>
      <c r="BG8" s="73">
        <v>0</v>
      </c>
      <c r="BH8" s="78">
        <v>3636</v>
      </c>
      <c r="BI8" s="73">
        <v>0</v>
      </c>
      <c r="BJ8" s="81">
        <v>0</v>
      </c>
      <c r="BK8" s="81">
        <v>38</v>
      </c>
      <c r="BL8" s="74">
        <v>604190</v>
      </c>
      <c r="BM8" s="81">
        <v>70</v>
      </c>
      <c r="BN8" s="88">
        <v>747</v>
      </c>
      <c r="BO8" s="73">
        <v>0</v>
      </c>
      <c r="BP8" s="78">
        <v>784490</v>
      </c>
      <c r="BQ8" s="81">
        <v>60</v>
      </c>
      <c r="BR8" s="88">
        <v>7955</v>
      </c>
      <c r="BS8" s="81">
        <v>17</v>
      </c>
      <c r="BT8" s="91">
        <v>22</v>
      </c>
      <c r="BU8" s="81">
        <v>130</v>
      </c>
      <c r="BV8" s="93">
        <v>14</v>
      </c>
      <c r="BW8" s="78">
        <v>124</v>
      </c>
      <c r="BX8" s="94">
        <v>15439.411265508745</v>
      </c>
      <c r="BY8" s="78"/>
      <c r="BZ8" s="96">
        <v>0</v>
      </c>
      <c r="CA8" s="78">
        <v>207067</v>
      </c>
      <c r="CB8" s="81">
        <v>41</v>
      </c>
      <c r="CC8" s="91">
        <v>234.10999999999999</v>
      </c>
      <c r="CD8" s="74">
        <v>50</v>
      </c>
      <c r="CE8" s="100">
        <v>5387.5</v>
      </c>
      <c r="CF8" s="78">
        <v>49</v>
      </c>
      <c r="CG8" s="101">
        <v>5279.75</v>
      </c>
      <c r="CH8" s="78">
        <v>53</v>
      </c>
      <c r="CI8" s="102">
        <v>5710.75</v>
      </c>
      <c r="CJ8" s="103">
        <v>16378</v>
      </c>
      <c r="CK8" s="104">
        <v>107.75</v>
      </c>
      <c r="CL8" s="78"/>
      <c r="CM8" s="78">
        <v>34768</v>
      </c>
      <c r="CN8" s="81">
        <v>3</v>
      </c>
      <c r="CO8" s="91">
        <v>7.32</v>
      </c>
      <c r="CP8" s="78">
        <v>34300</v>
      </c>
      <c r="CQ8" s="81">
        <v>0</v>
      </c>
      <c r="CR8" s="91">
        <v>0</v>
      </c>
      <c r="CS8" s="78">
        <v>10235.6</v>
      </c>
      <c r="CT8" s="81">
        <v>0</v>
      </c>
      <c r="CU8" s="91">
        <v>0</v>
      </c>
      <c r="CV8" s="78">
        <v>832313</v>
      </c>
      <c r="CW8" s="81">
        <v>33</v>
      </c>
      <c r="CX8" s="91">
        <v>80.52</v>
      </c>
      <c r="CY8" s="78">
        <v>6172</v>
      </c>
      <c r="CZ8" s="81">
        <v>4</v>
      </c>
      <c r="DA8" s="91">
        <v>9.56</v>
      </c>
      <c r="DB8" s="78">
        <v>7420</v>
      </c>
      <c r="DC8" s="81">
        <v>0</v>
      </c>
      <c r="DD8" s="81">
        <v>0</v>
      </c>
      <c r="DE8" s="78">
        <v>4241</v>
      </c>
      <c r="DF8" s="81">
        <v>8</v>
      </c>
      <c r="DG8" s="81">
        <v>3</v>
      </c>
      <c r="DH8" s="78">
        <v>1855.9</v>
      </c>
      <c r="DI8" s="81">
        <v>0</v>
      </c>
      <c r="DJ8" s="81">
        <v>0</v>
      </c>
      <c r="DK8" s="78">
        <v>5081.7</v>
      </c>
      <c r="DL8" s="81">
        <v>0</v>
      </c>
      <c r="DM8" s="81">
        <v>0</v>
      </c>
      <c r="DN8" s="78">
        <v>4454.7</v>
      </c>
      <c r="DO8" s="81">
        <v>0</v>
      </c>
      <c r="DP8" s="81">
        <v>0</v>
      </c>
      <c r="DQ8" s="78">
        <v>5089.6000000000004</v>
      </c>
      <c r="DR8" s="81">
        <v>0</v>
      </c>
      <c r="DS8" s="81">
        <v>0</v>
      </c>
      <c r="DT8" s="78">
        <v>5109.1000000000004</v>
      </c>
      <c r="DU8" s="81">
        <v>0</v>
      </c>
      <c r="DV8" s="91">
        <v>0</v>
      </c>
      <c r="DW8" s="98">
        <v>12871</v>
      </c>
      <c r="DX8" s="91">
        <v>0</v>
      </c>
      <c r="DY8" s="98">
        <v>62789</v>
      </c>
      <c r="DZ8" s="91">
        <v>0</v>
      </c>
      <c r="EA8" s="109">
        <v>15588</v>
      </c>
      <c r="EB8" s="91">
        <v>0</v>
      </c>
      <c r="EC8" s="109">
        <v>24679</v>
      </c>
      <c r="ED8" s="91"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6" s="20" customFormat="1" ht="15" x14ac:dyDescent="0.2">
      <c r="A9" s="71">
        <v>44414</v>
      </c>
      <c r="B9" s="78">
        <v>7418134</v>
      </c>
      <c r="C9" s="73">
        <v>6275</v>
      </c>
      <c r="D9" s="78">
        <v>6613704</v>
      </c>
      <c r="E9" s="73">
        <v>5578</v>
      </c>
      <c r="F9" s="22">
        <v>0.8889243027888446</v>
      </c>
      <c r="G9" s="74">
        <v>368</v>
      </c>
      <c r="H9" s="74">
        <v>342</v>
      </c>
      <c r="I9" s="75">
        <v>288064</v>
      </c>
      <c r="J9" s="76">
        <v>0</v>
      </c>
      <c r="K9" s="77">
        <v>776</v>
      </c>
      <c r="L9" s="73">
        <v>0</v>
      </c>
      <c r="M9" s="78">
        <v>633954</v>
      </c>
      <c r="N9" s="76">
        <v>0</v>
      </c>
      <c r="O9" s="78">
        <v>993</v>
      </c>
      <c r="P9" s="76">
        <v>0</v>
      </c>
      <c r="Q9" s="78">
        <v>2559650</v>
      </c>
      <c r="R9" s="76">
        <v>146</v>
      </c>
      <c r="S9" s="78">
        <v>2192690</v>
      </c>
      <c r="T9" s="76">
        <v>6</v>
      </c>
      <c r="U9" s="78">
        <v>117900</v>
      </c>
      <c r="V9" s="76">
        <v>100</v>
      </c>
      <c r="W9" s="84">
        <v>50</v>
      </c>
      <c r="X9" s="78">
        <v>152370</v>
      </c>
      <c r="Y9" s="73">
        <v>0</v>
      </c>
      <c r="Z9" s="85">
        <v>40581</v>
      </c>
      <c r="AA9" s="81">
        <v>8</v>
      </c>
      <c r="AB9" s="78">
        <v>1134</v>
      </c>
      <c r="AC9" s="82">
        <v>1</v>
      </c>
      <c r="AD9" s="74">
        <v>4605</v>
      </c>
      <c r="AE9" s="83">
        <v>0</v>
      </c>
      <c r="AF9" s="19"/>
      <c r="AG9" s="19"/>
      <c r="AH9" s="74">
        <v>583780</v>
      </c>
      <c r="AI9" s="76">
        <v>30</v>
      </c>
      <c r="AJ9" s="88">
        <v>834</v>
      </c>
      <c r="AK9" s="73">
        <v>2</v>
      </c>
      <c r="AL9" s="74">
        <v>52449</v>
      </c>
      <c r="AM9" s="87">
        <v>3</v>
      </c>
      <c r="AN9" s="78">
        <v>8931</v>
      </c>
      <c r="AO9" s="73">
        <v>0</v>
      </c>
      <c r="AP9" s="78">
        <v>10587</v>
      </c>
      <c r="AQ9" s="73">
        <v>0</v>
      </c>
      <c r="AR9" s="74">
        <v>14624</v>
      </c>
      <c r="AS9" s="73">
        <v>0</v>
      </c>
      <c r="AT9" s="78">
        <v>19369</v>
      </c>
      <c r="AU9" s="73">
        <v>0</v>
      </c>
      <c r="AV9" s="78">
        <v>20680</v>
      </c>
      <c r="AW9" s="81">
        <v>0</v>
      </c>
      <c r="AX9" s="78">
        <v>13872</v>
      </c>
      <c r="AY9" s="81">
        <v>0</v>
      </c>
      <c r="AZ9" s="78">
        <v>6225</v>
      </c>
      <c r="BA9" s="73">
        <v>0</v>
      </c>
      <c r="BB9" s="74">
        <v>26597</v>
      </c>
      <c r="BC9" s="73">
        <v>1</v>
      </c>
      <c r="BD9" s="74">
        <v>1115</v>
      </c>
      <c r="BE9" s="73">
        <v>0</v>
      </c>
      <c r="BF9" s="74">
        <v>4378</v>
      </c>
      <c r="BG9" s="73">
        <v>0</v>
      </c>
      <c r="BH9" s="78">
        <v>3636</v>
      </c>
      <c r="BI9" s="73">
        <v>0</v>
      </c>
      <c r="BJ9" s="81">
        <v>0</v>
      </c>
      <c r="BK9" s="81">
        <v>30</v>
      </c>
      <c r="BL9" s="74">
        <v>604240</v>
      </c>
      <c r="BM9" s="81">
        <v>50</v>
      </c>
      <c r="BN9" s="88">
        <v>751</v>
      </c>
      <c r="BO9" s="73">
        <v>4</v>
      </c>
      <c r="BP9" s="78">
        <v>784550</v>
      </c>
      <c r="BQ9" s="81">
        <v>60</v>
      </c>
      <c r="BR9" s="88">
        <v>7978</v>
      </c>
      <c r="BS9" s="81">
        <v>23</v>
      </c>
      <c r="BT9" s="91">
        <v>30</v>
      </c>
      <c r="BU9" s="81">
        <v>110</v>
      </c>
      <c r="BV9" s="93">
        <v>3</v>
      </c>
      <c r="BW9" s="78">
        <v>123</v>
      </c>
      <c r="BX9" s="94">
        <v>15283.772652075271</v>
      </c>
      <c r="BY9" s="78"/>
      <c r="BZ9" s="96">
        <v>0</v>
      </c>
      <c r="CA9" s="78">
        <v>207072</v>
      </c>
      <c r="CB9" s="81">
        <v>5</v>
      </c>
      <c r="CC9" s="91">
        <v>28.55</v>
      </c>
      <c r="CD9" s="78">
        <v>50</v>
      </c>
      <c r="CE9" s="100">
        <v>5387.5</v>
      </c>
      <c r="CF9" s="78">
        <v>50</v>
      </c>
      <c r="CG9" s="101">
        <v>5387.5</v>
      </c>
      <c r="CH9" s="78">
        <v>51</v>
      </c>
      <c r="CI9" s="102">
        <v>5495.25</v>
      </c>
      <c r="CJ9" s="103">
        <v>16270.25</v>
      </c>
      <c r="CK9" s="104">
        <v>107.75</v>
      </c>
      <c r="CL9" s="78"/>
      <c r="CM9" s="78">
        <v>34772</v>
      </c>
      <c r="CN9" s="81">
        <v>4</v>
      </c>
      <c r="CO9" s="91">
        <v>9.76</v>
      </c>
      <c r="CP9" s="78">
        <v>34300</v>
      </c>
      <c r="CQ9" s="81">
        <v>0</v>
      </c>
      <c r="CR9" s="91">
        <v>0</v>
      </c>
      <c r="CS9" s="74">
        <v>10235.6</v>
      </c>
      <c r="CT9" s="81">
        <v>0</v>
      </c>
      <c r="CU9" s="91">
        <v>0</v>
      </c>
      <c r="CV9" s="78">
        <v>832313</v>
      </c>
      <c r="CW9" s="81">
        <v>0</v>
      </c>
      <c r="CX9" s="91">
        <v>0</v>
      </c>
      <c r="CY9" s="78">
        <v>6175</v>
      </c>
      <c r="CZ9" s="81">
        <v>3</v>
      </c>
      <c r="DA9" s="91">
        <v>7.17</v>
      </c>
      <c r="DB9" s="78">
        <v>7420</v>
      </c>
      <c r="DC9" s="81">
        <v>0</v>
      </c>
      <c r="DD9" s="81">
        <v>0</v>
      </c>
      <c r="DE9" s="78">
        <v>4242</v>
      </c>
      <c r="DF9" s="81">
        <v>1</v>
      </c>
      <c r="DG9" s="81" t="s">
        <v>127</v>
      </c>
      <c r="DH9" s="78">
        <v>1855.9</v>
      </c>
      <c r="DI9" s="81">
        <v>0</v>
      </c>
      <c r="DJ9" s="81">
        <v>0</v>
      </c>
      <c r="DK9" s="78">
        <v>5081.7</v>
      </c>
      <c r="DL9" s="81">
        <v>0</v>
      </c>
      <c r="DM9" s="81">
        <v>0</v>
      </c>
      <c r="DN9" s="78">
        <v>4454.7</v>
      </c>
      <c r="DO9" s="81">
        <v>0</v>
      </c>
      <c r="DP9" s="81">
        <v>0</v>
      </c>
      <c r="DQ9" s="78">
        <v>5089.6000000000004</v>
      </c>
      <c r="DR9" s="81">
        <v>0</v>
      </c>
      <c r="DS9" s="81">
        <v>0</v>
      </c>
      <c r="DT9" s="78">
        <v>5109.1000000000004</v>
      </c>
      <c r="DU9" s="81">
        <v>0</v>
      </c>
      <c r="DV9" s="91">
        <v>0</v>
      </c>
      <c r="DW9" s="98">
        <v>12871</v>
      </c>
      <c r="DX9" s="91">
        <v>0</v>
      </c>
      <c r="DY9" s="98">
        <v>62789</v>
      </c>
      <c r="DZ9" s="91">
        <v>0</v>
      </c>
      <c r="EA9" s="109">
        <v>15588</v>
      </c>
      <c r="EB9" s="91">
        <v>0</v>
      </c>
      <c r="EC9" s="109">
        <v>24679</v>
      </c>
      <c r="ED9" s="91"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6" s="20" customFormat="1" ht="15" x14ac:dyDescent="0.2">
      <c r="A10" s="71">
        <v>44415</v>
      </c>
      <c r="B10" s="78">
        <v>7423510</v>
      </c>
      <c r="C10" s="73">
        <v>5376</v>
      </c>
      <c r="D10" s="78">
        <v>6618643</v>
      </c>
      <c r="E10" s="73">
        <v>4939</v>
      </c>
      <c r="F10" s="22">
        <v>0.91871279761904767</v>
      </c>
      <c r="G10" s="74">
        <v>368</v>
      </c>
      <c r="H10" s="74">
        <v>342</v>
      </c>
      <c r="I10" s="75">
        <v>288064</v>
      </c>
      <c r="J10" s="76">
        <v>0</v>
      </c>
      <c r="K10" s="77">
        <v>776</v>
      </c>
      <c r="L10" s="73">
        <v>0</v>
      </c>
      <c r="M10" s="78">
        <v>633954</v>
      </c>
      <c r="N10" s="76">
        <v>0</v>
      </c>
      <c r="O10" s="78">
        <v>993</v>
      </c>
      <c r="P10" s="76">
        <v>0</v>
      </c>
      <c r="Q10" s="78">
        <v>2559772</v>
      </c>
      <c r="R10" s="76">
        <v>122</v>
      </c>
      <c r="S10" s="78">
        <v>2192691</v>
      </c>
      <c r="T10" s="76">
        <v>1</v>
      </c>
      <c r="U10" s="78">
        <v>117970</v>
      </c>
      <c r="V10" s="76">
        <v>70</v>
      </c>
      <c r="W10" s="84">
        <v>50</v>
      </c>
      <c r="X10" s="78">
        <v>152370</v>
      </c>
      <c r="Y10" s="73">
        <v>0</v>
      </c>
      <c r="Z10" s="85">
        <v>40590</v>
      </c>
      <c r="AA10" s="81">
        <v>9</v>
      </c>
      <c r="AB10" s="78">
        <v>1136</v>
      </c>
      <c r="AC10" s="82">
        <v>2</v>
      </c>
      <c r="AD10" s="74">
        <v>4605</v>
      </c>
      <c r="AE10" s="83">
        <v>0</v>
      </c>
      <c r="AF10" s="19"/>
      <c r="AG10" s="19"/>
      <c r="AH10" s="74">
        <v>583820</v>
      </c>
      <c r="AI10" s="76">
        <v>40</v>
      </c>
      <c r="AJ10" s="88">
        <v>834</v>
      </c>
      <c r="AK10" s="73">
        <v>0</v>
      </c>
      <c r="AL10" s="74">
        <v>52450</v>
      </c>
      <c r="AM10" s="87">
        <v>1</v>
      </c>
      <c r="AN10" s="78">
        <v>8931</v>
      </c>
      <c r="AO10" s="73">
        <v>0</v>
      </c>
      <c r="AP10" s="78">
        <v>10587</v>
      </c>
      <c r="AQ10" s="73">
        <v>0</v>
      </c>
      <c r="AR10" s="74">
        <v>14624</v>
      </c>
      <c r="AS10" s="73">
        <v>0</v>
      </c>
      <c r="AT10" s="78">
        <v>19369</v>
      </c>
      <c r="AU10" s="73">
        <v>0</v>
      </c>
      <c r="AV10" s="78">
        <v>20680</v>
      </c>
      <c r="AW10" s="81">
        <v>0</v>
      </c>
      <c r="AX10" s="78">
        <v>13872</v>
      </c>
      <c r="AY10" s="81">
        <v>0</v>
      </c>
      <c r="AZ10" s="78">
        <v>6225</v>
      </c>
      <c r="BA10" s="73">
        <v>0</v>
      </c>
      <c r="BB10" s="74">
        <v>26599</v>
      </c>
      <c r="BC10" s="73">
        <v>2</v>
      </c>
      <c r="BD10" s="74">
        <v>1115</v>
      </c>
      <c r="BE10" s="73">
        <v>0</v>
      </c>
      <c r="BF10" s="74">
        <v>4378</v>
      </c>
      <c r="BG10" s="73">
        <v>0</v>
      </c>
      <c r="BH10" s="78">
        <v>3636</v>
      </c>
      <c r="BI10" s="73">
        <v>0</v>
      </c>
      <c r="BJ10" s="81">
        <v>0</v>
      </c>
      <c r="BK10" s="81">
        <v>40</v>
      </c>
      <c r="BL10" s="74">
        <v>604270</v>
      </c>
      <c r="BM10" s="81">
        <v>30</v>
      </c>
      <c r="BN10" s="88">
        <v>752</v>
      </c>
      <c r="BO10" s="73">
        <v>1</v>
      </c>
      <c r="BP10" s="74">
        <v>784601</v>
      </c>
      <c r="BQ10" s="81">
        <v>51</v>
      </c>
      <c r="BR10" s="88">
        <v>7991</v>
      </c>
      <c r="BS10" s="81">
        <v>13</v>
      </c>
      <c r="BT10" s="91">
        <v>11</v>
      </c>
      <c r="BU10" s="81">
        <v>81</v>
      </c>
      <c r="BV10" s="93">
        <v>1</v>
      </c>
      <c r="BW10" s="78">
        <v>122</v>
      </c>
      <c r="BX10" s="94">
        <v>15128.057958131996</v>
      </c>
      <c r="BY10" s="78"/>
      <c r="BZ10" s="96">
        <v>0</v>
      </c>
      <c r="CA10" s="78">
        <v>207075</v>
      </c>
      <c r="CB10" s="81">
        <v>3</v>
      </c>
      <c r="CC10" s="91">
        <v>17.13</v>
      </c>
      <c r="CD10" s="78">
        <v>50</v>
      </c>
      <c r="CE10" s="100">
        <v>5387.5</v>
      </c>
      <c r="CF10" s="78">
        <v>49</v>
      </c>
      <c r="CG10" s="101">
        <v>5279.75</v>
      </c>
      <c r="CH10" s="78">
        <v>51</v>
      </c>
      <c r="CI10" s="102">
        <v>5495.25</v>
      </c>
      <c r="CJ10" s="103">
        <v>16162.5</v>
      </c>
      <c r="CK10" s="104">
        <v>107.75</v>
      </c>
      <c r="CL10" s="78"/>
      <c r="CM10" s="78">
        <v>34776</v>
      </c>
      <c r="CN10" s="81">
        <v>4</v>
      </c>
      <c r="CO10" s="91">
        <v>9.76</v>
      </c>
      <c r="CP10" s="78">
        <v>34300</v>
      </c>
      <c r="CQ10" s="81">
        <v>0</v>
      </c>
      <c r="CR10" s="91">
        <v>0</v>
      </c>
      <c r="CS10" s="78">
        <v>10235.6</v>
      </c>
      <c r="CT10" s="81">
        <v>0</v>
      </c>
      <c r="CU10" s="91">
        <v>0</v>
      </c>
      <c r="CV10" s="78">
        <v>832313</v>
      </c>
      <c r="CW10" s="81">
        <v>0</v>
      </c>
      <c r="CX10" s="91">
        <v>0</v>
      </c>
      <c r="CY10" s="78">
        <v>6175</v>
      </c>
      <c r="CZ10" s="81">
        <v>0</v>
      </c>
      <c r="DA10" s="91">
        <v>0</v>
      </c>
      <c r="DB10" s="78">
        <v>7420</v>
      </c>
      <c r="DC10" s="81">
        <v>0</v>
      </c>
      <c r="DD10" s="81">
        <v>0</v>
      </c>
      <c r="DE10" s="78">
        <v>4247</v>
      </c>
      <c r="DF10" s="81">
        <v>5</v>
      </c>
      <c r="DG10" s="81">
        <v>4</v>
      </c>
      <c r="DH10" s="78">
        <v>1855.9</v>
      </c>
      <c r="DI10" s="81">
        <v>0</v>
      </c>
      <c r="DJ10" s="81">
        <v>0</v>
      </c>
      <c r="DK10" s="78">
        <v>5081.7</v>
      </c>
      <c r="DL10" s="81">
        <v>0</v>
      </c>
      <c r="DM10" s="81">
        <v>0</v>
      </c>
      <c r="DN10" s="78">
        <v>4454.7</v>
      </c>
      <c r="DO10" s="81">
        <v>0</v>
      </c>
      <c r="DP10" s="81">
        <v>0</v>
      </c>
      <c r="DQ10" s="78">
        <v>5089.6000000000004</v>
      </c>
      <c r="DR10" s="81">
        <v>0</v>
      </c>
      <c r="DS10" s="81">
        <v>0</v>
      </c>
      <c r="DT10" s="78">
        <v>5109.1000000000004</v>
      </c>
      <c r="DU10" s="81">
        <v>0</v>
      </c>
      <c r="DV10" s="91">
        <v>0</v>
      </c>
      <c r="DW10" s="98">
        <v>12871</v>
      </c>
      <c r="DX10" s="91">
        <v>0</v>
      </c>
      <c r="DY10" s="98">
        <v>62789</v>
      </c>
      <c r="DZ10" s="91">
        <v>0</v>
      </c>
      <c r="EA10" s="109">
        <v>15588</v>
      </c>
      <c r="EB10" s="91">
        <v>0</v>
      </c>
      <c r="EC10" s="109">
        <v>24679</v>
      </c>
      <c r="ED10" s="91"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6" s="20" customFormat="1" ht="15" x14ac:dyDescent="0.2">
      <c r="A11" s="71">
        <v>44416</v>
      </c>
      <c r="B11" s="78">
        <v>7428825</v>
      </c>
      <c r="C11" s="73">
        <v>5315</v>
      </c>
      <c r="D11" s="78">
        <v>6623521</v>
      </c>
      <c r="E11" s="73">
        <v>4878</v>
      </c>
      <c r="F11" s="22">
        <v>0.91777986829727187</v>
      </c>
      <c r="G11" s="74">
        <v>368</v>
      </c>
      <c r="H11" s="74">
        <v>342</v>
      </c>
      <c r="I11" s="75">
        <v>288064</v>
      </c>
      <c r="J11" s="76">
        <v>0</v>
      </c>
      <c r="K11" s="77">
        <v>776</v>
      </c>
      <c r="L11" s="73">
        <v>0</v>
      </c>
      <c r="M11" s="78">
        <v>633954</v>
      </c>
      <c r="N11" s="76">
        <v>0</v>
      </c>
      <c r="O11" s="78">
        <v>993</v>
      </c>
      <c r="P11" s="76">
        <v>0</v>
      </c>
      <c r="Q11" s="78">
        <v>2559816</v>
      </c>
      <c r="R11" s="76">
        <v>44</v>
      </c>
      <c r="S11" s="78">
        <v>2192693</v>
      </c>
      <c r="T11" s="76">
        <v>2</v>
      </c>
      <c r="U11" s="78">
        <v>118030</v>
      </c>
      <c r="V11" s="76">
        <v>60</v>
      </c>
      <c r="W11" s="84">
        <v>50</v>
      </c>
      <c r="X11" s="78">
        <v>152370</v>
      </c>
      <c r="Y11" s="73">
        <v>0</v>
      </c>
      <c r="Z11" s="85">
        <v>40596</v>
      </c>
      <c r="AA11" s="81">
        <v>6</v>
      </c>
      <c r="AB11" s="78">
        <v>1136</v>
      </c>
      <c r="AC11" s="82">
        <v>0</v>
      </c>
      <c r="AD11" s="74">
        <v>4605</v>
      </c>
      <c r="AE11" s="83">
        <v>0</v>
      </c>
      <c r="AF11" s="19"/>
      <c r="AG11" s="19"/>
      <c r="AH11" s="74">
        <v>583845</v>
      </c>
      <c r="AI11" s="76">
        <v>25</v>
      </c>
      <c r="AJ11" s="88">
        <v>834</v>
      </c>
      <c r="AK11" s="73">
        <v>0</v>
      </c>
      <c r="AL11" s="74">
        <v>52450</v>
      </c>
      <c r="AM11" s="87">
        <v>0</v>
      </c>
      <c r="AN11" s="78">
        <v>8931</v>
      </c>
      <c r="AO11" s="73">
        <v>0</v>
      </c>
      <c r="AP11" s="78">
        <v>10587</v>
      </c>
      <c r="AQ11" s="73">
        <v>0</v>
      </c>
      <c r="AR11" s="74">
        <v>14624</v>
      </c>
      <c r="AS11" s="73">
        <v>0</v>
      </c>
      <c r="AT11" s="78">
        <v>19369</v>
      </c>
      <c r="AU11" s="73">
        <v>0</v>
      </c>
      <c r="AV11" s="78">
        <v>20680</v>
      </c>
      <c r="AW11" s="81">
        <v>0</v>
      </c>
      <c r="AX11" s="78">
        <v>13872</v>
      </c>
      <c r="AY11" s="81">
        <v>0</v>
      </c>
      <c r="AZ11" s="78">
        <v>6225</v>
      </c>
      <c r="BA11" s="73">
        <v>0</v>
      </c>
      <c r="BB11" s="74">
        <v>26600</v>
      </c>
      <c r="BC11" s="73">
        <v>1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25</v>
      </c>
      <c r="BL11" s="74">
        <v>604280</v>
      </c>
      <c r="BM11" s="81">
        <v>10</v>
      </c>
      <c r="BN11" s="88">
        <v>752</v>
      </c>
      <c r="BO11" s="73">
        <v>0</v>
      </c>
      <c r="BP11" s="74">
        <v>784645</v>
      </c>
      <c r="BQ11" s="81">
        <v>44</v>
      </c>
      <c r="BR11" s="88">
        <v>8004</v>
      </c>
      <c r="BS11" s="81">
        <v>13</v>
      </c>
      <c r="BT11" s="91">
        <v>19</v>
      </c>
      <c r="BU11" s="81">
        <v>54</v>
      </c>
      <c r="BV11" s="93">
        <v>0</v>
      </c>
      <c r="BW11" s="78">
        <v>122</v>
      </c>
      <c r="BX11" s="94">
        <v>15128.057958131996</v>
      </c>
      <c r="BY11" s="78"/>
      <c r="BZ11" s="96">
        <v>0</v>
      </c>
      <c r="CA11" s="78">
        <v>207078</v>
      </c>
      <c r="CB11" s="81">
        <v>3</v>
      </c>
      <c r="CC11" s="91">
        <v>17.13</v>
      </c>
      <c r="CD11" s="78">
        <v>49</v>
      </c>
      <c r="CE11" s="100">
        <v>5279.75</v>
      </c>
      <c r="CF11" s="78">
        <v>49</v>
      </c>
      <c r="CG11" s="101">
        <v>5279.75</v>
      </c>
      <c r="CH11" s="78">
        <v>51</v>
      </c>
      <c r="CI11" s="102">
        <v>5495.25</v>
      </c>
      <c r="CJ11" s="103">
        <v>16054.75</v>
      </c>
      <c r="CK11" s="104">
        <v>107.75</v>
      </c>
      <c r="CL11" s="78"/>
      <c r="CM11" s="78">
        <v>34778</v>
      </c>
      <c r="CN11" s="81">
        <v>2</v>
      </c>
      <c r="CO11" s="91">
        <v>4.88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832313</v>
      </c>
      <c r="CW11" s="81">
        <v>0</v>
      </c>
      <c r="CX11" s="91">
        <v>0</v>
      </c>
      <c r="CY11" s="78">
        <v>6175</v>
      </c>
      <c r="CZ11" s="81">
        <v>0</v>
      </c>
      <c r="DA11" s="91">
        <v>0</v>
      </c>
      <c r="DB11" s="78">
        <v>7420</v>
      </c>
      <c r="DC11" s="81">
        <v>0</v>
      </c>
      <c r="DD11" s="81">
        <v>0</v>
      </c>
      <c r="DE11" s="78">
        <v>4252</v>
      </c>
      <c r="DF11" s="81">
        <v>5</v>
      </c>
      <c r="DG11" s="81">
        <v>0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6" s="20" customFormat="1" ht="15" x14ac:dyDescent="0.2">
      <c r="A12" s="71">
        <v>44417</v>
      </c>
      <c r="B12" s="78">
        <v>7434627</v>
      </c>
      <c r="C12" s="73">
        <v>5802</v>
      </c>
      <c r="D12" s="78">
        <v>6628761</v>
      </c>
      <c r="E12" s="73">
        <v>5240</v>
      </c>
      <c r="F12" s="22">
        <v>0.90313684936228888</v>
      </c>
      <c r="G12" s="74">
        <v>368</v>
      </c>
      <c r="H12" s="74">
        <v>342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2559956</v>
      </c>
      <c r="R12" s="76">
        <v>140</v>
      </c>
      <c r="S12" s="78">
        <v>2192696</v>
      </c>
      <c r="T12" s="76">
        <v>3</v>
      </c>
      <c r="U12" s="78">
        <v>118130</v>
      </c>
      <c r="V12" s="76">
        <v>100</v>
      </c>
      <c r="W12" s="78">
        <v>50</v>
      </c>
      <c r="X12" s="78">
        <v>152370</v>
      </c>
      <c r="Y12" s="73">
        <v>0</v>
      </c>
      <c r="Z12" s="85">
        <v>40606</v>
      </c>
      <c r="AA12" s="81">
        <v>10</v>
      </c>
      <c r="AB12" s="78">
        <v>1136</v>
      </c>
      <c r="AC12" s="82">
        <v>0</v>
      </c>
      <c r="AD12" s="74">
        <v>4605</v>
      </c>
      <c r="AE12" s="83">
        <v>0</v>
      </c>
      <c r="AF12" s="19"/>
      <c r="AG12" s="19"/>
      <c r="AH12" s="74">
        <v>583870</v>
      </c>
      <c r="AI12" s="76">
        <v>25</v>
      </c>
      <c r="AJ12" s="88">
        <v>834</v>
      </c>
      <c r="AK12" s="73">
        <v>0</v>
      </c>
      <c r="AL12" s="74">
        <v>52454</v>
      </c>
      <c r="AM12" s="87">
        <v>4</v>
      </c>
      <c r="AN12" s="78">
        <v>8931</v>
      </c>
      <c r="AO12" s="73">
        <v>0</v>
      </c>
      <c r="AP12" s="78">
        <v>10587</v>
      </c>
      <c r="AQ12" s="73">
        <v>0</v>
      </c>
      <c r="AR12" s="74">
        <v>14624</v>
      </c>
      <c r="AS12" s="73">
        <v>0</v>
      </c>
      <c r="AT12" s="78">
        <v>19369</v>
      </c>
      <c r="AU12" s="73">
        <v>0</v>
      </c>
      <c r="AV12" s="78">
        <v>20680</v>
      </c>
      <c r="AW12" s="81">
        <v>0</v>
      </c>
      <c r="AX12" s="78">
        <v>13872</v>
      </c>
      <c r="AY12" s="81">
        <v>0</v>
      </c>
      <c r="AZ12" s="78">
        <v>6225</v>
      </c>
      <c r="BA12" s="73">
        <v>0</v>
      </c>
      <c r="BB12" s="74">
        <v>26602</v>
      </c>
      <c r="BC12" s="73">
        <v>2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0</v>
      </c>
      <c r="BK12" s="81">
        <v>25</v>
      </c>
      <c r="BL12" s="78">
        <v>604330</v>
      </c>
      <c r="BM12" s="81">
        <v>50</v>
      </c>
      <c r="BN12" s="88">
        <v>752</v>
      </c>
      <c r="BO12" s="73">
        <v>0</v>
      </c>
      <c r="BP12" s="74">
        <v>784690</v>
      </c>
      <c r="BQ12" s="81">
        <v>45</v>
      </c>
      <c r="BR12" s="88">
        <v>8017</v>
      </c>
      <c r="BS12" s="81">
        <v>13</v>
      </c>
      <c r="BT12" s="91">
        <v>20</v>
      </c>
      <c r="BU12" s="81">
        <v>95</v>
      </c>
      <c r="BV12" s="93">
        <v>4</v>
      </c>
      <c r="BW12" s="78">
        <v>122</v>
      </c>
      <c r="BX12" s="94">
        <v>15128.057958131996</v>
      </c>
      <c r="BY12" s="78"/>
      <c r="BZ12" s="96">
        <v>0</v>
      </c>
      <c r="CA12" s="78">
        <v>207085</v>
      </c>
      <c r="CB12" s="81">
        <v>7</v>
      </c>
      <c r="CC12" s="91">
        <v>39.97</v>
      </c>
      <c r="CD12" s="78">
        <v>49</v>
      </c>
      <c r="CE12" s="100">
        <v>5279.75</v>
      </c>
      <c r="CF12" s="78">
        <v>48</v>
      </c>
      <c r="CG12" s="101">
        <v>5172</v>
      </c>
      <c r="CH12" s="78">
        <v>51</v>
      </c>
      <c r="CI12" s="102">
        <v>5495.25</v>
      </c>
      <c r="CJ12" s="103">
        <v>15947</v>
      </c>
      <c r="CK12" s="104">
        <v>107.75</v>
      </c>
      <c r="CL12" s="78"/>
      <c r="CM12" s="78">
        <v>34782</v>
      </c>
      <c r="CN12" s="81">
        <v>4</v>
      </c>
      <c r="CO12" s="91">
        <v>9.76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832313</v>
      </c>
      <c r="CW12" s="81">
        <v>0</v>
      </c>
      <c r="CX12" s="91">
        <v>0</v>
      </c>
      <c r="CY12" s="78">
        <v>6175</v>
      </c>
      <c r="CZ12" s="81">
        <v>0</v>
      </c>
      <c r="DA12" s="91">
        <v>0</v>
      </c>
      <c r="DB12" s="78">
        <v>7420</v>
      </c>
      <c r="DC12" s="81">
        <v>0</v>
      </c>
      <c r="DD12" s="81">
        <v>0</v>
      </c>
      <c r="DE12" s="78">
        <v>4257</v>
      </c>
      <c r="DF12" s="81">
        <v>5</v>
      </c>
      <c r="DG12" s="81">
        <v>0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5112</v>
      </c>
      <c r="DU12" s="81">
        <v>2.8999999999996362</v>
      </c>
      <c r="DV12" s="91">
        <v>6.9309999999991305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6" s="20" customFormat="1" ht="15" x14ac:dyDescent="0.2">
      <c r="A13" s="71">
        <v>44418</v>
      </c>
      <c r="B13" s="78">
        <v>7440145</v>
      </c>
      <c r="C13" s="73">
        <v>5518</v>
      </c>
      <c r="D13" s="78">
        <v>6633756</v>
      </c>
      <c r="E13" s="73">
        <v>4995</v>
      </c>
      <c r="F13" s="22">
        <v>0.9052192823486771</v>
      </c>
      <c r="G13" s="74">
        <v>368</v>
      </c>
      <c r="H13" s="74">
        <v>342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2560103</v>
      </c>
      <c r="R13" s="76">
        <v>147</v>
      </c>
      <c r="S13" s="78">
        <v>2192697</v>
      </c>
      <c r="T13" s="76">
        <v>1</v>
      </c>
      <c r="U13" s="78">
        <v>118203</v>
      </c>
      <c r="V13" s="76">
        <v>73</v>
      </c>
      <c r="W13" s="78">
        <v>50</v>
      </c>
      <c r="X13" s="78">
        <v>152370</v>
      </c>
      <c r="Y13" s="73">
        <v>0</v>
      </c>
      <c r="Z13" s="74">
        <v>40614</v>
      </c>
      <c r="AA13" s="81">
        <v>8</v>
      </c>
      <c r="AB13" s="78">
        <v>1136</v>
      </c>
      <c r="AC13" s="82">
        <v>0</v>
      </c>
      <c r="AD13" s="74">
        <v>4605</v>
      </c>
      <c r="AE13" s="83">
        <v>0</v>
      </c>
      <c r="AF13" s="19"/>
      <c r="AG13" s="19"/>
      <c r="AH13" s="74">
        <v>583910</v>
      </c>
      <c r="AI13" s="76">
        <v>40</v>
      </c>
      <c r="AJ13" s="88">
        <v>834</v>
      </c>
      <c r="AK13" s="73">
        <v>0</v>
      </c>
      <c r="AL13" s="74">
        <v>52454</v>
      </c>
      <c r="AM13" s="87">
        <v>0</v>
      </c>
      <c r="AN13" s="78">
        <v>8931</v>
      </c>
      <c r="AO13" s="73">
        <v>0</v>
      </c>
      <c r="AP13" s="78">
        <v>10588</v>
      </c>
      <c r="AQ13" s="73">
        <v>1</v>
      </c>
      <c r="AR13" s="74">
        <v>14624</v>
      </c>
      <c r="AS13" s="73">
        <v>0</v>
      </c>
      <c r="AT13" s="78">
        <v>19369</v>
      </c>
      <c r="AU13" s="73">
        <v>0</v>
      </c>
      <c r="AV13" s="78">
        <v>20680</v>
      </c>
      <c r="AW13" s="81">
        <v>0</v>
      </c>
      <c r="AX13" s="78">
        <v>13872</v>
      </c>
      <c r="AY13" s="81">
        <v>0</v>
      </c>
      <c r="AZ13" s="78">
        <v>6225</v>
      </c>
      <c r="BA13" s="73">
        <v>0</v>
      </c>
      <c r="BB13" s="78">
        <v>26604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0</v>
      </c>
      <c r="BK13" s="81">
        <v>40</v>
      </c>
      <c r="BL13" s="78">
        <v>604350</v>
      </c>
      <c r="BM13" s="81">
        <v>20</v>
      </c>
      <c r="BN13" s="88">
        <v>752</v>
      </c>
      <c r="BO13" s="73">
        <v>0</v>
      </c>
      <c r="BP13" s="74">
        <v>784740</v>
      </c>
      <c r="BQ13" s="81">
        <v>50</v>
      </c>
      <c r="BR13" s="88">
        <v>8031</v>
      </c>
      <c r="BS13" s="81">
        <v>14</v>
      </c>
      <c r="BT13" s="91">
        <v>10</v>
      </c>
      <c r="BU13" s="81">
        <v>70</v>
      </c>
      <c r="BV13" s="93">
        <v>1</v>
      </c>
      <c r="BW13" s="78">
        <v>122</v>
      </c>
      <c r="BX13" s="94">
        <v>15128.057958131996</v>
      </c>
      <c r="BY13" s="99"/>
      <c r="BZ13" s="96">
        <v>0</v>
      </c>
      <c r="CA13" s="78">
        <v>207097</v>
      </c>
      <c r="CB13" s="81">
        <v>12</v>
      </c>
      <c r="CC13" s="91">
        <v>68.52</v>
      </c>
      <c r="CD13" s="78">
        <v>49</v>
      </c>
      <c r="CE13" s="100">
        <v>5279.75</v>
      </c>
      <c r="CF13" s="78">
        <v>48</v>
      </c>
      <c r="CG13" s="101">
        <v>5172</v>
      </c>
      <c r="CH13" s="78">
        <v>51</v>
      </c>
      <c r="CI13" s="102">
        <v>5495.25</v>
      </c>
      <c r="CJ13" s="103">
        <v>15947</v>
      </c>
      <c r="CK13" s="104">
        <v>0</v>
      </c>
      <c r="CL13" s="78"/>
      <c r="CM13" s="78">
        <v>34786</v>
      </c>
      <c r="CN13" s="81">
        <v>4</v>
      </c>
      <c r="CO13" s="91">
        <v>9.76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832313</v>
      </c>
      <c r="CW13" s="81">
        <v>0</v>
      </c>
      <c r="CX13" s="91">
        <v>0</v>
      </c>
      <c r="CY13" s="78">
        <v>6175</v>
      </c>
      <c r="CZ13" s="81">
        <v>0</v>
      </c>
      <c r="DA13" s="91">
        <v>0</v>
      </c>
      <c r="DB13" s="78">
        <v>7420</v>
      </c>
      <c r="DC13" s="81">
        <v>0</v>
      </c>
      <c r="DD13" s="81">
        <v>0</v>
      </c>
      <c r="DE13" s="78">
        <v>4262</v>
      </c>
      <c r="DF13" s="81">
        <v>5</v>
      </c>
      <c r="DG13" s="81">
        <v>0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5119</v>
      </c>
      <c r="DU13" s="81">
        <v>7</v>
      </c>
      <c r="DV13" s="91">
        <v>16.73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6" s="20" customFormat="1" ht="15" x14ac:dyDescent="0.2">
      <c r="A14" s="71">
        <v>44419</v>
      </c>
      <c r="B14" s="78">
        <v>7446252</v>
      </c>
      <c r="C14" s="73">
        <v>6107</v>
      </c>
      <c r="D14" s="78">
        <v>6639268</v>
      </c>
      <c r="E14" s="73">
        <v>5512</v>
      </c>
      <c r="F14" s="22">
        <v>0.90257082037006708</v>
      </c>
      <c r="G14" s="74">
        <v>368</v>
      </c>
      <c r="H14" s="74">
        <v>342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2560267</v>
      </c>
      <c r="R14" s="76">
        <v>164</v>
      </c>
      <c r="S14" s="78">
        <v>2192697</v>
      </c>
      <c r="T14" s="76">
        <v>0</v>
      </c>
      <c r="U14" s="78">
        <v>118285</v>
      </c>
      <c r="V14" s="76">
        <v>82</v>
      </c>
      <c r="W14" s="78">
        <v>50</v>
      </c>
      <c r="X14" s="78">
        <v>152370</v>
      </c>
      <c r="Y14" s="73">
        <v>0</v>
      </c>
      <c r="Z14" s="74">
        <v>40626</v>
      </c>
      <c r="AA14" s="81">
        <v>12</v>
      </c>
      <c r="AB14" s="78">
        <v>1136</v>
      </c>
      <c r="AC14" s="82">
        <v>0</v>
      </c>
      <c r="AD14" s="74">
        <v>4605</v>
      </c>
      <c r="AE14" s="83">
        <v>0</v>
      </c>
      <c r="AF14" s="19"/>
      <c r="AG14" s="19"/>
      <c r="AH14" s="74">
        <v>583940</v>
      </c>
      <c r="AI14" s="76">
        <v>30</v>
      </c>
      <c r="AJ14" s="88">
        <v>834</v>
      </c>
      <c r="AK14" s="73">
        <v>0</v>
      </c>
      <c r="AL14" s="74">
        <v>52460</v>
      </c>
      <c r="AM14" s="87">
        <v>6</v>
      </c>
      <c r="AN14" s="78">
        <v>8931</v>
      </c>
      <c r="AO14" s="73">
        <v>0</v>
      </c>
      <c r="AP14" s="78">
        <v>10588</v>
      </c>
      <c r="AQ14" s="73">
        <v>0</v>
      </c>
      <c r="AR14" s="74">
        <v>14624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13872</v>
      </c>
      <c r="AY14" s="81">
        <v>0</v>
      </c>
      <c r="AZ14" s="78">
        <v>6225</v>
      </c>
      <c r="BA14" s="73">
        <v>0</v>
      </c>
      <c r="BB14" s="78">
        <v>26606</v>
      </c>
      <c r="BC14" s="73">
        <v>2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30</v>
      </c>
      <c r="BL14" s="78">
        <v>604400</v>
      </c>
      <c r="BM14" s="81">
        <v>50</v>
      </c>
      <c r="BN14" s="88">
        <v>752</v>
      </c>
      <c r="BO14" s="73">
        <v>0</v>
      </c>
      <c r="BP14" s="74">
        <v>784790</v>
      </c>
      <c r="BQ14" s="81">
        <v>50</v>
      </c>
      <c r="BR14" s="88">
        <v>8045</v>
      </c>
      <c r="BS14" s="81">
        <v>14</v>
      </c>
      <c r="BT14" s="91">
        <v>20</v>
      </c>
      <c r="BU14" s="81">
        <v>100</v>
      </c>
      <c r="BV14" s="93">
        <v>6</v>
      </c>
      <c r="BW14" s="78">
        <v>122</v>
      </c>
      <c r="BX14" s="94">
        <v>15128.057958131996</v>
      </c>
      <c r="BY14" s="78"/>
      <c r="BZ14" s="96">
        <v>0</v>
      </c>
      <c r="CA14" s="78">
        <v>207111</v>
      </c>
      <c r="CB14" s="81">
        <v>14</v>
      </c>
      <c r="CC14" s="91">
        <v>79.94</v>
      </c>
      <c r="CD14" s="78">
        <v>48</v>
      </c>
      <c r="CE14" s="100">
        <v>5172</v>
      </c>
      <c r="CF14" s="78">
        <v>48</v>
      </c>
      <c r="CG14" s="101">
        <v>5172</v>
      </c>
      <c r="CH14" s="78">
        <v>51</v>
      </c>
      <c r="CI14" s="102">
        <v>5495.25</v>
      </c>
      <c r="CJ14" s="103">
        <v>15839.25</v>
      </c>
      <c r="CK14" s="104">
        <v>107.75</v>
      </c>
      <c r="CL14" s="78"/>
      <c r="CM14" s="78">
        <v>34790</v>
      </c>
      <c r="CN14" s="81">
        <v>4</v>
      </c>
      <c r="CO14" s="91">
        <v>9.76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832313</v>
      </c>
      <c r="CW14" s="81">
        <v>0</v>
      </c>
      <c r="CX14" s="91">
        <v>0</v>
      </c>
      <c r="CY14" s="78">
        <v>6175</v>
      </c>
      <c r="CZ14" s="81">
        <v>0</v>
      </c>
      <c r="DA14" s="91">
        <v>0</v>
      </c>
      <c r="DB14" s="78">
        <v>7420</v>
      </c>
      <c r="DC14" s="81">
        <v>0</v>
      </c>
      <c r="DD14" s="81">
        <v>0</v>
      </c>
      <c r="DE14" s="78">
        <v>4268</v>
      </c>
      <c r="DF14" s="81">
        <v>6</v>
      </c>
      <c r="DG14" s="81">
        <v>1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5125</v>
      </c>
      <c r="DU14" s="81">
        <v>6</v>
      </c>
      <c r="DV14" s="91">
        <v>14.34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6" s="20" customFormat="1" ht="15" x14ac:dyDescent="0.2">
      <c r="A15" s="71">
        <v>44420</v>
      </c>
      <c r="B15" s="78">
        <v>7452499</v>
      </c>
      <c r="C15" s="73">
        <v>6247</v>
      </c>
      <c r="D15" s="78">
        <v>6644932</v>
      </c>
      <c r="E15" s="73">
        <v>5664</v>
      </c>
      <c r="F15" s="22">
        <v>0.90667520409796698</v>
      </c>
      <c r="G15" s="74">
        <v>368</v>
      </c>
      <c r="H15" s="74">
        <v>342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2560428</v>
      </c>
      <c r="R15" s="76">
        <v>161</v>
      </c>
      <c r="S15" s="78">
        <v>2192697</v>
      </c>
      <c r="T15" s="76">
        <v>0</v>
      </c>
      <c r="U15" s="78">
        <v>118293</v>
      </c>
      <c r="V15" s="76">
        <v>8</v>
      </c>
      <c r="W15" s="78">
        <v>35</v>
      </c>
      <c r="X15" s="78">
        <v>152370</v>
      </c>
      <c r="Y15" s="73">
        <v>0</v>
      </c>
      <c r="Z15" s="74">
        <v>40634</v>
      </c>
      <c r="AA15" s="81">
        <v>8</v>
      </c>
      <c r="AB15" s="78">
        <v>1137</v>
      </c>
      <c r="AC15" s="82">
        <v>1</v>
      </c>
      <c r="AD15" s="78">
        <v>4605</v>
      </c>
      <c r="AE15" s="83">
        <v>0</v>
      </c>
      <c r="AF15" s="19"/>
      <c r="AG15" s="19"/>
      <c r="AH15" s="78">
        <v>583970</v>
      </c>
      <c r="AI15" s="76">
        <v>30</v>
      </c>
      <c r="AJ15" s="88">
        <v>845</v>
      </c>
      <c r="AK15" s="73">
        <v>11</v>
      </c>
      <c r="AL15" s="74">
        <v>52464</v>
      </c>
      <c r="AM15" s="87">
        <v>4</v>
      </c>
      <c r="AN15" s="78">
        <v>8931</v>
      </c>
      <c r="AO15" s="73">
        <v>0</v>
      </c>
      <c r="AP15" s="78">
        <v>10588</v>
      </c>
      <c r="AQ15" s="73">
        <v>0</v>
      </c>
      <c r="AR15" s="74">
        <v>14624</v>
      </c>
      <c r="AS15" s="73">
        <v>0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13872</v>
      </c>
      <c r="AY15" s="81">
        <v>0</v>
      </c>
      <c r="AZ15" s="78">
        <v>6225</v>
      </c>
      <c r="BA15" s="73">
        <v>0</v>
      </c>
      <c r="BB15" s="78">
        <v>26610</v>
      </c>
      <c r="BC15" s="73">
        <v>4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0</v>
      </c>
      <c r="BK15" s="81">
        <v>30</v>
      </c>
      <c r="BL15" s="78">
        <v>604440</v>
      </c>
      <c r="BM15" s="81">
        <v>40</v>
      </c>
      <c r="BN15" s="88">
        <v>771</v>
      </c>
      <c r="BO15" s="73">
        <v>19</v>
      </c>
      <c r="BP15" s="74">
        <v>784830</v>
      </c>
      <c r="BQ15" s="81">
        <v>40</v>
      </c>
      <c r="BR15" s="88">
        <v>8057</v>
      </c>
      <c r="BS15" s="81">
        <v>12</v>
      </c>
      <c r="BT15" s="91">
        <v>10</v>
      </c>
      <c r="BU15" s="81">
        <v>80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207127</v>
      </c>
      <c r="CB15" s="81">
        <v>16</v>
      </c>
      <c r="CC15" s="91">
        <v>91.36</v>
      </c>
      <c r="CD15" s="78">
        <v>48</v>
      </c>
      <c r="CE15" s="100">
        <v>5172</v>
      </c>
      <c r="CF15" s="78">
        <v>46</v>
      </c>
      <c r="CG15" s="101">
        <v>4956.5</v>
      </c>
      <c r="CH15" s="78">
        <v>51</v>
      </c>
      <c r="CI15" s="102">
        <v>5495.25</v>
      </c>
      <c r="CJ15" s="103">
        <v>15623.75</v>
      </c>
      <c r="CK15" s="104">
        <v>215.5</v>
      </c>
      <c r="CL15" s="106"/>
      <c r="CM15" s="78">
        <v>34794</v>
      </c>
      <c r="CN15" s="81">
        <v>4</v>
      </c>
      <c r="CO15" s="91">
        <v>9.76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832313</v>
      </c>
      <c r="CW15" s="81">
        <v>0</v>
      </c>
      <c r="CX15" s="91">
        <v>0</v>
      </c>
      <c r="CY15" s="78">
        <v>6177</v>
      </c>
      <c r="CZ15" s="81">
        <v>2</v>
      </c>
      <c r="DA15" s="91">
        <v>4.78</v>
      </c>
      <c r="DB15" s="78">
        <v>7420</v>
      </c>
      <c r="DC15" s="81">
        <v>0</v>
      </c>
      <c r="DD15" s="81">
        <v>0</v>
      </c>
      <c r="DE15" s="78">
        <v>4271</v>
      </c>
      <c r="DF15" s="81">
        <v>3</v>
      </c>
      <c r="DG15" s="81" t="s">
        <v>127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5134.8999999999996</v>
      </c>
      <c r="DU15" s="81">
        <v>9.8999999999996362</v>
      </c>
      <c r="DV15" s="91">
        <v>23.660999999999131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6" s="20" customFormat="1" ht="15" x14ac:dyDescent="0.2">
      <c r="A16" s="71">
        <v>44421</v>
      </c>
      <c r="B16" s="78">
        <v>7456835</v>
      </c>
      <c r="C16" s="73">
        <v>4336</v>
      </c>
      <c r="D16" s="78">
        <v>6648952</v>
      </c>
      <c r="E16" s="73">
        <v>4020</v>
      </c>
      <c r="F16" s="22">
        <v>0.92712177121771222</v>
      </c>
      <c r="G16" s="74">
        <v>368</v>
      </c>
      <c r="H16" s="74">
        <v>342</v>
      </c>
      <c r="I16" s="75">
        <v>288064</v>
      </c>
      <c r="J16" s="76">
        <v>0</v>
      </c>
      <c r="K16" s="77">
        <v>776</v>
      </c>
      <c r="L16" s="73">
        <v>0</v>
      </c>
      <c r="M16" s="78">
        <v>633954</v>
      </c>
      <c r="N16" s="76">
        <v>0</v>
      </c>
      <c r="O16" s="78">
        <v>993</v>
      </c>
      <c r="P16" s="76">
        <v>0</v>
      </c>
      <c r="Q16" s="78">
        <v>2560586</v>
      </c>
      <c r="R16" s="76">
        <v>158</v>
      </c>
      <c r="S16" s="78">
        <v>2192697</v>
      </c>
      <c r="T16" s="76">
        <v>0</v>
      </c>
      <c r="U16" s="78">
        <v>118293</v>
      </c>
      <c r="V16" s="76">
        <v>0</v>
      </c>
      <c r="W16" s="114">
        <v>25</v>
      </c>
      <c r="X16" s="78">
        <v>152370</v>
      </c>
      <c r="Y16" s="73">
        <v>0</v>
      </c>
      <c r="Z16" s="74">
        <v>40647</v>
      </c>
      <c r="AA16" s="81">
        <v>13</v>
      </c>
      <c r="AB16" s="78">
        <v>1137</v>
      </c>
      <c r="AC16" s="82">
        <v>0</v>
      </c>
      <c r="AD16" s="78">
        <v>4605</v>
      </c>
      <c r="AE16" s="83">
        <v>0</v>
      </c>
      <c r="AF16" s="19"/>
      <c r="AG16" s="19"/>
      <c r="AH16" s="78">
        <v>584010</v>
      </c>
      <c r="AI16" s="76">
        <v>40</v>
      </c>
      <c r="AJ16" s="89">
        <v>850</v>
      </c>
      <c r="AK16" s="73">
        <v>5</v>
      </c>
      <c r="AL16" s="74">
        <v>52467</v>
      </c>
      <c r="AM16" s="87">
        <v>3</v>
      </c>
      <c r="AN16" s="78">
        <v>8931</v>
      </c>
      <c r="AO16" s="73">
        <v>0</v>
      </c>
      <c r="AP16" s="78">
        <v>10589</v>
      </c>
      <c r="AQ16" s="73">
        <v>1</v>
      </c>
      <c r="AR16" s="74">
        <v>14624</v>
      </c>
      <c r="AS16" s="73">
        <v>0</v>
      </c>
      <c r="AT16" s="78">
        <v>19369</v>
      </c>
      <c r="AU16" s="73">
        <v>0</v>
      </c>
      <c r="AV16" s="78">
        <v>20680</v>
      </c>
      <c r="AW16" s="81">
        <v>0</v>
      </c>
      <c r="AX16" s="78">
        <v>13872</v>
      </c>
      <c r="AY16" s="81">
        <v>0</v>
      </c>
      <c r="AZ16" s="78">
        <v>6225</v>
      </c>
      <c r="BA16" s="73">
        <v>0</v>
      </c>
      <c r="BB16" s="78">
        <v>26611</v>
      </c>
      <c r="BC16" s="73">
        <v>1</v>
      </c>
      <c r="BD16" s="74">
        <v>1115</v>
      </c>
      <c r="BE16" s="73">
        <v>0</v>
      </c>
      <c r="BF16" s="74">
        <v>4378</v>
      </c>
      <c r="BG16" s="73">
        <v>0</v>
      </c>
      <c r="BH16" s="78">
        <v>3636</v>
      </c>
      <c r="BI16" s="73">
        <v>0</v>
      </c>
      <c r="BJ16" s="81">
        <v>0</v>
      </c>
      <c r="BK16" s="81">
        <v>40</v>
      </c>
      <c r="BL16" s="78">
        <v>604500</v>
      </c>
      <c r="BM16" s="81">
        <v>60</v>
      </c>
      <c r="BN16" s="88">
        <v>771</v>
      </c>
      <c r="BO16" s="73">
        <v>0</v>
      </c>
      <c r="BP16" s="78">
        <v>784890</v>
      </c>
      <c r="BQ16" s="81">
        <v>60</v>
      </c>
      <c r="BR16" s="88">
        <v>8070</v>
      </c>
      <c r="BS16" s="81">
        <v>13</v>
      </c>
      <c r="BT16" s="91">
        <v>20</v>
      </c>
      <c r="BU16" s="81">
        <v>120</v>
      </c>
      <c r="BV16" s="93">
        <v>4</v>
      </c>
      <c r="BW16" s="78">
        <v>122</v>
      </c>
      <c r="BX16" s="94">
        <v>15128.057958131996</v>
      </c>
      <c r="BY16" s="78"/>
      <c r="BZ16" s="96">
        <v>0</v>
      </c>
      <c r="CA16" s="78">
        <v>207132</v>
      </c>
      <c r="CB16" s="81">
        <v>5</v>
      </c>
      <c r="CC16" s="91">
        <v>28.55</v>
      </c>
      <c r="CD16" s="78">
        <v>48</v>
      </c>
      <c r="CE16" s="100">
        <v>5172</v>
      </c>
      <c r="CF16" s="78">
        <v>46</v>
      </c>
      <c r="CG16" s="101">
        <v>4956.5</v>
      </c>
      <c r="CH16" s="78">
        <v>50</v>
      </c>
      <c r="CI16" s="102">
        <v>5387.5</v>
      </c>
      <c r="CJ16" s="103">
        <v>15516</v>
      </c>
      <c r="CK16" s="104">
        <v>107.75</v>
      </c>
      <c r="CL16" s="78"/>
      <c r="CM16" s="78">
        <v>34797</v>
      </c>
      <c r="CN16" s="81">
        <v>3</v>
      </c>
      <c r="CO16" s="91">
        <v>7.32</v>
      </c>
      <c r="CP16" s="78">
        <v>34300</v>
      </c>
      <c r="CQ16" s="81">
        <v>0</v>
      </c>
      <c r="CR16" s="91">
        <v>0</v>
      </c>
      <c r="CS16" s="78">
        <v>10235.6</v>
      </c>
      <c r="CT16" s="81">
        <v>0</v>
      </c>
      <c r="CU16" s="91">
        <v>0</v>
      </c>
      <c r="CV16" s="78">
        <v>832313</v>
      </c>
      <c r="CW16" s="81">
        <v>0</v>
      </c>
      <c r="CX16" s="91">
        <v>0</v>
      </c>
      <c r="CY16" s="78">
        <v>6180</v>
      </c>
      <c r="CZ16" s="81">
        <v>3</v>
      </c>
      <c r="DA16" s="91">
        <v>7.17</v>
      </c>
      <c r="DB16" s="78">
        <v>7420</v>
      </c>
      <c r="DC16" s="81">
        <v>0</v>
      </c>
      <c r="DD16" s="81">
        <v>0</v>
      </c>
      <c r="DE16" s="78">
        <v>4276</v>
      </c>
      <c r="DF16" s="81">
        <v>5</v>
      </c>
      <c r="DG16" s="81">
        <v>2</v>
      </c>
      <c r="DH16" s="78">
        <v>1855.9</v>
      </c>
      <c r="DI16" s="81">
        <v>0</v>
      </c>
      <c r="DJ16" s="81">
        <v>0</v>
      </c>
      <c r="DK16" s="78">
        <v>5081.7</v>
      </c>
      <c r="DL16" s="81">
        <v>0</v>
      </c>
      <c r="DM16" s="81">
        <v>0</v>
      </c>
      <c r="DN16" s="78">
        <v>4454.7</v>
      </c>
      <c r="DO16" s="81">
        <v>0</v>
      </c>
      <c r="DP16" s="81">
        <v>0</v>
      </c>
      <c r="DQ16" s="78">
        <v>5089.6000000000004</v>
      </c>
      <c r="DR16" s="81">
        <v>0</v>
      </c>
      <c r="DS16" s="81">
        <v>0</v>
      </c>
      <c r="DT16" s="78">
        <v>5135.6000000000004</v>
      </c>
      <c r="DU16" s="81">
        <v>0.7000000000007276</v>
      </c>
      <c r="DV16" s="91">
        <v>1.6730000000017391</v>
      </c>
      <c r="DW16" s="98">
        <v>12871</v>
      </c>
      <c r="DX16" s="91">
        <v>0</v>
      </c>
      <c r="DY16" s="98">
        <v>62789</v>
      </c>
      <c r="DZ16" s="91">
        <v>0</v>
      </c>
      <c r="EA16" s="109">
        <v>15588</v>
      </c>
      <c r="EB16" s="91">
        <v>0</v>
      </c>
      <c r="EC16" s="109">
        <v>24679</v>
      </c>
      <c r="ED16" s="91"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6"/>
      <c r="EK16" s="72"/>
      <c r="EL16" s="115"/>
      <c r="EM16" s="72"/>
      <c r="EN16" s="115"/>
      <c r="EO16" s="72"/>
      <c r="EP16" s="72"/>
    </row>
    <row r="17" spans="1:144" s="24" customFormat="1" ht="15" x14ac:dyDescent="0.2">
      <c r="A17" s="71">
        <v>44422</v>
      </c>
      <c r="B17" s="78">
        <v>7460848</v>
      </c>
      <c r="C17" s="73">
        <v>4013</v>
      </c>
      <c r="D17" s="78">
        <v>6652585</v>
      </c>
      <c r="E17" s="73">
        <v>3633</v>
      </c>
      <c r="F17" s="22">
        <v>0.90530774981310735</v>
      </c>
      <c r="G17" s="74">
        <v>368</v>
      </c>
      <c r="H17" s="74">
        <v>342</v>
      </c>
      <c r="I17" s="75">
        <v>288064</v>
      </c>
      <c r="J17" s="76">
        <v>0</v>
      </c>
      <c r="K17" s="77">
        <v>776</v>
      </c>
      <c r="L17" s="73">
        <v>0</v>
      </c>
      <c r="M17" s="78">
        <v>633954</v>
      </c>
      <c r="N17" s="76">
        <v>0</v>
      </c>
      <c r="O17" s="78">
        <v>993</v>
      </c>
      <c r="P17" s="76">
        <v>0</v>
      </c>
      <c r="Q17" s="78">
        <v>2560716</v>
      </c>
      <c r="R17" s="76">
        <v>130</v>
      </c>
      <c r="S17" s="78">
        <v>2192697</v>
      </c>
      <c r="T17" s="76">
        <v>0</v>
      </c>
      <c r="U17" s="78">
        <v>118293</v>
      </c>
      <c r="V17" s="76">
        <v>0</v>
      </c>
      <c r="W17" s="114">
        <v>22</v>
      </c>
      <c r="X17" s="78">
        <v>152370</v>
      </c>
      <c r="Y17" s="73">
        <v>0</v>
      </c>
      <c r="Z17" s="74">
        <v>40655</v>
      </c>
      <c r="AA17" s="81">
        <v>8</v>
      </c>
      <c r="AB17" s="78">
        <v>1138</v>
      </c>
      <c r="AC17" s="82">
        <v>1</v>
      </c>
      <c r="AD17" s="78">
        <v>4605</v>
      </c>
      <c r="AE17" s="83">
        <v>0</v>
      </c>
      <c r="AF17" s="19"/>
      <c r="AG17" s="19"/>
      <c r="AH17" s="78">
        <v>584050</v>
      </c>
      <c r="AI17" s="76">
        <v>40</v>
      </c>
      <c r="AJ17" s="89">
        <v>863</v>
      </c>
      <c r="AK17" s="73">
        <v>13</v>
      </c>
      <c r="AL17" s="74">
        <v>52469</v>
      </c>
      <c r="AM17" s="87">
        <v>2</v>
      </c>
      <c r="AN17" s="78">
        <v>8931</v>
      </c>
      <c r="AO17" s="73">
        <v>0</v>
      </c>
      <c r="AP17" s="78">
        <v>10589</v>
      </c>
      <c r="AQ17" s="73">
        <v>0</v>
      </c>
      <c r="AR17" s="74">
        <v>14624</v>
      </c>
      <c r="AS17" s="73">
        <v>0</v>
      </c>
      <c r="AT17" s="78">
        <v>19369</v>
      </c>
      <c r="AU17" s="73">
        <v>0</v>
      </c>
      <c r="AV17" s="78">
        <v>20680</v>
      </c>
      <c r="AW17" s="81">
        <v>0</v>
      </c>
      <c r="AX17" s="78">
        <v>13872</v>
      </c>
      <c r="AY17" s="81">
        <v>0</v>
      </c>
      <c r="AZ17" s="78">
        <v>6225</v>
      </c>
      <c r="BA17" s="73">
        <v>0</v>
      </c>
      <c r="BB17" s="78">
        <v>26614</v>
      </c>
      <c r="BC17" s="73">
        <v>3</v>
      </c>
      <c r="BD17" s="74">
        <v>1115</v>
      </c>
      <c r="BE17" s="73">
        <v>0</v>
      </c>
      <c r="BF17" s="74">
        <v>4378</v>
      </c>
      <c r="BG17" s="73">
        <v>0</v>
      </c>
      <c r="BH17" s="78">
        <v>3636</v>
      </c>
      <c r="BI17" s="73">
        <v>0</v>
      </c>
      <c r="BJ17" s="81">
        <v>0</v>
      </c>
      <c r="BK17" s="81">
        <v>40</v>
      </c>
      <c r="BL17" s="78">
        <v>604540</v>
      </c>
      <c r="BM17" s="81">
        <v>40</v>
      </c>
      <c r="BN17" s="88">
        <v>772</v>
      </c>
      <c r="BO17" s="73">
        <v>1</v>
      </c>
      <c r="BP17" s="78">
        <v>784950</v>
      </c>
      <c r="BQ17" s="81">
        <v>60</v>
      </c>
      <c r="BR17" s="88">
        <v>8074</v>
      </c>
      <c r="BS17" s="81">
        <v>4</v>
      </c>
      <c r="BT17" s="91">
        <v>20</v>
      </c>
      <c r="BU17" s="81">
        <v>100</v>
      </c>
      <c r="BV17" s="93">
        <v>2</v>
      </c>
      <c r="BW17" s="78">
        <v>122</v>
      </c>
      <c r="BX17" s="94">
        <v>15128.057958131996</v>
      </c>
      <c r="BY17" s="78"/>
      <c r="BZ17" s="96">
        <v>0</v>
      </c>
      <c r="CA17" s="78">
        <v>207137</v>
      </c>
      <c r="CB17" s="81">
        <v>5</v>
      </c>
      <c r="CC17" s="91">
        <v>28.55</v>
      </c>
      <c r="CD17" s="78">
        <v>48</v>
      </c>
      <c r="CE17" s="100">
        <v>5172</v>
      </c>
      <c r="CF17" s="78">
        <v>46</v>
      </c>
      <c r="CG17" s="101">
        <v>4956.5</v>
      </c>
      <c r="CH17" s="78">
        <v>50</v>
      </c>
      <c r="CI17" s="102">
        <v>5387.5</v>
      </c>
      <c r="CJ17" s="103">
        <v>15516</v>
      </c>
      <c r="CK17" s="104">
        <v>0</v>
      </c>
      <c r="CL17" s="78"/>
      <c r="CM17" s="78">
        <v>34799</v>
      </c>
      <c r="CN17" s="81">
        <v>2</v>
      </c>
      <c r="CO17" s="91">
        <v>4.88</v>
      </c>
      <c r="CP17" s="78">
        <v>34300</v>
      </c>
      <c r="CQ17" s="81">
        <v>0</v>
      </c>
      <c r="CR17" s="91">
        <v>0</v>
      </c>
      <c r="CS17" s="78">
        <v>10235.6</v>
      </c>
      <c r="CT17" s="81">
        <v>0</v>
      </c>
      <c r="CU17" s="91">
        <v>0</v>
      </c>
      <c r="CV17" s="78">
        <v>832313</v>
      </c>
      <c r="CW17" s="81">
        <v>0</v>
      </c>
      <c r="CX17" s="91">
        <v>0</v>
      </c>
      <c r="CY17" s="78">
        <v>6183</v>
      </c>
      <c r="CZ17" s="81">
        <v>3</v>
      </c>
      <c r="DA17" s="91">
        <v>7.17</v>
      </c>
      <c r="DB17" s="78">
        <v>7420</v>
      </c>
      <c r="DC17" s="81">
        <v>0</v>
      </c>
      <c r="DD17" s="81">
        <v>0</v>
      </c>
      <c r="DE17" s="78">
        <v>4280</v>
      </c>
      <c r="DF17" s="81">
        <v>4</v>
      </c>
      <c r="DG17" s="81" t="s">
        <v>127</v>
      </c>
      <c r="DH17" s="78">
        <v>1855.9</v>
      </c>
      <c r="DI17" s="81">
        <v>0</v>
      </c>
      <c r="DJ17" s="81">
        <v>0</v>
      </c>
      <c r="DK17" s="78">
        <v>5081.7</v>
      </c>
      <c r="DL17" s="81">
        <v>0</v>
      </c>
      <c r="DM17" s="81">
        <v>0</v>
      </c>
      <c r="DN17" s="78">
        <v>4454.7</v>
      </c>
      <c r="DO17" s="81">
        <v>0</v>
      </c>
      <c r="DP17" s="81">
        <v>0</v>
      </c>
      <c r="DQ17" s="78">
        <v>5089.6000000000004</v>
      </c>
      <c r="DR17" s="81">
        <v>0</v>
      </c>
      <c r="DS17" s="81">
        <v>0</v>
      </c>
      <c r="DT17" s="78">
        <v>5135.6000000000004</v>
      </c>
      <c r="DU17" s="81">
        <v>0</v>
      </c>
      <c r="DV17" s="91">
        <v>0</v>
      </c>
      <c r="DW17" s="98">
        <v>12871</v>
      </c>
      <c r="DX17" s="91">
        <v>0</v>
      </c>
      <c r="DY17" s="98">
        <v>62789</v>
      </c>
      <c r="DZ17" s="91">
        <v>0</v>
      </c>
      <c r="EA17" s="109">
        <v>15588</v>
      </c>
      <c r="EB17" s="91">
        <v>0</v>
      </c>
      <c r="EC17" s="109">
        <v>24679</v>
      </c>
      <c r="ED17" s="91"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 x14ac:dyDescent="0.2">
      <c r="A18" s="71">
        <v>44423</v>
      </c>
      <c r="B18" s="78">
        <v>7466731</v>
      </c>
      <c r="C18" s="73">
        <v>5883</v>
      </c>
      <c r="D18" s="78">
        <v>6657923</v>
      </c>
      <c r="E18" s="73">
        <v>5338</v>
      </c>
      <c r="F18" s="22">
        <v>0.90736019037905835</v>
      </c>
      <c r="G18" s="74">
        <v>368</v>
      </c>
      <c r="H18" s="74">
        <v>342</v>
      </c>
      <c r="I18" s="75">
        <v>288064</v>
      </c>
      <c r="J18" s="76">
        <v>0</v>
      </c>
      <c r="K18" s="77">
        <v>776</v>
      </c>
      <c r="L18" s="73">
        <v>0</v>
      </c>
      <c r="M18" s="78">
        <v>633954</v>
      </c>
      <c r="N18" s="76">
        <v>0</v>
      </c>
      <c r="O18" s="78">
        <v>993</v>
      </c>
      <c r="P18" s="76">
        <v>0</v>
      </c>
      <c r="Q18" s="78">
        <v>2560764</v>
      </c>
      <c r="R18" s="76">
        <v>48</v>
      </c>
      <c r="S18" s="78">
        <v>2192698</v>
      </c>
      <c r="T18" s="76">
        <v>1</v>
      </c>
      <c r="U18" s="78">
        <v>118293</v>
      </c>
      <c r="V18" s="76">
        <v>0</v>
      </c>
      <c r="W18" s="114">
        <v>30</v>
      </c>
      <c r="X18" s="78">
        <v>152370</v>
      </c>
      <c r="Y18" s="73">
        <v>0</v>
      </c>
      <c r="Z18" s="74">
        <v>40660</v>
      </c>
      <c r="AA18" s="81">
        <v>5</v>
      </c>
      <c r="AB18" s="78">
        <v>1140</v>
      </c>
      <c r="AC18" s="82">
        <v>0</v>
      </c>
      <c r="AD18" s="78">
        <v>4605</v>
      </c>
      <c r="AE18" s="83">
        <v>0</v>
      </c>
      <c r="AF18" s="19"/>
      <c r="AG18" s="19"/>
      <c r="AH18" s="78">
        <v>584070</v>
      </c>
      <c r="AI18" s="76">
        <v>20</v>
      </c>
      <c r="AJ18" s="89">
        <v>869</v>
      </c>
      <c r="AK18" s="73">
        <v>6</v>
      </c>
      <c r="AL18" s="74">
        <v>52469</v>
      </c>
      <c r="AM18" s="87">
        <v>0</v>
      </c>
      <c r="AN18" s="78">
        <v>8931</v>
      </c>
      <c r="AO18" s="73">
        <v>0</v>
      </c>
      <c r="AP18" s="78">
        <v>10589</v>
      </c>
      <c r="AQ18" s="73">
        <v>0</v>
      </c>
      <c r="AR18" s="74">
        <v>14624</v>
      </c>
      <c r="AS18" s="73">
        <v>0</v>
      </c>
      <c r="AT18" s="78">
        <v>19369</v>
      </c>
      <c r="AU18" s="73">
        <v>0</v>
      </c>
      <c r="AV18" s="78">
        <v>20680</v>
      </c>
      <c r="AW18" s="81">
        <v>0</v>
      </c>
      <c r="AX18" s="78">
        <v>13872</v>
      </c>
      <c r="AY18" s="81">
        <v>0</v>
      </c>
      <c r="AZ18" s="78">
        <v>6225</v>
      </c>
      <c r="BA18" s="73">
        <v>0</v>
      </c>
      <c r="BB18" s="78">
        <v>26614</v>
      </c>
      <c r="BC18" s="73">
        <v>0</v>
      </c>
      <c r="BD18" s="74">
        <v>1115</v>
      </c>
      <c r="BE18" s="73">
        <v>0</v>
      </c>
      <c r="BF18" s="74">
        <v>4378</v>
      </c>
      <c r="BG18" s="73">
        <v>0</v>
      </c>
      <c r="BH18" s="78">
        <v>3636</v>
      </c>
      <c r="BI18" s="73">
        <v>0</v>
      </c>
      <c r="BJ18" s="81">
        <v>0</v>
      </c>
      <c r="BK18" s="81">
        <v>20</v>
      </c>
      <c r="BL18" s="78">
        <v>604560</v>
      </c>
      <c r="BM18" s="81">
        <v>20</v>
      </c>
      <c r="BN18" s="88">
        <v>773</v>
      </c>
      <c r="BO18" s="73">
        <v>1</v>
      </c>
      <c r="BP18" s="78">
        <v>784970</v>
      </c>
      <c r="BQ18" s="81">
        <v>20</v>
      </c>
      <c r="BR18" s="88">
        <v>8074</v>
      </c>
      <c r="BS18" s="81">
        <v>0</v>
      </c>
      <c r="BT18" s="91">
        <v>0</v>
      </c>
      <c r="BU18" s="81">
        <v>40</v>
      </c>
      <c r="BV18" s="93">
        <v>0</v>
      </c>
      <c r="BW18" s="78">
        <v>122</v>
      </c>
      <c r="BX18" s="94">
        <v>15128.057958131996</v>
      </c>
      <c r="BY18" s="78"/>
      <c r="BZ18" s="96">
        <v>0</v>
      </c>
      <c r="CA18" s="78">
        <v>207138</v>
      </c>
      <c r="CB18" s="81">
        <v>1</v>
      </c>
      <c r="CC18" s="91">
        <v>5.71</v>
      </c>
      <c r="CD18" s="78">
        <v>48</v>
      </c>
      <c r="CE18" s="100">
        <v>5172</v>
      </c>
      <c r="CF18" s="78">
        <v>46</v>
      </c>
      <c r="CG18" s="101">
        <v>4956.5</v>
      </c>
      <c r="CH18" s="78">
        <v>49</v>
      </c>
      <c r="CI18" s="102">
        <v>5279.75</v>
      </c>
      <c r="CJ18" s="103">
        <v>15408.25</v>
      </c>
      <c r="CK18" s="104">
        <v>107.75</v>
      </c>
      <c r="CL18" s="78"/>
      <c r="CM18" s="78">
        <v>34800</v>
      </c>
      <c r="CN18" s="81">
        <v>1</v>
      </c>
      <c r="CO18" s="91">
        <v>2.44</v>
      </c>
      <c r="CP18" s="78">
        <v>34300</v>
      </c>
      <c r="CQ18" s="81">
        <v>0</v>
      </c>
      <c r="CR18" s="91">
        <v>0</v>
      </c>
      <c r="CS18" s="78">
        <v>10235.6</v>
      </c>
      <c r="CT18" s="81">
        <v>0</v>
      </c>
      <c r="CU18" s="91">
        <v>0</v>
      </c>
      <c r="CV18" s="78">
        <v>832313</v>
      </c>
      <c r="CW18" s="81">
        <v>0</v>
      </c>
      <c r="CX18" s="91">
        <v>0</v>
      </c>
      <c r="CY18" s="78">
        <v>6184</v>
      </c>
      <c r="CZ18" s="81">
        <v>1</v>
      </c>
      <c r="DA18" s="91">
        <v>2.39</v>
      </c>
      <c r="DB18" s="78">
        <v>7420</v>
      </c>
      <c r="DC18" s="81">
        <v>0</v>
      </c>
      <c r="DD18" s="81">
        <v>0</v>
      </c>
      <c r="DE18" s="78">
        <v>4285</v>
      </c>
      <c r="DF18" s="81">
        <v>5</v>
      </c>
      <c r="DG18" s="81">
        <v>1</v>
      </c>
      <c r="DH18" s="78">
        <v>1855.9</v>
      </c>
      <c r="DI18" s="81">
        <v>0</v>
      </c>
      <c r="DJ18" s="81">
        <v>0</v>
      </c>
      <c r="DK18" s="78">
        <v>5081.7</v>
      </c>
      <c r="DL18" s="81">
        <v>0</v>
      </c>
      <c r="DM18" s="81">
        <v>0</v>
      </c>
      <c r="DN18" s="78">
        <v>4454.7</v>
      </c>
      <c r="DO18" s="81">
        <v>0</v>
      </c>
      <c r="DP18" s="81">
        <v>0</v>
      </c>
      <c r="DQ18" s="78">
        <v>5089.6000000000004</v>
      </c>
      <c r="DR18" s="81">
        <v>0</v>
      </c>
      <c r="DS18" s="81">
        <v>0</v>
      </c>
      <c r="DT18" s="78">
        <v>5135.6000000000004</v>
      </c>
      <c r="DU18" s="81">
        <v>0</v>
      </c>
      <c r="DV18" s="91">
        <v>0</v>
      </c>
      <c r="DW18" s="98">
        <v>12871</v>
      </c>
      <c r="DX18" s="91">
        <v>0</v>
      </c>
      <c r="DY18" s="98">
        <v>62789</v>
      </c>
      <c r="DZ18" s="91">
        <v>0</v>
      </c>
      <c r="EA18" s="109">
        <v>15588</v>
      </c>
      <c r="EB18" s="91">
        <v>0</v>
      </c>
      <c r="EC18" s="109">
        <v>24679</v>
      </c>
      <c r="ED18" s="91"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 x14ac:dyDescent="0.2">
      <c r="A19" s="71">
        <v>44424</v>
      </c>
      <c r="B19" s="78">
        <v>7470856</v>
      </c>
      <c r="C19" s="73">
        <v>4125</v>
      </c>
      <c r="D19" s="78">
        <v>6661692</v>
      </c>
      <c r="E19" s="73">
        <v>3769</v>
      </c>
      <c r="F19" s="22">
        <v>0.91369696969696967</v>
      </c>
      <c r="G19" s="74">
        <v>368</v>
      </c>
      <c r="H19" s="74">
        <v>342</v>
      </c>
      <c r="I19" s="75">
        <v>288064</v>
      </c>
      <c r="J19" s="76">
        <v>0</v>
      </c>
      <c r="K19" s="77">
        <v>776</v>
      </c>
      <c r="L19" s="73">
        <v>0</v>
      </c>
      <c r="M19" s="78">
        <v>633954</v>
      </c>
      <c r="N19" s="76">
        <v>0</v>
      </c>
      <c r="O19" s="78">
        <v>993</v>
      </c>
      <c r="P19" s="76">
        <v>0</v>
      </c>
      <c r="Q19" s="78">
        <v>2560892</v>
      </c>
      <c r="R19" s="76">
        <v>128</v>
      </c>
      <c r="S19" s="78">
        <v>2192742</v>
      </c>
      <c r="T19" s="76">
        <v>44</v>
      </c>
      <c r="U19" s="78">
        <v>118405</v>
      </c>
      <c r="V19" s="76">
        <v>112</v>
      </c>
      <c r="W19" s="114">
        <v>40</v>
      </c>
      <c r="X19" s="78">
        <v>152370</v>
      </c>
      <c r="Y19" s="73">
        <v>0</v>
      </c>
      <c r="Z19" s="74">
        <v>40669</v>
      </c>
      <c r="AA19" s="81">
        <v>9</v>
      </c>
      <c r="AB19" s="78">
        <v>1141</v>
      </c>
      <c r="AC19" s="82">
        <v>1</v>
      </c>
      <c r="AD19" s="78">
        <v>4605</v>
      </c>
      <c r="AE19" s="83">
        <v>0</v>
      </c>
      <c r="AF19" s="19"/>
      <c r="AG19" s="19"/>
      <c r="AH19" s="78">
        <v>584110</v>
      </c>
      <c r="AI19" s="76">
        <v>40</v>
      </c>
      <c r="AJ19" s="90">
        <v>876</v>
      </c>
      <c r="AK19" s="73">
        <v>7</v>
      </c>
      <c r="AL19" s="78">
        <v>52475</v>
      </c>
      <c r="AM19" s="87">
        <v>6</v>
      </c>
      <c r="AN19" s="78">
        <v>8931</v>
      </c>
      <c r="AO19" s="73">
        <v>0</v>
      </c>
      <c r="AP19" s="78">
        <v>10591</v>
      </c>
      <c r="AQ19" s="73">
        <v>2</v>
      </c>
      <c r="AR19" s="74">
        <v>14624</v>
      </c>
      <c r="AS19" s="73">
        <v>0</v>
      </c>
      <c r="AT19" s="78">
        <v>19369</v>
      </c>
      <c r="AU19" s="73">
        <v>0</v>
      </c>
      <c r="AV19" s="78">
        <v>20680</v>
      </c>
      <c r="AW19" s="81">
        <v>0</v>
      </c>
      <c r="AX19" s="78">
        <v>13872</v>
      </c>
      <c r="AY19" s="81">
        <v>0</v>
      </c>
      <c r="AZ19" s="78">
        <v>6225</v>
      </c>
      <c r="BA19" s="73">
        <v>0</v>
      </c>
      <c r="BB19" s="78">
        <v>26616</v>
      </c>
      <c r="BC19" s="73">
        <v>2</v>
      </c>
      <c r="BD19" s="78">
        <v>1115</v>
      </c>
      <c r="BE19" s="73">
        <v>0</v>
      </c>
      <c r="BF19" s="78">
        <v>4378</v>
      </c>
      <c r="BG19" s="73">
        <v>0</v>
      </c>
      <c r="BH19" s="78">
        <v>3636</v>
      </c>
      <c r="BI19" s="73">
        <v>0</v>
      </c>
      <c r="BJ19" s="81">
        <v>0</v>
      </c>
      <c r="BK19" s="81">
        <v>40</v>
      </c>
      <c r="BL19" s="78">
        <v>604610</v>
      </c>
      <c r="BM19" s="81">
        <v>50</v>
      </c>
      <c r="BN19" s="88">
        <v>775</v>
      </c>
      <c r="BO19" s="73">
        <v>2</v>
      </c>
      <c r="BP19" s="78">
        <v>785010</v>
      </c>
      <c r="BQ19" s="81">
        <v>40</v>
      </c>
      <c r="BR19" s="88">
        <v>8078</v>
      </c>
      <c r="BS19" s="81">
        <v>4</v>
      </c>
      <c r="BT19" s="91">
        <v>0</v>
      </c>
      <c r="BU19" s="81">
        <v>90</v>
      </c>
      <c r="BV19" s="93">
        <v>8</v>
      </c>
      <c r="BW19" s="78">
        <v>122</v>
      </c>
      <c r="BX19" s="94">
        <v>15128.057958131996</v>
      </c>
      <c r="BY19" s="78"/>
      <c r="BZ19" s="96">
        <v>0</v>
      </c>
      <c r="CA19" s="78">
        <v>207156</v>
      </c>
      <c r="CB19" s="81">
        <v>18</v>
      </c>
      <c r="CC19" s="91">
        <v>102.78</v>
      </c>
      <c r="CD19" s="78">
        <v>47</v>
      </c>
      <c r="CE19" s="100">
        <v>5064.25</v>
      </c>
      <c r="CF19" s="78">
        <v>46</v>
      </c>
      <c r="CG19" s="101">
        <v>4956.5</v>
      </c>
      <c r="CH19" s="78">
        <v>49</v>
      </c>
      <c r="CI19" s="102">
        <v>5279.75</v>
      </c>
      <c r="CJ19" s="103">
        <v>15300.5</v>
      </c>
      <c r="CK19" s="104">
        <v>107.75</v>
      </c>
      <c r="CL19" s="78"/>
      <c r="CM19" s="78">
        <v>34804</v>
      </c>
      <c r="CN19" s="81">
        <v>4</v>
      </c>
      <c r="CO19" s="91">
        <v>9.76</v>
      </c>
      <c r="CP19" s="78">
        <v>34300</v>
      </c>
      <c r="CQ19" s="81">
        <v>0</v>
      </c>
      <c r="CR19" s="91">
        <v>0</v>
      </c>
      <c r="CS19" s="78">
        <v>10235.6</v>
      </c>
      <c r="CT19" s="81">
        <v>0</v>
      </c>
      <c r="CU19" s="91">
        <v>0</v>
      </c>
      <c r="CV19" s="78">
        <v>832313</v>
      </c>
      <c r="CW19" s="81">
        <v>0</v>
      </c>
      <c r="CX19" s="91">
        <v>0</v>
      </c>
      <c r="CY19" s="78">
        <v>6187</v>
      </c>
      <c r="CZ19" s="81">
        <v>3</v>
      </c>
      <c r="DA19" s="91">
        <v>7.17</v>
      </c>
      <c r="DB19" s="78">
        <v>7420</v>
      </c>
      <c r="DC19" s="81">
        <v>0</v>
      </c>
      <c r="DD19" s="81">
        <v>0</v>
      </c>
      <c r="DE19" s="78">
        <v>4290</v>
      </c>
      <c r="DF19" s="81">
        <v>5</v>
      </c>
      <c r="DG19" s="81">
        <v>0</v>
      </c>
      <c r="DH19" s="78">
        <v>1855.9</v>
      </c>
      <c r="DI19" s="81">
        <v>0</v>
      </c>
      <c r="DJ19" s="81">
        <v>0</v>
      </c>
      <c r="DK19" s="78">
        <v>5081.7</v>
      </c>
      <c r="DL19" s="81">
        <v>0</v>
      </c>
      <c r="DM19" s="81">
        <v>0</v>
      </c>
      <c r="DN19" s="78">
        <v>4454.7</v>
      </c>
      <c r="DO19" s="81">
        <v>0</v>
      </c>
      <c r="DP19" s="81">
        <v>0</v>
      </c>
      <c r="DQ19" s="78">
        <v>5089.6000000000004</v>
      </c>
      <c r="DR19" s="81">
        <v>0</v>
      </c>
      <c r="DS19" s="81">
        <v>0</v>
      </c>
      <c r="DT19" s="78">
        <v>5135.6000000000004</v>
      </c>
      <c r="DU19" s="81">
        <v>0</v>
      </c>
      <c r="DV19" s="91">
        <v>0</v>
      </c>
      <c r="DW19" s="98">
        <v>12871</v>
      </c>
      <c r="DX19" s="91">
        <v>0</v>
      </c>
      <c r="DY19" s="98">
        <v>62789</v>
      </c>
      <c r="DZ19" s="91">
        <v>0</v>
      </c>
      <c r="EA19" s="109">
        <v>15588</v>
      </c>
      <c r="EB19" s="91">
        <v>0</v>
      </c>
      <c r="EC19" s="109">
        <v>24679</v>
      </c>
      <c r="ED19" s="91"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17"/>
      <c r="EL19" s="117"/>
      <c r="EM19" s="117"/>
    </row>
    <row r="20" spans="1:144" s="20" customFormat="1" ht="15" x14ac:dyDescent="0.2">
      <c r="A20" s="71">
        <v>44425</v>
      </c>
      <c r="B20" s="78">
        <v>7476531</v>
      </c>
      <c r="C20" s="73">
        <v>5675</v>
      </c>
      <c r="D20" s="78">
        <v>6666896</v>
      </c>
      <c r="E20" s="73">
        <v>5204</v>
      </c>
      <c r="F20" s="22">
        <v>0.91700440528634364</v>
      </c>
      <c r="G20" s="74">
        <v>368</v>
      </c>
      <c r="H20" s="74">
        <v>342</v>
      </c>
      <c r="I20" s="75">
        <v>288064</v>
      </c>
      <c r="J20" s="76">
        <v>0</v>
      </c>
      <c r="K20" s="77">
        <v>776</v>
      </c>
      <c r="L20" s="73">
        <v>0</v>
      </c>
      <c r="M20" s="78">
        <v>633954</v>
      </c>
      <c r="N20" s="76">
        <v>0</v>
      </c>
      <c r="O20" s="78">
        <v>993</v>
      </c>
      <c r="P20" s="76">
        <v>0</v>
      </c>
      <c r="Q20" s="78">
        <v>2560990</v>
      </c>
      <c r="R20" s="76">
        <v>98</v>
      </c>
      <c r="S20" s="78">
        <v>2192756</v>
      </c>
      <c r="T20" s="76">
        <v>14</v>
      </c>
      <c r="U20" s="78">
        <v>118521</v>
      </c>
      <c r="V20" s="76">
        <v>116</v>
      </c>
      <c r="W20" s="114">
        <v>50</v>
      </c>
      <c r="X20" s="78">
        <v>152370</v>
      </c>
      <c r="Y20" s="73">
        <v>0</v>
      </c>
      <c r="Z20" s="74">
        <v>40679</v>
      </c>
      <c r="AA20" s="81">
        <v>10</v>
      </c>
      <c r="AB20" s="78">
        <v>1142</v>
      </c>
      <c r="AC20" s="82">
        <v>1</v>
      </c>
      <c r="AD20" s="78">
        <v>4605</v>
      </c>
      <c r="AE20" s="83">
        <v>0</v>
      </c>
      <c r="AF20" s="19"/>
      <c r="AG20" s="19"/>
      <c r="AH20" s="78">
        <v>584150</v>
      </c>
      <c r="AI20" s="76">
        <v>40</v>
      </c>
      <c r="AJ20" s="90">
        <v>882</v>
      </c>
      <c r="AK20" s="73">
        <v>6</v>
      </c>
      <c r="AL20" s="78">
        <v>52479</v>
      </c>
      <c r="AM20" s="87">
        <v>4</v>
      </c>
      <c r="AN20" s="78">
        <v>8931</v>
      </c>
      <c r="AO20" s="73">
        <v>0</v>
      </c>
      <c r="AP20" s="78">
        <v>10591</v>
      </c>
      <c r="AQ20" s="73">
        <v>0</v>
      </c>
      <c r="AR20" s="78">
        <v>14624</v>
      </c>
      <c r="AS20" s="73">
        <v>0</v>
      </c>
      <c r="AT20" s="78">
        <v>19369</v>
      </c>
      <c r="AU20" s="73">
        <v>0</v>
      </c>
      <c r="AV20" s="78">
        <v>20680</v>
      </c>
      <c r="AW20" s="81">
        <v>0</v>
      </c>
      <c r="AX20" s="78">
        <v>13872</v>
      </c>
      <c r="AY20" s="81">
        <v>0</v>
      </c>
      <c r="AZ20" s="78">
        <v>6225</v>
      </c>
      <c r="BA20" s="73">
        <v>0</v>
      </c>
      <c r="BB20" s="78">
        <v>26619</v>
      </c>
      <c r="BC20" s="73">
        <v>3</v>
      </c>
      <c r="BD20" s="78">
        <v>1115</v>
      </c>
      <c r="BE20" s="73">
        <v>0</v>
      </c>
      <c r="BF20" s="78">
        <v>4378</v>
      </c>
      <c r="BG20" s="73">
        <v>0</v>
      </c>
      <c r="BH20" s="78">
        <v>3636</v>
      </c>
      <c r="BI20" s="73">
        <v>0</v>
      </c>
      <c r="BJ20" s="81">
        <v>0</v>
      </c>
      <c r="BK20" s="81">
        <v>40</v>
      </c>
      <c r="BL20" s="78">
        <v>604650</v>
      </c>
      <c r="BM20" s="81">
        <v>40</v>
      </c>
      <c r="BN20" s="88">
        <v>776</v>
      </c>
      <c r="BO20" s="73">
        <v>1</v>
      </c>
      <c r="BP20" s="78">
        <v>785060</v>
      </c>
      <c r="BQ20" s="81">
        <v>50</v>
      </c>
      <c r="BR20" s="92">
        <v>8084</v>
      </c>
      <c r="BS20" s="81">
        <v>6</v>
      </c>
      <c r="BT20" s="91">
        <v>10</v>
      </c>
      <c r="BU20" s="81">
        <v>90</v>
      </c>
      <c r="BV20" s="93">
        <v>4</v>
      </c>
      <c r="BW20" s="78">
        <v>122</v>
      </c>
      <c r="BX20" s="94">
        <v>15128.057958131996</v>
      </c>
      <c r="BY20" s="99"/>
      <c r="BZ20" s="96">
        <v>0</v>
      </c>
      <c r="CA20" s="78">
        <v>207163</v>
      </c>
      <c r="CB20" s="81">
        <v>7</v>
      </c>
      <c r="CC20" s="91">
        <v>39.97</v>
      </c>
      <c r="CD20" s="78">
        <v>46</v>
      </c>
      <c r="CE20" s="100">
        <v>4956.5</v>
      </c>
      <c r="CF20" s="78">
        <v>45</v>
      </c>
      <c r="CG20" s="101">
        <v>4848.75</v>
      </c>
      <c r="CH20" s="78">
        <v>49</v>
      </c>
      <c r="CI20" s="102">
        <v>5279.75</v>
      </c>
      <c r="CJ20" s="103">
        <v>15085</v>
      </c>
      <c r="CK20" s="104">
        <v>215.5</v>
      </c>
      <c r="CL20" s="78"/>
      <c r="CM20" s="78">
        <v>34808</v>
      </c>
      <c r="CN20" s="81">
        <v>4</v>
      </c>
      <c r="CO20" s="91">
        <v>9.76</v>
      </c>
      <c r="CP20" s="78">
        <v>34300</v>
      </c>
      <c r="CQ20" s="81">
        <v>0</v>
      </c>
      <c r="CR20" s="91">
        <v>0</v>
      </c>
      <c r="CS20" s="78">
        <v>10235.6</v>
      </c>
      <c r="CT20" s="81">
        <v>0</v>
      </c>
      <c r="CU20" s="91">
        <v>0</v>
      </c>
      <c r="CV20" s="78">
        <v>832313</v>
      </c>
      <c r="CW20" s="81">
        <v>0</v>
      </c>
      <c r="CX20" s="91">
        <v>0</v>
      </c>
      <c r="CY20" s="78">
        <v>6190</v>
      </c>
      <c r="CZ20" s="81">
        <v>3</v>
      </c>
      <c r="DA20" s="91">
        <v>7.17</v>
      </c>
      <c r="DB20" s="78">
        <v>7420</v>
      </c>
      <c r="DC20" s="81">
        <v>0</v>
      </c>
      <c r="DD20" s="81">
        <v>0</v>
      </c>
      <c r="DE20" s="78">
        <v>4298</v>
      </c>
      <c r="DF20" s="81">
        <v>8</v>
      </c>
      <c r="DG20" s="81">
        <v>3</v>
      </c>
      <c r="DH20" s="78">
        <v>1855.9</v>
      </c>
      <c r="DI20" s="81">
        <v>0</v>
      </c>
      <c r="DJ20" s="81">
        <v>0</v>
      </c>
      <c r="DK20" s="78">
        <v>5081.7</v>
      </c>
      <c r="DL20" s="81">
        <v>0</v>
      </c>
      <c r="DM20" s="81">
        <v>0</v>
      </c>
      <c r="DN20" s="78">
        <v>4454.7</v>
      </c>
      <c r="DO20" s="81">
        <v>0</v>
      </c>
      <c r="DP20" s="81">
        <v>0</v>
      </c>
      <c r="DQ20" s="78">
        <v>5089.6000000000004</v>
      </c>
      <c r="DR20" s="81">
        <v>0</v>
      </c>
      <c r="DS20" s="81">
        <v>0</v>
      </c>
      <c r="DT20" s="78">
        <v>5135.6000000000004</v>
      </c>
      <c r="DU20" s="81">
        <v>0</v>
      </c>
      <c r="DV20" s="91">
        <v>0</v>
      </c>
      <c r="DW20" s="98">
        <v>12871</v>
      </c>
      <c r="DX20" s="91">
        <v>0</v>
      </c>
      <c r="DY20" s="98">
        <v>62789</v>
      </c>
      <c r="DZ20" s="91">
        <v>0</v>
      </c>
      <c r="EA20" s="109">
        <v>15588</v>
      </c>
      <c r="EB20" s="91">
        <v>0</v>
      </c>
      <c r="EC20" s="109">
        <v>24679</v>
      </c>
      <c r="ED20" s="91"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 x14ac:dyDescent="0.2">
      <c r="A21" s="71">
        <v>44426</v>
      </c>
      <c r="B21" s="78">
        <v>7482238</v>
      </c>
      <c r="C21" s="73">
        <v>5707</v>
      </c>
      <c r="D21" s="78">
        <v>6672286</v>
      </c>
      <c r="E21" s="73">
        <v>5390</v>
      </c>
      <c r="F21" s="22">
        <v>0.94445417907832485</v>
      </c>
      <c r="G21" s="74">
        <v>368</v>
      </c>
      <c r="H21" s="74">
        <v>342</v>
      </c>
      <c r="I21" s="75">
        <v>288064</v>
      </c>
      <c r="J21" s="76">
        <v>0</v>
      </c>
      <c r="K21" s="77">
        <v>776</v>
      </c>
      <c r="L21" s="73">
        <v>0</v>
      </c>
      <c r="M21" s="78">
        <v>633954</v>
      </c>
      <c r="N21" s="76">
        <v>0</v>
      </c>
      <c r="O21" s="78">
        <v>993</v>
      </c>
      <c r="P21" s="76">
        <v>0</v>
      </c>
      <c r="Q21" s="78">
        <v>2561122</v>
      </c>
      <c r="R21" s="76">
        <v>132</v>
      </c>
      <c r="S21" s="78">
        <v>2192890</v>
      </c>
      <c r="T21" s="76">
        <v>134</v>
      </c>
      <c r="U21" s="78">
        <v>118551</v>
      </c>
      <c r="V21" s="76">
        <v>30</v>
      </c>
      <c r="W21" s="114">
        <v>50</v>
      </c>
      <c r="X21" s="78">
        <v>152641</v>
      </c>
      <c r="Y21" s="73">
        <v>271</v>
      </c>
      <c r="Z21" s="74">
        <v>40689</v>
      </c>
      <c r="AA21" s="81">
        <v>10</v>
      </c>
      <c r="AB21" s="78">
        <v>1142</v>
      </c>
      <c r="AC21" s="82">
        <v>0</v>
      </c>
      <c r="AD21" s="78">
        <v>4605</v>
      </c>
      <c r="AE21" s="83">
        <v>0</v>
      </c>
      <c r="AF21" s="19"/>
      <c r="AG21" s="19"/>
      <c r="AH21" s="78">
        <v>584180</v>
      </c>
      <c r="AI21" s="76">
        <v>30</v>
      </c>
      <c r="AJ21" s="90">
        <v>884</v>
      </c>
      <c r="AK21" s="73">
        <v>2</v>
      </c>
      <c r="AL21" s="78">
        <v>52492</v>
      </c>
      <c r="AM21" s="87">
        <v>13</v>
      </c>
      <c r="AN21" s="78">
        <v>8931</v>
      </c>
      <c r="AO21" s="73">
        <v>0</v>
      </c>
      <c r="AP21" s="78">
        <v>10591</v>
      </c>
      <c r="AQ21" s="73">
        <v>0</v>
      </c>
      <c r="AR21" s="78">
        <v>14624</v>
      </c>
      <c r="AS21" s="73">
        <v>0</v>
      </c>
      <c r="AT21" s="78">
        <v>19369</v>
      </c>
      <c r="AU21" s="73">
        <v>0</v>
      </c>
      <c r="AV21" s="78">
        <v>20680</v>
      </c>
      <c r="AW21" s="81">
        <v>0</v>
      </c>
      <c r="AX21" s="78">
        <v>13872</v>
      </c>
      <c r="AY21" s="81">
        <v>0</v>
      </c>
      <c r="AZ21" s="78">
        <v>6225</v>
      </c>
      <c r="BA21" s="73">
        <v>0</v>
      </c>
      <c r="BB21" s="78">
        <v>26621</v>
      </c>
      <c r="BC21" s="73">
        <v>2</v>
      </c>
      <c r="BD21" s="78">
        <v>1115</v>
      </c>
      <c r="BE21" s="73">
        <v>0</v>
      </c>
      <c r="BF21" s="78">
        <v>4378</v>
      </c>
      <c r="BG21" s="73">
        <v>0</v>
      </c>
      <c r="BH21" s="78">
        <v>3636</v>
      </c>
      <c r="BI21" s="73">
        <v>0</v>
      </c>
      <c r="BJ21" s="81">
        <v>0</v>
      </c>
      <c r="BK21" s="81">
        <v>30</v>
      </c>
      <c r="BL21" s="78">
        <v>604710</v>
      </c>
      <c r="BM21" s="81">
        <v>60</v>
      </c>
      <c r="BN21" s="88">
        <v>778</v>
      </c>
      <c r="BO21" s="73">
        <v>2</v>
      </c>
      <c r="BP21" s="78">
        <v>785110</v>
      </c>
      <c r="BQ21" s="81">
        <v>50</v>
      </c>
      <c r="BR21" s="92">
        <v>8092</v>
      </c>
      <c r="BS21" s="81">
        <v>8</v>
      </c>
      <c r="BT21" s="91">
        <v>20</v>
      </c>
      <c r="BU21" s="81">
        <v>110</v>
      </c>
      <c r="BV21" s="93">
        <v>13</v>
      </c>
      <c r="BW21" s="78">
        <v>122</v>
      </c>
      <c r="BX21" s="94">
        <v>15128.057958131996</v>
      </c>
      <c r="BY21" s="99"/>
      <c r="BZ21" s="96">
        <v>0</v>
      </c>
      <c r="CA21" s="78">
        <v>207196</v>
      </c>
      <c r="CB21" s="81">
        <v>33</v>
      </c>
      <c r="CC21" s="91">
        <v>188.43</v>
      </c>
      <c r="CD21" s="78">
        <v>46</v>
      </c>
      <c r="CE21" s="100">
        <v>4956.5</v>
      </c>
      <c r="CF21" s="78">
        <v>45</v>
      </c>
      <c r="CG21" s="101">
        <v>4848.75</v>
      </c>
      <c r="CH21" s="78">
        <v>49</v>
      </c>
      <c r="CI21" s="102">
        <v>5279.75</v>
      </c>
      <c r="CJ21" s="103">
        <v>15085</v>
      </c>
      <c r="CK21" s="104">
        <v>0</v>
      </c>
      <c r="CL21" s="78"/>
      <c r="CM21" s="78">
        <v>34812</v>
      </c>
      <c r="CN21" s="81">
        <v>4</v>
      </c>
      <c r="CO21" s="91">
        <v>9.76</v>
      </c>
      <c r="CP21" s="78">
        <v>34300</v>
      </c>
      <c r="CQ21" s="81">
        <v>0</v>
      </c>
      <c r="CR21" s="91">
        <v>0</v>
      </c>
      <c r="CS21" s="78">
        <v>10235.6</v>
      </c>
      <c r="CT21" s="81">
        <v>0</v>
      </c>
      <c r="CU21" s="91">
        <v>0</v>
      </c>
      <c r="CV21" s="78">
        <v>832313</v>
      </c>
      <c r="CW21" s="81">
        <v>0</v>
      </c>
      <c r="CX21" s="91">
        <v>0</v>
      </c>
      <c r="CY21" s="78">
        <v>6194</v>
      </c>
      <c r="CZ21" s="81">
        <v>4</v>
      </c>
      <c r="DA21" s="91">
        <v>9.56</v>
      </c>
      <c r="DB21" s="78">
        <v>7420</v>
      </c>
      <c r="DC21" s="81">
        <v>0</v>
      </c>
      <c r="DD21" s="81">
        <v>0</v>
      </c>
      <c r="DE21" s="78">
        <v>4301</v>
      </c>
      <c r="DF21" s="81">
        <v>3</v>
      </c>
      <c r="DG21" s="81" t="s">
        <v>127</v>
      </c>
      <c r="DH21" s="78">
        <v>1855.9</v>
      </c>
      <c r="DI21" s="81">
        <v>0</v>
      </c>
      <c r="DJ21" s="81">
        <v>0</v>
      </c>
      <c r="DK21" s="78">
        <v>5081.7</v>
      </c>
      <c r="DL21" s="81">
        <v>0</v>
      </c>
      <c r="DM21" s="81">
        <v>0</v>
      </c>
      <c r="DN21" s="78">
        <v>4454.7</v>
      </c>
      <c r="DO21" s="81">
        <v>0</v>
      </c>
      <c r="DP21" s="81">
        <v>0</v>
      </c>
      <c r="DQ21" s="78">
        <v>5089.6000000000004</v>
      </c>
      <c r="DR21" s="81">
        <v>0</v>
      </c>
      <c r="DS21" s="81">
        <v>0</v>
      </c>
      <c r="DT21" s="78">
        <v>5135.6000000000004</v>
      </c>
      <c r="DU21" s="81">
        <v>0</v>
      </c>
      <c r="DV21" s="91">
        <v>0</v>
      </c>
      <c r="DW21" s="98">
        <v>12871</v>
      </c>
      <c r="DX21" s="91">
        <v>0</v>
      </c>
      <c r="DY21" s="98">
        <v>62789</v>
      </c>
      <c r="DZ21" s="91">
        <v>0</v>
      </c>
      <c r="EA21" s="109">
        <v>15588</v>
      </c>
      <c r="EB21" s="91">
        <v>0</v>
      </c>
      <c r="EC21" s="109">
        <v>24679</v>
      </c>
      <c r="ED21" s="91"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 x14ac:dyDescent="0.2">
      <c r="A22" s="71">
        <v>44427</v>
      </c>
      <c r="B22" s="78">
        <v>7488637</v>
      </c>
      <c r="C22" s="73">
        <v>6399</v>
      </c>
      <c r="D22" s="78">
        <v>6678080</v>
      </c>
      <c r="E22" s="73">
        <v>5794</v>
      </c>
      <c r="F22" s="22">
        <v>0.90545397718393494</v>
      </c>
      <c r="G22" s="74">
        <v>368</v>
      </c>
      <c r="H22" s="74">
        <v>342</v>
      </c>
      <c r="I22" s="75">
        <v>288064</v>
      </c>
      <c r="J22" s="76">
        <v>0</v>
      </c>
      <c r="K22" s="77">
        <v>776</v>
      </c>
      <c r="L22" s="73">
        <v>0</v>
      </c>
      <c r="M22" s="78">
        <v>636643</v>
      </c>
      <c r="N22" s="76">
        <v>2689</v>
      </c>
      <c r="O22" s="78">
        <v>993</v>
      </c>
      <c r="P22" s="76">
        <v>0</v>
      </c>
      <c r="Q22" s="78">
        <v>2561283</v>
      </c>
      <c r="R22" s="76">
        <v>161</v>
      </c>
      <c r="S22" s="78">
        <v>2193048</v>
      </c>
      <c r="T22" s="76">
        <v>158</v>
      </c>
      <c r="U22" s="78">
        <v>118660</v>
      </c>
      <c r="V22" s="76">
        <v>109</v>
      </c>
      <c r="W22" s="86">
        <v>50</v>
      </c>
      <c r="X22" s="78">
        <v>152641</v>
      </c>
      <c r="Y22" s="76">
        <v>0</v>
      </c>
      <c r="Z22" s="74">
        <v>40700</v>
      </c>
      <c r="AA22" s="81">
        <v>11</v>
      </c>
      <c r="AB22" s="78">
        <v>1142</v>
      </c>
      <c r="AC22" s="82">
        <v>0</v>
      </c>
      <c r="AD22" s="78">
        <v>4605</v>
      </c>
      <c r="AE22" s="83">
        <v>0</v>
      </c>
      <c r="AF22" s="19"/>
      <c r="AG22" s="19"/>
      <c r="AH22" s="78">
        <v>584220</v>
      </c>
      <c r="AI22" s="76">
        <v>40</v>
      </c>
      <c r="AJ22" s="90">
        <v>884</v>
      </c>
      <c r="AK22" s="73">
        <v>0</v>
      </c>
      <c r="AL22" s="78">
        <v>52508</v>
      </c>
      <c r="AM22" s="87">
        <v>16</v>
      </c>
      <c r="AN22" s="78">
        <v>8931</v>
      </c>
      <c r="AO22" s="73">
        <v>0</v>
      </c>
      <c r="AP22" s="78">
        <v>10591</v>
      </c>
      <c r="AQ22" s="73">
        <v>0</v>
      </c>
      <c r="AR22" s="78">
        <v>14624</v>
      </c>
      <c r="AS22" s="73">
        <v>0</v>
      </c>
      <c r="AT22" s="78">
        <v>19369</v>
      </c>
      <c r="AU22" s="73">
        <v>0</v>
      </c>
      <c r="AV22" s="78">
        <v>20680</v>
      </c>
      <c r="AW22" s="81">
        <v>0</v>
      </c>
      <c r="AX22" s="78">
        <v>13872</v>
      </c>
      <c r="AY22" s="81">
        <v>0</v>
      </c>
      <c r="AZ22" s="78">
        <v>6225</v>
      </c>
      <c r="BA22" s="73">
        <v>0</v>
      </c>
      <c r="BB22" s="78">
        <v>26623</v>
      </c>
      <c r="BC22" s="73">
        <v>2</v>
      </c>
      <c r="BD22" s="78">
        <v>1115</v>
      </c>
      <c r="BE22" s="73">
        <v>0</v>
      </c>
      <c r="BF22" s="78">
        <v>4378</v>
      </c>
      <c r="BG22" s="73">
        <v>0</v>
      </c>
      <c r="BH22" s="78">
        <v>3636</v>
      </c>
      <c r="BI22" s="73">
        <v>0</v>
      </c>
      <c r="BJ22" s="81">
        <v>0</v>
      </c>
      <c r="BK22" s="81">
        <v>40</v>
      </c>
      <c r="BL22" s="78">
        <v>604770</v>
      </c>
      <c r="BM22" s="81">
        <v>60</v>
      </c>
      <c r="BN22" s="88">
        <v>779</v>
      </c>
      <c r="BO22" s="73">
        <v>1</v>
      </c>
      <c r="BP22" s="78">
        <v>785156</v>
      </c>
      <c r="BQ22" s="81">
        <v>46</v>
      </c>
      <c r="BR22" s="92">
        <v>8097</v>
      </c>
      <c r="BS22" s="81">
        <v>5</v>
      </c>
      <c r="BT22" s="91">
        <v>6</v>
      </c>
      <c r="BU22" s="81">
        <v>106</v>
      </c>
      <c r="BV22" s="93">
        <v>16</v>
      </c>
      <c r="BW22" s="78">
        <v>122</v>
      </c>
      <c r="BX22" s="94">
        <v>15128.057958131996</v>
      </c>
      <c r="BY22" s="99"/>
      <c r="BZ22" s="96">
        <v>0</v>
      </c>
      <c r="CA22" s="78">
        <v>207229</v>
      </c>
      <c r="CB22" s="81">
        <v>33</v>
      </c>
      <c r="CC22" s="91">
        <v>188.43</v>
      </c>
      <c r="CD22" s="78">
        <v>45</v>
      </c>
      <c r="CE22" s="100">
        <v>4848.75</v>
      </c>
      <c r="CF22" s="78">
        <v>45</v>
      </c>
      <c r="CG22" s="101">
        <v>4848.75</v>
      </c>
      <c r="CH22" s="78">
        <v>49</v>
      </c>
      <c r="CI22" s="102">
        <v>5279.75</v>
      </c>
      <c r="CJ22" s="103">
        <v>14977.25</v>
      </c>
      <c r="CK22" s="104">
        <v>107.75</v>
      </c>
      <c r="CL22" s="78"/>
      <c r="CM22" s="78">
        <v>34814</v>
      </c>
      <c r="CN22" s="81">
        <v>2</v>
      </c>
      <c r="CO22" s="91">
        <v>4.88</v>
      </c>
      <c r="CP22" s="78">
        <v>34300</v>
      </c>
      <c r="CQ22" s="81">
        <v>0</v>
      </c>
      <c r="CR22" s="91">
        <v>0</v>
      </c>
      <c r="CS22" s="78">
        <v>10235.6</v>
      </c>
      <c r="CT22" s="81">
        <v>0</v>
      </c>
      <c r="CU22" s="91">
        <v>0</v>
      </c>
      <c r="CV22" s="78">
        <v>832331</v>
      </c>
      <c r="CW22" s="81">
        <v>18</v>
      </c>
      <c r="CX22" s="91">
        <v>43.92</v>
      </c>
      <c r="CY22" s="78">
        <v>6199</v>
      </c>
      <c r="CZ22" s="81">
        <v>5</v>
      </c>
      <c r="DA22" s="91">
        <v>11.950000000000001</v>
      </c>
      <c r="DB22" s="78">
        <v>7420</v>
      </c>
      <c r="DC22" s="81">
        <v>0</v>
      </c>
      <c r="DD22" s="81">
        <v>0</v>
      </c>
      <c r="DE22" s="78">
        <v>4306</v>
      </c>
      <c r="DF22" s="81">
        <v>5</v>
      </c>
      <c r="DG22" s="81">
        <v>2</v>
      </c>
      <c r="DH22" s="78">
        <v>1855.9</v>
      </c>
      <c r="DI22" s="81">
        <v>0</v>
      </c>
      <c r="DJ22" s="81">
        <v>0</v>
      </c>
      <c r="DK22" s="78">
        <v>5081.7</v>
      </c>
      <c r="DL22" s="81">
        <v>0</v>
      </c>
      <c r="DM22" s="81">
        <v>0</v>
      </c>
      <c r="DN22" s="78">
        <v>4454.7</v>
      </c>
      <c r="DO22" s="81">
        <v>0</v>
      </c>
      <c r="DP22" s="81">
        <v>0</v>
      </c>
      <c r="DQ22" s="78">
        <v>5089.6000000000004</v>
      </c>
      <c r="DR22" s="81">
        <v>0</v>
      </c>
      <c r="DS22" s="81">
        <v>0</v>
      </c>
      <c r="DT22" s="78">
        <v>5135.6000000000004</v>
      </c>
      <c r="DU22" s="81">
        <v>0</v>
      </c>
      <c r="DV22" s="91">
        <v>0</v>
      </c>
      <c r="DW22" s="98">
        <v>12871</v>
      </c>
      <c r="DX22" s="91">
        <v>0</v>
      </c>
      <c r="DY22" s="98">
        <v>62789</v>
      </c>
      <c r="DZ22" s="91">
        <v>0</v>
      </c>
      <c r="EA22" s="109">
        <v>15588</v>
      </c>
      <c r="EB22" s="91">
        <v>0</v>
      </c>
      <c r="EC22" s="109">
        <v>24679</v>
      </c>
      <c r="ED22" s="91">
        <v>0</v>
      </c>
      <c r="EE22" s="109">
        <v>2</v>
      </c>
      <c r="EF22" s="110">
        <v>6</v>
      </c>
      <c r="EG22" s="108">
        <v>1.4999999999999999E-2</v>
      </c>
      <c r="EH22" s="69"/>
      <c r="EI22" s="58"/>
      <c r="EJ22" s="58"/>
      <c r="EK22"/>
      <c r="EL22"/>
      <c r="EM22"/>
    </row>
    <row r="23" spans="1:144" s="20" customFormat="1" ht="15" x14ac:dyDescent="0.2">
      <c r="A23" s="71">
        <v>44428</v>
      </c>
      <c r="B23" s="78">
        <v>7494438</v>
      </c>
      <c r="C23" s="73">
        <v>5801</v>
      </c>
      <c r="D23" s="78">
        <v>6683358</v>
      </c>
      <c r="E23" s="73">
        <v>5278</v>
      </c>
      <c r="F23" s="22">
        <v>0.9098431304947423</v>
      </c>
      <c r="G23" s="74">
        <v>368</v>
      </c>
      <c r="H23" s="74">
        <v>342</v>
      </c>
      <c r="I23" s="75">
        <v>289139</v>
      </c>
      <c r="J23" s="76">
        <v>1075</v>
      </c>
      <c r="K23" s="77">
        <v>792</v>
      </c>
      <c r="L23" s="73">
        <v>16</v>
      </c>
      <c r="M23" s="78">
        <v>636643</v>
      </c>
      <c r="N23" s="76">
        <v>0</v>
      </c>
      <c r="O23" s="78">
        <v>1012</v>
      </c>
      <c r="P23" s="76">
        <v>19</v>
      </c>
      <c r="Q23" s="78">
        <v>2561529</v>
      </c>
      <c r="R23" s="76">
        <v>246</v>
      </c>
      <c r="S23" s="78">
        <v>2193059</v>
      </c>
      <c r="T23" s="76">
        <v>11</v>
      </c>
      <c r="U23" s="78">
        <v>118710</v>
      </c>
      <c r="V23" s="76">
        <v>50</v>
      </c>
      <c r="W23" s="86">
        <v>50</v>
      </c>
      <c r="X23" s="78">
        <v>152641</v>
      </c>
      <c r="Y23" s="76">
        <v>0</v>
      </c>
      <c r="Z23" s="74">
        <v>40708</v>
      </c>
      <c r="AA23" s="81">
        <v>8</v>
      </c>
      <c r="AB23" s="78">
        <v>1142</v>
      </c>
      <c r="AC23" s="82">
        <v>0</v>
      </c>
      <c r="AD23" s="78">
        <v>4605</v>
      </c>
      <c r="AE23" s="83">
        <v>0</v>
      </c>
      <c r="AF23" s="19"/>
      <c r="AG23" s="19"/>
      <c r="AH23" s="78">
        <v>584250</v>
      </c>
      <c r="AI23" s="76">
        <v>30</v>
      </c>
      <c r="AJ23" s="90">
        <v>887</v>
      </c>
      <c r="AK23" s="73">
        <v>3</v>
      </c>
      <c r="AL23" s="78">
        <v>52510</v>
      </c>
      <c r="AM23" s="87">
        <v>2</v>
      </c>
      <c r="AN23" s="78">
        <v>8931</v>
      </c>
      <c r="AO23" s="73">
        <v>0</v>
      </c>
      <c r="AP23" s="78">
        <v>10591</v>
      </c>
      <c r="AQ23" s="73">
        <v>0</v>
      </c>
      <c r="AR23" s="78">
        <v>14624</v>
      </c>
      <c r="AS23" s="73">
        <v>0</v>
      </c>
      <c r="AT23" s="78">
        <v>19369</v>
      </c>
      <c r="AU23" s="73">
        <v>0</v>
      </c>
      <c r="AV23" s="78">
        <v>20680</v>
      </c>
      <c r="AW23" s="81">
        <v>0</v>
      </c>
      <c r="AX23" s="78">
        <v>13872</v>
      </c>
      <c r="AY23" s="81">
        <v>0</v>
      </c>
      <c r="AZ23" s="78">
        <v>6225</v>
      </c>
      <c r="BA23" s="73">
        <v>0</v>
      </c>
      <c r="BB23" s="78">
        <v>26625</v>
      </c>
      <c r="BC23" s="73">
        <v>2</v>
      </c>
      <c r="BD23" s="78">
        <v>1115</v>
      </c>
      <c r="BE23" s="73">
        <v>0</v>
      </c>
      <c r="BF23" s="78">
        <v>4378</v>
      </c>
      <c r="BG23" s="73">
        <v>0</v>
      </c>
      <c r="BH23" s="78">
        <v>3636</v>
      </c>
      <c r="BI23" s="73">
        <v>0</v>
      </c>
      <c r="BJ23" s="81">
        <v>0</v>
      </c>
      <c r="BK23" s="81">
        <v>30</v>
      </c>
      <c r="BL23" s="78">
        <v>604801</v>
      </c>
      <c r="BM23" s="81">
        <v>31</v>
      </c>
      <c r="BN23" s="88">
        <v>781</v>
      </c>
      <c r="BO23" s="73">
        <v>2</v>
      </c>
      <c r="BP23" s="78">
        <v>785192</v>
      </c>
      <c r="BQ23" s="81">
        <v>36</v>
      </c>
      <c r="BR23" s="92">
        <v>8101</v>
      </c>
      <c r="BS23" s="81">
        <v>4</v>
      </c>
      <c r="BT23" s="91">
        <v>6</v>
      </c>
      <c r="BU23" s="81">
        <v>67</v>
      </c>
      <c r="BV23" s="93">
        <v>2</v>
      </c>
      <c r="BW23" s="78">
        <v>122</v>
      </c>
      <c r="BX23" s="94">
        <v>15128.057958131996</v>
      </c>
      <c r="BY23" s="99"/>
      <c r="BZ23" s="96">
        <v>0</v>
      </c>
      <c r="CA23" s="78">
        <v>207246</v>
      </c>
      <c r="CB23" s="81">
        <v>17</v>
      </c>
      <c r="CC23" s="91">
        <v>97.07</v>
      </c>
      <c r="CD23" s="78">
        <v>45</v>
      </c>
      <c r="CE23" s="100">
        <v>4848.75</v>
      </c>
      <c r="CF23" s="78">
        <v>45</v>
      </c>
      <c r="CG23" s="101">
        <v>4848.75</v>
      </c>
      <c r="CH23" s="78">
        <v>46</v>
      </c>
      <c r="CI23" s="102">
        <v>4956.5</v>
      </c>
      <c r="CJ23" s="103">
        <v>14654</v>
      </c>
      <c r="CK23" s="104">
        <v>323.25</v>
      </c>
      <c r="CL23" s="78"/>
      <c r="CM23" s="78">
        <v>34817</v>
      </c>
      <c r="CN23" s="81">
        <v>3</v>
      </c>
      <c r="CO23" s="91">
        <v>7.32</v>
      </c>
      <c r="CP23" s="78">
        <v>34300</v>
      </c>
      <c r="CQ23" s="81">
        <v>0</v>
      </c>
      <c r="CR23" s="91">
        <v>0</v>
      </c>
      <c r="CS23" s="78">
        <v>10235.6</v>
      </c>
      <c r="CT23" s="81">
        <v>0</v>
      </c>
      <c r="CU23" s="91">
        <v>0</v>
      </c>
      <c r="CV23" s="78">
        <v>832331</v>
      </c>
      <c r="CW23" s="81">
        <v>0</v>
      </c>
      <c r="CX23" s="91">
        <v>0</v>
      </c>
      <c r="CY23" s="78">
        <v>6202</v>
      </c>
      <c r="CZ23" s="81">
        <v>3</v>
      </c>
      <c r="DA23" s="91">
        <v>7.17</v>
      </c>
      <c r="DB23" s="78">
        <v>7420</v>
      </c>
      <c r="DC23" s="81">
        <v>0</v>
      </c>
      <c r="DD23" s="81">
        <v>0</v>
      </c>
      <c r="DE23" s="78">
        <v>4311</v>
      </c>
      <c r="DF23" s="81">
        <v>5</v>
      </c>
      <c r="DG23" s="81">
        <v>0</v>
      </c>
      <c r="DH23" s="78">
        <v>1855.9</v>
      </c>
      <c r="DI23" s="81">
        <v>0</v>
      </c>
      <c r="DJ23" s="81">
        <v>0</v>
      </c>
      <c r="DK23" s="78">
        <v>5081.7</v>
      </c>
      <c r="DL23" s="81">
        <v>0</v>
      </c>
      <c r="DM23" s="81">
        <v>0</v>
      </c>
      <c r="DN23" s="78">
        <v>4454.7</v>
      </c>
      <c r="DO23" s="81">
        <v>0</v>
      </c>
      <c r="DP23" s="81">
        <v>0</v>
      </c>
      <c r="DQ23" s="78">
        <v>5089.6000000000004</v>
      </c>
      <c r="DR23" s="81">
        <v>0</v>
      </c>
      <c r="DS23" s="81">
        <v>0</v>
      </c>
      <c r="DT23" s="78">
        <v>5135.6000000000004</v>
      </c>
      <c r="DU23" s="81">
        <v>0</v>
      </c>
      <c r="DV23" s="91">
        <v>0</v>
      </c>
      <c r="DW23" s="98">
        <v>12871</v>
      </c>
      <c r="DX23" s="91">
        <v>0</v>
      </c>
      <c r="DY23" s="98">
        <v>62789</v>
      </c>
      <c r="DZ23" s="91">
        <v>0</v>
      </c>
      <c r="EA23" s="109">
        <v>15588</v>
      </c>
      <c r="EB23" s="91">
        <v>0</v>
      </c>
      <c r="EC23" s="109">
        <v>24679</v>
      </c>
      <c r="ED23" s="91">
        <v>0</v>
      </c>
      <c r="EE23" s="109">
        <v>2</v>
      </c>
      <c r="EF23" s="110">
        <v>6</v>
      </c>
      <c r="EG23" s="108">
        <v>1.4999999999999999E-2</v>
      </c>
      <c r="EH23" s="112"/>
      <c r="EI23" s="58"/>
      <c r="EJ23" s="58"/>
      <c r="EK23"/>
      <c r="EL23"/>
      <c r="EM23"/>
    </row>
    <row r="24" spans="1:144" s="20" customFormat="1" ht="15" x14ac:dyDescent="0.2">
      <c r="A24" s="71">
        <v>44429</v>
      </c>
      <c r="B24" s="80">
        <v>7500665</v>
      </c>
      <c r="C24" s="73">
        <v>6227</v>
      </c>
      <c r="D24" s="78">
        <v>6689107</v>
      </c>
      <c r="E24" s="73">
        <v>5749</v>
      </c>
      <c r="F24" s="22">
        <v>0.92323751405171028</v>
      </c>
      <c r="G24" s="74">
        <v>368</v>
      </c>
      <c r="H24" s="74">
        <v>364</v>
      </c>
      <c r="I24" s="75">
        <v>289139</v>
      </c>
      <c r="J24" s="76">
        <v>0</v>
      </c>
      <c r="K24" s="77">
        <v>792</v>
      </c>
      <c r="L24" s="73">
        <v>0</v>
      </c>
      <c r="M24" s="78">
        <v>636643</v>
      </c>
      <c r="N24" s="73">
        <v>0</v>
      </c>
      <c r="O24" s="78">
        <v>1012</v>
      </c>
      <c r="P24" s="76">
        <v>0</v>
      </c>
      <c r="Q24" s="78">
        <v>2561683</v>
      </c>
      <c r="R24" s="76">
        <v>154</v>
      </c>
      <c r="S24" s="78">
        <v>2193062</v>
      </c>
      <c r="T24" s="76">
        <v>3</v>
      </c>
      <c r="U24" s="78">
        <v>118807</v>
      </c>
      <c r="V24" s="76">
        <v>97</v>
      </c>
      <c r="W24" s="114">
        <v>50</v>
      </c>
      <c r="X24" s="78">
        <v>152641</v>
      </c>
      <c r="Y24" s="76">
        <v>0</v>
      </c>
      <c r="Z24" s="74">
        <v>40717</v>
      </c>
      <c r="AA24" s="81">
        <v>9</v>
      </c>
      <c r="AB24" s="78">
        <v>1142</v>
      </c>
      <c r="AC24" s="82">
        <v>0</v>
      </c>
      <c r="AD24" s="78">
        <v>4605</v>
      </c>
      <c r="AE24" s="83">
        <v>0</v>
      </c>
      <c r="AF24" s="19"/>
      <c r="AG24" s="19"/>
      <c r="AH24" s="78">
        <v>584280</v>
      </c>
      <c r="AI24" s="76">
        <v>30</v>
      </c>
      <c r="AJ24" s="90">
        <v>888</v>
      </c>
      <c r="AK24" s="73">
        <v>1</v>
      </c>
      <c r="AL24" s="78">
        <v>52512</v>
      </c>
      <c r="AM24" s="87">
        <v>2</v>
      </c>
      <c r="AN24" s="78">
        <v>8931</v>
      </c>
      <c r="AO24" s="73">
        <v>0</v>
      </c>
      <c r="AP24" s="78">
        <v>10592</v>
      </c>
      <c r="AQ24" s="73">
        <v>1</v>
      </c>
      <c r="AR24" s="78">
        <v>14624</v>
      </c>
      <c r="AS24" s="73">
        <v>0</v>
      </c>
      <c r="AT24" s="78">
        <v>19369</v>
      </c>
      <c r="AU24" s="76">
        <v>0</v>
      </c>
      <c r="AV24" s="78">
        <v>20680</v>
      </c>
      <c r="AW24" s="81">
        <v>0</v>
      </c>
      <c r="AX24" s="78">
        <v>13872</v>
      </c>
      <c r="AY24" s="81">
        <v>0</v>
      </c>
      <c r="AZ24" s="78">
        <v>6225</v>
      </c>
      <c r="BA24" s="73">
        <v>0</v>
      </c>
      <c r="BB24" s="78">
        <v>26628</v>
      </c>
      <c r="BC24" s="73">
        <v>3</v>
      </c>
      <c r="BD24" s="78">
        <v>1115</v>
      </c>
      <c r="BE24" s="73">
        <v>0</v>
      </c>
      <c r="BF24" s="78">
        <v>4378</v>
      </c>
      <c r="BG24" s="73">
        <v>0</v>
      </c>
      <c r="BH24" s="78">
        <v>3636</v>
      </c>
      <c r="BI24" s="73">
        <v>0</v>
      </c>
      <c r="BJ24" s="81">
        <v>0</v>
      </c>
      <c r="BK24" s="81">
        <v>30</v>
      </c>
      <c r="BL24" s="78">
        <v>604840</v>
      </c>
      <c r="BM24" s="81">
        <v>39</v>
      </c>
      <c r="BN24" s="88">
        <v>781</v>
      </c>
      <c r="BO24" s="73">
        <v>0</v>
      </c>
      <c r="BP24" s="78">
        <v>785234</v>
      </c>
      <c r="BQ24" s="81">
        <v>42</v>
      </c>
      <c r="BR24" s="92">
        <v>8105</v>
      </c>
      <c r="BS24" s="81">
        <v>4</v>
      </c>
      <c r="BT24" s="91">
        <v>12</v>
      </c>
      <c r="BU24" s="81">
        <v>81</v>
      </c>
      <c r="BV24" s="93">
        <v>3</v>
      </c>
      <c r="BW24" s="78">
        <v>122</v>
      </c>
      <c r="BX24" s="94">
        <v>15128.057958131996</v>
      </c>
      <c r="BY24" s="99"/>
      <c r="BZ24" s="96">
        <v>0</v>
      </c>
      <c r="CA24" s="78">
        <v>207262</v>
      </c>
      <c r="CB24" s="81">
        <v>16</v>
      </c>
      <c r="CC24" s="91">
        <v>91.36</v>
      </c>
      <c r="CD24" s="78">
        <v>45</v>
      </c>
      <c r="CE24" s="100">
        <v>4848.75</v>
      </c>
      <c r="CF24" s="78">
        <v>44</v>
      </c>
      <c r="CG24" s="101">
        <v>4741</v>
      </c>
      <c r="CH24" s="78">
        <v>46</v>
      </c>
      <c r="CI24" s="102">
        <v>4956.5</v>
      </c>
      <c r="CJ24" s="103">
        <v>14546.25</v>
      </c>
      <c r="CK24" s="104">
        <v>107.75</v>
      </c>
      <c r="CL24" s="78"/>
      <c r="CM24" s="78">
        <v>34820</v>
      </c>
      <c r="CN24" s="81">
        <v>3</v>
      </c>
      <c r="CO24" s="91">
        <v>7.32</v>
      </c>
      <c r="CP24" s="78">
        <v>34300</v>
      </c>
      <c r="CQ24" s="81">
        <v>0</v>
      </c>
      <c r="CR24" s="91">
        <v>0</v>
      </c>
      <c r="CS24" s="78">
        <v>10235.6</v>
      </c>
      <c r="CT24" s="81">
        <v>0</v>
      </c>
      <c r="CU24" s="91">
        <v>0</v>
      </c>
      <c r="CV24" s="78">
        <v>832331</v>
      </c>
      <c r="CW24" s="81">
        <v>0</v>
      </c>
      <c r="CX24" s="91">
        <v>0</v>
      </c>
      <c r="CY24" s="78">
        <v>6204</v>
      </c>
      <c r="CZ24" s="81">
        <v>2</v>
      </c>
      <c r="DA24" s="91">
        <v>4.78</v>
      </c>
      <c r="DB24" s="78">
        <v>7420</v>
      </c>
      <c r="DC24" s="81">
        <v>0</v>
      </c>
      <c r="DD24" s="81">
        <v>0</v>
      </c>
      <c r="DE24" s="78">
        <v>4316</v>
      </c>
      <c r="DF24" s="81">
        <v>5</v>
      </c>
      <c r="DG24" s="81">
        <v>0</v>
      </c>
      <c r="DH24" s="78">
        <v>1855.9</v>
      </c>
      <c r="DI24" s="81">
        <v>0</v>
      </c>
      <c r="DJ24" s="81">
        <v>0</v>
      </c>
      <c r="DK24" s="78">
        <v>5081.7</v>
      </c>
      <c r="DL24" s="81">
        <v>0</v>
      </c>
      <c r="DM24" s="81">
        <v>0</v>
      </c>
      <c r="DN24" s="78">
        <v>4454.7</v>
      </c>
      <c r="DO24" s="81">
        <v>0</v>
      </c>
      <c r="DP24" s="81">
        <v>0</v>
      </c>
      <c r="DQ24" s="78">
        <v>5089.6000000000004</v>
      </c>
      <c r="DR24" s="81">
        <v>0</v>
      </c>
      <c r="DS24" s="81">
        <v>0</v>
      </c>
      <c r="DT24" s="78">
        <v>5146.8999999999996</v>
      </c>
      <c r="DU24" s="81">
        <v>11.299999999999272</v>
      </c>
      <c r="DV24" s="91">
        <v>27.006999999998264</v>
      </c>
      <c r="DW24" s="98">
        <v>12871</v>
      </c>
      <c r="DX24" s="91">
        <v>0</v>
      </c>
      <c r="DY24" s="98">
        <v>62789</v>
      </c>
      <c r="DZ24" s="91">
        <v>0</v>
      </c>
      <c r="EA24" s="109">
        <v>15588</v>
      </c>
      <c r="EB24" s="91">
        <v>0</v>
      </c>
      <c r="EC24" s="109">
        <v>24679</v>
      </c>
      <c r="ED24" s="91">
        <v>0</v>
      </c>
      <c r="EE24" s="109">
        <v>2</v>
      </c>
      <c r="EF24" s="110">
        <v>6</v>
      </c>
      <c r="EG24" s="108">
        <v>1.4999999999999999E-2</v>
      </c>
      <c r="EH24" s="112"/>
      <c r="EI24" s="58"/>
      <c r="EJ24" s="58"/>
      <c r="EK24"/>
      <c r="EL24"/>
      <c r="EM24"/>
    </row>
    <row r="25" spans="1:144" s="20" customFormat="1" ht="15" x14ac:dyDescent="0.2">
      <c r="A25" s="71">
        <v>44430</v>
      </c>
      <c r="B25" s="78">
        <v>7506544</v>
      </c>
      <c r="C25" s="73">
        <v>5879</v>
      </c>
      <c r="D25" s="78">
        <v>6694521</v>
      </c>
      <c r="E25" s="73">
        <v>5414</v>
      </c>
      <c r="F25" s="22">
        <v>0.92090491580200717</v>
      </c>
      <c r="G25" s="74">
        <v>368</v>
      </c>
      <c r="H25" s="74">
        <v>364</v>
      </c>
      <c r="I25" s="75">
        <v>289139</v>
      </c>
      <c r="J25" s="76">
        <v>0</v>
      </c>
      <c r="K25" s="77">
        <v>792</v>
      </c>
      <c r="L25" s="73">
        <v>0</v>
      </c>
      <c r="M25" s="78">
        <v>636643</v>
      </c>
      <c r="N25" s="73">
        <v>0</v>
      </c>
      <c r="O25" s="78">
        <v>1012</v>
      </c>
      <c r="P25" s="76">
        <v>0</v>
      </c>
      <c r="Q25" s="78">
        <v>2561735</v>
      </c>
      <c r="R25" s="76">
        <v>52</v>
      </c>
      <c r="S25" s="78">
        <v>2193064</v>
      </c>
      <c r="T25" s="76">
        <v>2</v>
      </c>
      <c r="U25" s="78">
        <v>118875</v>
      </c>
      <c r="V25" s="76">
        <v>68</v>
      </c>
      <c r="W25" s="86">
        <v>50</v>
      </c>
      <c r="X25" s="78">
        <v>152641</v>
      </c>
      <c r="Y25" s="76">
        <v>0</v>
      </c>
      <c r="Z25" s="74">
        <v>40723</v>
      </c>
      <c r="AA25" s="81">
        <v>6</v>
      </c>
      <c r="AB25" s="78">
        <v>1142</v>
      </c>
      <c r="AC25" s="82">
        <v>0</v>
      </c>
      <c r="AD25" s="78">
        <v>4605</v>
      </c>
      <c r="AE25" s="83">
        <v>0</v>
      </c>
      <c r="AF25" s="19"/>
      <c r="AG25" s="19"/>
      <c r="AH25" s="78">
        <v>584300</v>
      </c>
      <c r="AI25" s="76">
        <v>20</v>
      </c>
      <c r="AJ25" s="90">
        <v>890</v>
      </c>
      <c r="AK25" s="73">
        <v>2</v>
      </c>
      <c r="AL25" s="78">
        <v>52512</v>
      </c>
      <c r="AM25" s="87">
        <v>0</v>
      </c>
      <c r="AN25" s="78">
        <v>8931</v>
      </c>
      <c r="AO25" s="73">
        <v>0</v>
      </c>
      <c r="AP25" s="78">
        <v>10592</v>
      </c>
      <c r="AQ25" s="76">
        <v>0</v>
      </c>
      <c r="AR25" s="78">
        <v>14624</v>
      </c>
      <c r="AS25" s="73">
        <v>0</v>
      </c>
      <c r="AT25" s="78">
        <v>19369</v>
      </c>
      <c r="AU25" s="76">
        <v>0</v>
      </c>
      <c r="AV25" s="78">
        <v>20680</v>
      </c>
      <c r="AW25" s="81">
        <v>0</v>
      </c>
      <c r="AX25" s="78">
        <v>13872</v>
      </c>
      <c r="AY25" s="91">
        <v>0</v>
      </c>
      <c r="AZ25" s="78">
        <v>6225</v>
      </c>
      <c r="BA25" s="73">
        <v>0</v>
      </c>
      <c r="BB25" s="78">
        <v>26628</v>
      </c>
      <c r="BC25" s="73">
        <v>0</v>
      </c>
      <c r="BD25" s="78">
        <v>1115</v>
      </c>
      <c r="BE25" s="73">
        <v>0</v>
      </c>
      <c r="BF25" s="78">
        <v>4378</v>
      </c>
      <c r="BG25" s="73">
        <v>0</v>
      </c>
      <c r="BH25" s="78">
        <v>3636</v>
      </c>
      <c r="BI25" s="73">
        <v>0</v>
      </c>
      <c r="BJ25" s="81">
        <v>0</v>
      </c>
      <c r="BK25" s="81">
        <v>20</v>
      </c>
      <c r="BL25" s="78">
        <v>604880</v>
      </c>
      <c r="BM25" s="81">
        <v>40</v>
      </c>
      <c r="BN25" s="88">
        <v>782</v>
      </c>
      <c r="BO25" s="73">
        <v>1</v>
      </c>
      <c r="BP25" s="78">
        <v>785270</v>
      </c>
      <c r="BQ25" s="81">
        <v>36</v>
      </c>
      <c r="BR25" s="92">
        <v>8124</v>
      </c>
      <c r="BS25" s="81">
        <v>19</v>
      </c>
      <c r="BT25" s="91">
        <v>16</v>
      </c>
      <c r="BU25" s="81">
        <v>76</v>
      </c>
      <c r="BV25" s="93">
        <v>0</v>
      </c>
      <c r="BW25" s="78">
        <v>122</v>
      </c>
      <c r="BX25" s="94">
        <v>15128.057958131996</v>
      </c>
      <c r="BY25" s="99"/>
      <c r="BZ25" s="96">
        <v>0</v>
      </c>
      <c r="CA25" s="78">
        <v>207276</v>
      </c>
      <c r="CB25" s="81">
        <v>14</v>
      </c>
      <c r="CC25" s="91">
        <v>79.94</v>
      </c>
      <c r="CD25" s="78">
        <v>44</v>
      </c>
      <c r="CE25" s="100">
        <v>4741</v>
      </c>
      <c r="CF25" s="78">
        <v>43</v>
      </c>
      <c r="CG25" s="101">
        <v>4633.25</v>
      </c>
      <c r="CH25" s="78">
        <v>46</v>
      </c>
      <c r="CI25" s="102">
        <v>4956.5</v>
      </c>
      <c r="CJ25" s="103">
        <v>14330.75</v>
      </c>
      <c r="CK25" s="104">
        <v>215.5</v>
      </c>
      <c r="CL25" s="78"/>
      <c r="CM25" s="78">
        <v>34822</v>
      </c>
      <c r="CN25" s="81">
        <v>2</v>
      </c>
      <c r="CO25" s="91">
        <v>4.88</v>
      </c>
      <c r="CP25" s="78">
        <v>34300</v>
      </c>
      <c r="CQ25" s="81"/>
      <c r="CR25" s="91">
        <v>0</v>
      </c>
      <c r="CS25" s="78">
        <v>10235.6</v>
      </c>
      <c r="CT25" s="81">
        <v>0</v>
      </c>
      <c r="CU25" s="91">
        <v>0</v>
      </c>
      <c r="CV25" s="78">
        <v>832331</v>
      </c>
      <c r="CW25" s="81">
        <v>0</v>
      </c>
      <c r="CX25" s="91">
        <v>0</v>
      </c>
      <c r="CY25" s="78">
        <v>6206</v>
      </c>
      <c r="CZ25" s="81">
        <v>2</v>
      </c>
      <c r="DA25" s="91">
        <v>4.78</v>
      </c>
      <c r="DB25" s="78">
        <v>7420</v>
      </c>
      <c r="DC25" s="81">
        <v>0</v>
      </c>
      <c r="DD25" s="81">
        <v>0</v>
      </c>
      <c r="DE25" s="78">
        <v>4321</v>
      </c>
      <c r="DF25" s="81">
        <v>5</v>
      </c>
      <c r="DG25" s="81">
        <v>0</v>
      </c>
      <c r="DH25" s="78">
        <v>1855.9</v>
      </c>
      <c r="DI25" s="81">
        <v>0</v>
      </c>
      <c r="DJ25" s="81">
        <v>0</v>
      </c>
      <c r="DK25" s="78">
        <v>5081.7</v>
      </c>
      <c r="DL25" s="81"/>
      <c r="DM25" s="81">
        <v>0</v>
      </c>
      <c r="DN25" s="78">
        <v>4454.7</v>
      </c>
      <c r="DO25" s="81">
        <v>0</v>
      </c>
      <c r="DP25" s="81">
        <v>0</v>
      </c>
      <c r="DQ25" s="78">
        <v>5089.6000000000004</v>
      </c>
      <c r="DR25" s="81">
        <v>0</v>
      </c>
      <c r="DS25" s="81">
        <v>0</v>
      </c>
      <c r="DT25" s="78">
        <v>5154.7</v>
      </c>
      <c r="DU25" s="81">
        <v>7.8000000000001819</v>
      </c>
      <c r="DV25" s="91">
        <v>18.642000000000436</v>
      </c>
      <c r="DW25" s="98">
        <v>12871</v>
      </c>
      <c r="DX25" s="91">
        <v>0</v>
      </c>
      <c r="DY25" s="98">
        <v>62789</v>
      </c>
      <c r="DZ25" s="91">
        <v>0</v>
      </c>
      <c r="EA25" s="109">
        <v>15588</v>
      </c>
      <c r="EB25" s="91">
        <v>0</v>
      </c>
      <c r="EC25" s="109">
        <v>24679</v>
      </c>
      <c r="ED25" s="91">
        <v>0</v>
      </c>
      <c r="EE25" s="109">
        <v>2</v>
      </c>
      <c r="EF25" s="110">
        <v>6</v>
      </c>
      <c r="EG25" s="108">
        <v>1.4999999999999999E-2</v>
      </c>
      <c r="EH25" s="112"/>
      <c r="EI25" s="58"/>
      <c r="EJ25" s="58"/>
      <c r="EK25"/>
      <c r="EL25"/>
      <c r="EM25"/>
    </row>
    <row r="26" spans="1:144" s="20" customFormat="1" ht="15" x14ac:dyDescent="0.2">
      <c r="A26" s="71">
        <v>44431</v>
      </c>
      <c r="B26" s="78">
        <v>7512728</v>
      </c>
      <c r="C26" s="73">
        <v>6184</v>
      </c>
      <c r="D26" s="78">
        <v>6700233</v>
      </c>
      <c r="E26" s="73">
        <v>5712</v>
      </c>
      <c r="F26" s="22">
        <v>0.92367399741267786</v>
      </c>
      <c r="G26" s="74">
        <v>368</v>
      </c>
      <c r="H26" s="74">
        <v>364</v>
      </c>
      <c r="I26" s="75">
        <v>289139</v>
      </c>
      <c r="J26" s="76">
        <v>0</v>
      </c>
      <c r="K26" s="77">
        <v>792</v>
      </c>
      <c r="L26" s="73">
        <v>0</v>
      </c>
      <c r="M26" s="78">
        <v>636643</v>
      </c>
      <c r="N26" s="73">
        <v>0</v>
      </c>
      <c r="O26" s="78">
        <v>1012</v>
      </c>
      <c r="P26" s="76">
        <v>0</v>
      </c>
      <c r="Q26" s="78">
        <v>2561915</v>
      </c>
      <c r="R26" s="76">
        <v>180</v>
      </c>
      <c r="S26" s="78">
        <v>2193067</v>
      </c>
      <c r="T26" s="76">
        <v>3</v>
      </c>
      <c r="U26" s="78">
        <v>118960</v>
      </c>
      <c r="V26" s="76">
        <v>85</v>
      </c>
      <c r="W26" s="86">
        <v>50</v>
      </c>
      <c r="X26" s="78">
        <v>152641</v>
      </c>
      <c r="Y26" s="122">
        <v>0</v>
      </c>
      <c r="Z26" s="74">
        <v>40733</v>
      </c>
      <c r="AA26" s="81">
        <v>10</v>
      </c>
      <c r="AB26" s="78">
        <v>1142</v>
      </c>
      <c r="AC26" s="82">
        <v>0</v>
      </c>
      <c r="AD26" s="78">
        <v>4605</v>
      </c>
      <c r="AE26" s="83">
        <v>0</v>
      </c>
      <c r="AF26" s="19"/>
      <c r="AG26" s="19"/>
      <c r="AH26" s="78">
        <v>584330</v>
      </c>
      <c r="AI26" s="76">
        <v>30</v>
      </c>
      <c r="AJ26" s="90">
        <v>891</v>
      </c>
      <c r="AK26" s="73">
        <v>1</v>
      </c>
      <c r="AL26" s="78">
        <v>52513</v>
      </c>
      <c r="AM26" s="87">
        <v>1</v>
      </c>
      <c r="AN26" s="78">
        <v>8931</v>
      </c>
      <c r="AO26" s="73">
        <v>0</v>
      </c>
      <c r="AP26" s="78">
        <v>10593</v>
      </c>
      <c r="AQ26" s="76">
        <v>1</v>
      </c>
      <c r="AR26" s="78">
        <v>14624</v>
      </c>
      <c r="AS26" s="73">
        <v>0</v>
      </c>
      <c r="AT26" s="78">
        <v>19369</v>
      </c>
      <c r="AU26" s="76">
        <v>0</v>
      </c>
      <c r="AV26" s="78">
        <v>20680</v>
      </c>
      <c r="AW26" s="81">
        <v>0</v>
      </c>
      <c r="AX26" s="78">
        <v>13872</v>
      </c>
      <c r="AY26" s="91">
        <v>0</v>
      </c>
      <c r="AZ26" s="78">
        <v>6225</v>
      </c>
      <c r="BA26" s="73">
        <v>0</v>
      </c>
      <c r="BB26" s="78">
        <v>26630</v>
      </c>
      <c r="BC26" s="73">
        <v>2</v>
      </c>
      <c r="BD26" s="78">
        <v>1115</v>
      </c>
      <c r="BE26" s="73">
        <v>0</v>
      </c>
      <c r="BF26" s="78">
        <v>4378</v>
      </c>
      <c r="BG26" s="73">
        <v>0</v>
      </c>
      <c r="BH26" s="78">
        <v>3636</v>
      </c>
      <c r="BI26" s="73">
        <v>0</v>
      </c>
      <c r="BJ26" s="81">
        <v>0</v>
      </c>
      <c r="BK26" s="81">
        <v>30</v>
      </c>
      <c r="BL26" s="78">
        <v>604920</v>
      </c>
      <c r="BM26" s="81">
        <v>40</v>
      </c>
      <c r="BN26" s="88">
        <v>782</v>
      </c>
      <c r="BO26" s="73">
        <v>0</v>
      </c>
      <c r="BP26" s="78">
        <v>785330</v>
      </c>
      <c r="BQ26" s="81">
        <v>60</v>
      </c>
      <c r="BR26" s="92">
        <v>8124</v>
      </c>
      <c r="BS26" s="81">
        <v>0</v>
      </c>
      <c r="BT26" s="91">
        <v>30</v>
      </c>
      <c r="BU26" s="81">
        <v>100</v>
      </c>
      <c r="BV26" s="93">
        <v>2</v>
      </c>
      <c r="BW26" s="78">
        <v>122</v>
      </c>
      <c r="BX26" s="94">
        <v>15128.057958131996</v>
      </c>
      <c r="BY26" s="99"/>
      <c r="BZ26" s="96">
        <v>0</v>
      </c>
      <c r="CA26" s="78">
        <v>207297</v>
      </c>
      <c r="CB26" s="81">
        <v>21</v>
      </c>
      <c r="CC26" s="91">
        <v>119.91</v>
      </c>
      <c r="CD26" s="78">
        <v>44</v>
      </c>
      <c r="CE26" s="100">
        <v>4741</v>
      </c>
      <c r="CF26" s="78">
        <v>43</v>
      </c>
      <c r="CG26" s="101">
        <v>4633.25</v>
      </c>
      <c r="CH26" s="78">
        <v>45</v>
      </c>
      <c r="CI26" s="102">
        <v>4848.75</v>
      </c>
      <c r="CJ26" s="103">
        <v>14223</v>
      </c>
      <c r="CK26" s="104">
        <v>107.75</v>
      </c>
      <c r="CL26" s="78"/>
      <c r="CM26" s="78">
        <v>34825</v>
      </c>
      <c r="CN26" s="81">
        <v>3</v>
      </c>
      <c r="CO26" s="91">
        <v>7.32</v>
      </c>
      <c r="CP26" s="78">
        <v>34300</v>
      </c>
      <c r="CQ26" s="81">
        <v>0</v>
      </c>
      <c r="CR26" s="91">
        <v>0</v>
      </c>
      <c r="CS26" s="78">
        <v>10235.6</v>
      </c>
      <c r="CT26" s="81">
        <v>0</v>
      </c>
      <c r="CU26" s="91">
        <v>0</v>
      </c>
      <c r="CV26" s="78">
        <v>832331</v>
      </c>
      <c r="CW26" s="81">
        <v>0</v>
      </c>
      <c r="CX26" s="91">
        <v>0</v>
      </c>
      <c r="CY26" s="78">
        <v>6209</v>
      </c>
      <c r="CZ26" s="81">
        <v>3</v>
      </c>
      <c r="DA26" s="91">
        <v>7.17</v>
      </c>
      <c r="DB26" s="78">
        <v>7420</v>
      </c>
      <c r="DC26" s="81">
        <v>0</v>
      </c>
      <c r="DD26" s="81">
        <v>0</v>
      </c>
      <c r="DE26" s="78">
        <v>4327</v>
      </c>
      <c r="DF26" s="81">
        <v>6</v>
      </c>
      <c r="DG26" s="81">
        <v>1</v>
      </c>
      <c r="DH26" s="78">
        <v>1855.9</v>
      </c>
      <c r="DI26" s="81">
        <v>0</v>
      </c>
      <c r="DJ26" s="81">
        <v>0</v>
      </c>
      <c r="DK26" s="78">
        <v>5081.7</v>
      </c>
      <c r="DL26" s="81">
        <v>0</v>
      </c>
      <c r="DM26" s="81">
        <v>0</v>
      </c>
      <c r="DN26" s="78">
        <v>4454.7</v>
      </c>
      <c r="DO26" s="81">
        <v>0</v>
      </c>
      <c r="DP26" s="81">
        <v>0</v>
      </c>
      <c r="DQ26" s="78">
        <v>5092.3</v>
      </c>
      <c r="DR26" s="81">
        <v>2.6999999999998181</v>
      </c>
      <c r="DS26" s="81">
        <v>2.6999999999998181</v>
      </c>
      <c r="DT26" s="78">
        <v>5162.3</v>
      </c>
      <c r="DU26" s="81">
        <v>7.6000000000003638</v>
      </c>
      <c r="DV26" s="91">
        <v>18.164000000000872</v>
      </c>
      <c r="DW26" s="98">
        <v>12871</v>
      </c>
      <c r="DX26" s="91">
        <v>0</v>
      </c>
      <c r="DY26" s="98">
        <v>62789</v>
      </c>
      <c r="DZ26" s="91">
        <v>0</v>
      </c>
      <c r="EA26" s="109">
        <v>15588</v>
      </c>
      <c r="EB26" s="91">
        <v>0</v>
      </c>
      <c r="EC26" s="109">
        <v>24679</v>
      </c>
      <c r="ED26" s="91">
        <v>0</v>
      </c>
      <c r="EE26" s="109">
        <v>2</v>
      </c>
      <c r="EF26" s="110">
        <v>6</v>
      </c>
      <c r="EG26" s="108">
        <v>1.4999999999999999E-2</v>
      </c>
      <c r="EH26" s="112"/>
      <c r="EI26" s="58"/>
      <c r="EJ26" s="58"/>
      <c r="EK26"/>
      <c r="EL26"/>
      <c r="EM26"/>
    </row>
    <row r="27" spans="1:144" s="20" customFormat="1" ht="15" x14ac:dyDescent="0.2">
      <c r="A27" s="71">
        <v>44432</v>
      </c>
      <c r="B27" s="78">
        <v>7518688</v>
      </c>
      <c r="C27" s="73">
        <v>5960</v>
      </c>
      <c r="D27" s="78">
        <v>6705734</v>
      </c>
      <c r="E27" s="73">
        <v>5501</v>
      </c>
      <c r="F27" s="22">
        <v>0.92298657718120802</v>
      </c>
      <c r="G27" s="74">
        <v>368</v>
      </c>
      <c r="H27" s="74">
        <v>364</v>
      </c>
      <c r="I27" s="75">
        <v>289139</v>
      </c>
      <c r="J27" s="76">
        <v>0</v>
      </c>
      <c r="K27" s="77">
        <v>792</v>
      </c>
      <c r="L27" s="73">
        <v>0</v>
      </c>
      <c r="M27" s="78">
        <v>636643</v>
      </c>
      <c r="N27" s="73">
        <v>0</v>
      </c>
      <c r="O27" s="78">
        <v>1012</v>
      </c>
      <c r="P27" s="76">
        <v>0</v>
      </c>
      <c r="Q27" s="78">
        <v>2562082</v>
      </c>
      <c r="R27" s="76">
        <v>167</v>
      </c>
      <c r="S27" s="78">
        <v>2193070</v>
      </c>
      <c r="T27" s="76">
        <v>3</v>
      </c>
      <c r="U27" s="78">
        <v>118995</v>
      </c>
      <c r="V27" s="76">
        <v>35</v>
      </c>
      <c r="W27" s="86">
        <v>90</v>
      </c>
      <c r="X27" s="86">
        <v>152641</v>
      </c>
      <c r="Y27" s="119">
        <v>0</v>
      </c>
      <c r="Z27" s="118">
        <v>40744</v>
      </c>
      <c r="AA27" s="81">
        <v>11</v>
      </c>
      <c r="AB27" s="78">
        <v>1143</v>
      </c>
      <c r="AC27" s="82">
        <v>1</v>
      </c>
      <c r="AD27" s="78">
        <v>4605</v>
      </c>
      <c r="AE27" s="83">
        <v>0</v>
      </c>
      <c r="AF27" s="19"/>
      <c r="AG27" s="19"/>
      <c r="AH27" s="78">
        <v>584370</v>
      </c>
      <c r="AI27" s="76">
        <v>40</v>
      </c>
      <c r="AJ27" s="19">
        <v>894</v>
      </c>
      <c r="AK27" s="73">
        <v>3</v>
      </c>
      <c r="AL27" s="78">
        <v>52515</v>
      </c>
      <c r="AM27" s="87">
        <v>2</v>
      </c>
      <c r="AN27" s="78">
        <v>8931</v>
      </c>
      <c r="AO27" s="73">
        <v>0</v>
      </c>
      <c r="AP27" s="78">
        <v>10593</v>
      </c>
      <c r="AQ27" s="76">
        <v>0</v>
      </c>
      <c r="AR27" s="78">
        <v>14624</v>
      </c>
      <c r="AS27" s="73">
        <v>0</v>
      </c>
      <c r="AT27" s="78">
        <v>19369</v>
      </c>
      <c r="AU27" s="76">
        <v>0</v>
      </c>
      <c r="AV27" s="78">
        <v>20680</v>
      </c>
      <c r="AW27" s="81">
        <v>0</v>
      </c>
      <c r="AX27" s="78">
        <v>13872</v>
      </c>
      <c r="AY27" s="91">
        <v>0</v>
      </c>
      <c r="AZ27" s="78">
        <v>6225</v>
      </c>
      <c r="BA27" s="73">
        <v>0</v>
      </c>
      <c r="BB27" s="78">
        <v>26632</v>
      </c>
      <c r="BC27" s="73">
        <v>2</v>
      </c>
      <c r="BD27" s="78">
        <v>1115</v>
      </c>
      <c r="BE27" s="73">
        <v>0</v>
      </c>
      <c r="BF27" s="78">
        <v>4378</v>
      </c>
      <c r="BG27" s="73">
        <v>0</v>
      </c>
      <c r="BH27" s="78">
        <v>3636</v>
      </c>
      <c r="BI27" s="73">
        <v>0</v>
      </c>
      <c r="BJ27" s="81">
        <v>0</v>
      </c>
      <c r="BK27" s="81">
        <v>40</v>
      </c>
      <c r="BL27" s="78">
        <v>604960</v>
      </c>
      <c r="BM27" s="81">
        <v>40</v>
      </c>
      <c r="BN27" s="88">
        <v>782</v>
      </c>
      <c r="BO27" s="73">
        <v>0</v>
      </c>
      <c r="BP27" s="78">
        <v>785380</v>
      </c>
      <c r="BQ27" s="81">
        <v>50</v>
      </c>
      <c r="BR27" s="92">
        <v>8179</v>
      </c>
      <c r="BS27" s="81">
        <v>55</v>
      </c>
      <c r="BT27" s="91">
        <v>10</v>
      </c>
      <c r="BU27" s="81">
        <v>90</v>
      </c>
      <c r="BV27" s="93">
        <v>2</v>
      </c>
      <c r="BW27" s="78">
        <v>122</v>
      </c>
      <c r="BX27" s="94">
        <v>15128.057958131996</v>
      </c>
      <c r="BY27" s="99"/>
      <c r="BZ27" s="96">
        <v>0</v>
      </c>
      <c r="CA27" s="78">
        <v>207321</v>
      </c>
      <c r="CB27" s="81">
        <v>24</v>
      </c>
      <c r="CC27" s="91">
        <v>137.04</v>
      </c>
      <c r="CD27" s="78">
        <v>44</v>
      </c>
      <c r="CE27" s="100">
        <v>4741</v>
      </c>
      <c r="CF27" s="78">
        <v>43</v>
      </c>
      <c r="CG27" s="101">
        <v>4633.25</v>
      </c>
      <c r="CH27" s="78">
        <v>45</v>
      </c>
      <c r="CI27" s="102">
        <v>4848.75</v>
      </c>
      <c r="CJ27" s="103">
        <v>14223</v>
      </c>
      <c r="CK27" s="104">
        <v>0</v>
      </c>
      <c r="CL27" s="78"/>
      <c r="CM27" s="78">
        <v>34828</v>
      </c>
      <c r="CN27" s="81">
        <v>3</v>
      </c>
      <c r="CO27" s="91">
        <v>7.32</v>
      </c>
      <c r="CP27" s="78">
        <v>34300</v>
      </c>
      <c r="CQ27" s="81">
        <v>0</v>
      </c>
      <c r="CR27" s="91">
        <v>0</v>
      </c>
      <c r="CS27" s="78">
        <v>10235.6</v>
      </c>
      <c r="CT27" s="81">
        <v>0</v>
      </c>
      <c r="CU27" s="91">
        <v>0</v>
      </c>
      <c r="CV27" s="78">
        <v>832331</v>
      </c>
      <c r="CW27" s="81">
        <v>0</v>
      </c>
      <c r="CX27" s="91">
        <v>0</v>
      </c>
      <c r="CY27" s="78">
        <v>6212</v>
      </c>
      <c r="CZ27" s="81">
        <v>3</v>
      </c>
      <c r="DA27" s="91">
        <v>7.17</v>
      </c>
      <c r="DB27" s="78">
        <v>7420</v>
      </c>
      <c r="DC27" s="81">
        <v>0</v>
      </c>
      <c r="DD27" s="81">
        <v>0</v>
      </c>
      <c r="DE27" s="78">
        <v>4331</v>
      </c>
      <c r="DF27" s="81">
        <v>4</v>
      </c>
      <c r="DG27" s="81">
        <v>40</v>
      </c>
      <c r="DH27" s="78">
        <v>1855.9</v>
      </c>
      <c r="DI27" s="81">
        <v>0</v>
      </c>
      <c r="DJ27" s="81">
        <v>0</v>
      </c>
      <c r="DK27" s="78">
        <v>5081.7</v>
      </c>
      <c r="DL27" s="81">
        <v>0</v>
      </c>
      <c r="DM27" s="81">
        <v>0</v>
      </c>
      <c r="DN27" s="78">
        <v>4454.7</v>
      </c>
      <c r="DO27" s="81">
        <v>0</v>
      </c>
      <c r="DP27" s="81">
        <v>0</v>
      </c>
      <c r="DQ27" s="78">
        <v>5098.2</v>
      </c>
      <c r="DR27" s="81">
        <v>5.8999999999996362</v>
      </c>
      <c r="DS27" s="81">
        <v>3.1999999999998181</v>
      </c>
      <c r="DT27" s="78">
        <v>5170.2</v>
      </c>
      <c r="DU27" s="81">
        <v>7.8999999999996362</v>
      </c>
      <c r="DV27" s="81">
        <v>18.88099999999913</v>
      </c>
      <c r="DW27" s="78">
        <v>12871</v>
      </c>
      <c r="DX27" s="81">
        <v>0</v>
      </c>
      <c r="DY27" s="98">
        <v>62789</v>
      </c>
      <c r="DZ27" s="91">
        <v>0</v>
      </c>
      <c r="EA27" s="109">
        <v>15588</v>
      </c>
      <c r="EB27" s="91">
        <v>0</v>
      </c>
      <c r="EC27" s="109">
        <v>24679</v>
      </c>
      <c r="ED27" s="91">
        <v>0</v>
      </c>
      <c r="EE27" s="109">
        <v>2</v>
      </c>
      <c r="EF27" s="109">
        <v>6</v>
      </c>
      <c r="EG27" s="108">
        <v>1.4999999999999999E-2</v>
      </c>
      <c r="EH27" s="109"/>
      <c r="EI27" s="110"/>
      <c r="EJ27" s="108"/>
      <c r="EK27"/>
      <c r="EL27"/>
      <c r="EM27"/>
    </row>
    <row r="28" spans="1:144" s="20" customFormat="1" ht="15" x14ac:dyDescent="0.2">
      <c r="A28" s="71">
        <v>44433</v>
      </c>
      <c r="B28" s="78">
        <v>7525464</v>
      </c>
      <c r="C28" s="73">
        <v>6776</v>
      </c>
      <c r="D28" s="78">
        <v>6711880</v>
      </c>
      <c r="E28" s="73">
        <v>6146</v>
      </c>
      <c r="F28" s="22">
        <v>0.90702479338842978</v>
      </c>
      <c r="G28" s="74">
        <v>368</v>
      </c>
      <c r="H28" s="74">
        <v>364</v>
      </c>
      <c r="I28" s="75">
        <v>289139</v>
      </c>
      <c r="J28" s="76">
        <v>0</v>
      </c>
      <c r="K28" s="77">
        <v>792</v>
      </c>
      <c r="L28" s="73">
        <v>0</v>
      </c>
      <c r="M28" s="78">
        <v>636643</v>
      </c>
      <c r="N28" s="73">
        <v>0</v>
      </c>
      <c r="O28" s="78">
        <v>1012</v>
      </c>
      <c r="P28" s="76">
        <v>0</v>
      </c>
      <c r="Q28" s="78">
        <v>2562235</v>
      </c>
      <c r="R28" s="76">
        <v>153</v>
      </c>
      <c r="S28" s="78">
        <v>2193074</v>
      </c>
      <c r="T28" s="76">
        <v>4</v>
      </c>
      <c r="U28" s="78">
        <v>118999</v>
      </c>
      <c r="V28" s="76">
        <v>4</v>
      </c>
      <c r="W28" s="86">
        <v>75</v>
      </c>
      <c r="X28" s="86">
        <v>152641</v>
      </c>
      <c r="Y28" s="120">
        <v>0</v>
      </c>
      <c r="Z28" s="77">
        <v>40760</v>
      </c>
      <c r="AA28" s="81">
        <v>16</v>
      </c>
      <c r="AB28" s="78">
        <v>1143</v>
      </c>
      <c r="AC28" s="82">
        <v>0</v>
      </c>
      <c r="AD28" s="78">
        <v>4605</v>
      </c>
      <c r="AE28" s="83">
        <v>0</v>
      </c>
      <c r="AF28" s="19"/>
      <c r="AG28" s="19"/>
      <c r="AH28" s="78">
        <v>584410</v>
      </c>
      <c r="AI28" s="76">
        <v>40</v>
      </c>
      <c r="AJ28" s="19">
        <v>898</v>
      </c>
      <c r="AK28" s="73">
        <v>4</v>
      </c>
      <c r="AL28" s="78">
        <v>52517</v>
      </c>
      <c r="AM28" s="87">
        <v>2</v>
      </c>
      <c r="AN28" s="78">
        <v>8937</v>
      </c>
      <c r="AO28" s="73">
        <v>6</v>
      </c>
      <c r="AP28" s="78">
        <v>10594</v>
      </c>
      <c r="AQ28" s="76">
        <v>1</v>
      </c>
      <c r="AR28" s="78">
        <v>14624</v>
      </c>
      <c r="AS28" s="73">
        <v>0</v>
      </c>
      <c r="AT28" s="78">
        <v>19369</v>
      </c>
      <c r="AU28" s="76">
        <v>0</v>
      </c>
      <c r="AV28" s="78">
        <v>20680</v>
      </c>
      <c r="AW28" s="81">
        <v>0</v>
      </c>
      <c r="AX28" s="78">
        <v>13872</v>
      </c>
      <c r="AY28" s="91">
        <v>0</v>
      </c>
      <c r="AZ28" s="78">
        <v>6225</v>
      </c>
      <c r="BA28" s="73">
        <v>0</v>
      </c>
      <c r="BB28" s="78">
        <v>26635</v>
      </c>
      <c r="BC28" s="73">
        <v>3</v>
      </c>
      <c r="BD28" s="78">
        <v>1115</v>
      </c>
      <c r="BE28" s="73">
        <v>0</v>
      </c>
      <c r="BF28" s="78">
        <v>4378</v>
      </c>
      <c r="BG28" s="73">
        <v>0</v>
      </c>
      <c r="BH28" s="78">
        <v>3636</v>
      </c>
      <c r="BI28" s="73">
        <v>0</v>
      </c>
      <c r="BJ28" s="81">
        <v>0</v>
      </c>
      <c r="BK28" s="81">
        <v>40</v>
      </c>
      <c r="BL28" s="78">
        <v>605040</v>
      </c>
      <c r="BM28" s="81">
        <v>80</v>
      </c>
      <c r="BN28" s="88">
        <v>782</v>
      </c>
      <c r="BO28" s="73">
        <v>0</v>
      </c>
      <c r="BP28" s="78">
        <v>785450</v>
      </c>
      <c r="BQ28" s="81">
        <v>70</v>
      </c>
      <c r="BR28" s="92">
        <v>8179</v>
      </c>
      <c r="BS28" s="81">
        <v>0</v>
      </c>
      <c r="BT28" s="91">
        <v>30</v>
      </c>
      <c r="BU28" s="81">
        <v>150</v>
      </c>
      <c r="BV28" s="93">
        <v>9</v>
      </c>
      <c r="BW28" s="78">
        <v>122</v>
      </c>
      <c r="BX28" s="94">
        <v>15128.057958131996</v>
      </c>
      <c r="BY28" s="99"/>
      <c r="BZ28" s="96">
        <v>0</v>
      </c>
      <c r="CA28" s="78">
        <v>207347</v>
      </c>
      <c r="CB28" s="81">
        <v>26</v>
      </c>
      <c r="CC28" s="91">
        <v>148.46</v>
      </c>
      <c r="CD28" s="78">
        <v>43</v>
      </c>
      <c r="CE28" s="100">
        <v>4633.25</v>
      </c>
      <c r="CF28" s="78">
        <v>43</v>
      </c>
      <c r="CG28" s="101">
        <v>4633.25</v>
      </c>
      <c r="CH28" s="78">
        <v>44</v>
      </c>
      <c r="CI28" s="102">
        <v>4741</v>
      </c>
      <c r="CJ28" s="103">
        <v>14007.5</v>
      </c>
      <c r="CK28" s="104">
        <v>215.5</v>
      </c>
      <c r="CL28" s="78"/>
      <c r="CM28" s="78">
        <v>34832</v>
      </c>
      <c r="CN28" s="81">
        <v>4</v>
      </c>
      <c r="CO28" s="91">
        <v>9.76</v>
      </c>
      <c r="CP28" s="78">
        <v>34300</v>
      </c>
      <c r="CQ28" s="81">
        <v>0</v>
      </c>
      <c r="CR28" s="91">
        <v>0</v>
      </c>
      <c r="CS28" s="78">
        <v>10235.6</v>
      </c>
      <c r="CT28" s="81">
        <v>0</v>
      </c>
      <c r="CU28" s="91">
        <v>0</v>
      </c>
      <c r="CV28" s="78">
        <v>832331</v>
      </c>
      <c r="CW28" s="81">
        <v>0</v>
      </c>
      <c r="CX28" s="91">
        <v>0</v>
      </c>
      <c r="CY28" s="78">
        <v>6215</v>
      </c>
      <c r="CZ28" s="81">
        <v>3</v>
      </c>
      <c r="DA28" s="91">
        <v>7.17</v>
      </c>
      <c r="DB28" s="78">
        <v>7420</v>
      </c>
      <c r="DC28" s="81">
        <v>0</v>
      </c>
      <c r="DD28" s="81">
        <v>0</v>
      </c>
      <c r="DE28" s="78">
        <v>4337</v>
      </c>
      <c r="DF28" s="81">
        <v>6</v>
      </c>
      <c r="DG28" s="81">
        <v>2</v>
      </c>
      <c r="DH28" s="78">
        <v>1855.9</v>
      </c>
      <c r="DI28" s="81">
        <v>0</v>
      </c>
      <c r="DJ28" s="81">
        <v>0</v>
      </c>
      <c r="DK28" s="78">
        <v>5081.7</v>
      </c>
      <c r="DL28" s="81">
        <v>0</v>
      </c>
      <c r="DM28" s="81">
        <v>0</v>
      </c>
      <c r="DN28" s="78">
        <v>4454.7</v>
      </c>
      <c r="DO28" s="81">
        <v>0</v>
      </c>
      <c r="DP28" s="81">
        <v>0</v>
      </c>
      <c r="DQ28" s="78">
        <v>5105.3999999999996</v>
      </c>
      <c r="DR28" s="81">
        <v>7.1999999999998181</v>
      </c>
      <c r="DS28" s="81">
        <v>1.3000000000001819</v>
      </c>
      <c r="DT28" s="78">
        <v>5178.1000000000004</v>
      </c>
      <c r="DU28" s="81">
        <v>7.9000000000005457</v>
      </c>
      <c r="DV28" s="81">
        <v>18.881000000001304</v>
      </c>
      <c r="DW28" s="78">
        <v>12871</v>
      </c>
      <c r="DX28" s="81">
        <v>0</v>
      </c>
      <c r="DY28" s="98">
        <v>62789</v>
      </c>
      <c r="DZ28" s="91">
        <v>0</v>
      </c>
      <c r="EA28" s="109">
        <v>15588</v>
      </c>
      <c r="EB28" s="91">
        <v>0</v>
      </c>
      <c r="EC28" s="109">
        <v>24679</v>
      </c>
      <c r="ED28" s="91">
        <v>0</v>
      </c>
      <c r="EE28" s="109">
        <v>2</v>
      </c>
      <c r="EF28" s="109">
        <v>6</v>
      </c>
      <c r="EG28" s="108">
        <v>1.4999999999999999E-2</v>
      </c>
      <c r="EH28" s="109"/>
      <c r="EI28" s="110"/>
      <c r="EJ28" s="108"/>
      <c r="EK28"/>
      <c r="EL28"/>
      <c r="EM28"/>
    </row>
    <row r="29" spans="1:144" s="20" customFormat="1" ht="15" x14ac:dyDescent="0.2">
      <c r="A29" s="71">
        <v>44434</v>
      </c>
      <c r="B29" s="78">
        <v>7532254</v>
      </c>
      <c r="C29" s="73">
        <v>6790</v>
      </c>
      <c r="D29" s="78">
        <v>6718070</v>
      </c>
      <c r="E29" s="73">
        <v>6190</v>
      </c>
      <c r="F29" s="22">
        <v>0.91163475699558172</v>
      </c>
      <c r="G29" s="74">
        <v>368</v>
      </c>
      <c r="H29" s="74">
        <v>392</v>
      </c>
      <c r="I29" s="75">
        <v>289248</v>
      </c>
      <c r="J29" s="76">
        <v>109</v>
      </c>
      <c r="K29" s="77">
        <v>794</v>
      </c>
      <c r="L29" s="73">
        <v>0</v>
      </c>
      <c r="M29" s="78">
        <v>636904</v>
      </c>
      <c r="N29" s="73">
        <v>0</v>
      </c>
      <c r="O29" s="78">
        <v>1013</v>
      </c>
      <c r="P29" s="76">
        <v>1</v>
      </c>
      <c r="Q29" s="78">
        <v>2562443</v>
      </c>
      <c r="R29" s="76">
        <v>208</v>
      </c>
      <c r="S29" s="78">
        <v>2193161</v>
      </c>
      <c r="T29" s="76">
        <v>87</v>
      </c>
      <c r="U29" s="78">
        <v>119021</v>
      </c>
      <c r="V29" s="76">
        <v>22</v>
      </c>
      <c r="W29" s="86">
        <v>50</v>
      </c>
      <c r="X29" s="86">
        <v>152641</v>
      </c>
      <c r="Y29" s="121">
        <v>0</v>
      </c>
      <c r="Z29" s="77">
        <v>40773</v>
      </c>
      <c r="AA29" s="81">
        <v>13</v>
      </c>
      <c r="AB29" s="78">
        <v>1143</v>
      </c>
      <c r="AC29" s="82">
        <v>0</v>
      </c>
      <c r="AD29" s="78">
        <v>4605</v>
      </c>
      <c r="AE29" s="83">
        <v>0</v>
      </c>
      <c r="AF29" s="19"/>
      <c r="AG29" s="19"/>
      <c r="AH29" s="78">
        <v>584450</v>
      </c>
      <c r="AI29" s="76">
        <v>40</v>
      </c>
      <c r="AJ29" s="19">
        <v>900</v>
      </c>
      <c r="AK29" s="73">
        <v>2</v>
      </c>
      <c r="AL29" s="78">
        <v>52524</v>
      </c>
      <c r="AM29" s="87">
        <v>7</v>
      </c>
      <c r="AN29" s="78">
        <v>8938</v>
      </c>
      <c r="AO29" s="73">
        <v>1</v>
      </c>
      <c r="AP29" s="78">
        <v>10595</v>
      </c>
      <c r="AQ29" s="76">
        <v>1</v>
      </c>
      <c r="AR29" s="78">
        <v>14624</v>
      </c>
      <c r="AS29" s="73">
        <v>0</v>
      </c>
      <c r="AT29" s="78">
        <v>19369</v>
      </c>
      <c r="AU29" s="76">
        <v>0</v>
      </c>
      <c r="AV29" s="78">
        <v>20680</v>
      </c>
      <c r="AW29" s="81">
        <v>0</v>
      </c>
      <c r="AX29" s="78">
        <v>13873</v>
      </c>
      <c r="AY29" s="91">
        <v>0</v>
      </c>
      <c r="AZ29" s="78">
        <v>6227</v>
      </c>
      <c r="BA29" s="73">
        <v>2</v>
      </c>
      <c r="BB29" s="78">
        <v>26638</v>
      </c>
      <c r="BC29" s="73">
        <v>3</v>
      </c>
      <c r="BD29" s="78">
        <v>1115</v>
      </c>
      <c r="BE29" s="73">
        <v>0</v>
      </c>
      <c r="BF29" s="78">
        <v>4378</v>
      </c>
      <c r="BG29" s="73">
        <v>0</v>
      </c>
      <c r="BH29" s="78">
        <v>3636</v>
      </c>
      <c r="BI29" s="73">
        <v>0</v>
      </c>
      <c r="BJ29" s="81">
        <v>0</v>
      </c>
      <c r="BK29" s="81">
        <v>40</v>
      </c>
      <c r="BL29" s="78">
        <v>605110</v>
      </c>
      <c r="BM29" s="81">
        <v>70</v>
      </c>
      <c r="BN29" s="88">
        <v>782</v>
      </c>
      <c r="BO29" s="73">
        <v>0</v>
      </c>
      <c r="BP29" s="78">
        <v>785500</v>
      </c>
      <c r="BQ29" s="81">
        <v>50</v>
      </c>
      <c r="BR29" s="92">
        <v>8184</v>
      </c>
      <c r="BS29" s="81">
        <v>5</v>
      </c>
      <c r="BT29" s="91">
        <v>10</v>
      </c>
      <c r="BU29" s="81">
        <v>120</v>
      </c>
      <c r="BV29" s="93">
        <v>11</v>
      </c>
      <c r="BW29" s="78">
        <v>122</v>
      </c>
      <c r="BX29" s="94">
        <v>15128.057958131996</v>
      </c>
      <c r="BY29" s="99"/>
      <c r="BZ29" s="96">
        <v>0</v>
      </c>
      <c r="CA29" s="78">
        <v>207395</v>
      </c>
      <c r="CB29" s="81">
        <v>48</v>
      </c>
      <c r="CC29" s="91">
        <v>274.08</v>
      </c>
      <c r="CD29" s="78">
        <v>42</v>
      </c>
      <c r="CE29" s="100">
        <v>4525.5</v>
      </c>
      <c r="CF29" s="78">
        <v>43</v>
      </c>
      <c r="CG29" s="101">
        <v>4633.25</v>
      </c>
      <c r="CH29" s="78">
        <v>44</v>
      </c>
      <c r="CI29" s="102">
        <v>4741</v>
      </c>
      <c r="CJ29" s="103">
        <v>13899.75</v>
      </c>
      <c r="CK29" s="104">
        <v>107.75</v>
      </c>
      <c r="CL29" s="78"/>
      <c r="CM29" s="78">
        <v>34837</v>
      </c>
      <c r="CN29" s="81">
        <v>5</v>
      </c>
      <c r="CO29" s="91">
        <v>12.2</v>
      </c>
      <c r="CP29" s="78">
        <v>34300</v>
      </c>
      <c r="CQ29" s="81">
        <v>0</v>
      </c>
      <c r="CR29" s="91">
        <v>0</v>
      </c>
      <c r="CS29" s="78">
        <v>10235.6</v>
      </c>
      <c r="CT29" s="81">
        <v>0</v>
      </c>
      <c r="CU29" s="91">
        <v>0</v>
      </c>
      <c r="CV29" s="78">
        <v>832351</v>
      </c>
      <c r="CW29" s="81">
        <v>20</v>
      </c>
      <c r="CX29" s="91">
        <v>48.8</v>
      </c>
      <c r="CY29" s="78">
        <v>6219</v>
      </c>
      <c r="CZ29" s="81">
        <v>4</v>
      </c>
      <c r="DA29" s="91">
        <v>9.56</v>
      </c>
      <c r="DB29" s="78">
        <v>7420</v>
      </c>
      <c r="DC29" s="81">
        <v>0</v>
      </c>
      <c r="DD29" s="81">
        <v>0</v>
      </c>
      <c r="DE29" s="78">
        <v>4342</v>
      </c>
      <c r="DF29" s="81">
        <v>5</v>
      </c>
      <c r="DG29" s="81" t="s">
        <v>127</v>
      </c>
      <c r="DH29" s="78">
        <v>1855.9</v>
      </c>
      <c r="DI29" s="81">
        <v>0</v>
      </c>
      <c r="DJ29" s="81">
        <v>0</v>
      </c>
      <c r="DK29" s="78">
        <v>5081.7</v>
      </c>
      <c r="DL29" s="81">
        <v>0</v>
      </c>
      <c r="DM29" s="81">
        <v>0</v>
      </c>
      <c r="DN29" s="78">
        <v>4454.7</v>
      </c>
      <c r="DO29" s="81">
        <v>0</v>
      </c>
      <c r="DP29" s="81">
        <v>0</v>
      </c>
      <c r="DQ29" s="78">
        <v>5112.3999999999996</v>
      </c>
      <c r="DR29" s="81">
        <v>7</v>
      </c>
      <c r="DS29" s="81" t="s">
        <v>127</v>
      </c>
      <c r="DT29" s="78">
        <v>5186.1000000000004</v>
      </c>
      <c r="DU29" s="81">
        <v>8</v>
      </c>
      <c r="DV29" s="81">
        <v>19.12</v>
      </c>
      <c r="DW29" s="78">
        <v>12871</v>
      </c>
      <c r="DX29" s="81">
        <v>0</v>
      </c>
      <c r="DY29" s="98">
        <v>62789</v>
      </c>
      <c r="DZ29" s="91">
        <v>0</v>
      </c>
      <c r="EA29" s="109">
        <v>15588</v>
      </c>
      <c r="EB29" s="91">
        <v>0</v>
      </c>
      <c r="EC29" s="109">
        <v>24679</v>
      </c>
      <c r="ED29" s="91">
        <v>0</v>
      </c>
      <c r="EE29" s="109">
        <v>2</v>
      </c>
      <c r="EF29" s="109">
        <v>6</v>
      </c>
      <c r="EG29" s="108">
        <v>1.4999999999999999E-2</v>
      </c>
      <c r="EH29" s="109"/>
      <c r="EI29" s="110"/>
      <c r="EJ29" s="108"/>
      <c r="EK29"/>
      <c r="EL29"/>
      <c r="EM29"/>
    </row>
    <row r="30" spans="1:144" s="20" customFormat="1" ht="15" x14ac:dyDescent="0.2">
      <c r="A30" s="71">
        <v>44435</v>
      </c>
      <c r="B30" s="78">
        <v>7539203</v>
      </c>
      <c r="C30" s="73">
        <v>6949</v>
      </c>
      <c r="D30" s="78">
        <v>6724403</v>
      </c>
      <c r="E30" s="73">
        <v>6333</v>
      </c>
      <c r="F30" s="22">
        <v>0.91135415167650025</v>
      </c>
      <c r="G30" s="74">
        <v>368</v>
      </c>
      <c r="H30" s="74">
        <v>392</v>
      </c>
      <c r="I30" s="75">
        <v>289248</v>
      </c>
      <c r="J30" s="76">
        <v>0</v>
      </c>
      <c r="K30" s="77">
        <v>794</v>
      </c>
      <c r="L30" s="73">
        <v>0</v>
      </c>
      <c r="M30" s="78">
        <v>636904</v>
      </c>
      <c r="N30" s="73">
        <v>0</v>
      </c>
      <c r="O30" s="78">
        <v>1013</v>
      </c>
      <c r="P30" s="76">
        <v>0</v>
      </c>
      <c r="Q30" s="78">
        <v>2562617</v>
      </c>
      <c r="R30" s="76">
        <v>174</v>
      </c>
      <c r="S30" s="78">
        <v>2193164</v>
      </c>
      <c r="T30" s="76">
        <v>3</v>
      </c>
      <c r="U30" s="78">
        <v>119074</v>
      </c>
      <c r="V30" s="76">
        <v>53</v>
      </c>
      <c r="W30" s="86">
        <v>50</v>
      </c>
      <c r="X30" s="78">
        <v>152641</v>
      </c>
      <c r="Y30" s="123">
        <v>0</v>
      </c>
      <c r="Z30" s="78">
        <v>40787</v>
      </c>
      <c r="AA30" s="81">
        <v>14</v>
      </c>
      <c r="AB30" s="78">
        <v>1143</v>
      </c>
      <c r="AC30" s="82">
        <v>0</v>
      </c>
      <c r="AD30" s="78">
        <v>4605</v>
      </c>
      <c r="AE30" s="83">
        <v>0</v>
      </c>
      <c r="AF30" s="19"/>
      <c r="AG30" s="19"/>
      <c r="AH30" s="78">
        <v>584480</v>
      </c>
      <c r="AI30" s="76">
        <v>30</v>
      </c>
      <c r="AJ30" s="90">
        <v>902</v>
      </c>
      <c r="AK30" s="73">
        <v>2</v>
      </c>
      <c r="AL30" s="78">
        <v>52525</v>
      </c>
      <c r="AM30" s="87">
        <v>1</v>
      </c>
      <c r="AN30" s="72">
        <v>8939</v>
      </c>
      <c r="AO30" s="73">
        <v>0</v>
      </c>
      <c r="AP30" s="78">
        <v>10596</v>
      </c>
      <c r="AQ30" s="76">
        <v>1</v>
      </c>
      <c r="AR30" s="78">
        <v>14632</v>
      </c>
      <c r="AS30" s="73">
        <v>8</v>
      </c>
      <c r="AT30" s="78">
        <v>19369</v>
      </c>
      <c r="AU30" s="76">
        <v>0</v>
      </c>
      <c r="AV30" s="78">
        <v>20680</v>
      </c>
      <c r="AW30" s="81">
        <v>0</v>
      </c>
      <c r="AX30" s="78">
        <v>13874</v>
      </c>
      <c r="AY30" s="91">
        <v>0</v>
      </c>
      <c r="AZ30" s="78">
        <v>6228</v>
      </c>
      <c r="BA30" s="73">
        <v>1</v>
      </c>
      <c r="BB30" s="78">
        <v>26639</v>
      </c>
      <c r="BC30" s="73">
        <v>1</v>
      </c>
      <c r="BD30" s="78">
        <v>1115</v>
      </c>
      <c r="BE30" s="73">
        <v>0</v>
      </c>
      <c r="BF30" s="78">
        <v>4378</v>
      </c>
      <c r="BG30" s="73">
        <v>0</v>
      </c>
      <c r="BH30" s="78">
        <v>3636</v>
      </c>
      <c r="BI30" s="73">
        <v>0</v>
      </c>
      <c r="BJ30" s="81">
        <v>8</v>
      </c>
      <c r="BK30" s="81">
        <v>22</v>
      </c>
      <c r="BL30" s="78">
        <v>605190</v>
      </c>
      <c r="BM30" s="81">
        <v>80</v>
      </c>
      <c r="BN30" s="88">
        <v>782</v>
      </c>
      <c r="BO30" s="73">
        <v>0</v>
      </c>
      <c r="BP30" s="78">
        <v>785550</v>
      </c>
      <c r="BQ30" s="81">
        <v>50</v>
      </c>
      <c r="BR30" s="92">
        <v>8206</v>
      </c>
      <c r="BS30" s="81">
        <v>22</v>
      </c>
      <c r="BT30" s="91">
        <v>20</v>
      </c>
      <c r="BU30" s="81">
        <v>130</v>
      </c>
      <c r="BV30" s="93">
        <v>4</v>
      </c>
      <c r="BW30" s="78">
        <v>122</v>
      </c>
      <c r="BX30" s="94">
        <v>15128.057958131996</v>
      </c>
      <c r="BY30" s="99"/>
      <c r="BZ30" s="96">
        <v>0</v>
      </c>
      <c r="CA30" s="80">
        <v>207422</v>
      </c>
      <c r="CB30" s="81">
        <v>27</v>
      </c>
      <c r="CC30" s="91">
        <v>154.16999999999999</v>
      </c>
      <c r="CD30" s="74">
        <v>42</v>
      </c>
      <c r="CE30" s="100">
        <v>4525.5</v>
      </c>
      <c r="CF30" s="74">
        <v>43</v>
      </c>
      <c r="CG30" s="101">
        <v>4633.25</v>
      </c>
      <c r="CH30" s="74">
        <v>43</v>
      </c>
      <c r="CI30" s="102">
        <v>4633.25</v>
      </c>
      <c r="CJ30" s="103">
        <v>13792</v>
      </c>
      <c r="CK30" s="104">
        <v>107.75</v>
      </c>
      <c r="CL30" s="78"/>
      <c r="CM30" s="78">
        <v>34844</v>
      </c>
      <c r="CN30" s="81">
        <v>7</v>
      </c>
      <c r="CO30" s="91">
        <v>17.079999999999998</v>
      </c>
      <c r="CP30" s="78">
        <v>34300</v>
      </c>
      <c r="CQ30" s="81">
        <v>0</v>
      </c>
      <c r="CR30" s="91">
        <v>0</v>
      </c>
      <c r="CS30" s="78">
        <v>10235.6</v>
      </c>
      <c r="CT30" s="81">
        <v>0</v>
      </c>
      <c r="CU30" s="91">
        <v>0</v>
      </c>
      <c r="CV30" s="78">
        <v>832351</v>
      </c>
      <c r="CW30" s="81">
        <v>0</v>
      </c>
      <c r="CX30" s="91">
        <v>0</v>
      </c>
      <c r="CY30" s="78">
        <v>6222</v>
      </c>
      <c r="CZ30" s="81">
        <v>3</v>
      </c>
      <c r="DA30" s="91">
        <v>7.17</v>
      </c>
      <c r="DB30" s="78">
        <v>7420</v>
      </c>
      <c r="DC30" s="81">
        <v>0</v>
      </c>
      <c r="DD30" s="81">
        <v>0</v>
      </c>
      <c r="DE30" s="78">
        <v>4348</v>
      </c>
      <c r="DF30" s="81">
        <v>6</v>
      </c>
      <c r="DG30" s="81">
        <v>1</v>
      </c>
      <c r="DH30" s="78">
        <v>1855.9</v>
      </c>
      <c r="DI30" s="81">
        <v>0</v>
      </c>
      <c r="DJ30" s="81">
        <v>0</v>
      </c>
      <c r="DK30" s="78">
        <v>5081.7</v>
      </c>
      <c r="DL30" s="81">
        <v>0</v>
      </c>
      <c r="DM30" s="81">
        <v>0</v>
      </c>
      <c r="DN30" s="78">
        <v>4454.7</v>
      </c>
      <c r="DO30" s="81">
        <v>0</v>
      </c>
      <c r="DP30" s="81">
        <v>0</v>
      </c>
      <c r="DQ30" s="78">
        <v>5119.8999999999996</v>
      </c>
      <c r="DR30" s="81">
        <v>7.5</v>
      </c>
      <c r="DS30" s="81">
        <v>0.5</v>
      </c>
      <c r="DT30" s="78">
        <v>5194.7</v>
      </c>
      <c r="DU30" s="81">
        <v>8.5999999999994543</v>
      </c>
      <c r="DV30" s="91">
        <v>20.553999999998698</v>
      </c>
      <c r="DW30" s="98">
        <v>12871</v>
      </c>
      <c r="DX30" s="91">
        <v>0</v>
      </c>
      <c r="DY30" s="98">
        <v>62789</v>
      </c>
      <c r="DZ30" s="91">
        <v>0</v>
      </c>
      <c r="EA30" s="109">
        <v>15588</v>
      </c>
      <c r="EB30" s="91">
        <v>0</v>
      </c>
      <c r="EC30" s="109">
        <v>24679</v>
      </c>
      <c r="ED30" s="91">
        <v>0</v>
      </c>
      <c r="EE30" s="109">
        <v>2</v>
      </c>
      <c r="EF30" s="110">
        <v>6</v>
      </c>
      <c r="EG30" s="108">
        <v>1.4999999999999999E-2</v>
      </c>
      <c r="EH30" s="112"/>
      <c r="EI30" s="58"/>
      <c r="EJ30" s="58"/>
      <c r="EK30"/>
      <c r="EL30"/>
      <c r="EM30"/>
    </row>
    <row r="31" spans="1:144" s="20" customFormat="1" ht="15" x14ac:dyDescent="0.2">
      <c r="A31" s="71">
        <v>44436</v>
      </c>
      <c r="B31" s="78">
        <v>7545521</v>
      </c>
      <c r="C31" s="73">
        <v>6318</v>
      </c>
      <c r="D31" s="78">
        <v>6730147</v>
      </c>
      <c r="E31" s="73">
        <v>5744</v>
      </c>
      <c r="F31" s="22">
        <v>0.90914846470402022</v>
      </c>
      <c r="G31" s="74">
        <v>368</v>
      </c>
      <c r="H31" s="74">
        <v>392</v>
      </c>
      <c r="I31" s="75">
        <v>289248</v>
      </c>
      <c r="J31" s="76">
        <v>0</v>
      </c>
      <c r="K31" s="77">
        <v>794</v>
      </c>
      <c r="L31" s="73">
        <v>0</v>
      </c>
      <c r="M31" s="78">
        <v>636904</v>
      </c>
      <c r="N31" s="73">
        <v>0</v>
      </c>
      <c r="O31" s="78">
        <v>1013</v>
      </c>
      <c r="P31" s="76">
        <v>0</v>
      </c>
      <c r="Q31" s="78">
        <v>2562708</v>
      </c>
      <c r="R31" s="76">
        <v>91</v>
      </c>
      <c r="S31" s="78">
        <v>2193164</v>
      </c>
      <c r="T31" s="76">
        <v>0</v>
      </c>
      <c r="U31" s="78">
        <v>119143</v>
      </c>
      <c r="V31" s="76">
        <v>69</v>
      </c>
      <c r="W31" s="86">
        <v>50</v>
      </c>
      <c r="X31" s="78">
        <v>152641</v>
      </c>
      <c r="Y31" s="76">
        <v>0</v>
      </c>
      <c r="Z31" s="78">
        <v>40796</v>
      </c>
      <c r="AA31" s="81">
        <v>9</v>
      </c>
      <c r="AB31" s="78">
        <v>1143</v>
      </c>
      <c r="AC31" s="82">
        <v>0</v>
      </c>
      <c r="AD31" s="78">
        <v>4605</v>
      </c>
      <c r="AE31" s="83">
        <v>0</v>
      </c>
      <c r="AF31" s="19"/>
      <c r="AG31" s="19"/>
      <c r="AH31" s="78">
        <v>584500</v>
      </c>
      <c r="AI31" s="76">
        <v>20</v>
      </c>
      <c r="AJ31" s="90">
        <v>902</v>
      </c>
      <c r="AK31" s="73">
        <v>0</v>
      </c>
      <c r="AL31" s="78">
        <v>52527</v>
      </c>
      <c r="AM31" s="87">
        <v>2</v>
      </c>
      <c r="AN31" s="72">
        <v>8939</v>
      </c>
      <c r="AO31" s="73">
        <v>0</v>
      </c>
      <c r="AP31" s="78">
        <v>10596</v>
      </c>
      <c r="AQ31" s="76">
        <v>0</v>
      </c>
      <c r="AR31" s="78">
        <v>14632</v>
      </c>
      <c r="AS31" s="73">
        <v>0</v>
      </c>
      <c r="AT31" s="78">
        <v>19369</v>
      </c>
      <c r="AU31" s="76">
        <v>0</v>
      </c>
      <c r="AV31" s="78">
        <v>20681</v>
      </c>
      <c r="AW31" s="81">
        <v>1</v>
      </c>
      <c r="AX31" s="78">
        <v>13874</v>
      </c>
      <c r="AY31" s="91">
        <v>0</v>
      </c>
      <c r="AZ31" s="78">
        <v>6228</v>
      </c>
      <c r="BA31" s="73">
        <v>0</v>
      </c>
      <c r="BB31" s="78">
        <v>26641</v>
      </c>
      <c r="BC31" s="73">
        <v>2</v>
      </c>
      <c r="BD31" s="78">
        <v>1115</v>
      </c>
      <c r="BE31" s="73">
        <v>0</v>
      </c>
      <c r="BF31" s="78">
        <v>4378</v>
      </c>
      <c r="BG31" s="73">
        <v>0</v>
      </c>
      <c r="BH31" s="78">
        <v>3636</v>
      </c>
      <c r="BI31" s="73">
        <v>0</v>
      </c>
      <c r="BJ31" s="81">
        <v>1</v>
      </c>
      <c r="BK31" s="81">
        <v>19</v>
      </c>
      <c r="BL31" s="78">
        <v>605230</v>
      </c>
      <c r="BM31" s="81">
        <v>40</v>
      </c>
      <c r="BN31" s="88">
        <v>782</v>
      </c>
      <c r="BO31" s="73">
        <v>0</v>
      </c>
      <c r="BP31" s="78">
        <v>785590</v>
      </c>
      <c r="BQ31" s="81">
        <v>40</v>
      </c>
      <c r="BR31" s="92">
        <v>8218</v>
      </c>
      <c r="BS31" s="81">
        <v>12</v>
      </c>
      <c r="BT31" s="91">
        <v>20</v>
      </c>
      <c r="BU31" s="81">
        <v>80</v>
      </c>
      <c r="BV31" s="93">
        <v>3</v>
      </c>
      <c r="BW31" s="78">
        <v>122</v>
      </c>
      <c r="BX31" s="94">
        <v>15128.057958131996</v>
      </c>
      <c r="BY31" s="99"/>
      <c r="BZ31" s="96">
        <v>0</v>
      </c>
      <c r="CA31" s="78">
        <v>207444</v>
      </c>
      <c r="CB31" s="81">
        <v>22</v>
      </c>
      <c r="CC31" s="91">
        <v>125.62</v>
      </c>
      <c r="CD31" s="74">
        <v>41</v>
      </c>
      <c r="CE31" s="100">
        <v>4417.75</v>
      </c>
      <c r="CF31" s="74">
        <v>41</v>
      </c>
      <c r="CG31" s="101">
        <v>4417.75</v>
      </c>
      <c r="CH31" s="74">
        <v>43</v>
      </c>
      <c r="CI31" s="102">
        <v>4633.25</v>
      </c>
      <c r="CJ31" s="103">
        <v>13468.75</v>
      </c>
      <c r="CK31" s="104">
        <v>323.25</v>
      </c>
      <c r="CL31" s="78"/>
      <c r="CM31" s="78">
        <v>34847</v>
      </c>
      <c r="CN31" s="81">
        <v>3</v>
      </c>
      <c r="CO31" s="91">
        <v>7.32</v>
      </c>
      <c r="CP31" s="78">
        <v>34300</v>
      </c>
      <c r="CQ31" s="81">
        <v>0</v>
      </c>
      <c r="CR31" s="91">
        <v>0</v>
      </c>
      <c r="CS31" s="78">
        <v>10235.6</v>
      </c>
      <c r="CT31" s="81">
        <v>0</v>
      </c>
      <c r="CU31" s="91">
        <v>0</v>
      </c>
      <c r="CV31" s="78">
        <v>832351</v>
      </c>
      <c r="CW31" s="81">
        <v>0</v>
      </c>
      <c r="CX31" s="91">
        <v>0</v>
      </c>
      <c r="CY31" s="78">
        <v>6225</v>
      </c>
      <c r="CZ31" s="81">
        <v>3</v>
      </c>
      <c r="DA31" s="91">
        <v>7.17</v>
      </c>
      <c r="DB31" s="78">
        <v>7424</v>
      </c>
      <c r="DC31" s="81">
        <v>4</v>
      </c>
      <c r="DD31" s="81">
        <v>4</v>
      </c>
      <c r="DE31" s="78">
        <v>4353</v>
      </c>
      <c r="DF31" s="81">
        <v>5</v>
      </c>
      <c r="DG31" s="81" t="s">
        <v>127</v>
      </c>
      <c r="DH31" s="78">
        <v>1855.9</v>
      </c>
      <c r="DI31" s="81">
        <v>0</v>
      </c>
      <c r="DJ31" s="81">
        <v>0</v>
      </c>
      <c r="DK31" s="78">
        <v>5081.7</v>
      </c>
      <c r="DL31" s="81">
        <v>0</v>
      </c>
      <c r="DM31" s="81">
        <v>0</v>
      </c>
      <c r="DN31" s="78">
        <v>4454.7</v>
      </c>
      <c r="DO31" s="81">
        <v>0</v>
      </c>
      <c r="DP31" s="81">
        <v>0</v>
      </c>
      <c r="DQ31" s="78">
        <v>5126.3</v>
      </c>
      <c r="DR31" s="81">
        <v>6.4000000000005457</v>
      </c>
      <c r="DS31" s="81" t="s">
        <v>127</v>
      </c>
      <c r="DT31" s="78">
        <v>5199.5</v>
      </c>
      <c r="DU31" s="81">
        <v>4.8000000000001819</v>
      </c>
      <c r="DV31" s="91">
        <v>11.472000000000435</v>
      </c>
      <c r="DW31" s="98">
        <v>12871</v>
      </c>
      <c r="DX31" s="91">
        <v>0</v>
      </c>
      <c r="DY31" s="98">
        <v>62789</v>
      </c>
      <c r="DZ31" s="91">
        <v>0</v>
      </c>
      <c r="EA31" s="109">
        <v>15588</v>
      </c>
      <c r="EB31" s="91">
        <v>0</v>
      </c>
      <c r="EC31" s="109">
        <v>24679</v>
      </c>
      <c r="ED31" s="91">
        <v>0</v>
      </c>
      <c r="EE31" s="109">
        <v>2</v>
      </c>
      <c r="EF31" s="110">
        <v>6</v>
      </c>
      <c r="EG31" s="108">
        <v>1.4999999999999999E-2</v>
      </c>
      <c r="EH31" s="112"/>
      <c r="EI31" s="58"/>
      <c r="EJ31" s="58"/>
      <c r="EK31"/>
      <c r="EL31"/>
      <c r="EM31"/>
    </row>
    <row r="32" spans="1:144" s="20" customFormat="1" ht="15" x14ac:dyDescent="0.2">
      <c r="A32" s="71">
        <v>44437</v>
      </c>
      <c r="B32" s="78">
        <v>7552241</v>
      </c>
      <c r="C32" s="73">
        <v>6720</v>
      </c>
      <c r="D32" s="78">
        <v>6736163</v>
      </c>
      <c r="E32" s="73">
        <v>6016</v>
      </c>
      <c r="F32" s="22">
        <v>0.89523809523809528</v>
      </c>
      <c r="G32" s="74">
        <v>368</v>
      </c>
      <c r="H32" s="74">
        <v>392</v>
      </c>
      <c r="I32" s="75">
        <v>289248</v>
      </c>
      <c r="J32" s="76">
        <v>0</v>
      </c>
      <c r="K32" s="77">
        <v>794</v>
      </c>
      <c r="L32" s="73">
        <v>0</v>
      </c>
      <c r="M32" s="78">
        <v>636904</v>
      </c>
      <c r="N32" s="73">
        <v>0</v>
      </c>
      <c r="O32" s="78">
        <v>1013</v>
      </c>
      <c r="P32" s="76">
        <v>0</v>
      </c>
      <c r="Q32" s="78">
        <v>2562741</v>
      </c>
      <c r="R32" s="76">
        <v>33</v>
      </c>
      <c r="S32" s="78">
        <v>2193164</v>
      </c>
      <c r="T32" s="76">
        <v>0</v>
      </c>
      <c r="U32" s="78">
        <v>119201</v>
      </c>
      <c r="V32" s="76">
        <v>58</v>
      </c>
      <c r="W32" s="86">
        <v>50</v>
      </c>
      <c r="X32" s="78">
        <v>152641</v>
      </c>
      <c r="Y32" s="76">
        <v>0</v>
      </c>
      <c r="Z32" s="78">
        <v>40804</v>
      </c>
      <c r="AA32" s="81">
        <v>8</v>
      </c>
      <c r="AB32" s="78">
        <v>1143</v>
      </c>
      <c r="AC32" s="82">
        <v>0</v>
      </c>
      <c r="AD32" s="78">
        <v>4605</v>
      </c>
      <c r="AE32" s="76">
        <v>0</v>
      </c>
      <c r="AF32" s="19"/>
      <c r="AG32" s="19"/>
      <c r="AH32" s="78">
        <v>584510</v>
      </c>
      <c r="AI32" s="76">
        <v>10</v>
      </c>
      <c r="AJ32" s="90">
        <v>902</v>
      </c>
      <c r="AK32" s="73">
        <v>0</v>
      </c>
      <c r="AL32" s="78">
        <v>52528</v>
      </c>
      <c r="AM32" s="87">
        <v>1</v>
      </c>
      <c r="AN32" s="72">
        <v>8939</v>
      </c>
      <c r="AO32" s="73">
        <v>0</v>
      </c>
      <c r="AP32" s="78">
        <v>10597</v>
      </c>
      <c r="AQ32" s="76">
        <v>1</v>
      </c>
      <c r="AR32" s="78">
        <v>14632</v>
      </c>
      <c r="AS32" s="73">
        <v>0</v>
      </c>
      <c r="AT32" s="78">
        <v>19369</v>
      </c>
      <c r="AU32" s="76">
        <v>0</v>
      </c>
      <c r="AV32" s="78">
        <v>20681</v>
      </c>
      <c r="AW32" s="81">
        <v>0</v>
      </c>
      <c r="AX32" s="78">
        <v>13874</v>
      </c>
      <c r="AY32" s="91">
        <v>0</v>
      </c>
      <c r="AZ32" s="78">
        <v>6228</v>
      </c>
      <c r="BA32" s="73">
        <v>0</v>
      </c>
      <c r="BB32" s="78">
        <v>26641</v>
      </c>
      <c r="BC32" s="73">
        <v>0</v>
      </c>
      <c r="BD32" s="78">
        <v>1115</v>
      </c>
      <c r="BE32" s="73">
        <v>0</v>
      </c>
      <c r="BF32" s="78">
        <v>4378</v>
      </c>
      <c r="BG32" s="73">
        <v>0</v>
      </c>
      <c r="BH32" s="78">
        <v>3636</v>
      </c>
      <c r="BI32" s="73">
        <v>0</v>
      </c>
      <c r="BJ32" s="81">
        <v>0</v>
      </c>
      <c r="BK32" s="81">
        <v>10</v>
      </c>
      <c r="BL32" s="78">
        <v>605270</v>
      </c>
      <c r="BM32" s="81">
        <v>40</v>
      </c>
      <c r="BN32" s="88">
        <v>782</v>
      </c>
      <c r="BO32" s="73">
        <v>0</v>
      </c>
      <c r="BP32" s="78">
        <v>785640</v>
      </c>
      <c r="BQ32" s="81">
        <v>50</v>
      </c>
      <c r="BR32" s="92">
        <v>8239</v>
      </c>
      <c r="BS32" s="81">
        <v>21</v>
      </c>
      <c r="BT32" s="91">
        <v>40</v>
      </c>
      <c r="BU32" s="81">
        <v>90</v>
      </c>
      <c r="BV32" s="93">
        <v>2</v>
      </c>
      <c r="BW32" s="78">
        <v>122</v>
      </c>
      <c r="BX32" s="94">
        <v>15128.057958131996</v>
      </c>
      <c r="BY32" s="99"/>
      <c r="BZ32" s="96">
        <v>0</v>
      </c>
      <c r="CA32" s="74">
        <v>207474</v>
      </c>
      <c r="CB32" s="81">
        <v>30</v>
      </c>
      <c r="CC32" s="91">
        <v>171.3</v>
      </c>
      <c r="CD32" s="74">
        <v>40</v>
      </c>
      <c r="CE32" s="100">
        <v>4310</v>
      </c>
      <c r="CF32" s="74">
        <v>40</v>
      </c>
      <c r="CG32" s="101">
        <v>4310</v>
      </c>
      <c r="CH32" s="74">
        <v>43</v>
      </c>
      <c r="CI32" s="102">
        <v>4633.25</v>
      </c>
      <c r="CJ32" s="103">
        <v>13253.25</v>
      </c>
      <c r="CK32" s="104">
        <v>215.5</v>
      </c>
      <c r="CL32" s="78"/>
      <c r="CM32" s="78">
        <v>34849</v>
      </c>
      <c r="CN32" s="81">
        <v>2</v>
      </c>
      <c r="CO32" s="91">
        <v>4.88</v>
      </c>
      <c r="CP32" s="78">
        <v>34300</v>
      </c>
      <c r="CQ32" s="81">
        <v>0</v>
      </c>
      <c r="CR32" s="91">
        <v>0</v>
      </c>
      <c r="CS32" s="78">
        <v>10235.6</v>
      </c>
      <c r="CT32" s="81">
        <v>0</v>
      </c>
      <c r="CU32" s="91">
        <v>0</v>
      </c>
      <c r="CV32" s="78">
        <v>832351</v>
      </c>
      <c r="CW32" s="81">
        <v>0</v>
      </c>
      <c r="CX32" s="91">
        <v>0</v>
      </c>
      <c r="CY32" s="78">
        <v>6226</v>
      </c>
      <c r="CZ32" s="81">
        <v>1</v>
      </c>
      <c r="DA32" s="91">
        <v>2.39</v>
      </c>
      <c r="DB32" s="78">
        <v>7425</v>
      </c>
      <c r="DC32" s="81">
        <v>0</v>
      </c>
      <c r="DD32" s="81">
        <v>0</v>
      </c>
      <c r="DE32" s="78">
        <v>4360</v>
      </c>
      <c r="DF32" s="81">
        <v>7</v>
      </c>
      <c r="DG32" s="81">
        <v>1</v>
      </c>
      <c r="DH32" s="78">
        <v>1855.9</v>
      </c>
      <c r="DI32" s="81">
        <v>0</v>
      </c>
      <c r="DJ32" s="81">
        <v>0</v>
      </c>
      <c r="DK32" s="78">
        <v>5081.7</v>
      </c>
      <c r="DL32" s="81">
        <v>0</v>
      </c>
      <c r="DM32" s="81">
        <v>0</v>
      </c>
      <c r="DN32" s="78">
        <v>4454.7</v>
      </c>
      <c r="DO32" s="81">
        <v>0</v>
      </c>
      <c r="DP32" s="81">
        <v>0</v>
      </c>
      <c r="DQ32" s="78">
        <v>5135.7</v>
      </c>
      <c r="DR32" s="81">
        <v>9.3999999999996362</v>
      </c>
      <c r="DS32" s="81">
        <v>2.9999999999990905</v>
      </c>
      <c r="DT32" s="78">
        <v>5209.3999999999996</v>
      </c>
      <c r="DU32" s="81">
        <v>9.8999999999996362</v>
      </c>
      <c r="DV32" s="91">
        <v>23.660999999999131</v>
      </c>
      <c r="DW32" s="98">
        <v>12871</v>
      </c>
      <c r="DX32" s="91">
        <v>0</v>
      </c>
      <c r="DY32" s="98">
        <v>62789</v>
      </c>
      <c r="DZ32" s="91">
        <v>0</v>
      </c>
      <c r="EA32" s="109">
        <v>15588</v>
      </c>
      <c r="EB32" s="91">
        <v>0</v>
      </c>
      <c r="EC32" s="109">
        <v>24679</v>
      </c>
      <c r="ED32" s="91">
        <v>0</v>
      </c>
      <c r="EE32" s="109">
        <v>2</v>
      </c>
      <c r="EF32" s="110">
        <v>6</v>
      </c>
      <c r="EG32" s="108">
        <v>1.4999999999999999E-2</v>
      </c>
      <c r="EH32" s="112"/>
      <c r="EI32" s="58"/>
      <c r="EJ32" s="58"/>
      <c r="EK32"/>
      <c r="EL32"/>
      <c r="EM32"/>
    </row>
    <row r="33" spans="1:143" s="20" customFormat="1" ht="15" x14ac:dyDescent="0.2">
      <c r="A33" s="71">
        <v>44438</v>
      </c>
      <c r="B33" s="78">
        <v>7559852</v>
      </c>
      <c r="C33" s="73">
        <v>7611</v>
      </c>
      <c r="D33" s="78">
        <v>6743062</v>
      </c>
      <c r="E33" s="73">
        <v>6899</v>
      </c>
      <c r="F33" s="22">
        <v>0.90645118906845357</v>
      </c>
      <c r="G33" s="74">
        <v>368</v>
      </c>
      <c r="H33" s="74">
        <v>392</v>
      </c>
      <c r="I33" s="75">
        <v>289248</v>
      </c>
      <c r="J33" s="76">
        <v>0</v>
      </c>
      <c r="K33" s="77">
        <v>794</v>
      </c>
      <c r="L33" s="73">
        <v>0</v>
      </c>
      <c r="M33" s="78">
        <v>636904</v>
      </c>
      <c r="N33" s="73">
        <v>0</v>
      </c>
      <c r="O33" s="78">
        <v>1013</v>
      </c>
      <c r="P33" s="76">
        <v>0</v>
      </c>
      <c r="Q33" s="78">
        <v>2562894</v>
      </c>
      <c r="R33" s="76">
        <v>153</v>
      </c>
      <c r="S33" s="78">
        <v>2193188</v>
      </c>
      <c r="T33" s="76">
        <v>24</v>
      </c>
      <c r="U33" s="78">
        <v>119233</v>
      </c>
      <c r="V33" s="76">
        <v>32</v>
      </c>
      <c r="W33" s="86">
        <v>50</v>
      </c>
      <c r="X33" s="78">
        <v>152641</v>
      </c>
      <c r="Y33" s="76">
        <v>0</v>
      </c>
      <c r="Z33" s="78">
        <v>40813</v>
      </c>
      <c r="AA33" s="81">
        <v>9</v>
      </c>
      <c r="AB33" s="78">
        <v>1148</v>
      </c>
      <c r="AC33" s="82">
        <v>5</v>
      </c>
      <c r="AD33" s="78">
        <v>4605</v>
      </c>
      <c r="AE33" s="76">
        <v>0</v>
      </c>
      <c r="AF33" s="19"/>
      <c r="AG33" s="19"/>
      <c r="AH33" s="78">
        <v>584550</v>
      </c>
      <c r="AI33" s="76">
        <v>40</v>
      </c>
      <c r="AJ33" s="90">
        <v>904</v>
      </c>
      <c r="AK33" s="73">
        <v>2</v>
      </c>
      <c r="AL33" s="78">
        <v>52531</v>
      </c>
      <c r="AM33" s="87">
        <v>3</v>
      </c>
      <c r="AN33" s="72">
        <v>8939</v>
      </c>
      <c r="AO33" s="73">
        <v>0</v>
      </c>
      <c r="AP33" s="78">
        <v>10597</v>
      </c>
      <c r="AQ33" s="76">
        <v>0</v>
      </c>
      <c r="AR33" s="78">
        <v>14632</v>
      </c>
      <c r="AS33" s="73">
        <v>0</v>
      </c>
      <c r="AT33" s="78">
        <v>19369</v>
      </c>
      <c r="AU33" s="76">
        <v>0</v>
      </c>
      <c r="AV33" s="78">
        <v>20681</v>
      </c>
      <c r="AW33" s="81">
        <v>0</v>
      </c>
      <c r="AX33" s="78">
        <v>13875</v>
      </c>
      <c r="AY33" s="91">
        <v>0</v>
      </c>
      <c r="AZ33" s="78">
        <v>6228</v>
      </c>
      <c r="BA33" s="73">
        <v>0</v>
      </c>
      <c r="BB33" s="78">
        <v>26643</v>
      </c>
      <c r="BC33" s="73">
        <v>2</v>
      </c>
      <c r="BD33" s="78">
        <v>1115</v>
      </c>
      <c r="BE33" s="73">
        <v>0</v>
      </c>
      <c r="BF33" s="78">
        <v>4378</v>
      </c>
      <c r="BG33" s="73">
        <v>0</v>
      </c>
      <c r="BH33" s="78">
        <v>3636</v>
      </c>
      <c r="BI33" s="73">
        <v>0</v>
      </c>
      <c r="BJ33" s="81">
        <v>0</v>
      </c>
      <c r="BK33" s="81">
        <v>40</v>
      </c>
      <c r="BL33" s="78">
        <v>605310</v>
      </c>
      <c r="BM33" s="81">
        <v>40</v>
      </c>
      <c r="BN33" s="88">
        <v>782</v>
      </c>
      <c r="BO33" s="73">
        <v>0</v>
      </c>
      <c r="BP33" s="78">
        <v>785700</v>
      </c>
      <c r="BQ33" s="81">
        <v>60</v>
      </c>
      <c r="BR33" s="92">
        <v>8259</v>
      </c>
      <c r="BS33" s="81">
        <v>20</v>
      </c>
      <c r="BT33" s="91">
        <v>20</v>
      </c>
      <c r="BU33" s="81">
        <v>100</v>
      </c>
      <c r="BV33" s="93">
        <v>3</v>
      </c>
      <c r="BW33" s="78">
        <v>122</v>
      </c>
      <c r="BX33" s="94">
        <v>15128.057958131996</v>
      </c>
      <c r="BY33" s="99"/>
      <c r="BZ33" s="96">
        <v>0</v>
      </c>
      <c r="CA33" s="74">
        <v>207502</v>
      </c>
      <c r="CB33" s="81">
        <v>28</v>
      </c>
      <c r="CC33" s="91">
        <v>159.88</v>
      </c>
      <c r="CD33" s="74">
        <v>40</v>
      </c>
      <c r="CE33" s="100">
        <v>4310</v>
      </c>
      <c r="CF33" s="74">
        <v>40</v>
      </c>
      <c r="CG33" s="101">
        <v>4310</v>
      </c>
      <c r="CH33" s="74">
        <v>43</v>
      </c>
      <c r="CI33" s="102">
        <v>4633.25</v>
      </c>
      <c r="CJ33" s="103">
        <v>13253.25</v>
      </c>
      <c r="CK33" s="104">
        <v>0</v>
      </c>
      <c r="CL33" s="78"/>
      <c r="CM33" s="78">
        <v>34854</v>
      </c>
      <c r="CN33" s="81">
        <v>5</v>
      </c>
      <c r="CO33" s="91">
        <v>12.2</v>
      </c>
      <c r="CP33" s="78">
        <v>34300</v>
      </c>
      <c r="CQ33" s="81">
        <v>0</v>
      </c>
      <c r="CR33" s="91">
        <v>0</v>
      </c>
      <c r="CS33" s="78">
        <v>10235.6</v>
      </c>
      <c r="CT33" s="81">
        <v>0</v>
      </c>
      <c r="CU33" s="91">
        <v>0</v>
      </c>
      <c r="CV33" s="78">
        <v>832351</v>
      </c>
      <c r="CW33" s="81">
        <v>0</v>
      </c>
      <c r="CX33" s="91">
        <v>0</v>
      </c>
      <c r="CY33" s="78">
        <v>6229</v>
      </c>
      <c r="CZ33" s="81">
        <v>3</v>
      </c>
      <c r="DA33" s="91">
        <v>7.17</v>
      </c>
      <c r="DB33" s="78">
        <v>7431</v>
      </c>
      <c r="DC33" s="81">
        <v>0</v>
      </c>
      <c r="DD33" s="81">
        <v>0</v>
      </c>
      <c r="DE33" s="78">
        <v>4365</v>
      </c>
      <c r="DF33" s="81">
        <v>5</v>
      </c>
      <c r="DG33" s="81">
        <v>1</v>
      </c>
      <c r="DH33" s="78">
        <v>1855.9</v>
      </c>
      <c r="DI33" s="81">
        <v>0</v>
      </c>
      <c r="DJ33" s="81">
        <v>0</v>
      </c>
      <c r="DK33" s="78">
        <v>5081.7</v>
      </c>
      <c r="DL33" s="81">
        <v>0</v>
      </c>
      <c r="DM33" s="81">
        <v>0</v>
      </c>
      <c r="DN33" s="78">
        <v>4454.7</v>
      </c>
      <c r="DO33" s="81">
        <v>0</v>
      </c>
      <c r="DP33" s="81">
        <v>0</v>
      </c>
      <c r="DQ33" s="78">
        <v>5139</v>
      </c>
      <c r="DR33" s="81">
        <v>3.3000000000001819</v>
      </c>
      <c r="DS33" s="81" t="s">
        <v>127</v>
      </c>
      <c r="DT33" s="78">
        <v>5215</v>
      </c>
      <c r="DU33" s="81">
        <v>5.6000000000003638</v>
      </c>
      <c r="DV33" s="91">
        <v>13.384000000000871</v>
      </c>
      <c r="DW33" s="98">
        <v>12871</v>
      </c>
      <c r="DX33" s="91">
        <v>0</v>
      </c>
      <c r="DY33" s="98">
        <v>62789</v>
      </c>
      <c r="DZ33" s="91">
        <v>0</v>
      </c>
      <c r="EA33" s="109">
        <v>15588</v>
      </c>
      <c r="EB33" s="91">
        <v>0</v>
      </c>
      <c r="EC33" s="109">
        <v>24679</v>
      </c>
      <c r="ED33" s="91">
        <v>0</v>
      </c>
      <c r="EE33" s="109">
        <v>2</v>
      </c>
      <c r="EF33" s="110">
        <v>6</v>
      </c>
      <c r="EG33" s="108">
        <v>1.4999999999999999E-2</v>
      </c>
      <c r="EH33" s="112"/>
      <c r="EI33" s="58"/>
      <c r="EJ33" s="58"/>
      <c r="EK33"/>
      <c r="EL33"/>
      <c r="EM33"/>
    </row>
    <row r="34" spans="1:143" s="20" customFormat="1" ht="15" x14ac:dyDescent="0.25">
      <c r="A34" s="71">
        <v>44439</v>
      </c>
      <c r="B34" s="59">
        <v>7567011</v>
      </c>
      <c r="C34" s="60">
        <v>7159</v>
      </c>
      <c r="D34" s="59">
        <v>6749652</v>
      </c>
      <c r="E34" s="60">
        <v>6590</v>
      </c>
      <c r="F34" s="61">
        <v>0.92051962564603995</v>
      </c>
      <c r="G34" s="65">
        <v>368</v>
      </c>
      <c r="H34" s="67">
        <v>408</v>
      </c>
      <c r="I34" s="65">
        <v>289248</v>
      </c>
      <c r="J34" s="62">
        <v>0</v>
      </c>
      <c r="K34" s="59">
        <v>794</v>
      </c>
      <c r="L34" s="60">
        <v>0</v>
      </c>
      <c r="M34" s="59">
        <v>636904</v>
      </c>
      <c r="N34" s="60">
        <v>0</v>
      </c>
      <c r="O34" s="63">
        <v>1013</v>
      </c>
      <c r="P34" s="62">
        <v>0</v>
      </c>
      <c r="Q34" s="59">
        <v>2563096</v>
      </c>
      <c r="R34" s="62">
        <v>202</v>
      </c>
      <c r="S34" s="59">
        <v>2193188</v>
      </c>
      <c r="T34" s="62">
        <v>0</v>
      </c>
      <c r="U34" s="59">
        <v>119268</v>
      </c>
      <c r="V34" s="62">
        <v>35</v>
      </c>
      <c r="W34" s="86">
        <v>35</v>
      </c>
      <c r="X34" s="78">
        <v>152641</v>
      </c>
      <c r="Y34" s="73">
        <v>0</v>
      </c>
      <c r="Z34" s="78">
        <v>40827</v>
      </c>
      <c r="AA34" s="81">
        <v>14</v>
      </c>
      <c r="AB34" s="78">
        <v>1148</v>
      </c>
      <c r="AC34" s="82">
        <v>0</v>
      </c>
      <c r="AD34" s="78">
        <v>4605</v>
      </c>
      <c r="AE34" s="83">
        <v>0</v>
      </c>
      <c r="AH34" s="72">
        <v>584580</v>
      </c>
      <c r="AI34" s="76">
        <v>30</v>
      </c>
      <c r="AJ34" s="111">
        <v>905</v>
      </c>
      <c r="AK34" s="73">
        <v>1</v>
      </c>
      <c r="AL34" s="72">
        <v>52533</v>
      </c>
      <c r="AM34" s="87">
        <v>2</v>
      </c>
      <c r="AN34" s="72">
        <v>8939</v>
      </c>
      <c r="AO34" s="73">
        <v>0</v>
      </c>
      <c r="AP34" s="72">
        <v>10597</v>
      </c>
      <c r="AQ34" s="73">
        <v>0</v>
      </c>
      <c r="AR34" s="78">
        <v>14632</v>
      </c>
      <c r="AS34" s="73">
        <v>0</v>
      </c>
      <c r="AT34" s="72">
        <v>19369</v>
      </c>
      <c r="AU34" s="73">
        <v>0</v>
      </c>
      <c r="AV34" s="72">
        <v>20681</v>
      </c>
      <c r="AW34" s="81">
        <v>0</v>
      </c>
      <c r="AX34" s="72">
        <v>13875</v>
      </c>
      <c r="AY34" s="81">
        <v>0</v>
      </c>
      <c r="AZ34" s="72">
        <v>6229</v>
      </c>
      <c r="BA34" s="73">
        <v>0</v>
      </c>
      <c r="BB34" s="72">
        <v>26645</v>
      </c>
      <c r="BC34" s="73">
        <v>0</v>
      </c>
      <c r="BD34" s="72">
        <v>1115</v>
      </c>
      <c r="BE34" s="73">
        <v>0</v>
      </c>
      <c r="BF34" s="72">
        <v>4378</v>
      </c>
      <c r="BG34" s="83">
        <v>0</v>
      </c>
      <c r="BH34" s="72">
        <v>3636</v>
      </c>
      <c r="BI34" s="73">
        <v>0</v>
      </c>
      <c r="BJ34" s="81">
        <v>0</v>
      </c>
      <c r="BK34" s="81">
        <v>30</v>
      </c>
      <c r="BL34" s="78">
        <v>605410</v>
      </c>
      <c r="BM34" s="81">
        <v>100</v>
      </c>
      <c r="BN34" s="88">
        <v>782</v>
      </c>
      <c r="BO34" s="73">
        <v>0</v>
      </c>
      <c r="BP34" s="78">
        <v>785750</v>
      </c>
      <c r="BQ34" s="81">
        <v>50</v>
      </c>
      <c r="BR34" s="92">
        <v>8277</v>
      </c>
      <c r="BS34" s="81">
        <v>18</v>
      </c>
      <c r="BT34" s="91">
        <v>20</v>
      </c>
      <c r="BU34" s="81">
        <v>150</v>
      </c>
      <c r="BV34" s="93">
        <v>10</v>
      </c>
      <c r="BW34" s="72">
        <v>122</v>
      </c>
      <c r="BX34" s="94">
        <v>15128.057958131996</v>
      </c>
      <c r="BY34" s="95"/>
      <c r="BZ34" s="96">
        <v>0</v>
      </c>
      <c r="CA34" s="97">
        <v>207540</v>
      </c>
      <c r="CB34" s="81">
        <v>38</v>
      </c>
      <c r="CC34" s="91">
        <v>216.98</v>
      </c>
      <c r="CD34" s="97">
        <v>39</v>
      </c>
      <c r="CE34" s="100">
        <v>4202.25</v>
      </c>
      <c r="CF34" s="97">
        <v>40</v>
      </c>
      <c r="CG34" s="101">
        <v>4310</v>
      </c>
      <c r="CH34" s="97">
        <v>42</v>
      </c>
      <c r="CI34" s="102">
        <v>4525.5</v>
      </c>
      <c r="CJ34" s="103">
        <v>13037.75</v>
      </c>
      <c r="CK34" s="104">
        <v>215.5</v>
      </c>
      <c r="CL34" s="105"/>
      <c r="CM34" s="72">
        <v>34858</v>
      </c>
      <c r="CN34" s="81">
        <v>4</v>
      </c>
      <c r="CO34" s="91">
        <v>9.76</v>
      </c>
      <c r="CP34" s="72">
        <v>34300</v>
      </c>
      <c r="CQ34" s="81">
        <v>0</v>
      </c>
      <c r="CR34" s="91">
        <v>0</v>
      </c>
      <c r="CS34" s="78">
        <v>10235.6</v>
      </c>
      <c r="CT34" s="81">
        <v>0</v>
      </c>
      <c r="CU34" s="91">
        <v>0</v>
      </c>
      <c r="CV34" s="78">
        <v>832351</v>
      </c>
      <c r="CW34" s="81">
        <v>0</v>
      </c>
      <c r="CX34" s="91">
        <v>0</v>
      </c>
      <c r="CY34" s="72">
        <v>6232</v>
      </c>
      <c r="CZ34" s="81">
        <v>3</v>
      </c>
      <c r="DA34" s="91">
        <v>7.17</v>
      </c>
      <c r="DB34" s="72">
        <v>7439</v>
      </c>
      <c r="DC34" s="81">
        <v>0</v>
      </c>
      <c r="DD34" s="81">
        <v>0</v>
      </c>
      <c r="DE34" s="78">
        <v>4370</v>
      </c>
      <c r="DF34" s="81">
        <v>5</v>
      </c>
      <c r="DG34" s="81">
        <v>0</v>
      </c>
      <c r="DH34" s="72">
        <v>1855.9</v>
      </c>
      <c r="DI34" s="81">
        <v>0</v>
      </c>
      <c r="DJ34" s="81">
        <v>0</v>
      </c>
      <c r="DK34" s="72">
        <v>5081.7</v>
      </c>
      <c r="DL34" s="81">
        <v>0</v>
      </c>
      <c r="DM34" s="81">
        <v>0</v>
      </c>
      <c r="DN34" s="72">
        <v>4454.7</v>
      </c>
      <c r="DO34" s="81">
        <v>0</v>
      </c>
      <c r="DP34" s="81">
        <v>0</v>
      </c>
      <c r="DQ34" s="72">
        <v>5146.2</v>
      </c>
      <c r="DR34" s="81">
        <v>7.1999999999998181</v>
      </c>
      <c r="DS34" s="81">
        <v>3.8999999999996362</v>
      </c>
      <c r="DT34" s="72">
        <v>5223</v>
      </c>
      <c r="DU34" s="81">
        <v>8</v>
      </c>
      <c r="DV34" s="91">
        <v>19.12</v>
      </c>
      <c r="DW34" s="95">
        <v>12871</v>
      </c>
      <c r="DX34" s="91">
        <v>0</v>
      </c>
      <c r="DY34" s="95">
        <v>62789</v>
      </c>
      <c r="DZ34" s="107">
        <v>0</v>
      </c>
      <c r="EA34" s="72">
        <v>15588</v>
      </c>
      <c r="EB34" s="91">
        <v>0</v>
      </c>
      <c r="EC34" s="72">
        <v>24679</v>
      </c>
      <c r="ED34" s="107">
        <v>0</v>
      </c>
      <c r="EE34" s="72">
        <v>2</v>
      </c>
      <c r="EF34" s="72">
        <v>6</v>
      </c>
      <c r="EG34" s="108">
        <v>1.4999999999999999E-2</v>
      </c>
      <c r="EH34" s="58"/>
      <c r="EI34" s="58"/>
      <c r="EJ34" s="58"/>
      <c r="EK34"/>
      <c r="EL34"/>
      <c r="EM34"/>
    </row>
    <row r="35" spans="1:143" ht="15" x14ac:dyDescent="0.25">
      <c r="A35" s="64"/>
      <c r="B35" s="64"/>
      <c r="C35" s="66">
        <f>SUM(C4:C34)</f>
        <v>185229</v>
      </c>
      <c r="D35" s="64"/>
      <c r="E35" s="66">
        <f>SUM(E4:E34)</f>
        <v>168724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4236</v>
      </c>
      <c r="S35" s="64"/>
      <c r="T35" s="66">
        <f>SUM(T4:T34)</f>
        <v>676</v>
      </c>
      <c r="U35" s="64"/>
      <c r="V35" s="66">
        <f>SUM(V4:V34)</f>
        <v>1912</v>
      </c>
      <c r="W35" s="64"/>
      <c r="X35" s="64"/>
      <c r="Y35" s="66">
        <f>SUM(Y4:Y34)</f>
        <v>271</v>
      </c>
      <c r="AA35" s="64"/>
      <c r="AB35" s="64"/>
      <c r="AC35" s="66">
        <f>SUM(AC4:AC34)</f>
        <v>14</v>
      </c>
      <c r="AE35" s="64"/>
      <c r="AF35" s="64"/>
      <c r="AG35" s="64"/>
      <c r="AH35" s="64"/>
      <c r="AI35" s="66">
        <f>SUM(AI4:AI34)</f>
        <v>970</v>
      </c>
      <c r="AK35" s="66">
        <f t="shared" ref="AK35" si="42">SUM(AK4:AK34)</f>
        <v>79</v>
      </c>
      <c r="AM35" s="66">
        <f t="shared" ref="AM35" si="43">SUM(AM4:AM34)</f>
        <v>110</v>
      </c>
      <c r="AO35" s="66">
        <f t="shared" ref="AO35" si="44">SUM(AO4:AO34)</f>
        <v>7</v>
      </c>
      <c r="AQ35" s="66">
        <f t="shared" ref="AQ35" si="45">SUM(AQ4:AQ34)</f>
        <v>12</v>
      </c>
      <c r="AS35" s="66">
        <f t="shared" ref="AS35" si="46">SUM(AS4:AS34)</f>
        <v>8</v>
      </c>
      <c r="AU35" s="66">
        <f t="shared" ref="AU35" si="47">SUM(AU4:AU34)</f>
        <v>0</v>
      </c>
      <c r="AW35" s="66">
        <f t="shared" ref="AW35" si="48">SUM(AW4:AW34)</f>
        <v>1</v>
      </c>
      <c r="AY35" s="66">
        <f t="shared" ref="AY35" si="49">SUM(AY4:AY34)</f>
        <v>0</v>
      </c>
      <c r="BA35" s="66">
        <f t="shared" ref="BA35" si="50">SUM(BA4:BA34)</f>
        <v>3</v>
      </c>
      <c r="BC35" s="66">
        <f t="shared" ref="BC35" si="51">SUM(BC4:BC34)</f>
        <v>56</v>
      </c>
      <c r="BE35" s="66">
        <f t="shared" ref="BE35" si="52">SUM(BE4:BE34)</f>
        <v>0</v>
      </c>
      <c r="BG35" s="66">
        <f t="shared" ref="BG35" si="53">SUM(BG4:BG34)</f>
        <v>0</v>
      </c>
      <c r="BI35" s="66">
        <f t="shared" ref="BI35" si="54">SUM(BI4:BI34)</f>
        <v>0</v>
      </c>
      <c r="BJ35" s="66">
        <v>934</v>
      </c>
      <c r="BK35" s="64"/>
      <c r="BL35" s="64"/>
      <c r="BM35" s="66">
        <f t="shared" ref="BM35" si="55">SUM(BM4:BM34)</f>
        <v>1420</v>
      </c>
      <c r="BN35" s="64"/>
      <c r="BO35" s="66">
        <f t="shared" ref="BO35" si="56">SUM(BO4:BO34)</f>
        <v>35</v>
      </c>
      <c r="BP35" s="64"/>
      <c r="BQ35" s="66">
        <f t="shared" ref="BQ35" si="57">SUM(BQ4:BQ34)</f>
        <v>1530</v>
      </c>
      <c r="BS35" s="66">
        <f t="shared" ref="BS35" si="58">SUM(BS4:BS34)</f>
        <v>414</v>
      </c>
      <c r="BT35" s="66">
        <f t="shared" ref="BT35" si="59">SUM(BT4:BT34)</f>
        <v>560</v>
      </c>
      <c r="BU35" s="66">
        <f t="shared" ref="BU35" si="60">SUM(BU4:BU34)</f>
        <v>2950</v>
      </c>
      <c r="BV35" s="66">
        <f t="shared" ref="BV35" si="61">SUM(BV4:BV34)</f>
        <v>142</v>
      </c>
      <c r="BW35" s="14"/>
      <c r="BX35" s="64"/>
      <c r="BY35" s="64"/>
      <c r="BZ35" s="66">
        <f t="shared" ref="BZ35" si="62">SUM(BZ4:BZ34)</f>
        <v>0</v>
      </c>
      <c r="CB35" s="66">
        <f t="shared" ref="CB35:CC35" si="63">SUM(CB4:CB34)</f>
        <v>539</v>
      </c>
      <c r="CC35" s="66">
        <f t="shared" si="63"/>
        <v>3077.69</v>
      </c>
      <c r="CK35" s="66">
        <f t="shared" ref="CK35" si="64">SUM(CK4:CK34)</f>
        <v>3986.75</v>
      </c>
      <c r="CL35" s="64"/>
      <c r="CN35" s="66">
        <f t="shared" ref="CN35:CO35" si="65">SUM(CN4:CN34)</f>
        <v>106.90000000000146</v>
      </c>
      <c r="CO35" s="66">
        <f t="shared" si="65"/>
        <v>260.83600000000342</v>
      </c>
      <c r="CQ35" s="66">
        <f t="shared" ref="CQ35" si="66">SUM(CQ4:CQ34)</f>
        <v>0</v>
      </c>
      <c r="CR35" s="66">
        <f t="shared" ref="CR35" si="67">SUM(CR4:CR34)</f>
        <v>0</v>
      </c>
      <c r="CT35" s="66">
        <f t="shared" ref="CT35" si="68">SUM(CT4:CT34)</f>
        <v>0</v>
      </c>
      <c r="CU35" s="66">
        <f t="shared" ref="CU35" si="69">SUM(CU4:CU34)</f>
        <v>0</v>
      </c>
      <c r="CW35" s="66">
        <f t="shared" ref="CW35" si="70">SUM(CW4:CW34)</f>
        <v>71</v>
      </c>
      <c r="CX35" s="66">
        <f t="shared" ref="CX35" si="71">SUM(CX4:CX34)</f>
        <v>173.24</v>
      </c>
      <c r="CZ35" s="66">
        <f t="shared" ref="CZ35" si="72">SUM(CZ4:CZ34)</f>
        <v>73</v>
      </c>
      <c r="DA35" s="66">
        <f t="shared" ref="DA35" si="73">SUM(DA4:DA34)</f>
        <v>174.46999999999994</v>
      </c>
      <c r="DC35" s="66">
        <f t="shared" ref="DC35" si="74">SUM(DC4:DC34)</f>
        <v>4</v>
      </c>
      <c r="DD35" s="66">
        <f t="shared" ref="DD35" si="75">SUM(DD4:DD34)</f>
        <v>4</v>
      </c>
      <c r="DF35" s="66">
        <f t="shared" ref="DF35" si="76">SUM(DF4:DF34)</f>
        <v>156</v>
      </c>
      <c r="DG35" s="66">
        <f t="shared" ref="DG35" si="77">SUM(DG4:DG34)</f>
        <v>65</v>
      </c>
      <c r="DI35" s="66">
        <f t="shared" ref="DI35" si="78">SUM(DI4:DI34)</f>
        <v>0</v>
      </c>
      <c r="DJ35" s="66">
        <f t="shared" ref="DJ35" si="79">SUM(DJ4:DJ34)</f>
        <v>0</v>
      </c>
      <c r="DL35" s="66">
        <f t="shared" ref="DL35" si="80">SUM(DL4:DL34)</f>
        <v>0</v>
      </c>
      <c r="DM35" s="66">
        <f t="shared" ref="DM35" si="81">SUM(DM4:DM34)</f>
        <v>0</v>
      </c>
      <c r="DO35" s="66">
        <f t="shared" ref="DO35" si="82">SUM(DO4:DO34)</f>
        <v>0</v>
      </c>
      <c r="DP35" s="66">
        <f t="shared" ref="DP35" si="83">SUM(DP4:DP34)</f>
        <v>0</v>
      </c>
      <c r="DR35" s="66">
        <f t="shared" ref="DR35" si="84">SUM(DR4:DR34)</f>
        <v>56.599999999999454</v>
      </c>
      <c r="DS35" s="66">
        <f t="shared" ref="DS35" si="85">SUM(DS4:DS34)</f>
        <v>14.599999999998545</v>
      </c>
      <c r="DU35" s="66">
        <f t="shared" ref="DU35" si="86">SUM(DU4:DU34)</f>
        <v>113.89999999999964</v>
      </c>
      <c r="DV35" s="66">
        <f t="shared" ref="DV35:DX35" si="87">SUM(DV4:DV34)</f>
        <v>272.22099999999909</v>
      </c>
      <c r="DW35" s="14"/>
      <c r="DX35" s="66">
        <f t="shared" si="87"/>
        <v>0</v>
      </c>
      <c r="DY35" s="14"/>
      <c r="DZ35" s="66">
        <f t="shared" ref="DZ35" si="88">SUM(DZ4:DZ34)</f>
        <v>0</v>
      </c>
      <c r="EA35" s="14"/>
      <c r="EB35" s="66">
        <f t="shared" ref="EB35" si="89">SUM(EB4:EB34)</f>
        <v>0</v>
      </c>
      <c r="EC35" s="14"/>
      <c r="ED35" s="66">
        <f t="shared" ref="ED35" si="90">SUM(ED4:ED34)</f>
        <v>0</v>
      </c>
      <c r="EE35" s="66">
        <f t="shared" ref="EE35" si="91">SUM(EE4:EE34)</f>
        <v>62</v>
      </c>
      <c r="EF35" s="66">
        <f t="shared" ref="EF35" si="92">SUM(EF4:EF34)</f>
        <v>186</v>
      </c>
      <c r="EG35" s="58"/>
      <c r="EH35" s="58"/>
      <c r="EI35" s="58"/>
      <c r="EJ35" s="58"/>
      <c r="EK35"/>
      <c r="EL35"/>
      <c r="EM35"/>
    </row>
    <row r="36" spans="1:143" ht="15" x14ac:dyDescent="0.2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x14ac:dyDescent="0.2">
      <c r="A44" s="21"/>
      <c r="D44" s="8"/>
    </row>
    <row r="45" spans="1:143" ht="39.75" customHeight="1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  <c r="D51" s="8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  <row r="55" spans="1:4" x14ac:dyDescent="0.2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1081" priority="9035" operator="lessThan">
      <formula>0</formula>
    </cfRule>
  </conditionalFormatting>
  <conditionalFormatting sqref="I36:J36">
    <cfRule type="cellIs" dxfId="1080" priority="5268" operator="lessThan">
      <formula>0</formula>
    </cfRule>
  </conditionalFormatting>
  <conditionalFormatting sqref="M36:N36">
    <cfRule type="cellIs" dxfId="1079" priority="5261" operator="lessThan">
      <formula>0</formula>
    </cfRule>
  </conditionalFormatting>
  <conditionalFormatting sqref="AJ36:AK36 AJ35 AL35 AN35 AP35 AR35 AT35 AV35 AX35 AZ35 BB35 BD35 BF35 BH35">
    <cfRule type="cellIs" dxfId="1078" priority="5254" operator="lessThan">
      <formula>0</formula>
    </cfRule>
  </conditionalFormatting>
  <conditionalFormatting sqref="BN36:BO36">
    <cfRule type="cellIs" dxfId="1077" priority="5244" operator="lessThan">
      <formula>0</formula>
    </cfRule>
  </conditionalFormatting>
  <conditionalFormatting sqref="BR36:BS36 BR35">
    <cfRule type="cellIs" dxfId="1076" priority="5235" operator="lessThan">
      <formula>0</formula>
    </cfRule>
  </conditionalFormatting>
  <conditionalFormatting sqref="BU36:BV36">
    <cfRule type="cellIs" dxfId="1075" priority="5224" operator="lessThan">
      <formula>0</formula>
    </cfRule>
  </conditionalFormatting>
  <conditionalFormatting sqref="EH36:EL36">
    <cfRule type="cellIs" dxfId="1074" priority="5213" operator="lessThan">
      <formula>0</formula>
    </cfRule>
  </conditionalFormatting>
  <conditionalFormatting sqref="A1:H1 L1 AL1:BN1 BP1:BQ1 AB1:AJ1 BT1:XFD1">
    <cfRule type="cellIs" dxfId="1073" priority="5153" operator="lessThan">
      <formula>0</formula>
    </cfRule>
  </conditionalFormatting>
  <conditionalFormatting sqref="BR1">
    <cfRule type="cellIs" dxfId="1072" priority="5152" operator="lessThan">
      <formula>0</formula>
    </cfRule>
  </conditionalFormatting>
  <conditionalFormatting sqref="Z1:AA1">
    <cfRule type="cellIs" dxfId="1071" priority="5151" operator="lessThan">
      <formula>0</formula>
    </cfRule>
  </conditionalFormatting>
  <conditionalFormatting sqref="AB2:XFD2 EK18:EN18 EK4:EM15 EK17:EM17">
    <cfRule type="cellIs" dxfId="1070" priority="5147" operator="lessThan">
      <formula>0</formula>
    </cfRule>
  </conditionalFormatting>
  <conditionalFormatting sqref="Z2:AA2">
    <cfRule type="cellIs" dxfId="1069" priority="5090" operator="lessThan">
      <formula>0</formula>
    </cfRule>
  </conditionalFormatting>
  <conditionalFormatting sqref="EN4:XFD15 EN19:XFD19 EO18:XFD18 EN17:XFD17 EQ16:XFD16">
    <cfRule type="cellIs" dxfId="1068" priority="4094" operator="lessThan">
      <formula>0</formula>
    </cfRule>
  </conditionalFormatting>
  <conditionalFormatting sqref="EK20:EM35 EM36">
    <cfRule type="cellIs" dxfId="1067" priority="2751" operator="lessThan">
      <formula>0</formula>
    </cfRule>
  </conditionalFormatting>
  <conditionalFormatting sqref="EN20:XFD32">
    <cfRule type="cellIs" dxfId="1066" priority="2750" operator="lessThan">
      <formula>0</formula>
    </cfRule>
  </conditionalFormatting>
  <conditionalFormatting sqref="EN33:XFD34">
    <cfRule type="cellIs" dxfId="1065" priority="2670" operator="lessThan">
      <formula>0</formula>
    </cfRule>
  </conditionalFormatting>
  <conditionalFormatting sqref="U19">
    <cfRule type="cellIs" dxfId="1064" priority="1726" operator="lessThan">
      <formula>0</formula>
    </cfRule>
  </conditionalFormatting>
  <conditionalFormatting sqref="DV34">
    <cfRule type="cellIs" dxfId="1063" priority="1476" operator="lessThan">
      <formula>0</formula>
    </cfRule>
  </conditionalFormatting>
  <conditionalFormatting sqref="DG34">
    <cfRule type="cellIs" dxfId="1062" priority="1475" operator="lessThan">
      <formula>0</formula>
    </cfRule>
  </conditionalFormatting>
  <conditionalFormatting sqref="DJ34">
    <cfRule type="cellIs" dxfId="1061" priority="1474" operator="lessThan">
      <formula>0</formula>
    </cfRule>
  </conditionalFormatting>
  <conditionalFormatting sqref="DM34">
    <cfRule type="cellIs" dxfId="1060" priority="1473" operator="lessThan">
      <formula>0</formula>
    </cfRule>
  </conditionalFormatting>
  <conditionalFormatting sqref="DP34">
    <cfRule type="cellIs" dxfId="1059" priority="1472" operator="lessThan">
      <formula>0</formula>
    </cfRule>
  </conditionalFormatting>
  <conditionalFormatting sqref="DW34">
    <cfRule type="cellIs" dxfId="1058" priority="1486" operator="lessThan">
      <formula>0</formula>
    </cfRule>
  </conditionalFormatting>
  <conditionalFormatting sqref="DY34">
    <cfRule type="cellIs" dxfId="1057" priority="1485" operator="lessThan">
      <formula>0</formula>
    </cfRule>
  </conditionalFormatting>
  <conditionalFormatting sqref="ED34">
    <cfRule type="cellIs" dxfId="1056" priority="1469" operator="lessThan">
      <formula>0</formula>
    </cfRule>
  </conditionalFormatting>
  <conditionalFormatting sqref="BQ34">
    <cfRule type="cellIs" dxfId="1055" priority="1468" operator="lessThan">
      <formula>0</formula>
    </cfRule>
  </conditionalFormatting>
  <conditionalFormatting sqref="BT34:BV34">
    <cfRule type="cellIs" dxfId="1054" priority="1467" operator="lessThan">
      <formula>0</formula>
    </cfRule>
  </conditionalFormatting>
  <conditionalFormatting sqref="BS34">
    <cfRule type="cellIs" dxfId="1053" priority="1466" operator="lessThan">
      <formula>0</formula>
    </cfRule>
  </conditionalFormatting>
  <conditionalFormatting sqref="BX34">
    <cfRule type="cellIs" dxfId="1052" priority="1465" operator="lessThan">
      <formula>0</formula>
    </cfRule>
  </conditionalFormatting>
  <conditionalFormatting sqref="BZ34">
    <cfRule type="cellIs" dxfId="1051" priority="1464" operator="lessThan">
      <formula>0</formula>
    </cfRule>
  </conditionalFormatting>
  <conditionalFormatting sqref="CC34">
    <cfRule type="cellIs" dxfId="1050" priority="1462" operator="lessThan">
      <formula>0</formula>
    </cfRule>
  </conditionalFormatting>
  <conditionalFormatting sqref="CG34">
    <cfRule type="cellIs" dxfId="1049" priority="1461" operator="lessThan">
      <formula>0</formula>
    </cfRule>
  </conditionalFormatting>
  <conditionalFormatting sqref="DX34 CD34 AN34 DE34 CV34 CS34 BR34 BP34 BY34 AL34 BW34 CF34 CH34 CA34 CL34:CM34 Z34 DT34 DQ34 DN34 DH34 CP34 AF34:AH34 CY34 DK34 DB34 AT34 AB34 AD34 AJ34 AP34 AV34 AX34 AZ34 BB34 BD34 BF34:BH34 BJ34:BK34">
    <cfRule type="cellIs" dxfId="1048" priority="1491" operator="lessThan">
      <formula>0</formula>
    </cfRule>
  </conditionalFormatting>
  <conditionalFormatting sqref="EE34:EG34">
    <cfRule type="cellIs" dxfId="1047" priority="1489" operator="lessThan">
      <formula>0</formula>
    </cfRule>
  </conditionalFormatting>
  <conditionalFormatting sqref="X34">
    <cfRule type="cellIs" dxfId="1046" priority="1488" operator="lessThan">
      <formula>0</formula>
    </cfRule>
  </conditionalFormatting>
  <conditionalFormatting sqref="DZ34">
    <cfRule type="cellIs" dxfId="1045" priority="1487" operator="lessThan">
      <formula>0</formula>
    </cfRule>
  </conditionalFormatting>
  <conditionalFormatting sqref="EA34">
    <cfRule type="cellIs" dxfId="1044" priority="1484" operator="lessThan">
      <formula>0</formula>
    </cfRule>
  </conditionalFormatting>
  <conditionalFormatting sqref="EA34">
    <cfRule type="cellIs" dxfId="1043" priority="1483" operator="lessThan">
      <formula>0</formula>
    </cfRule>
  </conditionalFormatting>
  <conditionalFormatting sqref="EC34">
    <cfRule type="cellIs" dxfId="1042" priority="1481" operator="lessThan">
      <formula>0</formula>
    </cfRule>
  </conditionalFormatting>
  <conditionalFormatting sqref="EC34">
    <cfRule type="cellIs" dxfId="1041" priority="1482" operator="lessThan">
      <formula>0</formula>
    </cfRule>
  </conditionalFormatting>
  <conditionalFormatting sqref="BL34">
    <cfRule type="cellIs" dxfId="1040" priority="1479" operator="lessThan">
      <formula>0</formula>
    </cfRule>
  </conditionalFormatting>
  <conditionalFormatting sqref="DF34 DU34 DR34 DO34 CE34 CW34:CX34 CZ34 CT34:CU34 CN34:CO34 CJ34:CK34 DC34:DD34 DI34 DL34 CQ34:CR34">
    <cfRule type="cellIs" dxfId="1039" priority="1478" operator="lessThan">
      <formula>0</formula>
    </cfRule>
  </conditionalFormatting>
  <conditionalFormatting sqref="DA34">
    <cfRule type="cellIs" dxfId="1038" priority="1477" operator="lessThan">
      <formula>0</formula>
    </cfRule>
  </conditionalFormatting>
  <conditionalFormatting sqref="DS34">
    <cfRule type="cellIs" dxfId="1037" priority="1471" operator="lessThan">
      <formula>0</formula>
    </cfRule>
  </conditionalFormatting>
  <conditionalFormatting sqref="EB34">
    <cfRule type="cellIs" dxfId="1036" priority="1470" operator="lessThan">
      <formula>0</formula>
    </cfRule>
  </conditionalFormatting>
  <conditionalFormatting sqref="CB34">
    <cfRule type="cellIs" dxfId="1035" priority="1463" operator="lessThan">
      <formula>0</formula>
    </cfRule>
  </conditionalFormatting>
  <conditionalFormatting sqref="CI34">
    <cfRule type="cellIs" dxfId="1034" priority="1460" operator="lessThan">
      <formula>0</formula>
    </cfRule>
  </conditionalFormatting>
  <conditionalFormatting sqref="AR34">
    <cfRule type="cellIs" dxfId="1033" priority="1459" operator="lessThan">
      <formula>0</formula>
    </cfRule>
  </conditionalFormatting>
  <conditionalFormatting sqref="Y34 AA34 AC34 AI34 AO34 AQ34 AS34 AU34 AW34 AY34 BA34 BC34 BE34 BI34">
    <cfRule type="cellIs" dxfId="1032" priority="1385" operator="lessThan">
      <formula>0</formula>
    </cfRule>
  </conditionalFormatting>
  <conditionalFormatting sqref="AK34">
    <cfRule type="cellIs" dxfId="1031" priority="1372" operator="lessThan">
      <formula>0</formula>
    </cfRule>
  </conditionalFormatting>
  <conditionalFormatting sqref="AE34 AM34 BM34">
    <cfRule type="cellIs" dxfId="1030" priority="1365" operator="lessThan">
      <formula>0</formula>
    </cfRule>
  </conditionalFormatting>
  <conditionalFormatting sqref="EH8:EH10">
    <cfRule type="cellIs" dxfId="1029" priority="1263" operator="lessThan">
      <formula>0</formula>
    </cfRule>
  </conditionalFormatting>
  <conditionalFormatting sqref="U11:U15 G11:H15 B11:B15 D11:D15 R11:R15 O11">
    <cfRule type="cellIs" dxfId="1028" priority="1215" operator="lessThan">
      <formula>0</formula>
    </cfRule>
  </conditionalFormatting>
  <conditionalFormatting sqref="I15">
    <cfRule type="cellIs" dxfId="1027" priority="1212" operator="lessThan">
      <formula>0</formula>
    </cfRule>
  </conditionalFormatting>
  <conditionalFormatting sqref="S15">
    <cfRule type="cellIs" dxfId="1026" priority="1211" operator="lessThan">
      <formula>0</formula>
    </cfRule>
  </conditionalFormatting>
  <conditionalFormatting sqref="S11:S14">
    <cfRule type="cellIs" dxfId="1025" priority="1210" operator="lessThan">
      <formula>0</formula>
    </cfRule>
  </conditionalFormatting>
  <conditionalFormatting sqref="K15">
    <cfRule type="cellIs" dxfId="1024" priority="1209" operator="lessThan">
      <formula>0</formula>
    </cfRule>
  </conditionalFormatting>
  <conditionalFormatting sqref="O15">
    <cfRule type="cellIs" dxfId="1023" priority="1208" operator="lessThan">
      <formula>0</formula>
    </cfRule>
  </conditionalFormatting>
  <conditionalFormatting sqref="Q11:Q15">
    <cfRule type="cellIs" dxfId="1022" priority="1207" operator="lessThan">
      <formula>0</formula>
    </cfRule>
  </conditionalFormatting>
  <conditionalFormatting sqref="L11:L15">
    <cfRule type="cellIs" dxfId="1021" priority="1206" operator="lessThan">
      <formula>0</formula>
    </cfRule>
  </conditionalFormatting>
  <conditionalFormatting sqref="R11:R15">
    <cfRule type="cellIs" dxfId="1020" priority="1205" operator="lessThan">
      <formula>0</formula>
    </cfRule>
  </conditionalFormatting>
  <conditionalFormatting sqref="M15">
    <cfRule type="cellIs" dxfId="1019" priority="1204" operator="lessThan">
      <formula>0</formula>
    </cfRule>
  </conditionalFormatting>
  <conditionalFormatting sqref="E11:E15 C11:C15">
    <cfRule type="cellIs" dxfId="1018" priority="1203" operator="lessThan">
      <formula>0</formula>
    </cfRule>
  </conditionalFormatting>
  <conditionalFormatting sqref="F11:F15">
    <cfRule type="cellIs" dxfId="1017" priority="1202" operator="lessThan">
      <formula>0</formula>
    </cfRule>
  </conditionalFormatting>
  <conditionalFormatting sqref="J11:J15">
    <cfRule type="cellIs" dxfId="1016" priority="1201" operator="lessThan">
      <formula>0</formula>
    </cfRule>
  </conditionalFormatting>
  <conditionalFormatting sqref="N11:N15">
    <cfRule type="cellIs" dxfId="1015" priority="1200" operator="lessThan">
      <formula>0</formula>
    </cfRule>
  </conditionalFormatting>
  <conditionalFormatting sqref="P11:P15">
    <cfRule type="cellIs" dxfId="1014" priority="1199" operator="lessThan">
      <formula>0</formula>
    </cfRule>
  </conditionalFormatting>
  <conditionalFormatting sqref="T11:T15">
    <cfRule type="cellIs" dxfId="1013" priority="1198" operator="lessThan">
      <formula>0</formula>
    </cfRule>
  </conditionalFormatting>
  <conditionalFormatting sqref="T11:T15">
    <cfRule type="cellIs" dxfId="1012" priority="1197" operator="lessThan">
      <formula>0</formula>
    </cfRule>
  </conditionalFormatting>
  <conditionalFormatting sqref="K11">
    <cfRule type="cellIs" dxfId="1011" priority="1196" operator="lessThan">
      <formula>0</formula>
    </cfRule>
  </conditionalFormatting>
  <conditionalFormatting sqref="M11">
    <cfRule type="cellIs" dxfId="1010" priority="1195" operator="lessThan">
      <formula>0</formula>
    </cfRule>
  </conditionalFormatting>
  <conditionalFormatting sqref="I11">
    <cfRule type="cellIs" dxfId="1009" priority="1194" operator="lessThan">
      <formula>0</formula>
    </cfRule>
  </conditionalFormatting>
  <conditionalFormatting sqref="I14">
    <cfRule type="cellIs" dxfId="1008" priority="1193" operator="lessThan">
      <formula>0</formula>
    </cfRule>
  </conditionalFormatting>
  <conditionalFormatting sqref="K14">
    <cfRule type="cellIs" dxfId="1007" priority="1192" operator="lessThan">
      <formula>0</formula>
    </cfRule>
  </conditionalFormatting>
  <conditionalFormatting sqref="M14">
    <cfRule type="cellIs" dxfId="1006" priority="1191" operator="lessThan">
      <formula>0</formula>
    </cfRule>
  </conditionalFormatting>
  <conditionalFormatting sqref="O14">
    <cfRule type="cellIs" dxfId="1005" priority="1190" operator="lessThan">
      <formula>0</formula>
    </cfRule>
  </conditionalFormatting>
  <conditionalFormatting sqref="V11:V15">
    <cfRule type="cellIs" dxfId="1004" priority="1188" operator="lessThan">
      <formula>0</formula>
    </cfRule>
  </conditionalFormatting>
  <conditionalFormatting sqref="V11:V15">
    <cfRule type="cellIs" dxfId="1003" priority="1187" operator="lessThan">
      <formula>0</formula>
    </cfRule>
  </conditionalFormatting>
  <conditionalFormatting sqref="I12">
    <cfRule type="cellIs" dxfId="1002" priority="1186" operator="lessThan">
      <formula>0</formula>
    </cfRule>
  </conditionalFormatting>
  <conditionalFormatting sqref="K12">
    <cfRule type="cellIs" dxfId="1001" priority="1185" operator="lessThan">
      <formula>0</formula>
    </cfRule>
  </conditionalFormatting>
  <conditionalFormatting sqref="M12">
    <cfRule type="cellIs" dxfId="1000" priority="1184" operator="lessThan">
      <formula>0</formula>
    </cfRule>
  </conditionalFormatting>
  <conditionalFormatting sqref="O12">
    <cfRule type="cellIs" dxfId="999" priority="1183" operator="lessThan">
      <formula>0</formula>
    </cfRule>
  </conditionalFormatting>
  <conditionalFormatting sqref="I13">
    <cfRule type="cellIs" dxfId="998" priority="1182" operator="lessThan">
      <formula>0</formula>
    </cfRule>
  </conditionalFormatting>
  <conditionalFormatting sqref="K13">
    <cfRule type="cellIs" dxfId="997" priority="1181" operator="lessThan">
      <formula>0</formula>
    </cfRule>
  </conditionalFormatting>
  <conditionalFormatting sqref="M13">
    <cfRule type="cellIs" dxfId="996" priority="1180" operator="lessThan">
      <formula>0</formula>
    </cfRule>
  </conditionalFormatting>
  <conditionalFormatting sqref="O13">
    <cfRule type="cellIs" dxfId="995" priority="1179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4" priority="1169" operator="lessThan">
      <formula>0</formula>
    </cfRule>
  </conditionalFormatting>
  <conditionalFormatting sqref="EC13:EC15">
    <cfRule type="cellIs" dxfId="993" priority="1163" operator="lessThan">
      <formula>0</formula>
    </cfRule>
  </conditionalFormatting>
  <conditionalFormatting sqref="EC15">
    <cfRule type="cellIs" dxfId="992" priority="1162" operator="lessThan">
      <formula>0</formula>
    </cfRule>
  </conditionalFormatting>
  <conditionalFormatting sqref="EE11:EE14 EE15:EF15 EG12:EG16">
    <cfRule type="cellIs" dxfId="991" priority="1161" operator="lessThan">
      <formula>0</formula>
    </cfRule>
  </conditionalFormatting>
  <conditionalFormatting sqref="EC11:EC12">
    <cfRule type="cellIs" dxfId="990" priority="1160" operator="lessThan">
      <formula>0</formula>
    </cfRule>
  </conditionalFormatting>
  <conditionalFormatting sqref="Z11:Z15">
    <cfRule type="cellIs" dxfId="989" priority="1159" operator="lessThan">
      <formula>0</formula>
    </cfRule>
  </conditionalFormatting>
  <conditionalFormatting sqref="AV11:AV15 AX11:AX15 DQ11:DQ15 DT11:DT15 CV12:CV13 AZ11:AZ15">
    <cfRule type="cellIs" dxfId="988" priority="1157" operator="lessThan">
      <formula>0</formula>
    </cfRule>
  </conditionalFormatting>
  <conditionalFormatting sqref="X11:X15">
    <cfRule type="cellIs" dxfId="987" priority="1156" operator="lessThan">
      <formula>0</formula>
    </cfRule>
  </conditionalFormatting>
  <conditionalFormatting sqref="DW11:DW15 DY11:DY15 EA11:EA15">
    <cfRule type="cellIs" dxfId="986" priority="1155" operator="lessThan">
      <formula>0</formula>
    </cfRule>
  </conditionalFormatting>
  <conditionalFormatting sqref="EA11:EA15">
    <cfRule type="cellIs" dxfId="985" priority="1154" operator="lessThan">
      <formula>0</formula>
    </cfRule>
  </conditionalFormatting>
  <conditionalFormatting sqref="EF11:EF14">
    <cfRule type="cellIs" dxfId="984" priority="1153" operator="lessThan">
      <formula>0</formula>
    </cfRule>
  </conditionalFormatting>
  <conditionalFormatting sqref="AK11:AK15">
    <cfRule type="cellIs" dxfId="983" priority="1149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82" priority="1148" operator="lessThan">
      <formula>0</formula>
    </cfRule>
  </conditionalFormatting>
  <conditionalFormatting sqref="EG11">
    <cfRule type="cellIs" dxfId="981" priority="1147" operator="lessThan">
      <formula>0</formula>
    </cfRule>
  </conditionalFormatting>
  <conditionalFormatting sqref="DA11:DA15">
    <cfRule type="cellIs" dxfId="980" priority="1146" operator="lessThan">
      <formula>0</formula>
    </cfRule>
  </conditionalFormatting>
  <conditionalFormatting sqref="DV11:DV15">
    <cfRule type="cellIs" dxfId="979" priority="1145" operator="lessThan">
      <formula>0</formula>
    </cfRule>
  </conditionalFormatting>
  <conditionalFormatting sqref="DG11:DG15">
    <cfRule type="cellIs" dxfId="978" priority="1144" operator="lessThan">
      <formula>0</formula>
    </cfRule>
  </conditionalFormatting>
  <conditionalFormatting sqref="DJ11:DJ15">
    <cfRule type="cellIs" dxfId="977" priority="1143" operator="lessThan">
      <formula>0</formula>
    </cfRule>
  </conditionalFormatting>
  <conditionalFormatting sqref="DM11:DM15">
    <cfRule type="cellIs" dxfId="976" priority="1142" operator="lessThan">
      <formula>0</formula>
    </cfRule>
  </conditionalFormatting>
  <conditionalFormatting sqref="DP11:DP15">
    <cfRule type="cellIs" dxfId="975" priority="1141" operator="lessThan">
      <formula>0</formula>
    </cfRule>
  </conditionalFormatting>
  <conditionalFormatting sqref="DS11:DS15">
    <cfRule type="cellIs" dxfId="974" priority="1140" operator="lessThan">
      <formula>0</formula>
    </cfRule>
  </conditionalFormatting>
  <conditionalFormatting sqref="DZ11:DZ15">
    <cfRule type="cellIs" dxfId="973" priority="1139" operator="lessThan">
      <formula>0</formula>
    </cfRule>
  </conditionalFormatting>
  <conditionalFormatting sqref="EB11:EB15">
    <cfRule type="cellIs" dxfId="972" priority="1138" operator="lessThan">
      <formula>0</formula>
    </cfRule>
  </conditionalFormatting>
  <conditionalFormatting sqref="ED11:ED15">
    <cfRule type="cellIs" dxfId="971" priority="1137" operator="lessThan">
      <formula>0</formula>
    </cfRule>
  </conditionalFormatting>
  <conditionalFormatting sqref="BO11:BO15">
    <cfRule type="cellIs" dxfId="970" priority="1136" operator="lessThan">
      <formula>0</formula>
    </cfRule>
  </conditionalFormatting>
  <conditionalFormatting sqref="BQ11:BQ15">
    <cfRule type="cellIs" dxfId="969" priority="1135" operator="lessThan">
      <formula>0</formula>
    </cfRule>
  </conditionalFormatting>
  <conditionalFormatting sqref="BT11:BV15">
    <cfRule type="cellIs" dxfId="968" priority="1134" operator="lessThan">
      <formula>0</formula>
    </cfRule>
  </conditionalFormatting>
  <conditionalFormatting sqref="BS11:BS15">
    <cfRule type="cellIs" dxfId="967" priority="1133" operator="lessThan">
      <formula>0</formula>
    </cfRule>
  </conditionalFormatting>
  <conditionalFormatting sqref="BX11:BX15">
    <cfRule type="cellIs" dxfId="966" priority="1132" operator="lessThan">
      <formula>0</formula>
    </cfRule>
  </conditionalFormatting>
  <conditionalFormatting sqref="BZ11:BZ15">
    <cfRule type="cellIs" dxfId="965" priority="1131" operator="lessThan">
      <formula>0</formula>
    </cfRule>
  </conditionalFormatting>
  <conditionalFormatting sqref="CB11:CB15">
    <cfRule type="cellIs" dxfId="964" priority="1130" operator="lessThan">
      <formula>0</formula>
    </cfRule>
  </conditionalFormatting>
  <conditionalFormatting sqref="CC11:CC15">
    <cfRule type="cellIs" dxfId="963" priority="1129" operator="lessThan">
      <formula>0</formula>
    </cfRule>
  </conditionalFormatting>
  <conditionalFormatting sqref="CG11:CG15">
    <cfRule type="cellIs" dxfId="962" priority="1128" operator="lessThan">
      <formula>0</formula>
    </cfRule>
  </conditionalFormatting>
  <conditionalFormatting sqref="CI11:CI15">
    <cfRule type="cellIs" dxfId="961" priority="1127" operator="lessThan">
      <formula>0</formula>
    </cfRule>
  </conditionalFormatting>
  <conditionalFormatting sqref="CV11">
    <cfRule type="cellIs" dxfId="960" priority="1126" operator="lessThan">
      <formula>0</formula>
    </cfRule>
  </conditionalFormatting>
  <conditionalFormatting sqref="BW11:BW15">
    <cfRule type="cellIs" dxfId="959" priority="1125" operator="lessThan">
      <formula>0</formula>
    </cfRule>
  </conditionalFormatting>
  <conditionalFormatting sqref="AT11:AT15">
    <cfRule type="cellIs" dxfId="958" priority="1124" operator="lessThan">
      <formula>0</formula>
    </cfRule>
  </conditionalFormatting>
  <conditionalFormatting sqref="R30:R31">
    <cfRule type="cellIs" dxfId="957" priority="1038" operator="lessThan">
      <formula>0</formula>
    </cfRule>
  </conditionalFormatting>
  <conditionalFormatting sqref="S31">
    <cfRule type="cellIs" dxfId="956" priority="1037" operator="lessThan">
      <formula>0</formula>
    </cfRule>
  </conditionalFormatting>
  <conditionalFormatting sqref="E30:E31 C30:C31">
    <cfRule type="cellIs" dxfId="955" priority="1036" operator="lessThan">
      <formula>0</formula>
    </cfRule>
  </conditionalFormatting>
  <conditionalFormatting sqref="S30 U24 B30:B31 D30:D31 R30:R31 U30:U31">
    <cfRule type="cellIs" dxfId="954" priority="1057" operator="lessThan">
      <formula>0</formula>
    </cfRule>
  </conditionalFormatting>
  <conditionalFormatting sqref="J30:J31">
    <cfRule type="cellIs" dxfId="953" priority="1034" operator="lessThan">
      <formula>0</formula>
    </cfRule>
  </conditionalFormatting>
  <conditionalFormatting sqref="V30:V31">
    <cfRule type="cellIs" dxfId="952" priority="1008" operator="lessThan">
      <formula>0</formula>
    </cfRule>
  </conditionalFormatting>
  <conditionalFormatting sqref="G30:H30">
    <cfRule type="cellIs" dxfId="951" priority="1047" operator="lessThan">
      <formula>0</formula>
    </cfRule>
  </conditionalFormatting>
  <conditionalFormatting sqref="G31:H31">
    <cfRule type="cellIs" dxfId="950" priority="1046" operator="lessThan">
      <formula>0</formula>
    </cfRule>
  </conditionalFormatting>
  <conditionalFormatting sqref="Q31">
    <cfRule type="cellIs" dxfId="949" priority="1045" operator="lessThan">
      <formula>0</formula>
    </cfRule>
  </conditionalFormatting>
  <conditionalFormatting sqref="Q30">
    <cfRule type="cellIs" dxfId="948" priority="1043" operator="lessThan">
      <formula>0</formula>
    </cfRule>
  </conditionalFormatting>
  <conditionalFormatting sqref="L30:L31">
    <cfRule type="cellIs" dxfId="947" priority="1040" operator="lessThan">
      <formula>0</formula>
    </cfRule>
  </conditionalFormatting>
  <conditionalFormatting sqref="N30:N31">
    <cfRule type="cellIs" dxfId="946" priority="1039" operator="lessThan">
      <formula>0</formula>
    </cfRule>
  </conditionalFormatting>
  <conditionalFormatting sqref="F30:F31">
    <cfRule type="cellIs" dxfId="945" priority="1035" operator="lessThan">
      <formula>0</formula>
    </cfRule>
  </conditionalFormatting>
  <conditionalFormatting sqref="P30:P31">
    <cfRule type="cellIs" dxfId="944" priority="1032" operator="lessThan">
      <formula>0</formula>
    </cfRule>
  </conditionalFormatting>
  <conditionalFormatting sqref="T30:T31">
    <cfRule type="cellIs" dxfId="943" priority="1031" operator="lessThan">
      <formula>0</formula>
    </cfRule>
  </conditionalFormatting>
  <conditionalFormatting sqref="T30:T31">
    <cfRule type="cellIs" dxfId="942" priority="1030" operator="lessThan">
      <formula>0</formula>
    </cfRule>
  </conditionalFormatting>
  <conditionalFormatting sqref="K30">
    <cfRule type="cellIs" dxfId="941" priority="1025" operator="lessThan">
      <formula>0</formula>
    </cfRule>
  </conditionalFormatting>
  <conditionalFormatting sqref="I31">
    <cfRule type="cellIs" dxfId="940" priority="1024" operator="lessThan">
      <formula>0</formula>
    </cfRule>
  </conditionalFormatting>
  <conditionalFormatting sqref="K31">
    <cfRule type="cellIs" dxfId="939" priority="1023" operator="lessThan">
      <formula>0</formula>
    </cfRule>
  </conditionalFormatting>
  <conditionalFormatting sqref="M31">
    <cfRule type="cellIs" dxfId="938" priority="1022" operator="lessThan">
      <formula>0</formula>
    </cfRule>
  </conditionalFormatting>
  <conditionalFormatting sqref="O31">
    <cfRule type="cellIs" dxfId="937" priority="1021" operator="lessThan">
      <formula>0</formula>
    </cfRule>
  </conditionalFormatting>
  <conditionalFormatting sqref="EE30:EG31">
    <cfRule type="cellIs" dxfId="936" priority="971" operator="lessThan">
      <formula>0</formula>
    </cfRule>
  </conditionalFormatting>
  <conditionalFormatting sqref="O33">
    <cfRule type="cellIs" dxfId="935" priority="990" operator="lessThan">
      <formula>0</formula>
    </cfRule>
  </conditionalFormatting>
  <conditionalFormatting sqref="C32:C33 E32:E33">
    <cfRule type="cellIs" dxfId="934" priority="989" operator="lessThan">
      <formula>0</formula>
    </cfRule>
  </conditionalFormatting>
  <conditionalFormatting sqref="F32:F33">
    <cfRule type="cellIs" dxfId="933" priority="988" operator="lessThan">
      <formula>0</formula>
    </cfRule>
  </conditionalFormatting>
  <conditionalFormatting sqref="J32:J33">
    <cfRule type="cellIs" dxfId="932" priority="987" operator="lessThan">
      <formula>0</formula>
    </cfRule>
  </conditionalFormatting>
  <conditionalFormatting sqref="V30:V31">
    <cfRule type="cellIs" dxfId="931" priority="1007" operator="lessThan">
      <formula>0</formula>
    </cfRule>
  </conditionalFormatting>
  <conditionalFormatting sqref="S32 R33 D32:D33 B32:B33 U32:U33">
    <cfRule type="cellIs" dxfId="930" priority="1006" operator="lessThan">
      <formula>0</formula>
    </cfRule>
  </conditionalFormatting>
  <conditionalFormatting sqref="G32:H32">
    <cfRule type="cellIs" dxfId="929" priority="1005" operator="lessThan">
      <formula>0</formula>
    </cfRule>
  </conditionalFormatting>
  <conditionalFormatting sqref="Q32">
    <cfRule type="cellIs" dxfId="928" priority="1004" operator="lessThan">
      <formula>0</formula>
    </cfRule>
  </conditionalFormatting>
  <conditionalFormatting sqref="G33:H33">
    <cfRule type="cellIs" dxfId="927" priority="1003" operator="lessThan">
      <formula>0</formula>
    </cfRule>
  </conditionalFormatting>
  <conditionalFormatting sqref="S33">
    <cfRule type="cellIs" dxfId="926" priority="1002" operator="lessThan">
      <formula>0</formula>
    </cfRule>
  </conditionalFormatting>
  <conditionalFormatting sqref="L32:L33">
    <cfRule type="cellIs" dxfId="925" priority="1001" operator="lessThan">
      <formula>0</formula>
    </cfRule>
  </conditionalFormatting>
  <conditionalFormatting sqref="N32:N33">
    <cfRule type="cellIs" dxfId="924" priority="1000" operator="lessThan">
      <formula>0</formula>
    </cfRule>
  </conditionalFormatting>
  <conditionalFormatting sqref="R33">
    <cfRule type="cellIs" dxfId="923" priority="999" operator="lessThan">
      <formula>0</formula>
    </cfRule>
  </conditionalFormatting>
  <conditionalFormatting sqref="Q33">
    <cfRule type="cellIs" dxfId="922" priority="998" operator="lessThan">
      <formula>0</formula>
    </cfRule>
  </conditionalFormatting>
  <conditionalFormatting sqref="V32:V33">
    <cfRule type="cellIs" dxfId="921" priority="985" operator="lessThan">
      <formula>0</formula>
    </cfRule>
  </conditionalFormatting>
  <conditionalFormatting sqref="I32">
    <cfRule type="cellIs" dxfId="920" priority="997" operator="lessThan">
      <formula>0</formula>
    </cfRule>
  </conditionalFormatting>
  <conditionalFormatting sqref="K32">
    <cfRule type="cellIs" dxfId="919" priority="996" operator="lessThan">
      <formula>0</formula>
    </cfRule>
  </conditionalFormatting>
  <conditionalFormatting sqref="M32">
    <cfRule type="cellIs" dxfId="918" priority="995" operator="lessThan">
      <formula>0</formula>
    </cfRule>
  </conditionalFormatting>
  <conditionalFormatting sqref="O32">
    <cfRule type="cellIs" dxfId="917" priority="994" operator="lessThan">
      <formula>0</formula>
    </cfRule>
  </conditionalFormatting>
  <conditionalFormatting sqref="I33">
    <cfRule type="cellIs" dxfId="916" priority="993" operator="lessThan">
      <formula>0</formula>
    </cfRule>
  </conditionalFormatting>
  <conditionalFormatting sqref="K33">
    <cfRule type="cellIs" dxfId="915" priority="992" operator="lessThan">
      <formula>0</formula>
    </cfRule>
  </conditionalFormatting>
  <conditionalFormatting sqref="M33">
    <cfRule type="cellIs" dxfId="914" priority="991" operator="lessThan">
      <formula>0</formula>
    </cfRule>
  </conditionalFormatting>
  <conditionalFormatting sqref="P32:P33">
    <cfRule type="cellIs" dxfId="913" priority="986" operator="lessThan">
      <formula>0</formula>
    </cfRule>
  </conditionalFormatting>
  <conditionalFormatting sqref="T33">
    <cfRule type="cellIs" dxfId="912" priority="984" operator="lessThan">
      <formula>0</formula>
    </cfRule>
  </conditionalFormatting>
  <conditionalFormatting sqref="T33">
    <cfRule type="cellIs" dxfId="911" priority="983" operator="lessThan">
      <formula>0</formula>
    </cfRule>
  </conditionalFormatting>
  <conditionalFormatting sqref="T32">
    <cfRule type="cellIs" dxfId="910" priority="982" operator="lessThan">
      <formula>0</formula>
    </cfRule>
  </conditionalFormatting>
  <conditionalFormatting sqref="R32">
    <cfRule type="cellIs" dxfId="909" priority="981" operator="lessThan">
      <formula>0</formula>
    </cfRule>
  </conditionalFormatting>
  <conditionalFormatting sqref="I30">
    <cfRule type="cellIs" dxfId="908" priority="979" operator="lessThan">
      <formula>0</formula>
    </cfRule>
  </conditionalFormatting>
  <conditionalFormatting sqref="M30">
    <cfRule type="cellIs" dxfId="907" priority="978" operator="lessThan">
      <formula>0</formula>
    </cfRule>
  </conditionalFormatting>
  <conditionalFormatting sqref="O30">
    <cfRule type="cellIs" dxfId="906" priority="977" operator="lessThan">
      <formula>0</formula>
    </cfRule>
  </conditionalFormatting>
  <conditionalFormatting sqref="W24">
    <cfRule type="cellIs" dxfId="905" priority="976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CS30:CS31 CV30:CV31 DE30:DE31 DX30:DX31 AF31:AJ31 AO31:AR31 CL30:CM31 Y31:AD31 CF30:CF31 CD30:CD31 AT31:BC31 Y30:AA30 AJ30 AP30 AS30:AS33 AT30 AX30:BA30 BF31 BI31:BL31 BJ30:BL30">
    <cfRule type="cellIs" dxfId="904" priority="975" operator="lessThan">
      <formula>0</formula>
    </cfRule>
  </conditionalFormatting>
  <conditionalFormatting sqref="EA30">
    <cfRule type="cellIs" dxfId="903" priority="974" operator="lessThan">
      <formula>0</formula>
    </cfRule>
  </conditionalFormatting>
  <conditionalFormatting sqref="CI30:CI31">
    <cfRule type="cellIs" dxfId="902" priority="922" operator="lessThan">
      <formula>0</formula>
    </cfRule>
  </conditionalFormatting>
  <conditionalFormatting sqref="DV30:DV31">
    <cfRule type="cellIs" dxfId="901" priority="940" operator="lessThan">
      <formula>0</formula>
    </cfRule>
  </conditionalFormatting>
  <conditionalFormatting sqref="X30:X31">
    <cfRule type="cellIs" dxfId="900" priority="963" operator="lessThan">
      <formula>0</formula>
    </cfRule>
  </conditionalFormatting>
  <conditionalFormatting sqref="DG30:DG31">
    <cfRule type="cellIs" dxfId="899" priority="939" operator="lessThan">
      <formula>0</formula>
    </cfRule>
  </conditionalFormatting>
  <conditionalFormatting sqref="EC30">
    <cfRule type="cellIs" dxfId="898" priority="951" operator="lessThan">
      <formula>0</formula>
    </cfRule>
  </conditionalFormatting>
  <conditionalFormatting sqref="EC30">
    <cfRule type="cellIs" dxfId="897" priority="950" operator="lessThan">
      <formula>0</formula>
    </cfRule>
  </conditionalFormatting>
  <conditionalFormatting sqref="AK30:AK31">
    <cfRule type="cellIs" dxfId="896" priority="949" operator="lessThan">
      <formula>0</formula>
    </cfRule>
  </conditionalFormatting>
  <conditionalFormatting sqref="DW31">
    <cfRule type="cellIs" dxfId="895" priority="948" operator="lessThan">
      <formula>0</formula>
    </cfRule>
  </conditionalFormatting>
  <conditionalFormatting sqref="DY31">
    <cfRule type="cellIs" dxfId="894" priority="947" operator="lessThan">
      <formula>0</formula>
    </cfRule>
  </conditionalFormatting>
  <conditionalFormatting sqref="EA31">
    <cfRule type="cellIs" dxfId="893" priority="946" operator="lessThan">
      <formula>0</formula>
    </cfRule>
  </conditionalFormatting>
  <conditionalFormatting sqref="EA31">
    <cfRule type="cellIs" dxfId="892" priority="945" operator="lessThan">
      <formula>0</formula>
    </cfRule>
  </conditionalFormatting>
  <conditionalFormatting sqref="EC31">
    <cfRule type="cellIs" dxfId="891" priority="944" operator="lessThan">
      <formula>0</formula>
    </cfRule>
  </conditionalFormatting>
  <conditionalFormatting sqref="EC31">
    <cfRule type="cellIs" dxfId="890" priority="943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9" priority="942" operator="lessThan">
      <formula>0</formula>
    </cfRule>
  </conditionalFormatting>
  <conditionalFormatting sqref="DA30:DA31">
    <cfRule type="cellIs" dxfId="888" priority="941" operator="lessThan">
      <formula>0</formula>
    </cfRule>
  </conditionalFormatting>
  <conditionalFormatting sqref="DJ30:DJ31">
    <cfRule type="cellIs" dxfId="887" priority="938" operator="lessThan">
      <formula>0</formula>
    </cfRule>
  </conditionalFormatting>
  <conditionalFormatting sqref="DM30:DM31">
    <cfRule type="cellIs" dxfId="886" priority="937" operator="lessThan">
      <formula>0</formula>
    </cfRule>
  </conditionalFormatting>
  <conditionalFormatting sqref="DP30:DP31">
    <cfRule type="cellIs" dxfId="885" priority="936" operator="lessThan">
      <formula>0</formula>
    </cfRule>
  </conditionalFormatting>
  <conditionalFormatting sqref="DS30:DS31">
    <cfRule type="cellIs" dxfId="884" priority="935" operator="lessThan">
      <formula>0</formula>
    </cfRule>
  </conditionalFormatting>
  <conditionalFormatting sqref="DZ30:DZ31">
    <cfRule type="cellIs" dxfId="883" priority="934" operator="lessThan">
      <formula>0</formula>
    </cfRule>
  </conditionalFormatting>
  <conditionalFormatting sqref="EB30:EB31">
    <cfRule type="cellIs" dxfId="882" priority="933" operator="lessThan">
      <formula>0</formula>
    </cfRule>
  </conditionalFormatting>
  <conditionalFormatting sqref="ED30:ED31">
    <cfRule type="cellIs" dxfId="881" priority="932" operator="lessThan">
      <formula>0</formula>
    </cfRule>
  </conditionalFormatting>
  <conditionalFormatting sqref="BQ30:BQ31">
    <cfRule type="cellIs" dxfId="880" priority="930" operator="lessThan">
      <formula>0</formula>
    </cfRule>
  </conditionalFormatting>
  <conditionalFormatting sqref="BT30:BV31">
    <cfRule type="cellIs" dxfId="879" priority="929" operator="lessThan">
      <formula>0</formula>
    </cfRule>
  </conditionalFormatting>
  <conditionalFormatting sqref="BS30:BS31">
    <cfRule type="cellIs" dxfId="878" priority="928" operator="lessThan">
      <formula>0</formula>
    </cfRule>
  </conditionalFormatting>
  <conditionalFormatting sqref="BX30:BX31">
    <cfRule type="cellIs" dxfId="877" priority="927" operator="lessThan">
      <formula>0</formula>
    </cfRule>
  </conditionalFormatting>
  <conditionalFormatting sqref="BZ30:BZ31">
    <cfRule type="cellIs" dxfId="876" priority="926" operator="lessThan">
      <formula>0</formula>
    </cfRule>
  </conditionalFormatting>
  <conditionalFormatting sqref="CB30:CB31">
    <cfRule type="cellIs" dxfId="875" priority="925" operator="lessThan">
      <formula>0</formula>
    </cfRule>
  </conditionalFormatting>
  <conditionalFormatting sqref="CC30:CC31">
    <cfRule type="cellIs" dxfId="874" priority="924" operator="lessThan">
      <formula>0</formula>
    </cfRule>
  </conditionalFormatting>
  <conditionalFormatting sqref="CG30:CG31">
    <cfRule type="cellIs" dxfId="873" priority="923" operator="lessThan">
      <formula>0</formula>
    </cfRule>
  </conditionalFormatting>
  <conditionalFormatting sqref="AF32:AH33 Y32:Z33 AB32:AD33">
    <cfRule type="cellIs" dxfId="872" priority="916" operator="lessThan">
      <formula>0</formula>
    </cfRule>
  </conditionalFormatting>
  <conditionalFormatting sqref="X32:X33">
    <cfRule type="cellIs" dxfId="871" priority="915" operator="lessThan">
      <formula>0</formula>
    </cfRule>
  </conditionalFormatting>
  <conditionalFormatting sqref="AE32:AE33">
    <cfRule type="cellIs" dxfId="870" priority="914" operator="lessThan">
      <formula>0</formula>
    </cfRule>
  </conditionalFormatting>
  <conditionalFormatting sqref="AL32:AL33 AJ32:AJ33 AP32:AP33 AR32:AR33 AV32:AV33 AX32:AX33 AZ32:AZ33 AT32:AT33">
    <cfRule type="cellIs" dxfId="869" priority="913" operator="lessThan">
      <formula>0</formula>
    </cfRule>
  </conditionalFormatting>
  <conditionalFormatting sqref="CA32:CA33 BY32:BY33 BB32:BB33 BR32:BR33 BP32:BP33 BW32:BW33 BD32:BD33 BF32:BF33 BH33">
    <cfRule type="cellIs" dxfId="868" priority="912" operator="lessThan">
      <formula>0</formula>
    </cfRule>
  </conditionalFormatting>
  <conditionalFormatting sqref="BL32:BL33">
    <cfRule type="cellIs" dxfId="867" priority="911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6" priority="910" operator="lessThan">
      <formula>0</formula>
    </cfRule>
  </conditionalFormatting>
  <conditionalFormatting sqref="DU32:DU33 DR32:DR33 DO32:DO33 DI32:DI33">
    <cfRule type="cellIs" dxfId="865" priority="909" operator="lessThan">
      <formula>0</formula>
    </cfRule>
  </conditionalFormatting>
  <conditionalFormatting sqref="DV32:DV33">
    <cfRule type="cellIs" dxfId="864" priority="908" operator="lessThan">
      <formula>0</formula>
    </cfRule>
  </conditionalFormatting>
  <conditionalFormatting sqref="DG32:DG33">
    <cfRule type="cellIs" dxfId="863" priority="907" operator="lessThan">
      <formula>0</formula>
    </cfRule>
  </conditionalFormatting>
  <conditionalFormatting sqref="DJ32:DJ33">
    <cfRule type="cellIs" dxfId="862" priority="906" operator="lessThan">
      <formula>0</formula>
    </cfRule>
  </conditionalFormatting>
  <conditionalFormatting sqref="DM32:DM33">
    <cfRule type="cellIs" dxfId="861" priority="905" operator="lessThan">
      <formula>0</formula>
    </cfRule>
  </conditionalFormatting>
  <conditionalFormatting sqref="DP32:DP33">
    <cfRule type="cellIs" dxfId="860" priority="904" operator="lessThan">
      <formula>0</formula>
    </cfRule>
  </conditionalFormatting>
  <conditionalFormatting sqref="DS32:DS33">
    <cfRule type="cellIs" dxfId="859" priority="903" operator="lessThan">
      <formula>0</formula>
    </cfRule>
  </conditionalFormatting>
  <conditionalFormatting sqref="DX32:DX33">
    <cfRule type="cellIs" dxfId="858" priority="902" operator="lessThan">
      <formula>0</formula>
    </cfRule>
  </conditionalFormatting>
  <conditionalFormatting sqref="EE32:EG33">
    <cfRule type="cellIs" dxfId="857" priority="901" operator="lessThan">
      <formula>0</formula>
    </cfRule>
  </conditionalFormatting>
  <conditionalFormatting sqref="DW32">
    <cfRule type="cellIs" dxfId="856" priority="900" operator="lessThan">
      <formula>0</formula>
    </cfRule>
  </conditionalFormatting>
  <conditionalFormatting sqref="DY32">
    <cfRule type="cellIs" dxfId="855" priority="899" operator="lessThan">
      <formula>0</formula>
    </cfRule>
  </conditionalFormatting>
  <conditionalFormatting sqref="EA32">
    <cfRule type="cellIs" dxfId="854" priority="898" operator="lessThan">
      <formula>0</formula>
    </cfRule>
  </conditionalFormatting>
  <conditionalFormatting sqref="EA32">
    <cfRule type="cellIs" dxfId="853" priority="897" operator="lessThan">
      <formula>0</formula>
    </cfRule>
  </conditionalFormatting>
  <conditionalFormatting sqref="EC32">
    <cfRule type="cellIs" dxfId="852" priority="895" operator="lessThan">
      <formula>0</formula>
    </cfRule>
  </conditionalFormatting>
  <conditionalFormatting sqref="EC32">
    <cfRule type="cellIs" dxfId="851" priority="896" operator="lessThan">
      <formula>0</formula>
    </cfRule>
  </conditionalFormatting>
  <conditionalFormatting sqref="DW33">
    <cfRule type="cellIs" dxfId="850" priority="894" operator="lessThan">
      <formula>0</formula>
    </cfRule>
  </conditionalFormatting>
  <conditionalFormatting sqref="DY33">
    <cfRule type="cellIs" dxfId="849" priority="893" operator="lessThan">
      <formula>0</formula>
    </cfRule>
  </conditionalFormatting>
  <conditionalFormatting sqref="EA33">
    <cfRule type="cellIs" dxfId="848" priority="892" operator="lessThan">
      <formula>0</formula>
    </cfRule>
  </conditionalFormatting>
  <conditionalFormatting sqref="EA33">
    <cfRule type="cellIs" dxfId="847" priority="891" operator="lessThan">
      <formula>0</formula>
    </cfRule>
  </conditionalFormatting>
  <conditionalFormatting sqref="EC33">
    <cfRule type="cellIs" dxfId="846" priority="889" operator="lessThan">
      <formula>0</formula>
    </cfRule>
  </conditionalFormatting>
  <conditionalFormatting sqref="EC33">
    <cfRule type="cellIs" dxfId="845" priority="890" operator="lessThan">
      <formula>0</formula>
    </cfRule>
  </conditionalFormatting>
  <conditionalFormatting sqref="DZ32:DZ33">
    <cfRule type="cellIs" dxfId="844" priority="888" operator="lessThan">
      <formula>0</formula>
    </cfRule>
  </conditionalFormatting>
  <conditionalFormatting sqref="EB32:EB33">
    <cfRule type="cellIs" dxfId="843" priority="887" operator="lessThan">
      <formula>0</formula>
    </cfRule>
  </conditionalFormatting>
  <conditionalFormatting sqref="ED32:ED33">
    <cfRule type="cellIs" dxfId="842" priority="886" operator="lessThan">
      <formula>0</formula>
    </cfRule>
  </conditionalFormatting>
  <conditionalFormatting sqref="DL32:DL33 DC32:DD33">
    <cfRule type="cellIs" dxfId="841" priority="885" operator="lessThan">
      <formula>0</formula>
    </cfRule>
  </conditionalFormatting>
  <conditionalFormatting sqref="AI32:AI33 AA32:AA33 AO32:AO33 AQ32:AQ33 AU32:AU33 AW32:AW33 AY32:AY33 BA32:BA33 BC32:BC33 BE32:BE33 BG32:BG33 BI32:BK33">
    <cfRule type="cellIs" dxfId="840" priority="884" operator="lessThan">
      <formula>0</formula>
    </cfRule>
  </conditionalFormatting>
  <conditionalFormatting sqref="AK32:AK33">
    <cfRule type="cellIs" dxfId="839" priority="883" operator="lessThan">
      <formula>0</formula>
    </cfRule>
  </conditionalFormatting>
  <conditionalFormatting sqref="AM32:AM33 CN32:CO33 CQ32:CR33 CT32:CU33 CW32:CX33 CZ32:CZ33 CK32:CK33 CE32:CE33 BM32:BM33">
    <cfRule type="cellIs" dxfId="838" priority="882" operator="lessThan">
      <formula>0</formula>
    </cfRule>
  </conditionalFormatting>
  <conditionalFormatting sqref="DA32:DA33">
    <cfRule type="cellIs" dxfId="837" priority="881" operator="lessThan">
      <formula>0</formula>
    </cfRule>
  </conditionalFormatting>
  <conditionalFormatting sqref="BQ32:BQ33">
    <cfRule type="cellIs" dxfId="836" priority="879" operator="lessThan">
      <formula>0</formula>
    </cfRule>
  </conditionalFormatting>
  <conditionalFormatting sqref="BT32:BV33">
    <cfRule type="cellIs" dxfId="835" priority="878" operator="lessThan">
      <formula>0</formula>
    </cfRule>
  </conditionalFormatting>
  <conditionalFormatting sqref="BS32:BS33">
    <cfRule type="cellIs" dxfId="834" priority="877" operator="lessThan">
      <formula>0</formula>
    </cfRule>
  </conditionalFormatting>
  <conditionalFormatting sqref="BX32:BX33">
    <cfRule type="cellIs" dxfId="833" priority="876" operator="lessThan">
      <formula>0</formula>
    </cfRule>
  </conditionalFormatting>
  <conditionalFormatting sqref="BZ32:BZ33">
    <cfRule type="cellIs" dxfId="832" priority="875" operator="lessThan">
      <formula>0</formula>
    </cfRule>
  </conditionalFormatting>
  <conditionalFormatting sqref="CB32:CB33">
    <cfRule type="cellIs" dxfId="831" priority="874" operator="lessThan">
      <formula>0</formula>
    </cfRule>
  </conditionalFormatting>
  <conditionalFormatting sqref="CC32:CC33">
    <cfRule type="cellIs" dxfId="830" priority="873" operator="lessThan">
      <formula>0</formula>
    </cfRule>
  </conditionalFormatting>
  <conditionalFormatting sqref="CG32:CG33">
    <cfRule type="cellIs" dxfId="829" priority="872" operator="lessThan">
      <formula>0</formula>
    </cfRule>
  </conditionalFormatting>
  <conditionalFormatting sqref="CI32:CI33">
    <cfRule type="cellIs" dxfId="828" priority="871" operator="lessThan">
      <formula>0</formula>
    </cfRule>
  </conditionalFormatting>
  <conditionalFormatting sqref="EK3:EM3">
    <cfRule type="cellIs" dxfId="827" priority="870" operator="lessThan">
      <formula>0</formula>
    </cfRule>
  </conditionalFormatting>
  <conditionalFormatting sqref="EN3:XFD3">
    <cfRule type="cellIs" dxfId="826" priority="869" operator="lessThan">
      <formula>0</formula>
    </cfRule>
  </conditionalFormatting>
  <conditionalFormatting sqref="A3:A34">
    <cfRule type="cellIs" dxfId="825" priority="868" operator="lessThan">
      <formula>0</formula>
    </cfRule>
  </conditionalFormatting>
  <conditionalFormatting sqref="R3 D3 B3 U3">
    <cfRule type="cellIs" dxfId="824" priority="867" operator="lessThan">
      <formula>0</formula>
    </cfRule>
  </conditionalFormatting>
  <conditionalFormatting sqref="G3:H3">
    <cfRule type="cellIs" dxfId="823" priority="866" operator="lessThan">
      <formula>0</formula>
    </cfRule>
  </conditionalFormatting>
  <conditionalFormatting sqref="S3">
    <cfRule type="cellIs" dxfId="822" priority="865" operator="lessThan">
      <formula>0</formula>
    </cfRule>
  </conditionalFormatting>
  <conditionalFormatting sqref="L3">
    <cfRule type="cellIs" dxfId="821" priority="864" operator="lessThan">
      <formula>0</formula>
    </cfRule>
  </conditionalFormatting>
  <conditionalFormatting sqref="N3">
    <cfRule type="cellIs" dxfId="820" priority="863" operator="lessThan">
      <formula>0</formula>
    </cfRule>
  </conditionalFormatting>
  <conditionalFormatting sqref="R3">
    <cfRule type="cellIs" dxfId="819" priority="862" operator="lessThan">
      <formula>0</formula>
    </cfRule>
  </conditionalFormatting>
  <conditionalFormatting sqref="Q3">
    <cfRule type="cellIs" dxfId="818" priority="861" operator="lessThan">
      <formula>0</formula>
    </cfRule>
  </conditionalFormatting>
  <conditionalFormatting sqref="V3">
    <cfRule type="cellIs" dxfId="817" priority="852" operator="lessThan">
      <formula>0</formula>
    </cfRule>
  </conditionalFormatting>
  <conditionalFormatting sqref="I3">
    <cfRule type="cellIs" dxfId="816" priority="860" operator="lessThan">
      <formula>0</formula>
    </cfRule>
  </conditionalFormatting>
  <conditionalFormatting sqref="K3">
    <cfRule type="cellIs" dxfId="815" priority="859" operator="lessThan">
      <formula>0</formula>
    </cfRule>
  </conditionalFormatting>
  <conditionalFormatting sqref="M3">
    <cfRule type="cellIs" dxfId="814" priority="858" operator="lessThan">
      <formula>0</formula>
    </cfRule>
  </conditionalFormatting>
  <conditionalFormatting sqref="O3">
    <cfRule type="cellIs" dxfId="813" priority="857" operator="lessThan">
      <formula>0</formula>
    </cfRule>
  </conditionalFormatting>
  <conditionalFormatting sqref="C3 E3">
    <cfRule type="cellIs" dxfId="812" priority="856" operator="lessThan">
      <formula>0</formula>
    </cfRule>
  </conditionalFormatting>
  <conditionalFormatting sqref="F3">
    <cfRule type="cellIs" dxfId="811" priority="855" operator="lessThan">
      <formula>0</formula>
    </cfRule>
  </conditionalFormatting>
  <conditionalFormatting sqref="J3">
    <cfRule type="cellIs" dxfId="810" priority="854" operator="lessThan">
      <formula>0</formula>
    </cfRule>
  </conditionalFormatting>
  <conditionalFormatting sqref="P3">
    <cfRule type="cellIs" dxfId="809" priority="853" operator="lessThan">
      <formula>0</formula>
    </cfRule>
  </conditionalFormatting>
  <conditionalFormatting sqref="T3">
    <cfRule type="cellIs" dxfId="808" priority="851" operator="lessThan">
      <formula>0</formula>
    </cfRule>
  </conditionalFormatting>
  <conditionalFormatting sqref="T3">
    <cfRule type="cellIs" dxfId="807" priority="850" operator="lessThan">
      <formula>0</formula>
    </cfRule>
  </conditionalFormatting>
  <conditionalFormatting sqref="W3">
    <cfRule type="cellIs" dxfId="806" priority="849" operator="lessThan">
      <formula>0</formula>
    </cfRule>
  </conditionalFormatting>
  <conditionalFormatting sqref="EH3 AS3">
    <cfRule type="cellIs" dxfId="805" priority="848" operator="lessThan">
      <formula>0</formula>
    </cfRule>
  </conditionalFormatting>
  <conditionalFormatting sqref="CJ3 DF3">
    <cfRule type="cellIs" dxfId="804" priority="847" operator="lessThan">
      <formula>0</formula>
    </cfRule>
  </conditionalFormatting>
  <conditionalFormatting sqref="AF3:AH3 Y3:Z3 AB3:AD3">
    <cfRule type="cellIs" dxfId="803" priority="846" operator="lessThan">
      <formula>0</formula>
    </cfRule>
  </conditionalFormatting>
  <conditionalFormatting sqref="X3">
    <cfRule type="cellIs" dxfId="802" priority="845" operator="lessThan">
      <formula>0</formula>
    </cfRule>
  </conditionalFormatting>
  <conditionalFormatting sqref="AE3">
    <cfRule type="cellIs" dxfId="801" priority="844" operator="lessThan">
      <formula>0</formula>
    </cfRule>
  </conditionalFormatting>
  <conditionalFormatting sqref="AN3 AL3 AJ3 AP3 AR3 AV3 AX3 AZ3 AT3">
    <cfRule type="cellIs" dxfId="800" priority="843" operator="lessThan">
      <formula>0</formula>
    </cfRule>
  </conditionalFormatting>
  <conditionalFormatting sqref="CA3 BY3 BB3 BN3 BR3 BP3 BW3 BD3 BF3 BH3">
    <cfRule type="cellIs" dxfId="799" priority="842" operator="lessThan">
      <formula>0</formula>
    </cfRule>
  </conditionalFormatting>
  <conditionalFormatting sqref="BL3">
    <cfRule type="cellIs" dxfId="798" priority="841" operator="lessThan">
      <formula>0</formula>
    </cfRule>
  </conditionalFormatting>
  <conditionalFormatting sqref="DB3 DK3 CY3 CP3 DH3 DN3 DQ3 DT3 CL3:CM3 CD3 CH3 CF3 CS3 CV3 DE3">
    <cfRule type="cellIs" dxfId="797" priority="840" operator="lessThan">
      <formula>0</formula>
    </cfRule>
  </conditionalFormatting>
  <conditionalFormatting sqref="DU3 DR3 DO3 DI3">
    <cfRule type="cellIs" dxfId="796" priority="839" operator="lessThan">
      <formula>0</formula>
    </cfRule>
  </conditionalFormatting>
  <conditionalFormatting sqref="DV3">
    <cfRule type="cellIs" dxfId="795" priority="838" operator="lessThan">
      <formula>0</formula>
    </cfRule>
  </conditionalFormatting>
  <conditionalFormatting sqref="DG3">
    <cfRule type="cellIs" dxfId="794" priority="837" operator="lessThan">
      <formula>0</formula>
    </cfRule>
  </conditionalFormatting>
  <conditionalFormatting sqref="DJ3">
    <cfRule type="cellIs" dxfId="793" priority="836" operator="lessThan">
      <formula>0</formula>
    </cfRule>
  </conditionalFormatting>
  <conditionalFormatting sqref="DM3">
    <cfRule type="cellIs" dxfId="792" priority="835" operator="lessThan">
      <formula>0</formula>
    </cfRule>
  </conditionalFormatting>
  <conditionalFormatting sqref="DP3">
    <cfRule type="cellIs" dxfId="791" priority="834" operator="lessThan">
      <formula>0</formula>
    </cfRule>
  </conditionalFormatting>
  <conditionalFormatting sqref="DS3">
    <cfRule type="cellIs" dxfId="790" priority="833" operator="lessThan">
      <formula>0</formula>
    </cfRule>
  </conditionalFormatting>
  <conditionalFormatting sqref="DX3">
    <cfRule type="cellIs" dxfId="789" priority="832" operator="lessThan">
      <formula>0</formula>
    </cfRule>
  </conditionalFormatting>
  <conditionalFormatting sqref="EE3:EG3">
    <cfRule type="cellIs" dxfId="788" priority="831" operator="lessThan">
      <formula>0</formula>
    </cfRule>
  </conditionalFormatting>
  <conditionalFormatting sqref="DW3">
    <cfRule type="cellIs" dxfId="787" priority="830" operator="lessThan">
      <formula>0</formula>
    </cfRule>
  </conditionalFormatting>
  <conditionalFormatting sqref="DY3">
    <cfRule type="cellIs" dxfId="786" priority="829" operator="lessThan">
      <formula>0</formula>
    </cfRule>
  </conditionalFormatting>
  <conditionalFormatting sqref="EA3">
    <cfRule type="cellIs" dxfId="785" priority="828" operator="lessThan">
      <formula>0</formula>
    </cfRule>
  </conditionalFormatting>
  <conditionalFormatting sqref="EA3">
    <cfRule type="cellIs" dxfId="784" priority="827" operator="lessThan">
      <formula>0</formula>
    </cfRule>
  </conditionalFormatting>
  <conditionalFormatting sqref="EC3">
    <cfRule type="cellIs" dxfId="783" priority="825" operator="lessThan">
      <formula>0</formula>
    </cfRule>
  </conditionalFormatting>
  <conditionalFormatting sqref="EC3">
    <cfRule type="cellIs" dxfId="782" priority="826" operator="lessThan">
      <formula>0</formula>
    </cfRule>
  </conditionalFormatting>
  <conditionalFormatting sqref="DZ3">
    <cfRule type="cellIs" dxfId="781" priority="824" operator="lessThan">
      <formula>0</formula>
    </cfRule>
  </conditionalFormatting>
  <conditionalFormatting sqref="EB3">
    <cfRule type="cellIs" dxfId="780" priority="823" operator="lessThan">
      <formula>0</formula>
    </cfRule>
  </conditionalFormatting>
  <conditionalFormatting sqref="ED3">
    <cfRule type="cellIs" dxfId="779" priority="822" operator="lessThan">
      <formula>0</formula>
    </cfRule>
  </conditionalFormatting>
  <conditionalFormatting sqref="DL3 DC3:DD3">
    <cfRule type="cellIs" dxfId="778" priority="821" operator="lessThan">
      <formula>0</formula>
    </cfRule>
  </conditionalFormatting>
  <conditionalFormatting sqref="AI3 AA3 AO3 AQ3 AU3 AW3 AY3 BA3 BC3 BE3 BG3 BI3:BK3">
    <cfRule type="cellIs" dxfId="777" priority="820" operator="lessThan">
      <formula>0</formula>
    </cfRule>
  </conditionalFormatting>
  <conditionalFormatting sqref="AK3">
    <cfRule type="cellIs" dxfId="776" priority="819" operator="lessThan">
      <formula>0</formula>
    </cfRule>
  </conditionalFormatting>
  <conditionalFormatting sqref="AM3 CN3:CO3 CQ3:CR3 CT3:CU3 CW3:CX3 CZ3 CK3 CE3 BM3">
    <cfRule type="cellIs" dxfId="775" priority="818" operator="lessThan">
      <formula>0</formula>
    </cfRule>
  </conditionalFormatting>
  <conditionalFormatting sqref="DA3">
    <cfRule type="cellIs" dxfId="774" priority="817" operator="lessThan">
      <formula>0</formula>
    </cfRule>
  </conditionalFormatting>
  <conditionalFormatting sqref="BO3">
    <cfRule type="cellIs" dxfId="773" priority="816" operator="lessThan">
      <formula>0</formula>
    </cfRule>
  </conditionalFormatting>
  <conditionalFormatting sqref="BQ3">
    <cfRule type="cellIs" dxfId="772" priority="815" operator="lessThan">
      <formula>0</formula>
    </cfRule>
  </conditionalFormatting>
  <conditionalFormatting sqref="BT3:BV3">
    <cfRule type="cellIs" dxfId="771" priority="814" operator="lessThan">
      <formula>0</formula>
    </cfRule>
  </conditionalFormatting>
  <conditionalFormatting sqref="BS3">
    <cfRule type="cellIs" dxfId="770" priority="813" operator="lessThan">
      <formula>0</formula>
    </cfRule>
  </conditionalFormatting>
  <conditionalFormatting sqref="BX3">
    <cfRule type="cellIs" dxfId="769" priority="812" operator="lessThan">
      <formula>0</formula>
    </cfRule>
  </conditionalFormatting>
  <conditionalFormatting sqref="BZ3">
    <cfRule type="cellIs" dxfId="768" priority="811" operator="lessThan">
      <formula>0</formula>
    </cfRule>
  </conditionalFormatting>
  <conditionalFormatting sqref="CB3">
    <cfRule type="cellIs" dxfId="767" priority="810" operator="lessThan">
      <formula>0</formula>
    </cfRule>
  </conditionalFormatting>
  <conditionalFormatting sqref="CC3">
    <cfRule type="cellIs" dxfId="766" priority="809" operator="lessThan">
      <formula>0</formula>
    </cfRule>
  </conditionalFormatting>
  <conditionalFormatting sqref="CG3">
    <cfRule type="cellIs" dxfId="765" priority="808" operator="lessThan">
      <formula>0</formula>
    </cfRule>
  </conditionalFormatting>
  <conditionalFormatting sqref="CI3">
    <cfRule type="cellIs" dxfId="764" priority="807" operator="lessThan">
      <formula>0</formula>
    </cfRule>
  </conditionalFormatting>
  <conditionalFormatting sqref="U5:U10 G7:H10 G6 B5:B10 D5:D10 R4:R10 O8:O10">
    <cfRule type="cellIs" dxfId="763" priority="806" operator="lessThan">
      <formula>0</formula>
    </cfRule>
  </conditionalFormatting>
  <conditionalFormatting sqref="S4:S10">
    <cfRule type="cellIs" dxfId="762" priority="805" operator="lessThan">
      <formula>0</formula>
    </cfRule>
  </conditionalFormatting>
  <conditionalFormatting sqref="Q5:Q10">
    <cfRule type="cellIs" dxfId="761" priority="804" operator="lessThan">
      <formula>0</formula>
    </cfRule>
  </conditionalFormatting>
  <conditionalFormatting sqref="L7:L10">
    <cfRule type="cellIs" dxfId="760" priority="803" operator="lessThan">
      <formula>0</formula>
    </cfRule>
  </conditionalFormatting>
  <conditionalFormatting sqref="R4:R10">
    <cfRule type="cellIs" dxfId="759" priority="802" operator="lessThan">
      <formula>0</formula>
    </cfRule>
  </conditionalFormatting>
  <conditionalFormatting sqref="I8:I10">
    <cfRule type="cellIs" dxfId="758" priority="801" operator="lessThan">
      <formula>0</formula>
    </cfRule>
  </conditionalFormatting>
  <conditionalFormatting sqref="M8:M10">
    <cfRule type="cellIs" dxfId="757" priority="800" operator="lessThan">
      <formula>0</formula>
    </cfRule>
  </conditionalFormatting>
  <conditionalFormatting sqref="D4">
    <cfRule type="cellIs" dxfId="756" priority="798" operator="lessThan">
      <formula>0</formula>
    </cfRule>
  </conditionalFormatting>
  <conditionalFormatting sqref="Q4">
    <cfRule type="cellIs" dxfId="755" priority="797" operator="lessThan">
      <formula>0</formula>
    </cfRule>
  </conditionalFormatting>
  <conditionalFormatting sqref="B4 U4">
    <cfRule type="cellIs" dxfId="754" priority="799" operator="lessThan">
      <formula>0</formula>
    </cfRule>
  </conditionalFormatting>
  <conditionalFormatting sqref="H6:I6">
    <cfRule type="cellIs" dxfId="753" priority="796" operator="lessThan">
      <formula>0</formula>
    </cfRule>
  </conditionalFormatting>
  <conditionalFormatting sqref="K6">
    <cfRule type="cellIs" dxfId="752" priority="795" operator="lessThan">
      <formula>0</formula>
    </cfRule>
  </conditionalFormatting>
  <conditionalFormatting sqref="M6">
    <cfRule type="cellIs" dxfId="751" priority="794" operator="lessThan">
      <formula>0</formula>
    </cfRule>
  </conditionalFormatting>
  <conditionalFormatting sqref="O6">
    <cfRule type="cellIs" dxfId="750" priority="793" operator="lessThan">
      <formula>0</formula>
    </cfRule>
  </conditionalFormatting>
  <conditionalFormatting sqref="I7">
    <cfRule type="cellIs" dxfId="749" priority="792" operator="lessThan">
      <formula>0</formula>
    </cfRule>
  </conditionalFormatting>
  <conditionalFormatting sqref="K7:K10">
    <cfRule type="cellIs" dxfId="748" priority="791" operator="lessThan">
      <formula>0</formula>
    </cfRule>
  </conditionalFormatting>
  <conditionalFormatting sqref="M7">
    <cfRule type="cellIs" dxfId="747" priority="790" operator="lessThan">
      <formula>0</formula>
    </cfRule>
  </conditionalFormatting>
  <conditionalFormatting sqref="O7">
    <cfRule type="cellIs" dxfId="746" priority="789" operator="lessThan">
      <formula>0</formula>
    </cfRule>
  </conditionalFormatting>
  <conditionalFormatting sqref="E4:E10 C4:C10">
    <cfRule type="cellIs" dxfId="745" priority="788" operator="lessThan">
      <formula>0</formula>
    </cfRule>
  </conditionalFormatting>
  <conditionalFormatting sqref="F4:F10">
    <cfRule type="cellIs" dxfId="744" priority="787" operator="lessThan">
      <formula>0</formula>
    </cfRule>
  </conditionalFormatting>
  <conditionalFormatting sqref="J4:J10">
    <cfRule type="cellIs" dxfId="743" priority="786" operator="lessThan">
      <formula>0</formula>
    </cfRule>
  </conditionalFormatting>
  <conditionalFormatting sqref="L5:L6">
    <cfRule type="cellIs" dxfId="742" priority="785" operator="lessThan">
      <formula>0</formula>
    </cfRule>
  </conditionalFormatting>
  <conditionalFormatting sqref="N4:N10">
    <cfRule type="cellIs" dxfId="741" priority="784" operator="lessThan">
      <formula>0</formula>
    </cfRule>
  </conditionalFormatting>
  <conditionalFormatting sqref="P4:P10">
    <cfRule type="cellIs" dxfId="740" priority="783" operator="lessThan">
      <formula>0</formula>
    </cfRule>
  </conditionalFormatting>
  <conditionalFormatting sqref="T4:T10">
    <cfRule type="cellIs" dxfId="739" priority="782" operator="lessThan">
      <formula>0</formula>
    </cfRule>
  </conditionalFormatting>
  <conditionalFormatting sqref="T4:T10">
    <cfRule type="cellIs" dxfId="738" priority="781" operator="lessThan">
      <formula>0</formula>
    </cfRule>
  </conditionalFormatting>
  <conditionalFormatting sqref="G4:H5">
    <cfRule type="cellIs" dxfId="737" priority="780" operator="lessThan">
      <formula>0</formula>
    </cfRule>
  </conditionalFormatting>
  <conditionalFormatting sqref="I4:I5">
    <cfRule type="cellIs" dxfId="736" priority="779" operator="lessThan">
      <formula>0</formula>
    </cfRule>
  </conditionalFormatting>
  <conditionalFormatting sqref="L4">
    <cfRule type="cellIs" dxfId="735" priority="778" operator="lessThan">
      <formula>0</formula>
    </cfRule>
  </conditionalFormatting>
  <conditionalFormatting sqref="V4:V10">
    <cfRule type="cellIs" dxfId="734" priority="777" operator="lessThan">
      <formula>0</formula>
    </cfRule>
  </conditionalFormatting>
  <conditionalFormatting sqref="V4:V10">
    <cfRule type="cellIs" dxfId="733" priority="776" operator="lessThan">
      <formula>0</formula>
    </cfRule>
  </conditionalFormatting>
  <conditionalFormatting sqref="K5">
    <cfRule type="cellIs" dxfId="732" priority="775" operator="lessThan">
      <formula>0</formula>
    </cfRule>
  </conditionalFormatting>
  <conditionalFormatting sqref="M5">
    <cfRule type="cellIs" dxfId="731" priority="774" operator="lessThan">
      <formula>0</formula>
    </cfRule>
  </conditionalFormatting>
  <conditionalFormatting sqref="O5">
    <cfRule type="cellIs" dxfId="730" priority="773" operator="lessThan">
      <formula>0</formula>
    </cfRule>
  </conditionalFormatting>
  <conditionalFormatting sqref="K4">
    <cfRule type="cellIs" dxfId="729" priority="772" operator="lessThan">
      <formula>0</formula>
    </cfRule>
  </conditionalFormatting>
  <conditionalFormatting sqref="M4">
    <cfRule type="cellIs" dxfId="728" priority="771" operator="lessThan">
      <formula>0</formula>
    </cfRule>
  </conditionalFormatting>
  <conditionalFormatting sqref="O4">
    <cfRule type="cellIs" dxfId="727" priority="770" operator="lessThan">
      <formula>0</formula>
    </cfRule>
  </conditionalFormatting>
  <conditionalFormatting sqref="W6:W7">
    <cfRule type="cellIs" dxfId="726" priority="769" operator="lessThan">
      <formula>0</formula>
    </cfRule>
  </conditionalFormatting>
  <conditionalFormatting sqref="W5">
    <cfRule type="cellIs" dxfId="725" priority="768" operator="lessThan">
      <formula>0</formula>
    </cfRule>
  </conditionalFormatting>
  <conditionalFormatting sqref="W4">
    <cfRule type="cellIs" dxfId="724" priority="767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23" priority="766" operator="lessThan">
      <formula>0</formula>
    </cfRule>
  </conditionalFormatting>
  <conditionalFormatting sqref="EE5:EE6 EE9:EE10">
    <cfRule type="cellIs" dxfId="722" priority="765" operator="lessThan">
      <formula>0</formula>
    </cfRule>
  </conditionalFormatting>
  <conditionalFormatting sqref="EC10">
    <cfRule type="cellIs" dxfId="721" priority="764" operator="lessThan">
      <formula>0</formula>
    </cfRule>
  </conditionalFormatting>
  <conditionalFormatting sqref="Z5:Z10">
    <cfRule type="cellIs" dxfId="720" priority="763" operator="lessThan">
      <formula>0</formula>
    </cfRule>
  </conditionalFormatting>
  <conditionalFormatting sqref="CY5:CY6 BP5:BP9 AV8:AV10 DQ8:DQ10 DT8:DT10 AZ5:AZ10">
    <cfRule type="cellIs" dxfId="719" priority="762" operator="lessThan">
      <formula>0</formula>
    </cfRule>
  </conditionalFormatting>
  <conditionalFormatting sqref="X5:X10">
    <cfRule type="cellIs" dxfId="718" priority="761" operator="lessThan">
      <formula>0</formula>
    </cfRule>
  </conditionalFormatting>
  <conditionalFormatting sqref="DW5:DW10 DY5:DY10 EA5:EA10">
    <cfRule type="cellIs" dxfId="717" priority="760" operator="lessThan">
      <formula>0</formula>
    </cfRule>
  </conditionalFormatting>
  <conditionalFormatting sqref="EA5:EA10">
    <cfRule type="cellIs" dxfId="716" priority="759" operator="lessThan">
      <formula>0</formula>
    </cfRule>
  </conditionalFormatting>
  <conditionalFormatting sqref="EF5:EF6 EF9:EF10">
    <cfRule type="cellIs" dxfId="715" priority="758" operator="lessThan">
      <formula>0</formula>
    </cfRule>
  </conditionalFormatting>
  <conditionalFormatting sqref="DN5:DN7">
    <cfRule type="cellIs" dxfId="714" priority="757" operator="lessThan">
      <formula>0</formula>
    </cfRule>
  </conditionalFormatting>
  <conditionalFormatting sqref="DK5:DK9">
    <cfRule type="cellIs" dxfId="713" priority="756" operator="lessThan">
      <formula>0</formula>
    </cfRule>
  </conditionalFormatting>
  <conditionalFormatting sqref="DH5:DH7">
    <cfRule type="cellIs" dxfId="712" priority="755" operator="lessThan">
      <formula>0</formula>
    </cfRule>
  </conditionalFormatting>
  <conditionalFormatting sqref="DQ5:DQ7">
    <cfRule type="cellIs" dxfId="711" priority="754" operator="lessThan">
      <formula>0</formula>
    </cfRule>
  </conditionalFormatting>
  <conditionalFormatting sqref="DT5:DT7">
    <cfRule type="cellIs" dxfId="710" priority="753" operator="lessThan">
      <formula>0</formula>
    </cfRule>
  </conditionalFormatting>
  <conditionalFormatting sqref="EC9">
    <cfRule type="cellIs" dxfId="709" priority="752" operator="lessThan">
      <formula>0</formula>
    </cfRule>
  </conditionalFormatting>
  <conditionalFormatting sqref="EC6">
    <cfRule type="cellIs" dxfId="708" priority="751" operator="lessThan">
      <formula>0</formula>
    </cfRule>
  </conditionalFormatting>
  <conditionalFormatting sqref="EC7">
    <cfRule type="cellIs" dxfId="707" priority="750" operator="lessThan">
      <formula>0</formula>
    </cfRule>
  </conditionalFormatting>
  <conditionalFormatting sqref="EE7">
    <cfRule type="cellIs" dxfId="706" priority="749" operator="lessThan">
      <formula>0</formula>
    </cfRule>
  </conditionalFormatting>
  <conditionalFormatting sqref="EC8">
    <cfRule type="cellIs" dxfId="705" priority="747" operator="lessThan">
      <formula>0</formula>
    </cfRule>
  </conditionalFormatting>
  <conditionalFormatting sqref="EE8">
    <cfRule type="cellIs" dxfId="704" priority="746" operator="lessThan">
      <formula>0</formula>
    </cfRule>
  </conditionalFormatting>
  <conditionalFormatting sqref="EF8">
    <cfRule type="cellIs" dxfId="703" priority="745" operator="lessThan">
      <formula>0</formula>
    </cfRule>
  </conditionalFormatting>
  <conditionalFormatting sqref="EF7">
    <cfRule type="cellIs" dxfId="702" priority="748" operator="lessThan">
      <formula>0</formula>
    </cfRule>
  </conditionalFormatting>
  <conditionalFormatting sqref="AK5:AK10">
    <cfRule type="cellIs" dxfId="701" priority="744" operator="lessThan">
      <formula>0</formula>
    </cfRule>
  </conditionalFormatting>
  <conditionalFormatting sqref="CF5 CD5">
    <cfRule type="cellIs" dxfId="700" priority="743" operator="lessThan">
      <formula>0</formula>
    </cfRule>
  </conditionalFormatting>
  <conditionalFormatting sqref="AX5:AX10">
    <cfRule type="cellIs" dxfId="699" priority="738" operator="lessThan">
      <formula>0</formula>
    </cfRule>
  </conditionalFormatting>
  <conditionalFormatting sqref="AV5:AV7">
    <cfRule type="cellIs" dxfId="698" priority="737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7" priority="736" operator="lessThan">
      <formula>0</formula>
    </cfRule>
  </conditionalFormatting>
  <conditionalFormatting sqref="BS5:BS8">
    <cfRule type="cellIs" dxfId="696" priority="735" operator="lessThan">
      <formula>0</formula>
    </cfRule>
  </conditionalFormatting>
  <conditionalFormatting sqref="EG6:EG10">
    <cfRule type="cellIs" dxfId="695" priority="734" operator="lessThan">
      <formula>0</formula>
    </cfRule>
  </conditionalFormatting>
  <conditionalFormatting sqref="DA5:DA10">
    <cfRule type="cellIs" dxfId="694" priority="733" operator="lessThan">
      <formula>0</formula>
    </cfRule>
  </conditionalFormatting>
  <conditionalFormatting sqref="DV5:DV10">
    <cfRule type="cellIs" dxfId="693" priority="732" operator="lessThan">
      <formula>0</formula>
    </cfRule>
  </conditionalFormatting>
  <conditionalFormatting sqref="CC5:CC8">
    <cfRule type="cellIs" dxfId="692" priority="731" operator="lessThan">
      <formula>0</formula>
    </cfRule>
  </conditionalFormatting>
  <conditionalFormatting sqref="BO5:BO8">
    <cfRule type="cellIs" dxfId="691" priority="730" operator="lessThan">
      <formula>0</formula>
    </cfRule>
  </conditionalFormatting>
  <conditionalFormatting sqref="BZ5:BZ8">
    <cfRule type="cellIs" dxfId="690" priority="729" operator="lessThan">
      <formula>0</formula>
    </cfRule>
  </conditionalFormatting>
  <conditionalFormatting sqref="DG5:DG10">
    <cfRule type="cellIs" dxfId="689" priority="728" operator="lessThan">
      <formula>0</formula>
    </cfRule>
  </conditionalFormatting>
  <conditionalFormatting sqref="DJ5:DJ10">
    <cfRule type="cellIs" dxfId="688" priority="727" operator="lessThan">
      <formula>0</formula>
    </cfRule>
  </conditionalFormatting>
  <conditionalFormatting sqref="DM5:DM10">
    <cfRule type="cellIs" dxfId="687" priority="726" operator="lessThan">
      <formula>0</formula>
    </cfRule>
  </conditionalFormatting>
  <conditionalFormatting sqref="DP5:DP10">
    <cfRule type="cellIs" dxfId="686" priority="725" operator="lessThan">
      <formula>0</formula>
    </cfRule>
  </conditionalFormatting>
  <conditionalFormatting sqref="DS5:DS10">
    <cfRule type="cellIs" dxfId="685" priority="724" operator="lessThan">
      <formula>0</formula>
    </cfRule>
  </conditionalFormatting>
  <conditionalFormatting sqref="DZ5:DZ10">
    <cfRule type="cellIs" dxfId="684" priority="723" operator="lessThan">
      <formula>0</formula>
    </cfRule>
  </conditionalFormatting>
  <conditionalFormatting sqref="EB5:EB10">
    <cfRule type="cellIs" dxfId="683" priority="722" operator="lessThan">
      <formula>0</formula>
    </cfRule>
  </conditionalFormatting>
  <conditionalFormatting sqref="ED5:ED10">
    <cfRule type="cellIs" dxfId="682" priority="721" operator="lessThan">
      <formula>0</formula>
    </cfRule>
  </conditionalFormatting>
  <conditionalFormatting sqref="BO9:BO10">
    <cfRule type="cellIs" dxfId="681" priority="720" operator="lessThan">
      <formula>0</formula>
    </cfRule>
  </conditionalFormatting>
  <conditionalFormatting sqref="BQ9:BQ10">
    <cfRule type="cellIs" dxfId="680" priority="719" operator="lessThan">
      <formula>0</formula>
    </cfRule>
  </conditionalFormatting>
  <conditionalFormatting sqref="BT9:BV10">
    <cfRule type="cellIs" dxfId="679" priority="718" operator="lessThan">
      <formula>0</formula>
    </cfRule>
  </conditionalFormatting>
  <conditionalFormatting sqref="BS9:BS10">
    <cfRule type="cellIs" dxfId="678" priority="717" operator="lessThan">
      <formula>0</formula>
    </cfRule>
  </conditionalFormatting>
  <conditionalFormatting sqref="BX9:BX10">
    <cfRule type="cellIs" dxfId="677" priority="716" operator="lessThan">
      <formula>0</formula>
    </cfRule>
  </conditionalFormatting>
  <conditionalFormatting sqref="BZ9:BZ10">
    <cfRule type="cellIs" dxfId="676" priority="715" operator="lessThan">
      <formula>0</formula>
    </cfRule>
  </conditionalFormatting>
  <conditionalFormatting sqref="CB9:CB10">
    <cfRule type="cellIs" dxfId="675" priority="714" operator="lessThan">
      <formula>0</formula>
    </cfRule>
  </conditionalFormatting>
  <conditionalFormatting sqref="CC9:CC10">
    <cfRule type="cellIs" dxfId="674" priority="713" operator="lessThan">
      <formula>0</formula>
    </cfRule>
  </conditionalFormatting>
  <conditionalFormatting sqref="CG5:CG8">
    <cfRule type="cellIs" dxfId="673" priority="712" operator="lessThan">
      <formula>0</formula>
    </cfRule>
  </conditionalFormatting>
  <conditionalFormatting sqref="CG9:CG10">
    <cfRule type="cellIs" dxfId="672" priority="711" operator="lessThan">
      <formula>0</formula>
    </cfRule>
  </conditionalFormatting>
  <conditionalFormatting sqref="CI9:CI10">
    <cfRule type="cellIs" dxfId="671" priority="710" operator="lessThan">
      <formula>0</formula>
    </cfRule>
  </conditionalFormatting>
  <conditionalFormatting sqref="CV5:CV10 BA5:BA8 AO5:AO7">
    <cfRule type="cellIs" dxfId="670" priority="709" operator="lessThan">
      <formula>0</formula>
    </cfRule>
  </conditionalFormatting>
  <conditionalFormatting sqref="EG5">
    <cfRule type="cellIs" dxfId="669" priority="708" operator="lessThan">
      <formula>0</formula>
    </cfRule>
  </conditionalFormatting>
  <conditionalFormatting sqref="EC5">
    <cfRule type="cellIs" dxfId="668" priority="706" operator="lessThan">
      <formula>0</formula>
    </cfRule>
  </conditionalFormatting>
  <conditionalFormatting sqref="EC5">
    <cfRule type="cellIs" dxfId="667" priority="707" operator="lessThan">
      <formula>0</formula>
    </cfRule>
  </conditionalFormatting>
  <conditionalFormatting sqref="CT5:CT8">
    <cfRule type="cellIs" dxfId="666" priority="705" operator="lessThan">
      <formula>0</formula>
    </cfRule>
  </conditionalFormatting>
  <conditionalFormatting sqref="CS5:CS8">
    <cfRule type="cellIs" dxfId="665" priority="704" operator="lessThan">
      <formula>0</formula>
    </cfRule>
  </conditionalFormatting>
  <conditionalFormatting sqref="BW5:BW10">
    <cfRule type="cellIs" dxfId="664" priority="703" operator="lessThan">
      <formula>0</formula>
    </cfRule>
  </conditionalFormatting>
  <conditionalFormatting sqref="AT5:AT10">
    <cfRule type="cellIs" dxfId="663" priority="702" operator="lessThan">
      <formula>0</formula>
    </cfRule>
  </conditionalFormatting>
  <conditionalFormatting sqref="W12:W15">
    <cfRule type="cellIs" dxfId="662" priority="701" operator="lessThan">
      <formula>0</formula>
    </cfRule>
  </conditionalFormatting>
  <conditionalFormatting sqref="U16 G16:H16 B16 D16 R16">
    <cfRule type="cellIs" dxfId="661" priority="700" operator="lessThan">
      <formula>0</formula>
    </cfRule>
  </conditionalFormatting>
  <conditionalFormatting sqref="I16">
    <cfRule type="cellIs" dxfId="660" priority="699" operator="lessThan">
      <formula>0</formula>
    </cfRule>
  </conditionalFormatting>
  <conditionalFormatting sqref="S16">
    <cfRule type="cellIs" dxfId="659" priority="698" operator="lessThan">
      <formula>0</formula>
    </cfRule>
  </conditionalFormatting>
  <conditionalFormatting sqref="K16">
    <cfRule type="cellIs" dxfId="658" priority="697" operator="lessThan">
      <formula>0</formula>
    </cfRule>
  </conditionalFormatting>
  <conditionalFormatting sqref="O16">
    <cfRule type="cellIs" dxfId="657" priority="696" operator="lessThan">
      <formula>0</formula>
    </cfRule>
  </conditionalFormatting>
  <conditionalFormatting sqref="Q16">
    <cfRule type="cellIs" dxfId="656" priority="695" operator="lessThan">
      <formula>0</formula>
    </cfRule>
  </conditionalFormatting>
  <conditionalFormatting sqref="L16">
    <cfRule type="cellIs" dxfId="655" priority="694" operator="lessThan">
      <formula>0</formula>
    </cfRule>
  </conditionalFormatting>
  <conditionalFormatting sqref="R16">
    <cfRule type="cellIs" dxfId="654" priority="693" operator="lessThan">
      <formula>0</formula>
    </cfRule>
  </conditionalFormatting>
  <conditionalFormatting sqref="C16 E16">
    <cfRule type="cellIs" dxfId="653" priority="692" operator="lessThan">
      <formula>0</formula>
    </cfRule>
  </conditionalFormatting>
  <conditionalFormatting sqref="F16">
    <cfRule type="cellIs" dxfId="652" priority="691" operator="lessThan">
      <formula>0</formula>
    </cfRule>
  </conditionalFormatting>
  <conditionalFormatting sqref="J16">
    <cfRule type="cellIs" dxfId="651" priority="690" operator="lessThan">
      <formula>0</formula>
    </cfRule>
  </conditionalFormatting>
  <conditionalFormatting sqref="N16">
    <cfRule type="cellIs" dxfId="650" priority="689" operator="lessThan">
      <formula>0</formula>
    </cfRule>
  </conditionalFormatting>
  <conditionalFormatting sqref="P16">
    <cfRule type="cellIs" dxfId="649" priority="688" operator="lessThan">
      <formula>0</formula>
    </cfRule>
  </conditionalFormatting>
  <conditionalFormatting sqref="T16">
    <cfRule type="cellIs" dxfId="648" priority="687" operator="lessThan">
      <formula>0</formula>
    </cfRule>
  </conditionalFormatting>
  <conditionalFormatting sqref="T16">
    <cfRule type="cellIs" dxfId="647" priority="686" operator="lessThan">
      <formula>0</formula>
    </cfRule>
  </conditionalFormatting>
  <conditionalFormatting sqref="M16">
    <cfRule type="cellIs" dxfId="646" priority="685" operator="lessThan">
      <formula>0</formula>
    </cfRule>
  </conditionalFormatting>
  <conditionalFormatting sqref="V16">
    <cfRule type="cellIs" dxfId="645" priority="684" operator="lessThan">
      <formula>0</formula>
    </cfRule>
  </conditionalFormatting>
  <conditionalFormatting sqref="V16">
    <cfRule type="cellIs" dxfId="644" priority="683" operator="lessThan">
      <formula>0</formula>
    </cfRule>
  </conditionalFormatting>
  <conditionalFormatting sqref="W16:W19">
    <cfRule type="cellIs" dxfId="643" priority="682" operator="lessThan">
      <formula>0</formula>
    </cfRule>
  </conditionalFormatting>
  <conditionalFormatting sqref="EP16 EK16">
    <cfRule type="cellIs" dxfId="642" priority="648" operator="lessThan">
      <formula>0</formula>
    </cfRule>
  </conditionalFormatting>
  <conditionalFormatting sqref="EP16">
    <cfRule type="cellIs" dxfId="641" priority="647" operator="lessThan">
      <formula>0</formula>
    </cfRule>
  </conditionalFormatting>
  <conditionalFormatting sqref="EP16">
    <cfRule type="cellIs" dxfId="640" priority="646" operator="lessThan">
      <formula>0</formula>
    </cfRule>
  </conditionalFormatting>
  <conditionalFormatting sqref="ER16:ES16">
    <cfRule type="cellIs" dxfId="639" priority="645" operator="lessThan">
      <formula>0</formula>
    </cfRule>
  </conditionalFormatting>
  <conditionalFormatting sqref="EJ16 EL16 EN16">
    <cfRule type="cellIs" dxfId="638" priority="641" operator="lessThan">
      <formula>0</formula>
    </cfRule>
  </conditionalFormatting>
  <conditionalFormatting sqref="EN16">
    <cfRule type="cellIs" dxfId="637" priority="640" operator="lessThan">
      <formula>0</formula>
    </cfRule>
  </conditionalFormatting>
  <conditionalFormatting sqref="EM16">
    <cfRule type="cellIs" dxfId="636" priority="630" operator="lessThan">
      <formula>0</formula>
    </cfRule>
  </conditionalFormatting>
  <conditionalFormatting sqref="EO16">
    <cfRule type="cellIs" dxfId="635" priority="629" operator="lessThan">
      <formula>0</formula>
    </cfRule>
  </conditionalFormatting>
  <conditionalFormatting sqref="EQ16">
    <cfRule type="cellIs" dxfId="634" priority="628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33" priority="614" operator="lessThan">
      <formula>0</formula>
    </cfRule>
  </conditionalFormatting>
  <conditionalFormatting sqref="EF16">
    <cfRule type="cellIs" dxfId="632" priority="613" operator="lessThan">
      <formula>0</formula>
    </cfRule>
  </conditionalFormatting>
  <conditionalFormatting sqref="EF16">
    <cfRule type="cellIs" dxfId="631" priority="612" operator="lessThan">
      <formula>0</formula>
    </cfRule>
  </conditionalFormatting>
  <conditionalFormatting sqref="EH16:EI16">
    <cfRule type="cellIs" dxfId="630" priority="611" operator="lessThan">
      <formula>0</formula>
    </cfRule>
  </conditionalFormatting>
  <conditionalFormatting sqref="AC16">
    <cfRule type="cellIs" dxfId="629" priority="610" operator="lessThan">
      <formula>0</formula>
    </cfRule>
  </conditionalFormatting>
  <conditionalFormatting sqref="AY16 BA16 BC16">
    <cfRule type="cellIs" dxfId="628" priority="609" operator="lessThan">
      <formula>0</formula>
    </cfRule>
  </conditionalFormatting>
  <conditionalFormatting sqref="AA16">
    <cfRule type="cellIs" dxfId="627" priority="608" operator="lessThan">
      <formula>0</formula>
    </cfRule>
  </conditionalFormatting>
  <conditionalFormatting sqref="DZ16 EB16 ED16">
    <cfRule type="cellIs" dxfId="626" priority="607" operator="lessThan">
      <formula>0</formula>
    </cfRule>
  </conditionalFormatting>
  <conditionalFormatting sqref="ED16">
    <cfRule type="cellIs" dxfId="625" priority="606" operator="lessThan">
      <formula>0</formula>
    </cfRule>
  </conditionalFormatting>
  <conditionalFormatting sqref="AN16">
    <cfRule type="cellIs" dxfId="624" priority="605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23" priority="604" operator="lessThan">
      <formula>0</formula>
    </cfRule>
  </conditionalFormatting>
  <conditionalFormatting sqref="DD16">
    <cfRule type="cellIs" dxfId="622" priority="603" operator="lessThan">
      <formula>0</formula>
    </cfRule>
  </conditionalFormatting>
  <conditionalFormatting sqref="DY16">
    <cfRule type="cellIs" dxfId="621" priority="602" operator="lessThan">
      <formula>0</formula>
    </cfRule>
  </conditionalFormatting>
  <conditionalFormatting sqref="DJ16">
    <cfRule type="cellIs" dxfId="620" priority="601" operator="lessThan">
      <formula>0</formula>
    </cfRule>
  </conditionalFormatting>
  <conditionalFormatting sqref="DM16">
    <cfRule type="cellIs" dxfId="619" priority="600" operator="lessThan">
      <formula>0</formula>
    </cfRule>
  </conditionalFormatting>
  <conditionalFormatting sqref="DP16">
    <cfRule type="cellIs" dxfId="618" priority="599" operator="lessThan">
      <formula>0</formula>
    </cfRule>
  </conditionalFormatting>
  <conditionalFormatting sqref="DS16">
    <cfRule type="cellIs" dxfId="617" priority="598" operator="lessThan">
      <formula>0</formula>
    </cfRule>
  </conditionalFormatting>
  <conditionalFormatting sqref="DV16">
    <cfRule type="cellIs" dxfId="616" priority="597" operator="lessThan">
      <formula>0</formula>
    </cfRule>
  </conditionalFormatting>
  <conditionalFormatting sqref="EC16">
    <cfRule type="cellIs" dxfId="615" priority="596" operator="lessThan">
      <formula>0</formula>
    </cfRule>
  </conditionalFormatting>
  <conditionalFormatting sqref="EE16">
    <cfRule type="cellIs" dxfId="614" priority="595" operator="lessThan">
      <formula>0</formula>
    </cfRule>
  </conditionalFormatting>
  <conditionalFormatting sqref="BR16">
    <cfRule type="cellIs" dxfId="613" priority="593" operator="lessThan">
      <formula>0</formula>
    </cfRule>
  </conditionalFormatting>
  <conditionalFormatting sqref="BT16">
    <cfRule type="cellIs" dxfId="612" priority="592" operator="lessThan">
      <formula>0</formula>
    </cfRule>
  </conditionalFormatting>
  <conditionalFormatting sqref="BW16:BY16">
    <cfRule type="cellIs" dxfId="611" priority="591" operator="lessThan">
      <formula>0</formula>
    </cfRule>
  </conditionalFormatting>
  <conditionalFormatting sqref="BV16">
    <cfRule type="cellIs" dxfId="610" priority="590" operator="lessThan">
      <formula>0</formula>
    </cfRule>
  </conditionalFormatting>
  <conditionalFormatting sqref="CA16">
    <cfRule type="cellIs" dxfId="609" priority="589" operator="lessThan">
      <formula>0</formula>
    </cfRule>
  </conditionalFormatting>
  <conditionalFormatting sqref="CC16">
    <cfRule type="cellIs" dxfId="608" priority="588" operator="lessThan">
      <formula>0</formula>
    </cfRule>
  </conditionalFormatting>
  <conditionalFormatting sqref="CE16">
    <cfRule type="cellIs" dxfId="607" priority="587" operator="lessThan">
      <formula>0</formula>
    </cfRule>
  </conditionalFormatting>
  <conditionalFormatting sqref="CF16">
    <cfRule type="cellIs" dxfId="606" priority="586" operator="lessThan">
      <formula>0</formula>
    </cfRule>
  </conditionalFormatting>
  <conditionalFormatting sqref="CJ16">
    <cfRule type="cellIs" dxfId="605" priority="585" operator="lessThan">
      <formula>0</formula>
    </cfRule>
  </conditionalFormatting>
  <conditionalFormatting sqref="CL16">
    <cfRule type="cellIs" dxfId="604" priority="584" operator="lessThan">
      <formula>0</formula>
    </cfRule>
  </conditionalFormatting>
  <conditionalFormatting sqref="Y16">
    <cfRule type="cellIs" dxfId="603" priority="583" operator="lessThan">
      <formula>0</formula>
    </cfRule>
  </conditionalFormatting>
  <conditionalFormatting sqref="BZ16">
    <cfRule type="cellIs" dxfId="602" priority="582" operator="lessThan">
      <formula>0</formula>
    </cfRule>
  </conditionalFormatting>
  <conditionalFormatting sqref="AW16">
    <cfRule type="cellIs" dxfId="601" priority="581" operator="lessThan">
      <formula>0</formula>
    </cfRule>
  </conditionalFormatting>
  <conditionalFormatting sqref="EM16 EH16">
    <cfRule type="cellIs" dxfId="600" priority="580" operator="lessThan">
      <formula>0</formula>
    </cfRule>
  </conditionalFormatting>
  <conditionalFormatting sqref="EM16">
    <cfRule type="cellIs" dxfId="599" priority="579" operator="lessThan">
      <formula>0</formula>
    </cfRule>
  </conditionalFormatting>
  <conditionalFormatting sqref="EM16">
    <cfRule type="cellIs" dxfId="598" priority="578" operator="lessThan">
      <formula>0</formula>
    </cfRule>
  </conditionalFormatting>
  <conditionalFormatting sqref="EO16:EP16">
    <cfRule type="cellIs" dxfId="597" priority="577" operator="lessThan">
      <formula>0</formula>
    </cfRule>
  </conditionalFormatting>
  <conditionalFormatting sqref="EI16 EK16">
    <cfRule type="cellIs" dxfId="596" priority="576" operator="lessThan">
      <formula>0</formula>
    </cfRule>
  </conditionalFormatting>
  <conditionalFormatting sqref="EK16">
    <cfRule type="cellIs" dxfId="595" priority="575" operator="lessThan">
      <formula>0</formula>
    </cfRule>
  </conditionalFormatting>
  <conditionalFormatting sqref="EJ16">
    <cfRule type="cellIs" dxfId="594" priority="574" operator="lessThan">
      <formula>0</formula>
    </cfRule>
  </conditionalFormatting>
  <conditionalFormatting sqref="EL16">
    <cfRule type="cellIs" dxfId="593" priority="573" operator="lessThan">
      <formula>0</formula>
    </cfRule>
  </conditionalFormatting>
  <conditionalFormatting sqref="EN16">
    <cfRule type="cellIs" dxfId="592" priority="572" operator="lessThan">
      <formula>0</formula>
    </cfRule>
  </conditionalFormatting>
  <conditionalFormatting sqref="EC16">
    <cfRule type="cellIs" dxfId="591" priority="571" operator="lessThan">
      <formula>0</formula>
    </cfRule>
  </conditionalFormatting>
  <conditionalFormatting sqref="EC16">
    <cfRule type="cellIs" dxfId="590" priority="570" operator="lessThan">
      <formula>0</formula>
    </cfRule>
  </conditionalFormatting>
  <conditionalFormatting sqref="EE16:EF16">
    <cfRule type="cellIs" dxfId="589" priority="569" operator="lessThan">
      <formula>0</formula>
    </cfRule>
  </conditionalFormatting>
  <conditionalFormatting sqref="Z16">
    <cfRule type="cellIs" dxfId="588" priority="568" operator="lessThan">
      <formula>0</formula>
    </cfRule>
  </conditionalFormatting>
  <conditionalFormatting sqref="AV16 AX16 AZ16">
    <cfRule type="cellIs" dxfId="587" priority="567" operator="lessThan">
      <formula>0</formula>
    </cfRule>
  </conditionalFormatting>
  <conditionalFormatting sqref="X16">
    <cfRule type="cellIs" dxfId="586" priority="566" operator="lessThan">
      <formula>0</formula>
    </cfRule>
  </conditionalFormatting>
  <conditionalFormatting sqref="DW16 DY16 EA16">
    <cfRule type="cellIs" dxfId="585" priority="565" operator="lessThan">
      <formula>0</formula>
    </cfRule>
  </conditionalFormatting>
  <conditionalFormatting sqref="EA16">
    <cfRule type="cellIs" dxfId="584" priority="564" operator="lessThan">
      <formula>0</formula>
    </cfRule>
  </conditionalFormatting>
  <conditionalFormatting sqref="AK16">
    <cfRule type="cellIs" dxfId="583" priority="563" operator="lessThan">
      <formula>0</formula>
    </cfRule>
  </conditionalFormatting>
  <conditionalFormatting sqref="DA16">
    <cfRule type="cellIs" dxfId="582" priority="562" operator="lessThan">
      <formula>0</formula>
    </cfRule>
  </conditionalFormatting>
  <conditionalFormatting sqref="DV16">
    <cfRule type="cellIs" dxfId="581" priority="561" operator="lessThan">
      <formula>0</formula>
    </cfRule>
  </conditionalFormatting>
  <conditionalFormatting sqref="DG16">
    <cfRule type="cellIs" dxfId="580" priority="560" operator="lessThan">
      <formula>0</formula>
    </cfRule>
  </conditionalFormatting>
  <conditionalFormatting sqref="DJ16">
    <cfRule type="cellIs" dxfId="579" priority="559" operator="lessThan">
      <formula>0</formula>
    </cfRule>
  </conditionalFormatting>
  <conditionalFormatting sqref="DM16">
    <cfRule type="cellIs" dxfId="578" priority="558" operator="lessThan">
      <formula>0</formula>
    </cfRule>
  </conditionalFormatting>
  <conditionalFormatting sqref="DP16">
    <cfRule type="cellIs" dxfId="577" priority="557" operator="lessThan">
      <formula>0</formula>
    </cfRule>
  </conditionalFormatting>
  <conditionalFormatting sqref="DS16">
    <cfRule type="cellIs" dxfId="576" priority="556" operator="lessThan">
      <formula>0</formula>
    </cfRule>
  </conditionalFormatting>
  <conditionalFormatting sqref="DZ16">
    <cfRule type="cellIs" dxfId="575" priority="555" operator="lessThan">
      <formula>0</formula>
    </cfRule>
  </conditionalFormatting>
  <conditionalFormatting sqref="EB16">
    <cfRule type="cellIs" dxfId="574" priority="554" operator="lessThan">
      <formula>0</formula>
    </cfRule>
  </conditionalFormatting>
  <conditionalFormatting sqref="ED16">
    <cfRule type="cellIs" dxfId="573" priority="553" operator="lessThan">
      <formula>0</formula>
    </cfRule>
  </conditionalFormatting>
  <conditionalFormatting sqref="BO16">
    <cfRule type="cellIs" dxfId="572" priority="552" operator="lessThan">
      <formula>0</formula>
    </cfRule>
  </conditionalFormatting>
  <conditionalFormatting sqref="BQ16">
    <cfRule type="cellIs" dxfId="571" priority="551" operator="lessThan">
      <formula>0</formula>
    </cfRule>
  </conditionalFormatting>
  <conditionalFormatting sqref="BT16:BV16">
    <cfRule type="cellIs" dxfId="570" priority="550" operator="lessThan">
      <formula>0</formula>
    </cfRule>
  </conditionalFormatting>
  <conditionalFormatting sqref="BS16">
    <cfRule type="cellIs" dxfId="569" priority="549" operator="lessThan">
      <formula>0</formula>
    </cfRule>
  </conditionalFormatting>
  <conditionalFormatting sqref="BX16">
    <cfRule type="cellIs" dxfId="568" priority="548" operator="lessThan">
      <formula>0</formula>
    </cfRule>
  </conditionalFormatting>
  <conditionalFormatting sqref="BZ16">
    <cfRule type="cellIs" dxfId="567" priority="547" operator="lessThan">
      <formula>0</formula>
    </cfRule>
  </conditionalFormatting>
  <conditionalFormatting sqref="CB16">
    <cfRule type="cellIs" dxfId="566" priority="546" operator="lessThan">
      <formula>0</formula>
    </cfRule>
  </conditionalFormatting>
  <conditionalFormatting sqref="CC16">
    <cfRule type="cellIs" dxfId="565" priority="545" operator="lessThan">
      <formula>0</formula>
    </cfRule>
  </conditionalFormatting>
  <conditionalFormatting sqref="CG16">
    <cfRule type="cellIs" dxfId="564" priority="544" operator="lessThan">
      <formula>0</formula>
    </cfRule>
  </conditionalFormatting>
  <conditionalFormatting sqref="CI16">
    <cfRule type="cellIs" dxfId="563" priority="543" operator="lessThan">
      <formula>0</formula>
    </cfRule>
  </conditionalFormatting>
  <conditionalFormatting sqref="BW16">
    <cfRule type="cellIs" dxfId="562" priority="542" operator="lessThan">
      <formula>0</formula>
    </cfRule>
  </conditionalFormatting>
  <conditionalFormatting sqref="AT16">
    <cfRule type="cellIs" dxfId="561" priority="541" operator="lessThan">
      <formula>0</formula>
    </cfRule>
  </conditionalFormatting>
  <conditionalFormatting sqref="U17 G17:H18 R17:R18">
    <cfRule type="cellIs" dxfId="560" priority="540" operator="lessThan">
      <formula>0</formula>
    </cfRule>
  </conditionalFormatting>
  <conditionalFormatting sqref="B17:B18">
    <cfRule type="cellIs" dxfId="559" priority="539" operator="lessThan">
      <formula>0</formula>
    </cfRule>
  </conditionalFormatting>
  <conditionalFormatting sqref="D17:D18">
    <cfRule type="cellIs" dxfId="558" priority="538" operator="lessThan">
      <formula>0</formula>
    </cfRule>
  </conditionalFormatting>
  <conditionalFormatting sqref="U18">
    <cfRule type="cellIs" dxfId="557" priority="537" operator="lessThan">
      <formula>0</formula>
    </cfRule>
  </conditionalFormatting>
  <conditionalFormatting sqref="I17:I18">
    <cfRule type="cellIs" dxfId="556" priority="536" operator="lessThan">
      <formula>0</formula>
    </cfRule>
  </conditionalFormatting>
  <conditionalFormatting sqref="S17:S18">
    <cfRule type="cellIs" dxfId="555" priority="535" operator="lessThan">
      <formula>0</formula>
    </cfRule>
  </conditionalFormatting>
  <conditionalFormatting sqref="K17">
    <cfRule type="cellIs" dxfId="554" priority="534" operator="lessThan">
      <formula>0</formula>
    </cfRule>
  </conditionalFormatting>
  <conditionalFormatting sqref="Q17:Q18">
    <cfRule type="cellIs" dxfId="553" priority="533" operator="lessThan">
      <formula>0</formula>
    </cfRule>
  </conditionalFormatting>
  <conditionalFormatting sqref="L17:L18">
    <cfRule type="cellIs" dxfId="552" priority="532" operator="lessThan">
      <formula>0</formula>
    </cfRule>
  </conditionalFormatting>
  <conditionalFormatting sqref="R17:R18">
    <cfRule type="cellIs" dxfId="551" priority="531" operator="lessThan">
      <formula>0</formula>
    </cfRule>
  </conditionalFormatting>
  <conditionalFormatting sqref="C17:C18 E17:E18">
    <cfRule type="cellIs" dxfId="550" priority="528" operator="lessThan">
      <formula>0</formula>
    </cfRule>
  </conditionalFormatting>
  <conditionalFormatting sqref="F17:F18">
    <cfRule type="cellIs" dxfId="549" priority="527" operator="lessThan">
      <formula>0</formula>
    </cfRule>
  </conditionalFormatting>
  <conditionalFormatting sqref="J17:J18">
    <cfRule type="cellIs" dxfId="548" priority="526" operator="lessThan">
      <formula>0</formula>
    </cfRule>
  </conditionalFormatting>
  <conditionalFormatting sqref="N17:N18">
    <cfRule type="cellIs" dxfId="547" priority="525" operator="lessThan">
      <formula>0</formula>
    </cfRule>
  </conditionalFormatting>
  <conditionalFormatting sqref="P17:P18">
    <cfRule type="cellIs" dxfId="546" priority="524" operator="lessThan">
      <formula>0</formula>
    </cfRule>
  </conditionalFormatting>
  <conditionalFormatting sqref="T17:T18">
    <cfRule type="cellIs" dxfId="545" priority="523" operator="lessThan">
      <formula>0</formula>
    </cfRule>
  </conditionalFormatting>
  <conditionalFormatting sqref="T17:T18">
    <cfRule type="cellIs" dxfId="544" priority="522" operator="lessThan">
      <formula>0</formula>
    </cfRule>
  </conditionalFormatting>
  <conditionalFormatting sqref="M18">
    <cfRule type="cellIs" dxfId="543" priority="521" operator="lessThan">
      <formula>0</formula>
    </cfRule>
  </conditionalFormatting>
  <conditionalFormatting sqref="V17:V19">
    <cfRule type="cellIs" dxfId="542" priority="520" operator="lessThan">
      <formula>0</formula>
    </cfRule>
  </conditionalFormatting>
  <conditionalFormatting sqref="V17:V19">
    <cfRule type="cellIs" dxfId="541" priority="519" operator="lessThan">
      <formula>0</formula>
    </cfRule>
  </conditionalFormatting>
  <conditionalFormatting sqref="M17">
    <cfRule type="cellIs" dxfId="540" priority="518" operator="lessThan">
      <formula>0</formula>
    </cfRule>
  </conditionalFormatting>
  <conditionalFormatting sqref="K18">
    <cfRule type="cellIs" dxfId="539" priority="517" operator="lessThan">
      <formula>0</formula>
    </cfRule>
  </conditionalFormatting>
  <conditionalFormatting sqref="O17:O18">
    <cfRule type="cellIs" dxfId="538" priority="516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7" priority="513" operator="lessThan">
      <formula>0</formula>
    </cfRule>
  </conditionalFormatting>
  <conditionalFormatting sqref="AN17:AN18">
    <cfRule type="cellIs" dxfId="536" priority="512" operator="lessThan">
      <formula>0</formula>
    </cfRule>
  </conditionalFormatting>
  <conditionalFormatting sqref="CA18">
    <cfRule type="cellIs" dxfId="535" priority="511" operator="lessThan">
      <formula>0</formula>
    </cfRule>
  </conditionalFormatting>
  <conditionalFormatting sqref="CH17:CH18">
    <cfRule type="cellIs" dxfId="534" priority="510" operator="lessThan">
      <formula>0</formula>
    </cfRule>
  </conditionalFormatting>
  <conditionalFormatting sqref="CY18">
    <cfRule type="cellIs" dxfId="533" priority="509" operator="lessThan">
      <formula>0</formula>
    </cfRule>
  </conditionalFormatting>
  <conditionalFormatting sqref="DB17:DB18">
    <cfRule type="cellIs" dxfId="532" priority="508" operator="lessThan">
      <formula>0</formula>
    </cfRule>
  </conditionalFormatting>
  <conditionalFormatting sqref="DE17:DE18">
    <cfRule type="cellIs" dxfId="531" priority="507" operator="lessThan">
      <formula>0</formula>
    </cfRule>
  </conditionalFormatting>
  <conditionalFormatting sqref="EE17:EG18">
    <cfRule type="cellIs" dxfId="530" priority="506" operator="lessThan">
      <formula>0</formula>
    </cfRule>
  </conditionalFormatting>
  <conditionalFormatting sqref="Z17">
    <cfRule type="cellIs" dxfId="529" priority="505" operator="lessThan">
      <formula>0</formula>
    </cfRule>
  </conditionalFormatting>
  <conditionalFormatting sqref="Z18">
    <cfRule type="cellIs" dxfId="528" priority="504" operator="lessThan">
      <formula>0</formula>
    </cfRule>
  </conditionalFormatting>
  <conditionalFormatting sqref="BB17:BB18">
    <cfRule type="cellIs" dxfId="527" priority="503" operator="lessThan">
      <formula>0</formula>
    </cfRule>
  </conditionalFormatting>
  <conditionalFormatting sqref="AV17:AV18 AX17:AX18 BW18 AT18 AZ17:AZ18">
    <cfRule type="cellIs" dxfId="526" priority="502" operator="lessThan">
      <formula>0</formula>
    </cfRule>
  </conditionalFormatting>
  <conditionalFormatting sqref="X17:X18">
    <cfRule type="cellIs" dxfId="525" priority="501" operator="lessThan">
      <formula>0</formula>
    </cfRule>
  </conditionalFormatting>
  <conditionalFormatting sqref="DW17:DW18 DY17:DY18 EA17:EA18">
    <cfRule type="cellIs" dxfId="524" priority="500" operator="lessThan">
      <formula>0</formula>
    </cfRule>
  </conditionalFormatting>
  <conditionalFormatting sqref="EA17:EA18">
    <cfRule type="cellIs" dxfId="523" priority="499" operator="lessThan">
      <formula>0</formula>
    </cfRule>
  </conditionalFormatting>
  <conditionalFormatting sqref="EC17">
    <cfRule type="cellIs" dxfId="522" priority="498" operator="lessThan">
      <formula>0</formula>
    </cfRule>
  </conditionalFormatting>
  <conditionalFormatting sqref="EC17">
    <cfRule type="cellIs" dxfId="521" priority="497" operator="lessThan">
      <formula>0</formula>
    </cfRule>
  </conditionalFormatting>
  <conditionalFormatting sqref="EC17">
    <cfRule type="cellIs" dxfId="520" priority="496" operator="lessThan">
      <formula>0</formula>
    </cfRule>
  </conditionalFormatting>
  <conditionalFormatting sqref="EC18">
    <cfRule type="cellIs" dxfId="519" priority="495" operator="lessThan">
      <formula>0</formula>
    </cfRule>
  </conditionalFormatting>
  <conditionalFormatting sqref="EC18">
    <cfRule type="cellIs" dxfId="518" priority="494" operator="lessThan">
      <formula>0</formula>
    </cfRule>
  </conditionalFormatting>
  <conditionalFormatting sqref="EC18">
    <cfRule type="cellIs" dxfId="517" priority="493" operator="lessThan">
      <formula>0</formula>
    </cfRule>
  </conditionalFormatting>
  <conditionalFormatting sqref="AK17:AK18">
    <cfRule type="cellIs" dxfId="516" priority="492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5" priority="491" operator="lessThan">
      <formula>0</formula>
    </cfRule>
  </conditionalFormatting>
  <conditionalFormatting sqref="DA17:DA18">
    <cfRule type="cellIs" dxfId="514" priority="490" operator="lessThan">
      <formula>0</formula>
    </cfRule>
  </conditionalFormatting>
  <conditionalFormatting sqref="DV17:DV18">
    <cfRule type="cellIs" dxfId="513" priority="489" operator="lessThan">
      <formula>0</formula>
    </cfRule>
  </conditionalFormatting>
  <conditionalFormatting sqref="DG17:DG18">
    <cfRule type="cellIs" dxfId="512" priority="488" operator="lessThan">
      <formula>0</formula>
    </cfRule>
  </conditionalFormatting>
  <conditionalFormatting sqref="DJ17:DJ18">
    <cfRule type="cellIs" dxfId="511" priority="487" operator="lessThan">
      <formula>0</formula>
    </cfRule>
  </conditionalFormatting>
  <conditionalFormatting sqref="DM17:DM18">
    <cfRule type="cellIs" dxfId="510" priority="486" operator="lessThan">
      <formula>0</formula>
    </cfRule>
  </conditionalFormatting>
  <conditionalFormatting sqref="DP17:DP18">
    <cfRule type="cellIs" dxfId="509" priority="485" operator="lessThan">
      <formula>0</formula>
    </cfRule>
  </conditionalFormatting>
  <conditionalFormatting sqref="DS17:DS18">
    <cfRule type="cellIs" dxfId="508" priority="484" operator="lessThan">
      <formula>0</formula>
    </cfRule>
  </conditionalFormatting>
  <conditionalFormatting sqref="DZ17:DZ18">
    <cfRule type="cellIs" dxfId="507" priority="483" operator="lessThan">
      <formula>0</formula>
    </cfRule>
  </conditionalFormatting>
  <conditionalFormatting sqref="EB17:EB18">
    <cfRule type="cellIs" dxfId="506" priority="482" operator="lessThan">
      <formula>0</formula>
    </cfRule>
  </conditionalFormatting>
  <conditionalFormatting sqref="ED17:ED18">
    <cfRule type="cellIs" dxfId="505" priority="481" operator="lessThan">
      <formula>0</formula>
    </cfRule>
  </conditionalFormatting>
  <conditionalFormatting sqref="BO17:BO18">
    <cfRule type="cellIs" dxfId="504" priority="480" operator="lessThan">
      <formula>0</formula>
    </cfRule>
  </conditionalFormatting>
  <conditionalFormatting sqref="BQ17:BQ18">
    <cfRule type="cellIs" dxfId="503" priority="479" operator="lessThan">
      <formula>0</formula>
    </cfRule>
  </conditionalFormatting>
  <conditionalFormatting sqref="BT17:BV18">
    <cfRule type="cellIs" dxfId="502" priority="478" operator="lessThan">
      <formula>0</formula>
    </cfRule>
  </conditionalFormatting>
  <conditionalFormatting sqref="BS17:BS18">
    <cfRule type="cellIs" dxfId="501" priority="477" operator="lessThan">
      <formula>0</formula>
    </cfRule>
  </conditionalFormatting>
  <conditionalFormatting sqref="BX17:BX18">
    <cfRule type="cellIs" dxfId="500" priority="476" operator="lessThan">
      <formula>0</formula>
    </cfRule>
  </conditionalFormatting>
  <conditionalFormatting sqref="BZ17:BZ18">
    <cfRule type="cellIs" dxfId="499" priority="475" operator="lessThan">
      <formula>0</formula>
    </cfRule>
  </conditionalFormatting>
  <conditionalFormatting sqref="CB17:CB18">
    <cfRule type="cellIs" dxfId="498" priority="474" operator="lessThan">
      <formula>0</formula>
    </cfRule>
  </conditionalFormatting>
  <conditionalFormatting sqref="CC17:CC18">
    <cfRule type="cellIs" dxfId="497" priority="473" operator="lessThan">
      <formula>0</formula>
    </cfRule>
  </conditionalFormatting>
  <conditionalFormatting sqref="CG17:CG18">
    <cfRule type="cellIs" dxfId="496" priority="472" operator="lessThan">
      <formula>0</formula>
    </cfRule>
  </conditionalFormatting>
  <conditionalFormatting sqref="CI17:CI18">
    <cfRule type="cellIs" dxfId="495" priority="471" operator="lessThan">
      <formula>0</formula>
    </cfRule>
  </conditionalFormatting>
  <conditionalFormatting sqref="BW17">
    <cfRule type="cellIs" dxfId="494" priority="470" operator="lessThan">
      <formula>0</formula>
    </cfRule>
  </conditionalFormatting>
  <conditionalFormatting sqref="AT17">
    <cfRule type="cellIs" dxfId="493" priority="469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92" priority="468" operator="lessThan">
      <formula>0</formula>
    </cfRule>
  </conditionalFormatting>
  <conditionalFormatting sqref="AH19">
    <cfRule type="cellIs" dxfId="491" priority="467" operator="lessThan">
      <formula>0</formula>
    </cfRule>
  </conditionalFormatting>
  <conditionalFormatting sqref="EE19:EG19">
    <cfRule type="cellIs" dxfId="490" priority="466" operator="lessThan">
      <formula>0</formula>
    </cfRule>
  </conditionalFormatting>
  <conditionalFormatting sqref="AD19">
    <cfRule type="cellIs" dxfId="489" priority="465" operator="lessThan">
      <formula>0</formula>
    </cfRule>
  </conditionalFormatting>
  <conditionalFormatting sqref="BB19">
    <cfRule type="cellIs" dxfId="488" priority="464" operator="lessThan">
      <formula>0</formula>
    </cfRule>
  </conditionalFormatting>
  <conditionalFormatting sqref="BD19">
    <cfRule type="cellIs" dxfId="487" priority="463" operator="lessThan">
      <formula>0</formula>
    </cfRule>
  </conditionalFormatting>
  <conditionalFormatting sqref="BF19">
    <cfRule type="cellIs" dxfId="486" priority="462" operator="lessThan">
      <formula>0</formula>
    </cfRule>
  </conditionalFormatting>
  <conditionalFormatting sqref="AV19 AX19 BW19 AT19 AZ19">
    <cfRule type="cellIs" dxfId="485" priority="461" operator="lessThan">
      <formula>0</formula>
    </cfRule>
  </conditionalFormatting>
  <conditionalFormatting sqref="X19">
    <cfRule type="cellIs" dxfId="484" priority="460" operator="lessThan">
      <formula>0</formula>
    </cfRule>
  </conditionalFormatting>
  <conditionalFormatting sqref="DW19 DY19 EA19">
    <cfRule type="cellIs" dxfId="483" priority="459" operator="lessThan">
      <formula>0</formula>
    </cfRule>
  </conditionalFormatting>
  <conditionalFormatting sqref="EA19">
    <cfRule type="cellIs" dxfId="482" priority="458" operator="lessThan">
      <formula>0</formula>
    </cfRule>
  </conditionalFormatting>
  <conditionalFormatting sqref="EC19">
    <cfRule type="cellIs" dxfId="481" priority="457" operator="lessThan">
      <formula>0</formula>
    </cfRule>
  </conditionalFormatting>
  <conditionalFormatting sqref="EC19">
    <cfRule type="cellIs" dxfId="480" priority="456" operator="lessThan">
      <formula>0</formula>
    </cfRule>
  </conditionalFormatting>
  <conditionalFormatting sqref="EC19">
    <cfRule type="cellIs" dxfId="479" priority="455" operator="lessThan">
      <formula>0</formula>
    </cfRule>
  </conditionalFormatting>
  <conditionalFormatting sqref="AK19">
    <cfRule type="cellIs" dxfId="478" priority="454" operator="lessThan">
      <formula>0</formula>
    </cfRule>
  </conditionalFormatting>
  <conditionalFormatting sqref="CQ19:CR19 DL19 DI19 DC19:DD19 AE19 CN19:CO19 CT19:CU19 CZ19 CW19:CX19 CE19 DO19 DR19 DU19 CJ19:CK19 BM19 AM19 DF19">
    <cfRule type="cellIs" dxfId="477" priority="453" operator="lessThan">
      <formula>0</formula>
    </cfRule>
  </conditionalFormatting>
  <conditionalFormatting sqref="DA19">
    <cfRule type="cellIs" dxfId="476" priority="452" operator="lessThan">
      <formula>0</formula>
    </cfRule>
  </conditionalFormatting>
  <conditionalFormatting sqref="DV19">
    <cfRule type="cellIs" dxfId="475" priority="451" operator="lessThan">
      <formula>0</formula>
    </cfRule>
  </conditionalFormatting>
  <conditionalFormatting sqref="DG19">
    <cfRule type="cellIs" dxfId="474" priority="450" operator="lessThan">
      <formula>0</formula>
    </cfRule>
  </conditionalFormatting>
  <conditionalFormatting sqref="DJ19">
    <cfRule type="cellIs" dxfId="473" priority="449" operator="lessThan">
      <formula>0</formula>
    </cfRule>
  </conditionalFormatting>
  <conditionalFormatting sqref="DM19">
    <cfRule type="cellIs" dxfId="472" priority="448" operator="lessThan">
      <formula>0</formula>
    </cfRule>
  </conditionalFormatting>
  <conditionalFormatting sqref="DP19">
    <cfRule type="cellIs" dxfId="471" priority="447" operator="lessThan">
      <formula>0</formula>
    </cfRule>
  </conditionalFormatting>
  <conditionalFormatting sqref="DS19">
    <cfRule type="cellIs" dxfId="470" priority="446" operator="lessThan">
      <formula>0</formula>
    </cfRule>
  </conditionalFormatting>
  <conditionalFormatting sqref="DZ19">
    <cfRule type="cellIs" dxfId="469" priority="445" operator="lessThan">
      <formula>0</formula>
    </cfRule>
  </conditionalFormatting>
  <conditionalFormatting sqref="EB19">
    <cfRule type="cellIs" dxfId="468" priority="444" operator="lessThan">
      <formula>0</formula>
    </cfRule>
  </conditionalFormatting>
  <conditionalFormatting sqref="ED19">
    <cfRule type="cellIs" dxfId="467" priority="443" operator="lessThan">
      <formula>0</formula>
    </cfRule>
  </conditionalFormatting>
  <conditionalFormatting sqref="BO19">
    <cfRule type="cellIs" dxfId="466" priority="442" operator="lessThan">
      <formula>0</formula>
    </cfRule>
  </conditionalFormatting>
  <conditionalFormatting sqref="BQ19">
    <cfRule type="cellIs" dxfId="465" priority="441" operator="lessThan">
      <formula>0</formula>
    </cfRule>
  </conditionalFormatting>
  <conditionalFormatting sqref="BT19:BV19">
    <cfRule type="cellIs" dxfId="464" priority="440" operator="lessThan">
      <formula>0</formula>
    </cfRule>
  </conditionalFormatting>
  <conditionalFormatting sqref="BS19">
    <cfRule type="cellIs" dxfId="463" priority="439" operator="lessThan">
      <formula>0</formula>
    </cfRule>
  </conditionalFormatting>
  <conditionalFormatting sqref="BX19">
    <cfRule type="cellIs" dxfId="462" priority="438" operator="lessThan">
      <formula>0</formula>
    </cfRule>
  </conditionalFormatting>
  <conditionalFormatting sqref="BZ19">
    <cfRule type="cellIs" dxfId="461" priority="437" operator="lessThan">
      <formula>0</formula>
    </cfRule>
  </conditionalFormatting>
  <conditionalFormatting sqref="CB19">
    <cfRule type="cellIs" dxfId="460" priority="436" operator="lessThan">
      <formula>0</formula>
    </cfRule>
  </conditionalFormatting>
  <conditionalFormatting sqref="CC19">
    <cfRule type="cellIs" dxfId="459" priority="435" operator="lessThan">
      <formula>0</formula>
    </cfRule>
  </conditionalFormatting>
  <conditionalFormatting sqref="CG19">
    <cfRule type="cellIs" dxfId="458" priority="434" operator="lessThan">
      <formula>0</formula>
    </cfRule>
  </conditionalFormatting>
  <conditionalFormatting sqref="CI19">
    <cfRule type="cellIs" dxfId="457" priority="433" operator="lessThan">
      <formula>0</formula>
    </cfRule>
  </conditionalFormatting>
  <conditionalFormatting sqref="G19:H19 B19 D19 R19">
    <cfRule type="cellIs" dxfId="456" priority="432" operator="lessThan">
      <formula>0</formula>
    </cfRule>
  </conditionalFormatting>
  <conditionalFormatting sqref="I19">
    <cfRule type="cellIs" dxfId="455" priority="431" operator="lessThan">
      <formula>0</formula>
    </cfRule>
  </conditionalFormatting>
  <conditionalFormatting sqref="S19">
    <cfRule type="cellIs" dxfId="454" priority="430" operator="lessThan">
      <formula>0</formula>
    </cfRule>
  </conditionalFormatting>
  <conditionalFormatting sqref="Q19">
    <cfRule type="cellIs" dxfId="453" priority="429" operator="lessThan">
      <formula>0</formula>
    </cfRule>
  </conditionalFormatting>
  <conditionalFormatting sqref="L19">
    <cfRule type="cellIs" dxfId="452" priority="428" operator="lessThan">
      <formula>0</formula>
    </cfRule>
  </conditionalFormatting>
  <conditionalFormatting sqref="R19">
    <cfRule type="cellIs" dxfId="451" priority="427" operator="lessThan">
      <formula>0</formula>
    </cfRule>
  </conditionalFormatting>
  <conditionalFormatting sqref="C19 E19">
    <cfRule type="cellIs" dxfId="450" priority="426" operator="lessThan">
      <formula>0</formula>
    </cfRule>
  </conditionalFormatting>
  <conditionalFormatting sqref="F19">
    <cfRule type="cellIs" dxfId="449" priority="425" operator="lessThan">
      <formula>0</formula>
    </cfRule>
  </conditionalFormatting>
  <conditionalFormatting sqref="J19">
    <cfRule type="cellIs" dxfId="448" priority="424" operator="lessThan">
      <formula>0</formula>
    </cfRule>
  </conditionalFormatting>
  <conditionalFormatting sqref="N19">
    <cfRule type="cellIs" dxfId="447" priority="423" operator="lessThan">
      <formula>0</formula>
    </cfRule>
  </conditionalFormatting>
  <conditionalFormatting sqref="P19">
    <cfRule type="cellIs" dxfId="446" priority="422" operator="lessThan">
      <formula>0</formula>
    </cfRule>
  </conditionalFormatting>
  <conditionalFormatting sqref="T19">
    <cfRule type="cellIs" dxfId="445" priority="421" operator="lessThan">
      <formula>0</formula>
    </cfRule>
  </conditionalFormatting>
  <conditionalFormatting sqref="T19">
    <cfRule type="cellIs" dxfId="444" priority="420" operator="lessThan">
      <formula>0</formula>
    </cfRule>
  </conditionalFormatting>
  <conditionalFormatting sqref="K19">
    <cfRule type="cellIs" dxfId="443" priority="419" operator="lessThan">
      <formula>0</formula>
    </cfRule>
  </conditionalFormatting>
  <conditionalFormatting sqref="M19">
    <cfRule type="cellIs" dxfId="442" priority="418" operator="lessThan">
      <formula>0</formula>
    </cfRule>
  </conditionalFormatting>
  <conditionalFormatting sqref="O19">
    <cfRule type="cellIs" dxfId="441" priority="417" operator="lessThan">
      <formula>0</formula>
    </cfRule>
  </conditionalFormatting>
  <conditionalFormatting sqref="U20:U21 G20:H21 W20:W21 B20:B21 D20:D21 R20:S21">
    <cfRule type="cellIs" dxfId="440" priority="416" operator="lessThan">
      <formula>0</formula>
    </cfRule>
  </conditionalFormatting>
  <conditionalFormatting sqref="Q20">
    <cfRule type="cellIs" dxfId="439" priority="415" operator="lessThan">
      <formula>0</formula>
    </cfRule>
  </conditionalFormatting>
  <conditionalFormatting sqref="L20:L21">
    <cfRule type="cellIs" dxfId="438" priority="414" operator="lessThan">
      <formula>0</formula>
    </cfRule>
  </conditionalFormatting>
  <conditionalFormatting sqref="R20:R21">
    <cfRule type="cellIs" dxfId="437" priority="413" operator="lessThan">
      <formula>0</formula>
    </cfRule>
  </conditionalFormatting>
  <conditionalFormatting sqref="C20:C21 E20:E21">
    <cfRule type="cellIs" dxfId="436" priority="411" operator="lessThan">
      <formula>0</formula>
    </cfRule>
  </conditionalFormatting>
  <conditionalFormatting sqref="F20:F21">
    <cfRule type="cellIs" dxfId="435" priority="410" operator="lessThan">
      <formula>0</formula>
    </cfRule>
  </conditionalFormatting>
  <conditionalFormatting sqref="J20:J21">
    <cfRule type="cellIs" dxfId="434" priority="409" operator="lessThan">
      <formula>0</formula>
    </cfRule>
  </conditionalFormatting>
  <conditionalFormatting sqref="N20:N21">
    <cfRule type="cellIs" dxfId="433" priority="408" operator="lessThan">
      <formula>0</formula>
    </cfRule>
  </conditionalFormatting>
  <conditionalFormatting sqref="P20:P21">
    <cfRule type="cellIs" dxfId="432" priority="407" operator="lessThan">
      <formula>0</formula>
    </cfRule>
  </conditionalFormatting>
  <conditionalFormatting sqref="T20:T21">
    <cfRule type="cellIs" dxfId="431" priority="406" operator="lessThan">
      <formula>0</formula>
    </cfRule>
  </conditionalFormatting>
  <conditionalFormatting sqref="T20:T21">
    <cfRule type="cellIs" dxfId="430" priority="405" operator="lessThan">
      <formula>0</formula>
    </cfRule>
  </conditionalFormatting>
  <conditionalFormatting sqref="Q21">
    <cfRule type="cellIs" dxfId="429" priority="404" operator="lessThan">
      <formula>0</formula>
    </cfRule>
  </conditionalFormatting>
  <conditionalFormatting sqref="V20:V21">
    <cfRule type="cellIs" dxfId="428" priority="403" operator="lessThan">
      <formula>0</formula>
    </cfRule>
  </conditionalFormatting>
  <conditionalFormatting sqref="V20:V21">
    <cfRule type="cellIs" dxfId="427" priority="402" operator="lessThan">
      <formula>0</formula>
    </cfRule>
  </conditionalFormatting>
  <conditionalFormatting sqref="I20">
    <cfRule type="cellIs" dxfId="426" priority="401" operator="lessThan">
      <formula>0</formula>
    </cfRule>
  </conditionalFormatting>
  <conditionalFormatting sqref="I21">
    <cfRule type="cellIs" dxfId="425" priority="400" operator="lessThan">
      <formula>0</formula>
    </cfRule>
  </conditionalFormatting>
  <conditionalFormatting sqref="K20">
    <cfRule type="cellIs" dxfId="424" priority="399" operator="lessThan">
      <formula>0</formula>
    </cfRule>
  </conditionalFormatting>
  <conditionalFormatting sqref="K21">
    <cfRule type="cellIs" dxfId="423" priority="398" operator="lessThan">
      <formula>0</formula>
    </cfRule>
  </conditionalFormatting>
  <conditionalFormatting sqref="M20">
    <cfRule type="cellIs" dxfId="422" priority="397" operator="lessThan">
      <formula>0</formula>
    </cfRule>
  </conditionalFormatting>
  <conditionalFormatting sqref="M21">
    <cfRule type="cellIs" dxfId="421" priority="396" operator="lessThan">
      <formula>0</formula>
    </cfRule>
  </conditionalFormatting>
  <conditionalFormatting sqref="O20">
    <cfRule type="cellIs" dxfId="420" priority="395" operator="lessThan">
      <formula>0</formula>
    </cfRule>
  </conditionalFormatting>
  <conditionalFormatting sqref="O21">
    <cfRule type="cellIs" dxfId="419" priority="394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8" priority="393" operator="lessThan">
      <formula>0</formula>
    </cfRule>
  </conditionalFormatting>
  <conditionalFormatting sqref="EE20:EG21">
    <cfRule type="cellIs" dxfId="417" priority="392" operator="lessThan">
      <formula>0</formula>
    </cfRule>
  </conditionalFormatting>
  <conditionalFormatting sqref="AV20">
    <cfRule type="cellIs" dxfId="416" priority="391" operator="lessThan">
      <formula>0</formula>
    </cfRule>
  </conditionalFormatting>
  <conditionalFormatting sqref="DN20 DQ20 DT20">
    <cfRule type="cellIs" dxfId="415" priority="390" operator="lessThan">
      <formula>0</formula>
    </cfRule>
  </conditionalFormatting>
  <conditionalFormatting sqref="AD20">
    <cfRule type="cellIs" dxfId="414" priority="389" operator="lessThan">
      <formula>0</formula>
    </cfRule>
  </conditionalFormatting>
  <conditionalFormatting sqref="AX20">
    <cfRule type="cellIs" dxfId="413" priority="388" operator="lessThan">
      <formula>0</formula>
    </cfRule>
  </conditionalFormatting>
  <conditionalFormatting sqref="BD20">
    <cfRule type="cellIs" dxfId="412" priority="387" operator="lessThan">
      <formula>0</formula>
    </cfRule>
  </conditionalFormatting>
  <conditionalFormatting sqref="BF20">
    <cfRule type="cellIs" dxfId="411" priority="386" operator="lessThan">
      <formula>0</formula>
    </cfRule>
  </conditionalFormatting>
  <conditionalFormatting sqref="AR21 BB21">
    <cfRule type="cellIs" dxfId="410" priority="385" operator="lessThan">
      <formula>0</formula>
    </cfRule>
  </conditionalFormatting>
  <conditionalFormatting sqref="AV21">
    <cfRule type="cellIs" dxfId="409" priority="384" operator="lessThan">
      <formula>0</formula>
    </cfRule>
  </conditionalFormatting>
  <conditionalFormatting sqref="AX21">
    <cfRule type="cellIs" dxfId="408" priority="383" operator="lessThan">
      <formula>0</formula>
    </cfRule>
  </conditionalFormatting>
  <conditionalFormatting sqref="BD21">
    <cfRule type="cellIs" dxfId="407" priority="382" operator="lessThan">
      <formula>0</formula>
    </cfRule>
  </conditionalFormatting>
  <conditionalFormatting sqref="BF21">
    <cfRule type="cellIs" dxfId="406" priority="381" operator="lessThan">
      <formula>0</formula>
    </cfRule>
  </conditionalFormatting>
  <conditionalFormatting sqref="AT20:AT21">
    <cfRule type="cellIs" dxfId="405" priority="380" operator="lessThan">
      <formula>0</formula>
    </cfRule>
  </conditionalFormatting>
  <conditionalFormatting sqref="DW20 DY20 EA20">
    <cfRule type="cellIs" dxfId="404" priority="379" operator="lessThan">
      <formula>0</formula>
    </cfRule>
  </conditionalFormatting>
  <conditionalFormatting sqref="EA20">
    <cfRule type="cellIs" dxfId="403" priority="378" operator="lessThan">
      <formula>0</formula>
    </cfRule>
  </conditionalFormatting>
  <conditionalFormatting sqref="EC20">
    <cfRule type="cellIs" dxfId="402" priority="377" operator="lessThan">
      <formula>0</formula>
    </cfRule>
  </conditionalFormatting>
  <conditionalFormatting sqref="EC20">
    <cfRule type="cellIs" dxfId="401" priority="376" operator="lessThan">
      <formula>0</formula>
    </cfRule>
  </conditionalFormatting>
  <conditionalFormatting sqref="EC20">
    <cfRule type="cellIs" dxfId="400" priority="375" operator="lessThan">
      <formula>0</formula>
    </cfRule>
  </conditionalFormatting>
  <conditionalFormatting sqref="AK20:AK21">
    <cfRule type="cellIs" dxfId="399" priority="374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8" priority="373" operator="lessThan">
      <formula>0</formula>
    </cfRule>
  </conditionalFormatting>
  <conditionalFormatting sqref="DA20:DA21">
    <cfRule type="cellIs" dxfId="397" priority="372" operator="lessThan">
      <formula>0</formula>
    </cfRule>
  </conditionalFormatting>
  <conditionalFormatting sqref="DV20:DV21">
    <cfRule type="cellIs" dxfId="396" priority="371" operator="lessThan">
      <formula>0</formula>
    </cfRule>
  </conditionalFormatting>
  <conditionalFormatting sqref="DG20:DG21">
    <cfRule type="cellIs" dxfId="395" priority="370" operator="lessThan">
      <formula>0</formula>
    </cfRule>
  </conditionalFormatting>
  <conditionalFormatting sqref="DJ20:DJ21">
    <cfRule type="cellIs" dxfId="394" priority="369" operator="lessThan">
      <formula>0</formula>
    </cfRule>
  </conditionalFormatting>
  <conditionalFormatting sqref="DM20:DM21">
    <cfRule type="cellIs" dxfId="393" priority="368" operator="lessThan">
      <formula>0</formula>
    </cfRule>
  </conditionalFormatting>
  <conditionalFormatting sqref="DP20:DP21">
    <cfRule type="cellIs" dxfId="392" priority="367" operator="lessThan">
      <formula>0</formula>
    </cfRule>
  </conditionalFormatting>
  <conditionalFormatting sqref="DS20:DS21">
    <cfRule type="cellIs" dxfId="391" priority="366" operator="lessThan">
      <formula>0</formula>
    </cfRule>
  </conditionalFormatting>
  <conditionalFormatting sqref="DZ20:DZ21">
    <cfRule type="cellIs" dxfId="390" priority="365" operator="lessThan">
      <formula>0</formula>
    </cfRule>
  </conditionalFormatting>
  <conditionalFormatting sqref="EB20:EB21">
    <cfRule type="cellIs" dxfId="389" priority="364" operator="lessThan">
      <formula>0</formula>
    </cfRule>
  </conditionalFormatting>
  <conditionalFormatting sqref="ED20:ED21">
    <cfRule type="cellIs" dxfId="388" priority="363" operator="lessThan">
      <formula>0</formula>
    </cfRule>
  </conditionalFormatting>
  <conditionalFormatting sqref="BO20:BO21">
    <cfRule type="cellIs" dxfId="387" priority="362" operator="lessThan">
      <formula>0</formula>
    </cfRule>
  </conditionalFormatting>
  <conditionalFormatting sqref="BQ20:BQ21">
    <cfRule type="cellIs" dxfId="386" priority="361" operator="lessThan">
      <formula>0</formula>
    </cfRule>
  </conditionalFormatting>
  <conditionalFormatting sqref="BT20:BV21">
    <cfRule type="cellIs" dxfId="385" priority="360" operator="lessThan">
      <formula>0</formula>
    </cfRule>
  </conditionalFormatting>
  <conditionalFormatting sqref="BS20:BS21">
    <cfRule type="cellIs" dxfId="384" priority="359" operator="lessThan">
      <formula>0</formula>
    </cfRule>
  </conditionalFormatting>
  <conditionalFormatting sqref="BX20:BX21">
    <cfRule type="cellIs" dxfId="383" priority="358" operator="lessThan">
      <formula>0</formula>
    </cfRule>
  </conditionalFormatting>
  <conditionalFormatting sqref="BZ20:BZ21">
    <cfRule type="cellIs" dxfId="382" priority="357" operator="lessThan">
      <formula>0</formula>
    </cfRule>
  </conditionalFormatting>
  <conditionalFormatting sqref="CB20:CB21">
    <cfRule type="cellIs" dxfId="381" priority="356" operator="lessThan">
      <formula>0</formula>
    </cfRule>
  </conditionalFormatting>
  <conditionalFormatting sqref="CC20:CC21">
    <cfRule type="cellIs" dxfId="380" priority="355" operator="lessThan">
      <formula>0</formula>
    </cfRule>
  </conditionalFormatting>
  <conditionalFormatting sqref="CG20:CG21">
    <cfRule type="cellIs" dxfId="379" priority="354" operator="lessThan">
      <formula>0</formula>
    </cfRule>
  </conditionalFormatting>
  <conditionalFormatting sqref="CI20:CI21">
    <cfRule type="cellIs" dxfId="378" priority="353" operator="lessThan">
      <formula>0</formula>
    </cfRule>
  </conditionalFormatting>
  <conditionalFormatting sqref="AZ20">
    <cfRule type="cellIs" dxfId="377" priority="352" operator="lessThan">
      <formula>0</formula>
    </cfRule>
  </conditionalFormatting>
  <conditionalFormatting sqref="AZ21">
    <cfRule type="cellIs" dxfId="376" priority="351" operator="lessThan">
      <formula>0</formula>
    </cfRule>
  </conditionalFormatting>
  <conditionalFormatting sqref="X20">
    <cfRule type="cellIs" dxfId="375" priority="350" operator="lessThan">
      <formula>0</formula>
    </cfRule>
  </conditionalFormatting>
  <conditionalFormatting sqref="X21">
    <cfRule type="cellIs" dxfId="374" priority="349" operator="lessThan">
      <formula>0</formula>
    </cfRule>
  </conditionalFormatting>
  <conditionalFormatting sqref="DW21">
    <cfRule type="cellIs" dxfId="373" priority="348" operator="lessThan">
      <formula>0</formula>
    </cfRule>
  </conditionalFormatting>
  <conditionalFormatting sqref="DY21">
    <cfRule type="cellIs" dxfId="372" priority="347" operator="lessThan">
      <formula>0</formula>
    </cfRule>
  </conditionalFormatting>
  <conditionalFormatting sqref="EA21">
    <cfRule type="cellIs" dxfId="371" priority="346" operator="lessThan">
      <formula>0</formula>
    </cfRule>
  </conditionalFormatting>
  <conditionalFormatting sqref="EA21">
    <cfRule type="cellIs" dxfId="370" priority="345" operator="lessThan">
      <formula>0</formula>
    </cfRule>
  </conditionalFormatting>
  <conditionalFormatting sqref="EC21">
    <cfRule type="cellIs" dxfId="369" priority="344" operator="lessThan">
      <formula>0</formula>
    </cfRule>
  </conditionalFormatting>
  <conditionalFormatting sqref="EC21">
    <cfRule type="cellIs" dxfId="368" priority="343" operator="lessThan">
      <formula>0</formula>
    </cfRule>
  </conditionalFormatting>
  <conditionalFormatting sqref="EC21">
    <cfRule type="cellIs" dxfId="367" priority="342" operator="lessThan">
      <formula>0</formula>
    </cfRule>
  </conditionalFormatting>
  <conditionalFormatting sqref="Q22 U22:U23 G22:H22 W22:W23 B22:B23 D22 R22:S23">
    <cfRule type="cellIs" dxfId="366" priority="341" operator="lessThan">
      <formula>0</formula>
    </cfRule>
  </conditionalFormatting>
  <conditionalFormatting sqref="G23:H23 Q23">
    <cfRule type="cellIs" dxfId="365" priority="340" operator="lessThan">
      <formula>0</formula>
    </cfRule>
  </conditionalFormatting>
  <conditionalFormatting sqref="L22:L23">
    <cfRule type="cellIs" dxfId="364" priority="339" operator="lessThan">
      <formula>0</formula>
    </cfRule>
  </conditionalFormatting>
  <conditionalFormatting sqref="R22:R23">
    <cfRule type="cellIs" dxfId="363" priority="338" operator="lessThan">
      <formula>0</formula>
    </cfRule>
  </conditionalFormatting>
  <conditionalFormatting sqref="C22:C23 E22">
    <cfRule type="cellIs" dxfId="362" priority="336" operator="lessThan">
      <formula>0</formula>
    </cfRule>
  </conditionalFormatting>
  <conditionalFormatting sqref="F22:F23">
    <cfRule type="cellIs" dxfId="361" priority="335" operator="lessThan">
      <formula>0</formula>
    </cfRule>
  </conditionalFormatting>
  <conditionalFormatting sqref="J22:J23">
    <cfRule type="cellIs" dxfId="360" priority="334" operator="lessThan">
      <formula>0</formula>
    </cfRule>
  </conditionalFormatting>
  <conditionalFormatting sqref="N22:N23">
    <cfRule type="cellIs" dxfId="359" priority="333" operator="lessThan">
      <formula>0</formula>
    </cfRule>
  </conditionalFormatting>
  <conditionalFormatting sqref="P22:P23">
    <cfRule type="cellIs" dxfId="358" priority="332" operator="lessThan">
      <formula>0</formula>
    </cfRule>
  </conditionalFormatting>
  <conditionalFormatting sqref="T22:T23">
    <cfRule type="cellIs" dxfId="357" priority="331" operator="lessThan">
      <formula>0</formula>
    </cfRule>
  </conditionalFormatting>
  <conditionalFormatting sqref="T22:T23">
    <cfRule type="cellIs" dxfId="356" priority="330" operator="lessThan">
      <formula>0</formula>
    </cfRule>
  </conditionalFormatting>
  <conditionalFormatting sqref="I22">
    <cfRule type="cellIs" dxfId="355" priority="329" operator="lessThan">
      <formula>0</formula>
    </cfRule>
  </conditionalFormatting>
  <conditionalFormatting sqref="K22">
    <cfRule type="cellIs" dxfId="354" priority="328" operator="lessThan">
      <formula>0</formula>
    </cfRule>
  </conditionalFormatting>
  <conditionalFormatting sqref="M22">
    <cfRule type="cellIs" dxfId="353" priority="327" operator="lessThan">
      <formula>0</formula>
    </cfRule>
  </conditionalFormatting>
  <conditionalFormatting sqref="O22">
    <cfRule type="cellIs" dxfId="352" priority="326" operator="lessThan">
      <formula>0</formula>
    </cfRule>
  </conditionalFormatting>
  <conditionalFormatting sqref="I23">
    <cfRule type="cellIs" dxfId="351" priority="325" operator="lessThan">
      <formula>0</formula>
    </cfRule>
  </conditionalFormatting>
  <conditionalFormatting sqref="K23">
    <cfRule type="cellIs" dxfId="350" priority="324" operator="lessThan">
      <formula>0</formula>
    </cfRule>
  </conditionalFormatting>
  <conditionalFormatting sqref="M23">
    <cfRule type="cellIs" dxfId="349" priority="323" operator="lessThan">
      <formula>0</formula>
    </cfRule>
  </conditionalFormatting>
  <conditionalFormatting sqref="O23">
    <cfRule type="cellIs" dxfId="348" priority="322" operator="lessThan">
      <formula>0</formula>
    </cfRule>
  </conditionalFormatting>
  <conditionalFormatting sqref="V22:V24">
    <cfRule type="cellIs" dxfId="347" priority="321" operator="lessThan">
      <formula>0</formula>
    </cfRule>
  </conditionalFormatting>
  <conditionalFormatting sqref="V22:V24">
    <cfRule type="cellIs" dxfId="346" priority="320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5" priority="319" operator="lessThan">
      <formula>0</formula>
    </cfRule>
  </conditionalFormatting>
  <conditionalFormatting sqref="EE22:EG23">
    <cfRule type="cellIs" dxfId="344" priority="318" operator="lessThan">
      <formula>0</formula>
    </cfRule>
  </conditionalFormatting>
  <conditionalFormatting sqref="AN22 AP22">
    <cfRule type="cellIs" dxfId="343" priority="317" operator="lessThan">
      <formula>0</formula>
    </cfRule>
  </conditionalFormatting>
  <conditionalFormatting sqref="AR22">
    <cfRule type="cellIs" dxfId="342" priority="316" operator="lessThan">
      <formula>0</formula>
    </cfRule>
  </conditionalFormatting>
  <conditionalFormatting sqref="AV22">
    <cfRule type="cellIs" dxfId="341" priority="315" operator="lessThan">
      <formula>0</formula>
    </cfRule>
  </conditionalFormatting>
  <conditionalFormatting sqref="AX22:AX23">
    <cfRule type="cellIs" dxfId="340" priority="314" operator="lessThan">
      <formula>0</formula>
    </cfRule>
  </conditionalFormatting>
  <conditionalFormatting sqref="BB22">
    <cfRule type="cellIs" dxfId="339" priority="313" operator="lessThan">
      <formula>0</formula>
    </cfRule>
  </conditionalFormatting>
  <conditionalFormatting sqref="BH22">
    <cfRule type="cellIs" dxfId="338" priority="312" operator="lessThan">
      <formula>0</formula>
    </cfRule>
  </conditionalFormatting>
  <conditionalFormatting sqref="BD22">
    <cfRule type="cellIs" dxfId="337" priority="311" operator="lessThan">
      <formula>0</formula>
    </cfRule>
  </conditionalFormatting>
  <conditionalFormatting sqref="BF22">
    <cfRule type="cellIs" dxfId="336" priority="310" operator="lessThan">
      <formula>0</formula>
    </cfRule>
  </conditionalFormatting>
  <conditionalFormatting sqref="BL23">
    <cfRule type="cellIs" dxfId="335" priority="309" operator="lessThan">
      <formula>0</formula>
    </cfRule>
  </conditionalFormatting>
  <conditionalFormatting sqref="BH23">
    <cfRule type="cellIs" dxfId="334" priority="308" operator="lessThan">
      <formula>0</formula>
    </cfRule>
  </conditionalFormatting>
  <conditionalFormatting sqref="BF23">
    <cfRule type="cellIs" dxfId="333" priority="307" operator="lessThan">
      <formula>0</formula>
    </cfRule>
  </conditionalFormatting>
  <conditionalFormatting sqref="AT22:AT23">
    <cfRule type="cellIs" dxfId="332" priority="306" operator="lessThan">
      <formula>0</formula>
    </cfRule>
  </conditionalFormatting>
  <conditionalFormatting sqref="X22:X23">
    <cfRule type="cellIs" dxfId="331" priority="305" operator="lessThan">
      <formula>0</formula>
    </cfRule>
  </conditionalFormatting>
  <conditionalFormatting sqref="DW22:DW23">
    <cfRule type="cellIs" dxfId="330" priority="304" operator="lessThan">
      <formula>0</formula>
    </cfRule>
  </conditionalFormatting>
  <conditionalFormatting sqref="DY22:DY23">
    <cfRule type="cellIs" dxfId="329" priority="303" operator="lessThan">
      <formula>0</formula>
    </cfRule>
  </conditionalFormatting>
  <conditionalFormatting sqref="EA22:EA23">
    <cfRule type="cellIs" dxfId="328" priority="302" operator="lessThan">
      <formula>0</formula>
    </cfRule>
  </conditionalFormatting>
  <conditionalFormatting sqref="EA22:EA23">
    <cfRule type="cellIs" dxfId="327" priority="301" operator="lessThan">
      <formula>0</formula>
    </cfRule>
  </conditionalFormatting>
  <conditionalFormatting sqref="EC22:EC23">
    <cfRule type="cellIs" dxfId="326" priority="300" operator="lessThan">
      <formula>0</formula>
    </cfRule>
  </conditionalFormatting>
  <conditionalFormatting sqref="EC22:EC23">
    <cfRule type="cellIs" dxfId="325" priority="299" operator="lessThan">
      <formula>0</formula>
    </cfRule>
  </conditionalFormatting>
  <conditionalFormatting sqref="EC22:EC23">
    <cfRule type="cellIs" dxfId="324" priority="298" operator="lessThan">
      <formula>0</formula>
    </cfRule>
  </conditionalFormatting>
  <conditionalFormatting sqref="AK22:AK23">
    <cfRule type="cellIs" dxfId="323" priority="297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22" priority="296" operator="lessThan">
      <formula>0</formula>
    </cfRule>
  </conditionalFormatting>
  <conditionalFormatting sqref="DA22:DA23">
    <cfRule type="cellIs" dxfId="321" priority="295" operator="lessThan">
      <formula>0</formula>
    </cfRule>
  </conditionalFormatting>
  <conditionalFormatting sqref="DV22:DV23">
    <cfRule type="cellIs" dxfId="320" priority="294" operator="lessThan">
      <formula>0</formula>
    </cfRule>
  </conditionalFormatting>
  <conditionalFormatting sqref="DG22:DG23">
    <cfRule type="cellIs" dxfId="319" priority="293" operator="lessThan">
      <formula>0</formula>
    </cfRule>
  </conditionalFormatting>
  <conditionalFormatting sqref="DJ22:DJ23">
    <cfRule type="cellIs" dxfId="318" priority="292" operator="lessThan">
      <formula>0</formula>
    </cfRule>
  </conditionalFormatting>
  <conditionalFormatting sqref="DM22:DM23">
    <cfRule type="cellIs" dxfId="317" priority="291" operator="lessThan">
      <formula>0</formula>
    </cfRule>
  </conditionalFormatting>
  <conditionalFormatting sqref="DP22:DP23">
    <cfRule type="cellIs" dxfId="316" priority="290" operator="lessThan">
      <formula>0</formula>
    </cfRule>
  </conditionalFormatting>
  <conditionalFormatting sqref="DS22:DS23">
    <cfRule type="cellIs" dxfId="315" priority="289" operator="lessThan">
      <formula>0</formula>
    </cfRule>
  </conditionalFormatting>
  <conditionalFormatting sqref="DZ22:DZ23">
    <cfRule type="cellIs" dxfId="314" priority="288" operator="lessThan">
      <formula>0</formula>
    </cfRule>
  </conditionalFormatting>
  <conditionalFormatting sqref="EB22:EB23">
    <cfRule type="cellIs" dxfId="313" priority="287" operator="lessThan">
      <formula>0</formula>
    </cfRule>
  </conditionalFormatting>
  <conditionalFormatting sqref="ED22:ED23">
    <cfRule type="cellIs" dxfId="312" priority="286" operator="lessThan">
      <formula>0</formula>
    </cfRule>
  </conditionalFormatting>
  <conditionalFormatting sqref="BO22:BO23">
    <cfRule type="cellIs" dxfId="311" priority="285" operator="lessThan">
      <formula>0</formula>
    </cfRule>
  </conditionalFormatting>
  <conditionalFormatting sqref="BQ22:BQ23">
    <cfRule type="cellIs" dxfId="310" priority="284" operator="lessThan">
      <formula>0</formula>
    </cfRule>
  </conditionalFormatting>
  <conditionalFormatting sqref="BT22:BV23">
    <cfRule type="cellIs" dxfId="309" priority="283" operator="lessThan">
      <formula>0</formula>
    </cfRule>
  </conditionalFormatting>
  <conditionalFormatting sqref="BS22:BS23">
    <cfRule type="cellIs" dxfId="308" priority="282" operator="lessThan">
      <formula>0</formula>
    </cfRule>
  </conditionalFormatting>
  <conditionalFormatting sqref="BX22:BX23">
    <cfRule type="cellIs" dxfId="307" priority="281" operator="lessThan">
      <formula>0</formula>
    </cfRule>
  </conditionalFormatting>
  <conditionalFormatting sqref="BZ22:BZ23">
    <cfRule type="cellIs" dxfId="306" priority="280" operator="lessThan">
      <formula>0</formula>
    </cfRule>
  </conditionalFormatting>
  <conditionalFormatting sqref="CB22:CB23">
    <cfRule type="cellIs" dxfId="305" priority="279" operator="lessThan">
      <formula>0</formula>
    </cfRule>
  </conditionalFormatting>
  <conditionalFormatting sqref="CC22:CC23">
    <cfRule type="cellIs" dxfId="304" priority="278" operator="lessThan">
      <formula>0</formula>
    </cfRule>
  </conditionalFormatting>
  <conditionalFormatting sqref="CG22:CG23">
    <cfRule type="cellIs" dxfId="303" priority="277" operator="lessThan">
      <formula>0</formula>
    </cfRule>
  </conditionalFormatting>
  <conditionalFormatting sqref="CI22:CI23">
    <cfRule type="cellIs" dxfId="302" priority="276" operator="lessThan">
      <formula>0</formula>
    </cfRule>
  </conditionalFormatting>
  <conditionalFormatting sqref="AZ22">
    <cfRule type="cellIs" dxfId="301" priority="275" operator="lessThan">
      <formula>0</formula>
    </cfRule>
  </conditionalFormatting>
  <conditionalFormatting sqref="AZ23">
    <cfRule type="cellIs" dxfId="300" priority="274" operator="lessThan">
      <formula>0</formula>
    </cfRule>
  </conditionalFormatting>
  <conditionalFormatting sqref="B24 R24">
    <cfRule type="cellIs" dxfId="299" priority="273" operator="lessThan">
      <formula>0</formula>
    </cfRule>
  </conditionalFormatting>
  <conditionalFormatting sqref="S24">
    <cfRule type="cellIs" dxfId="298" priority="272" operator="lessThan">
      <formula>0</formula>
    </cfRule>
  </conditionalFormatting>
  <conditionalFormatting sqref="G24:H24 Q24">
    <cfRule type="cellIs" dxfId="297" priority="271" operator="lessThan">
      <formula>0</formula>
    </cfRule>
  </conditionalFormatting>
  <conditionalFormatting sqref="L24">
    <cfRule type="cellIs" dxfId="296" priority="270" operator="lessThan">
      <formula>0</formula>
    </cfRule>
  </conditionalFormatting>
  <conditionalFormatting sqref="N24">
    <cfRule type="cellIs" dxfId="295" priority="269" operator="lessThan">
      <formula>0</formula>
    </cfRule>
  </conditionalFormatting>
  <conditionalFormatting sqref="R24">
    <cfRule type="cellIs" dxfId="294" priority="268" operator="lessThan">
      <formula>0</formula>
    </cfRule>
  </conditionalFormatting>
  <conditionalFormatting sqref="C24">
    <cfRule type="cellIs" dxfId="293" priority="267" operator="lessThan">
      <formula>0</formula>
    </cfRule>
  </conditionalFormatting>
  <conditionalFormatting sqref="F24">
    <cfRule type="cellIs" dxfId="292" priority="266" operator="lessThan">
      <formula>0</formula>
    </cfRule>
  </conditionalFormatting>
  <conditionalFormatting sqref="J24">
    <cfRule type="cellIs" dxfId="291" priority="265" operator="lessThan">
      <formula>0</formula>
    </cfRule>
  </conditionalFormatting>
  <conditionalFormatting sqref="P24">
    <cfRule type="cellIs" dxfId="290" priority="264" operator="lessThan">
      <formula>0</formula>
    </cfRule>
  </conditionalFormatting>
  <conditionalFormatting sqref="T24">
    <cfRule type="cellIs" dxfId="289" priority="263" operator="lessThan">
      <formula>0</formula>
    </cfRule>
  </conditionalFormatting>
  <conditionalFormatting sqref="T24">
    <cfRule type="cellIs" dxfId="288" priority="262" operator="lessThan">
      <formula>0</formula>
    </cfRule>
  </conditionalFormatting>
  <conditionalFormatting sqref="K24">
    <cfRule type="cellIs" dxfId="287" priority="261" operator="lessThan">
      <formula>0</formula>
    </cfRule>
  </conditionalFormatting>
  <conditionalFormatting sqref="M24">
    <cfRule type="cellIs" dxfId="286" priority="260" operator="lessThan">
      <formula>0</formula>
    </cfRule>
  </conditionalFormatting>
  <conditionalFormatting sqref="O24">
    <cfRule type="cellIs" dxfId="285" priority="259" operator="lessThan">
      <formula>0</formula>
    </cfRule>
  </conditionalFormatting>
  <conditionalFormatting sqref="I24">
    <cfRule type="cellIs" dxfId="284" priority="258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83" priority="257" operator="lessThan">
      <formula>0</formula>
    </cfRule>
  </conditionalFormatting>
  <conditionalFormatting sqref="EA24">
    <cfRule type="cellIs" dxfId="282" priority="256" operator="lessThan">
      <formula>0</formula>
    </cfRule>
  </conditionalFormatting>
  <conditionalFormatting sqref="EE24:EG24">
    <cfRule type="cellIs" dxfId="281" priority="255" operator="lessThan">
      <formula>0</formula>
    </cfRule>
  </conditionalFormatting>
  <conditionalFormatting sqref="X24">
    <cfRule type="cellIs" dxfId="280" priority="254" operator="lessThan">
      <formula>0</formula>
    </cfRule>
  </conditionalFormatting>
  <conditionalFormatting sqref="AT24">
    <cfRule type="cellIs" dxfId="279" priority="253" operator="lessThan">
      <formula>0</formula>
    </cfRule>
  </conditionalFormatting>
  <conditionalFormatting sqref="DY24">
    <cfRule type="cellIs" dxfId="278" priority="252" operator="lessThan">
      <formula>0</formula>
    </cfRule>
  </conditionalFormatting>
  <conditionalFormatting sqref="EC24">
    <cfRule type="cellIs" dxfId="277" priority="251" operator="lessThan">
      <formula>0</formula>
    </cfRule>
  </conditionalFormatting>
  <conditionalFormatting sqref="EC24">
    <cfRule type="cellIs" dxfId="276" priority="250" operator="lessThan">
      <formula>0</formula>
    </cfRule>
  </conditionalFormatting>
  <conditionalFormatting sqref="EC24">
    <cfRule type="cellIs" dxfId="275" priority="249" operator="lessThan">
      <formula>0</formula>
    </cfRule>
  </conditionalFormatting>
  <conditionalFormatting sqref="AK24">
    <cfRule type="cellIs" dxfId="274" priority="248" operator="lessThan">
      <formula>0</formula>
    </cfRule>
  </conditionalFormatting>
  <conditionalFormatting sqref="CQ24:CR24 DL24 DI24 DC24:DD24 AE24 CN24:CO24 CT24:CU24 CZ24 CW24:CX24 CE24 DO24 DR24 DU24 CJ24:CK24 BM24 AM24 DF24">
    <cfRule type="cellIs" dxfId="273" priority="247" operator="lessThan">
      <formula>0</formula>
    </cfRule>
  </conditionalFormatting>
  <conditionalFormatting sqref="DA24">
    <cfRule type="cellIs" dxfId="272" priority="246" operator="lessThan">
      <formula>0</formula>
    </cfRule>
  </conditionalFormatting>
  <conditionalFormatting sqref="DV24">
    <cfRule type="cellIs" dxfId="271" priority="245" operator="lessThan">
      <formula>0</formula>
    </cfRule>
  </conditionalFormatting>
  <conditionalFormatting sqref="DG24">
    <cfRule type="cellIs" dxfId="270" priority="244" operator="lessThan">
      <formula>0</formula>
    </cfRule>
  </conditionalFormatting>
  <conditionalFormatting sqref="DJ24">
    <cfRule type="cellIs" dxfId="269" priority="243" operator="lessThan">
      <formula>0</formula>
    </cfRule>
  </conditionalFormatting>
  <conditionalFormatting sqref="DM24">
    <cfRule type="cellIs" dxfId="268" priority="242" operator="lessThan">
      <formula>0</formula>
    </cfRule>
  </conditionalFormatting>
  <conditionalFormatting sqref="DP24">
    <cfRule type="cellIs" dxfId="267" priority="241" operator="lessThan">
      <formula>0</formula>
    </cfRule>
  </conditionalFormatting>
  <conditionalFormatting sqref="DS24">
    <cfRule type="cellIs" dxfId="266" priority="240" operator="lessThan">
      <formula>0</formula>
    </cfRule>
  </conditionalFormatting>
  <conditionalFormatting sqref="DZ24">
    <cfRule type="cellIs" dxfId="265" priority="239" operator="lessThan">
      <formula>0</formula>
    </cfRule>
  </conditionalFormatting>
  <conditionalFormatting sqref="EB24">
    <cfRule type="cellIs" dxfId="264" priority="238" operator="lessThan">
      <formula>0</formula>
    </cfRule>
  </conditionalFormatting>
  <conditionalFormatting sqref="ED24">
    <cfRule type="cellIs" dxfId="263" priority="237" operator="lessThan">
      <formula>0</formula>
    </cfRule>
  </conditionalFormatting>
  <conditionalFormatting sqref="BO24">
    <cfRule type="cellIs" dxfId="262" priority="236" operator="lessThan">
      <formula>0</formula>
    </cfRule>
  </conditionalFormatting>
  <conditionalFormatting sqref="BQ24">
    <cfRule type="cellIs" dxfId="261" priority="235" operator="lessThan">
      <formula>0</formula>
    </cfRule>
  </conditionalFormatting>
  <conditionalFormatting sqref="BT24:BV24">
    <cfRule type="cellIs" dxfId="260" priority="234" operator="lessThan">
      <formula>0</formula>
    </cfRule>
  </conditionalFormatting>
  <conditionalFormatting sqref="BS24">
    <cfRule type="cellIs" dxfId="259" priority="233" operator="lessThan">
      <formula>0</formula>
    </cfRule>
  </conditionalFormatting>
  <conditionalFormatting sqref="BX24">
    <cfRule type="cellIs" dxfId="258" priority="232" operator="lessThan">
      <formula>0</formula>
    </cfRule>
  </conditionalFormatting>
  <conditionalFormatting sqref="BZ24">
    <cfRule type="cellIs" dxfId="257" priority="231" operator="lessThan">
      <formula>0</formula>
    </cfRule>
  </conditionalFormatting>
  <conditionalFormatting sqref="CB24">
    <cfRule type="cellIs" dxfId="256" priority="230" operator="lessThan">
      <formula>0</formula>
    </cfRule>
  </conditionalFormatting>
  <conditionalFormatting sqref="CC24">
    <cfRule type="cellIs" dxfId="255" priority="229" operator="lessThan">
      <formula>0</formula>
    </cfRule>
  </conditionalFormatting>
  <conditionalFormatting sqref="CG24">
    <cfRule type="cellIs" dxfId="254" priority="228" operator="lessThan">
      <formula>0</formula>
    </cfRule>
  </conditionalFormatting>
  <conditionalFormatting sqref="CI24">
    <cfRule type="cellIs" dxfId="253" priority="227" operator="lessThan">
      <formula>0</formula>
    </cfRule>
  </conditionalFormatting>
  <conditionalFormatting sqref="AZ24">
    <cfRule type="cellIs" dxfId="252" priority="226" operator="lessThan">
      <formula>0</formula>
    </cfRule>
  </conditionalFormatting>
  <conditionalFormatting sqref="D23:D24">
    <cfRule type="cellIs" dxfId="251" priority="225" operator="lessThan">
      <formula>0</formula>
    </cfRule>
  </conditionalFormatting>
  <conditionalFormatting sqref="E23:E24">
    <cfRule type="cellIs" dxfId="250" priority="224" operator="lessThan">
      <formula>0</formula>
    </cfRule>
  </conditionalFormatting>
  <conditionalFormatting sqref="K26">
    <cfRule type="cellIs" dxfId="249" priority="198" operator="lessThan">
      <formula>0</formula>
    </cfRule>
  </conditionalFormatting>
  <conditionalFormatting sqref="L25:L26">
    <cfRule type="cellIs" dxfId="248" priority="197" operator="lessThan">
      <formula>0</formula>
    </cfRule>
  </conditionalFormatting>
  <conditionalFormatting sqref="N25:N26">
    <cfRule type="cellIs" dxfId="247" priority="196" operator="lessThan">
      <formula>0</formula>
    </cfRule>
  </conditionalFormatting>
  <conditionalFormatting sqref="R25:R26">
    <cfRule type="cellIs" dxfId="246" priority="195" operator="lessThan">
      <formula>0</formula>
    </cfRule>
  </conditionalFormatting>
  <conditionalFormatting sqref="C25:C26 E25:E26">
    <cfRule type="cellIs" dxfId="245" priority="193" operator="lessThan">
      <formula>0</formula>
    </cfRule>
  </conditionalFormatting>
  <conditionalFormatting sqref="F25:F26">
    <cfRule type="cellIs" dxfId="244" priority="192" operator="lessThan">
      <formula>0</formula>
    </cfRule>
  </conditionalFormatting>
  <conditionalFormatting sqref="J25:J26">
    <cfRule type="cellIs" dxfId="243" priority="191" operator="lessThan">
      <formula>0</formula>
    </cfRule>
  </conditionalFormatting>
  <conditionalFormatting sqref="P25:P26">
    <cfRule type="cellIs" dxfId="242" priority="190" operator="lessThan">
      <formula>0</formula>
    </cfRule>
  </conditionalFormatting>
  <conditionalFormatting sqref="T25:T26">
    <cfRule type="cellIs" dxfId="241" priority="189" operator="lessThan">
      <formula>0</formula>
    </cfRule>
  </conditionalFormatting>
  <conditionalFormatting sqref="T25:T26">
    <cfRule type="cellIs" dxfId="240" priority="188" operator="lessThan">
      <formula>0</formula>
    </cfRule>
  </conditionalFormatting>
  <conditionalFormatting sqref="I25">
    <cfRule type="cellIs" dxfId="239" priority="187" operator="lessThan">
      <formula>0</formula>
    </cfRule>
  </conditionalFormatting>
  <conditionalFormatting sqref="K25">
    <cfRule type="cellIs" dxfId="238" priority="186" operator="lessThan">
      <formula>0</formula>
    </cfRule>
  </conditionalFormatting>
  <conditionalFormatting sqref="M25">
    <cfRule type="cellIs" dxfId="237" priority="185" operator="lessThan">
      <formula>0</formula>
    </cfRule>
  </conditionalFormatting>
  <conditionalFormatting sqref="O25">
    <cfRule type="cellIs" dxfId="236" priority="184" operator="lessThan">
      <formula>0</formula>
    </cfRule>
  </conditionalFormatting>
  <conditionalFormatting sqref="V25:V26">
    <cfRule type="cellIs" dxfId="235" priority="183" operator="lessThan">
      <formula>0</formula>
    </cfRule>
  </conditionalFormatting>
  <conditionalFormatting sqref="V25:V26">
    <cfRule type="cellIs" dxfId="234" priority="182" operator="lessThan">
      <formula>0</formula>
    </cfRule>
  </conditionalFormatting>
  <conditionalFormatting sqref="M26">
    <cfRule type="cellIs" dxfId="233" priority="181" operator="lessThan">
      <formula>0</formula>
    </cfRule>
  </conditionalFormatting>
  <conditionalFormatting sqref="O26">
    <cfRule type="cellIs" dxfId="232" priority="180" operator="lessThan">
      <formula>0</formula>
    </cfRule>
  </conditionalFormatting>
  <conditionalFormatting sqref="U25:U26 W25:W26 B25:B26 D25:D26 R25:R26">
    <cfRule type="cellIs" dxfId="231" priority="204" operator="lessThan">
      <formula>0</formula>
    </cfRule>
  </conditionalFormatting>
  <conditionalFormatting sqref="S25">
    <cfRule type="cellIs" dxfId="230" priority="203" operator="lessThan">
      <formula>0</formula>
    </cfRule>
  </conditionalFormatting>
  <conditionalFormatting sqref="G25:H25 Q25">
    <cfRule type="cellIs" dxfId="229" priority="202" operator="lessThan">
      <formula>0</formula>
    </cfRule>
  </conditionalFormatting>
  <conditionalFormatting sqref="S26">
    <cfRule type="cellIs" dxfId="228" priority="201" operator="lessThan">
      <formula>0</formula>
    </cfRule>
  </conditionalFormatting>
  <conditionalFormatting sqref="G26:H26 Q26">
    <cfRule type="cellIs" dxfId="227" priority="200" operator="lessThan">
      <formula>0</formula>
    </cfRule>
  </conditionalFormatting>
  <conditionalFormatting sqref="I26">
    <cfRule type="cellIs" dxfId="226" priority="199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5" priority="179" operator="lessThan">
      <formula>0</formula>
    </cfRule>
  </conditionalFormatting>
  <conditionalFormatting sqref="EA25:EA29">
    <cfRule type="cellIs" dxfId="224" priority="178" operator="lessThan">
      <formula>0</formula>
    </cfRule>
  </conditionalFormatting>
  <conditionalFormatting sqref="EC25:EC29">
    <cfRule type="cellIs" dxfId="223" priority="177" operator="lessThan">
      <formula>0</formula>
    </cfRule>
  </conditionalFormatting>
  <conditionalFormatting sqref="EC25:EC29">
    <cfRule type="cellIs" dxfId="222" priority="176" operator="lessThan">
      <formula>0</formula>
    </cfRule>
  </conditionalFormatting>
  <conditionalFormatting sqref="EE25:EG26 EG27:EG29">
    <cfRule type="cellIs" dxfId="221" priority="175" operator="lessThan">
      <formula>0</formula>
    </cfRule>
  </conditionalFormatting>
  <conditionalFormatting sqref="X25">
    <cfRule type="cellIs" dxfId="220" priority="174" operator="lessThan">
      <formula>0</formula>
    </cfRule>
  </conditionalFormatting>
  <conditionalFormatting sqref="X26">
    <cfRule type="cellIs" dxfId="219" priority="173" operator="lessThan">
      <formula>0</formula>
    </cfRule>
  </conditionalFormatting>
  <conditionalFormatting sqref="AT25:AT26">
    <cfRule type="cellIs" dxfId="218" priority="172" operator="lessThan">
      <formula>0</formula>
    </cfRule>
  </conditionalFormatting>
  <conditionalFormatting sqref="AK25:AK26">
    <cfRule type="cellIs" dxfId="217" priority="171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6" priority="170" operator="lessThan">
      <formula>0</formula>
    </cfRule>
  </conditionalFormatting>
  <conditionalFormatting sqref="DA25:DA26">
    <cfRule type="cellIs" dxfId="215" priority="169" operator="lessThan">
      <formula>0</formula>
    </cfRule>
  </conditionalFormatting>
  <conditionalFormatting sqref="DV25:DV26">
    <cfRule type="cellIs" dxfId="214" priority="168" operator="lessThan">
      <formula>0</formula>
    </cfRule>
  </conditionalFormatting>
  <conditionalFormatting sqref="DG25:DG26">
    <cfRule type="cellIs" dxfId="213" priority="167" operator="lessThan">
      <formula>0</formula>
    </cfRule>
  </conditionalFormatting>
  <conditionalFormatting sqref="DJ25:DJ26">
    <cfRule type="cellIs" dxfId="212" priority="166" operator="lessThan">
      <formula>0</formula>
    </cfRule>
  </conditionalFormatting>
  <conditionalFormatting sqref="DM25:DM26">
    <cfRule type="cellIs" dxfId="211" priority="165" operator="lessThan">
      <formula>0</formula>
    </cfRule>
  </conditionalFormatting>
  <conditionalFormatting sqref="DP25:DP26">
    <cfRule type="cellIs" dxfId="210" priority="164" operator="lessThan">
      <formula>0</formula>
    </cfRule>
  </conditionalFormatting>
  <conditionalFormatting sqref="DS25:DS26">
    <cfRule type="cellIs" dxfId="209" priority="163" operator="lessThan">
      <formula>0</formula>
    </cfRule>
  </conditionalFormatting>
  <conditionalFormatting sqref="DZ25:DZ29">
    <cfRule type="cellIs" dxfId="208" priority="162" operator="lessThan">
      <formula>0</formula>
    </cfRule>
  </conditionalFormatting>
  <conditionalFormatting sqref="EB25:EB29">
    <cfRule type="cellIs" dxfId="207" priority="161" operator="lessThan">
      <formula>0</formula>
    </cfRule>
  </conditionalFormatting>
  <conditionalFormatting sqref="ED25:ED29">
    <cfRule type="cellIs" dxfId="206" priority="160" operator="lessThan">
      <formula>0</formula>
    </cfRule>
  </conditionalFormatting>
  <conditionalFormatting sqref="BO25:BO26">
    <cfRule type="cellIs" dxfId="205" priority="159" operator="lessThan">
      <formula>0</formula>
    </cfRule>
  </conditionalFormatting>
  <conditionalFormatting sqref="BQ25:BQ26">
    <cfRule type="cellIs" dxfId="204" priority="158" operator="lessThan">
      <formula>0</formula>
    </cfRule>
  </conditionalFormatting>
  <conditionalFormatting sqref="BT25:BV26">
    <cfRule type="cellIs" dxfId="203" priority="157" operator="lessThan">
      <formula>0</formula>
    </cfRule>
  </conditionalFormatting>
  <conditionalFormatting sqref="BS25:BS26">
    <cfRule type="cellIs" dxfId="202" priority="156" operator="lessThan">
      <formula>0</formula>
    </cfRule>
  </conditionalFormatting>
  <conditionalFormatting sqref="BX25:BX26">
    <cfRule type="cellIs" dxfId="201" priority="155" operator="lessThan">
      <formula>0</formula>
    </cfRule>
  </conditionalFormatting>
  <conditionalFormatting sqref="BZ25:BZ26">
    <cfRule type="cellIs" dxfId="200" priority="154" operator="lessThan">
      <formula>0</formula>
    </cfRule>
  </conditionalFormatting>
  <conditionalFormatting sqref="CB25:CB26">
    <cfRule type="cellIs" dxfId="199" priority="153" operator="lessThan">
      <formula>0</formula>
    </cfRule>
  </conditionalFormatting>
  <conditionalFormatting sqref="CC25:CC26">
    <cfRule type="cellIs" dxfId="198" priority="152" operator="lessThan">
      <formula>0</formula>
    </cfRule>
  </conditionalFormatting>
  <conditionalFormatting sqref="CG25:CG26">
    <cfRule type="cellIs" dxfId="197" priority="151" operator="lessThan">
      <formula>0</formula>
    </cfRule>
  </conditionalFormatting>
  <conditionalFormatting sqref="CI25:CI26">
    <cfRule type="cellIs" dxfId="196" priority="150" operator="lessThan">
      <formula>0</formula>
    </cfRule>
  </conditionalFormatting>
  <conditionalFormatting sqref="AZ25">
    <cfRule type="cellIs" dxfId="195" priority="149" operator="lessThan">
      <formula>0</formula>
    </cfRule>
  </conditionalFormatting>
  <conditionalFormatting sqref="AZ26">
    <cfRule type="cellIs" dxfId="194" priority="148" operator="lessThan">
      <formula>0</formula>
    </cfRule>
  </conditionalFormatting>
  <conditionalFormatting sqref="S29 G29:H29 G27:H27 U27:U29 X27:X29 DQ27:DQ29 DT27:DT29 DW27:DW29 B27:B29 D27:D29 Z27:Z29 R27:R29 AJ27:AJ29">
    <cfRule type="cellIs" dxfId="193" priority="147" operator="lessThan">
      <formula>0</formula>
    </cfRule>
  </conditionalFormatting>
  <conditionalFormatting sqref="EF27:EF28">
    <cfRule type="cellIs" dxfId="192" priority="145" operator="lessThan">
      <formula>0</formula>
    </cfRule>
  </conditionalFormatting>
  <conditionalFormatting sqref="EF27:EF28">
    <cfRule type="cellIs" dxfId="191" priority="144" operator="lessThan">
      <formula>0</formula>
    </cfRule>
  </conditionalFormatting>
  <conditionalFormatting sqref="EH27:EJ29">
    <cfRule type="cellIs" dxfId="190" priority="143" operator="lessThan">
      <formula>0</formula>
    </cfRule>
  </conditionalFormatting>
  <conditionalFormatting sqref="S27">
    <cfRule type="cellIs" dxfId="189" priority="142" operator="lessThan">
      <formula>0</formula>
    </cfRule>
  </conditionalFormatting>
  <conditionalFormatting sqref="Q27:Q28">
    <cfRule type="cellIs" dxfId="188" priority="141" operator="lessThan">
      <formula>0</formula>
    </cfRule>
  </conditionalFormatting>
  <conditionalFormatting sqref="G28:H28">
    <cfRule type="cellIs" dxfId="187" priority="139" operator="lessThan">
      <formula>0</formula>
    </cfRule>
  </conditionalFormatting>
  <conditionalFormatting sqref="Q29">
    <cfRule type="cellIs" dxfId="186" priority="137" operator="lessThan">
      <formula>0</formula>
    </cfRule>
  </conditionalFormatting>
  <conditionalFormatting sqref="S28">
    <cfRule type="cellIs" dxfId="185" priority="136" operator="lessThan">
      <formula>0</formula>
    </cfRule>
  </conditionalFormatting>
  <conditionalFormatting sqref="I27">
    <cfRule type="cellIs" dxfId="184" priority="135" operator="lessThan">
      <formula>0</formula>
    </cfRule>
  </conditionalFormatting>
  <conditionalFormatting sqref="EF29">
    <cfRule type="cellIs" dxfId="183" priority="130" operator="lessThan">
      <formula>0</formula>
    </cfRule>
  </conditionalFormatting>
  <conditionalFormatting sqref="EF29">
    <cfRule type="cellIs" dxfId="182" priority="129" operator="lessThan">
      <formula>0</formula>
    </cfRule>
  </conditionalFormatting>
  <conditionalFormatting sqref="L27:L29">
    <cfRule type="cellIs" dxfId="181" priority="134" operator="lessThan">
      <formula>0</formula>
    </cfRule>
  </conditionalFormatting>
  <conditionalFormatting sqref="N27:N29">
    <cfRule type="cellIs" dxfId="180" priority="133" operator="lessThan">
      <formula>0</formula>
    </cfRule>
  </conditionalFormatting>
  <conditionalFormatting sqref="R27:R29">
    <cfRule type="cellIs" dxfId="179" priority="132" operator="lessThan">
      <formula>0</formula>
    </cfRule>
  </conditionalFormatting>
  <conditionalFormatting sqref="C27:C29 DR27:DR29 DU27:DU29 DX27:DX29 E27:E29">
    <cfRule type="cellIs" dxfId="178" priority="127" operator="lessThan">
      <formula>0</formula>
    </cfRule>
  </conditionalFormatting>
  <conditionalFormatting sqref="F27:F29">
    <cfRule type="cellIs" dxfId="177" priority="126" operator="lessThan">
      <formula>0</formula>
    </cfRule>
  </conditionalFormatting>
  <conditionalFormatting sqref="J27:J29">
    <cfRule type="cellIs" dxfId="176" priority="123" operator="lessThan">
      <formula>0</formula>
    </cfRule>
  </conditionalFormatting>
  <conditionalFormatting sqref="P27:P29">
    <cfRule type="cellIs" dxfId="175" priority="122" operator="lessThan">
      <formula>0</formula>
    </cfRule>
  </conditionalFormatting>
  <conditionalFormatting sqref="DS27:DS29">
    <cfRule type="cellIs" dxfId="174" priority="118" operator="lessThan">
      <formula>0</formula>
    </cfRule>
  </conditionalFormatting>
  <conditionalFormatting sqref="DV27:DV29">
    <cfRule type="cellIs" dxfId="173" priority="117" operator="lessThan">
      <formula>0</formula>
    </cfRule>
  </conditionalFormatting>
  <conditionalFormatting sqref="T27:T29">
    <cfRule type="cellIs" dxfId="172" priority="116" operator="lessThan">
      <formula>0</formula>
    </cfRule>
  </conditionalFormatting>
  <conditionalFormatting sqref="T27:T29">
    <cfRule type="cellIs" dxfId="171" priority="115" operator="lessThan">
      <formula>0</formula>
    </cfRule>
  </conditionalFormatting>
  <conditionalFormatting sqref="K27">
    <cfRule type="cellIs" dxfId="170" priority="101" operator="lessThan">
      <formula>0</formula>
    </cfRule>
  </conditionalFormatting>
  <conditionalFormatting sqref="I28">
    <cfRule type="cellIs" dxfId="169" priority="100" operator="lessThan">
      <formula>0</formula>
    </cfRule>
  </conditionalFormatting>
  <conditionalFormatting sqref="K28">
    <cfRule type="cellIs" dxfId="168" priority="99" operator="lessThan">
      <formula>0</formula>
    </cfRule>
  </conditionalFormatting>
  <conditionalFormatting sqref="I29">
    <cfRule type="cellIs" dxfId="167" priority="98" operator="lessThan">
      <formula>0</formula>
    </cfRule>
  </conditionalFormatting>
  <conditionalFormatting sqref="K29">
    <cfRule type="cellIs" dxfId="166" priority="97" operator="lessThan">
      <formula>0</formula>
    </cfRule>
  </conditionalFormatting>
  <conditionalFormatting sqref="V27:V29">
    <cfRule type="cellIs" dxfId="165" priority="95" operator="lessThan">
      <formula>0</formula>
    </cfRule>
  </conditionalFormatting>
  <conditionalFormatting sqref="V27:V29">
    <cfRule type="cellIs" dxfId="164" priority="94" operator="lessThan">
      <formula>0</formula>
    </cfRule>
  </conditionalFormatting>
  <conditionalFormatting sqref="M27:M29">
    <cfRule type="cellIs" dxfId="163" priority="92" operator="lessThan">
      <formula>0</formula>
    </cfRule>
  </conditionalFormatting>
  <conditionalFormatting sqref="O27:O29">
    <cfRule type="cellIs" dxfId="162" priority="91" operator="lessThan">
      <formula>0</formula>
    </cfRule>
  </conditionalFormatting>
  <conditionalFormatting sqref="W27:W28">
    <cfRule type="cellIs" dxfId="161" priority="90" operator="lessThan">
      <formula>0</formula>
    </cfRule>
  </conditionalFormatting>
  <conditionalFormatting sqref="Y27:Y29">
    <cfRule type="cellIs" dxfId="160" priority="89" operator="lessThan">
      <formula>0</formula>
    </cfRule>
  </conditionalFormatting>
  <conditionalFormatting sqref="EE27:EE29">
    <cfRule type="cellIs" dxfId="159" priority="88" operator="lessThan">
      <formula>0</formula>
    </cfRule>
  </conditionalFormatting>
  <conditionalFormatting sqref="AK27:AK29">
    <cfRule type="cellIs" dxfId="158" priority="87" operator="lessThan">
      <formula>0</formula>
    </cfRule>
  </conditionalFormatting>
  <conditionalFormatting sqref="AL27:AL30">
    <cfRule type="cellIs" dxfId="157" priority="86" operator="lessThan">
      <formula>0</formula>
    </cfRule>
  </conditionalFormatting>
  <conditionalFormatting sqref="AM27:AM30">
    <cfRule type="cellIs" dxfId="156" priority="85" operator="lessThan">
      <formula>0</formula>
    </cfRule>
  </conditionalFormatting>
  <conditionalFormatting sqref="AN27:AN29">
    <cfRule type="cellIs" dxfId="155" priority="84" operator="lessThan">
      <formula>0</formula>
    </cfRule>
  </conditionalFormatting>
  <conditionalFormatting sqref="AO27:AO30">
    <cfRule type="cellIs" dxfId="154" priority="83" operator="lessThan">
      <formula>0</formula>
    </cfRule>
  </conditionalFormatting>
  <conditionalFormatting sqref="AP27:AP29">
    <cfRule type="cellIs" dxfId="153" priority="82" operator="lessThan">
      <formula>0</formula>
    </cfRule>
  </conditionalFormatting>
  <conditionalFormatting sqref="AQ27:AQ30">
    <cfRule type="cellIs" dxfId="152" priority="81" operator="lessThan">
      <formula>0</formula>
    </cfRule>
  </conditionalFormatting>
  <conditionalFormatting sqref="AR27:AR30">
    <cfRule type="cellIs" dxfId="151" priority="80" operator="lessThan">
      <formula>0</formula>
    </cfRule>
  </conditionalFormatting>
  <conditionalFormatting sqref="AS27:AS29">
    <cfRule type="cellIs" dxfId="150" priority="79" operator="lessThan">
      <formula>0</formula>
    </cfRule>
  </conditionalFormatting>
  <conditionalFormatting sqref="AT27:AT29">
    <cfRule type="cellIs" dxfId="149" priority="78" operator="lessThan">
      <formula>0</formula>
    </cfRule>
  </conditionalFormatting>
  <conditionalFormatting sqref="AU27:AU30">
    <cfRule type="cellIs" dxfId="148" priority="77" operator="lessThan">
      <formula>0</formula>
    </cfRule>
  </conditionalFormatting>
  <conditionalFormatting sqref="AV27:AV30">
    <cfRule type="cellIs" dxfId="147" priority="76" operator="lessThan">
      <formula>0</formula>
    </cfRule>
  </conditionalFormatting>
  <conditionalFormatting sqref="AW27:AW30">
    <cfRule type="cellIs" dxfId="146" priority="75" operator="lessThan">
      <formula>0</formula>
    </cfRule>
  </conditionalFormatting>
  <conditionalFormatting sqref="AX27:AX29">
    <cfRule type="cellIs" dxfId="145" priority="74" operator="lessThan">
      <formula>0</formula>
    </cfRule>
  </conditionalFormatting>
  <conditionalFormatting sqref="AY27:AY29">
    <cfRule type="cellIs" dxfId="144" priority="73" operator="lessThan">
      <formula>0</formula>
    </cfRule>
  </conditionalFormatting>
  <conditionalFormatting sqref="AZ27:AZ29">
    <cfRule type="cellIs" dxfId="143" priority="72" operator="lessThan">
      <formula>0</formula>
    </cfRule>
  </conditionalFormatting>
  <conditionalFormatting sqref="BA27:BA29">
    <cfRule type="cellIs" dxfId="142" priority="71" operator="lessThan">
      <formula>0</formula>
    </cfRule>
  </conditionalFormatting>
  <conditionalFormatting sqref="BB27:BB30">
    <cfRule type="cellIs" dxfId="141" priority="70" operator="lessThan">
      <formula>0</formula>
    </cfRule>
  </conditionalFormatting>
  <conditionalFormatting sqref="BC27:BC30">
    <cfRule type="cellIs" dxfId="140" priority="69" operator="lessThan">
      <formula>0</formula>
    </cfRule>
  </conditionalFormatting>
  <conditionalFormatting sqref="BD27:BD31">
    <cfRule type="cellIs" dxfId="139" priority="68" operator="lessThan">
      <formula>0</formula>
    </cfRule>
  </conditionalFormatting>
  <conditionalFormatting sqref="BE27:BE31">
    <cfRule type="cellIs" dxfId="138" priority="67" operator="lessThan">
      <formula>0</formula>
    </cfRule>
  </conditionalFormatting>
  <conditionalFormatting sqref="BF27:BF30">
    <cfRule type="cellIs" dxfId="137" priority="66" operator="lessThan">
      <formula>0</formula>
    </cfRule>
  </conditionalFormatting>
  <conditionalFormatting sqref="BG27:BG31">
    <cfRule type="cellIs" dxfId="136" priority="65" operator="lessThan">
      <formula>0</formula>
    </cfRule>
  </conditionalFormatting>
  <conditionalFormatting sqref="BH27:BH32">
    <cfRule type="cellIs" dxfId="135" priority="64" operator="lessThan">
      <formula>0</formula>
    </cfRule>
  </conditionalFormatting>
  <conditionalFormatting sqref="BI27:BI30">
    <cfRule type="cellIs" dxfId="134" priority="63" operator="lessThan">
      <formula>0</formula>
    </cfRule>
  </conditionalFormatting>
  <conditionalFormatting sqref="BJ27:BJ29">
    <cfRule type="cellIs" dxfId="133" priority="62" operator="lessThan">
      <formula>0</formula>
    </cfRule>
  </conditionalFormatting>
  <conditionalFormatting sqref="BP27:BP29 BR27:BR29 BN27:BN29 BK27:BL29">
    <cfRule type="cellIs" dxfId="132" priority="61" operator="lessThan">
      <formula>0</formula>
    </cfRule>
  </conditionalFormatting>
  <conditionalFormatting sqref="BM27:BM29">
    <cfRule type="cellIs" dxfId="131" priority="60" operator="lessThan">
      <formula>0</formula>
    </cfRule>
  </conditionalFormatting>
  <conditionalFormatting sqref="BO27:BO29">
    <cfRule type="cellIs" dxfId="130" priority="59" operator="lessThan">
      <formula>0</formula>
    </cfRule>
  </conditionalFormatting>
  <conditionalFormatting sqref="BQ27:BQ29">
    <cfRule type="cellIs" dxfId="129" priority="58" operator="lessThan">
      <formula>0</formula>
    </cfRule>
  </conditionalFormatting>
  <conditionalFormatting sqref="BT27:BV29">
    <cfRule type="cellIs" dxfId="128" priority="57" operator="lessThan">
      <formula>0</formula>
    </cfRule>
  </conditionalFormatting>
  <conditionalFormatting sqref="BS27:BS29">
    <cfRule type="cellIs" dxfId="127" priority="56" operator="lessThan">
      <formula>0</formula>
    </cfRule>
  </conditionalFormatting>
  <conditionalFormatting sqref="CA27:CA29 CH27:CH29 BW27:BW29 BY27:BY29 CF27:CF29 CD27:CD29">
    <cfRule type="cellIs" dxfId="126" priority="55" operator="lessThan">
      <formula>0</formula>
    </cfRule>
  </conditionalFormatting>
  <conditionalFormatting sqref="CE27:CE29 CJ27:CK29">
    <cfRule type="cellIs" dxfId="125" priority="54" operator="lessThan">
      <formula>0</formula>
    </cfRule>
  </conditionalFormatting>
  <conditionalFormatting sqref="BX27:BX29">
    <cfRule type="cellIs" dxfId="124" priority="53" operator="lessThan">
      <formula>0</formula>
    </cfRule>
  </conditionalFormatting>
  <conditionalFormatting sqref="BZ27:BZ29">
    <cfRule type="cellIs" dxfId="123" priority="52" operator="lessThan">
      <formula>0</formula>
    </cfRule>
  </conditionalFormatting>
  <conditionalFormatting sqref="CB27:CB29">
    <cfRule type="cellIs" dxfId="122" priority="51" operator="lessThan">
      <formula>0</formula>
    </cfRule>
  </conditionalFormatting>
  <conditionalFormatting sqref="CC27:CC29">
    <cfRule type="cellIs" dxfId="121" priority="50" operator="lessThan">
      <formula>0</formula>
    </cfRule>
  </conditionalFormatting>
  <conditionalFormatting sqref="CG27:CG29">
    <cfRule type="cellIs" dxfId="120" priority="49" operator="lessThan">
      <formula>0</formula>
    </cfRule>
  </conditionalFormatting>
  <conditionalFormatting sqref="CI27:CI29">
    <cfRule type="cellIs" dxfId="119" priority="48" operator="lessThan">
      <formula>0</formula>
    </cfRule>
  </conditionalFormatting>
  <conditionalFormatting sqref="CY27:CY29 CP27:CP29 CS27:CS29 CV27:CV29 CL27:CM29">
    <cfRule type="cellIs" dxfId="118" priority="47" operator="lessThan">
      <formula>0</formula>
    </cfRule>
  </conditionalFormatting>
  <conditionalFormatting sqref="CQ27:CR29 CN27:CO29 CT27:CU29 CZ27:CZ29 CW27:CX29">
    <cfRule type="cellIs" dxfId="117" priority="46" operator="lessThan">
      <formula>0</formula>
    </cfRule>
  </conditionalFormatting>
  <conditionalFormatting sqref="DB27:DB29 DK27:DK29 DH27:DH29 DN27:DN29 DE27:DE29">
    <cfRule type="cellIs" dxfId="116" priority="45" operator="lessThan">
      <formula>0</formula>
    </cfRule>
  </conditionalFormatting>
  <conditionalFormatting sqref="DL27:DL29 DI27:DI29 DC27:DD29 DO27:DO29 DF27:DF29">
    <cfRule type="cellIs" dxfId="115" priority="44" operator="lessThan">
      <formula>0</formula>
    </cfRule>
  </conditionalFormatting>
  <conditionalFormatting sqref="DA27:DA29">
    <cfRule type="cellIs" dxfId="114" priority="43" operator="lessThan">
      <formula>0</formula>
    </cfRule>
  </conditionalFormatting>
  <conditionalFormatting sqref="DG27:DG29">
    <cfRule type="cellIs" dxfId="113" priority="42" operator="lessThan">
      <formula>0</formula>
    </cfRule>
  </conditionalFormatting>
  <conditionalFormatting sqref="DJ27:DJ29">
    <cfRule type="cellIs" dxfId="112" priority="41" operator="lessThan">
      <formula>0</formula>
    </cfRule>
  </conditionalFormatting>
  <conditionalFormatting sqref="DM27:DM29">
    <cfRule type="cellIs" dxfId="111" priority="40" operator="lessThan">
      <formula>0</formula>
    </cfRule>
  </conditionalFormatting>
  <conditionalFormatting sqref="DP27:DP29">
    <cfRule type="cellIs" dxfId="110" priority="39" operator="lessThan">
      <formula>0</formula>
    </cfRule>
  </conditionalFormatting>
  <conditionalFormatting sqref="AQ4 AS4 Y4 BE4 AU4 AW4:AY4 AA4 DX4 BJ4:BK4 BG4 AC4 BC4 AI4">
    <cfRule type="cellIs" dxfId="109" priority="38" operator="lessThan">
      <formula>0</formula>
    </cfRule>
  </conditionalFormatting>
  <conditionalFormatting sqref="AK4">
    <cfRule type="cellIs" dxfId="108" priority="37" operator="lessThan">
      <formula>0</formula>
    </cfRule>
  </conditionalFormatting>
  <conditionalFormatting sqref="Z4">
    <cfRule type="cellIs" dxfId="107" priority="35" operator="lessThan">
      <formula>0</formula>
    </cfRule>
  </conditionalFormatting>
  <conditionalFormatting sqref="CM4">
    <cfRule type="cellIs" dxfId="106" priority="34" operator="lessThan">
      <formula>0</formula>
    </cfRule>
  </conditionalFormatting>
  <conditionalFormatting sqref="X4 AD4 AH4 AL4 AN4 AP4 AR4 AZ4 BB4 BD4 BF4 BH4 BL4 BN4 BP4 BR4 CA4 DB4 DE4 DH4 DK4 DN4 DQ4 DT4 DW4 DY4 EA4 CY4">
    <cfRule type="cellIs" dxfId="105" priority="33" operator="lessThan">
      <formula>0</formula>
    </cfRule>
  </conditionalFormatting>
  <conditionalFormatting sqref="EE4:EF4">
    <cfRule type="cellIs" dxfId="104" priority="32" operator="lessThan">
      <formula>0</formula>
    </cfRule>
  </conditionalFormatting>
  <conditionalFormatting sqref="BY4 AB4 AF4:AG4 AJ4 CL4 CH4 CF4 CD4">
    <cfRule type="cellIs" dxfId="103" priority="36" operator="lessThan">
      <formula>0</formula>
    </cfRule>
  </conditionalFormatting>
  <conditionalFormatting sqref="AX4">
    <cfRule type="cellIs" dxfId="102" priority="31" operator="lessThan">
      <formula>0</formula>
    </cfRule>
  </conditionalFormatting>
  <conditionalFormatting sqref="AV4">
    <cfRule type="cellIs" dxfId="101" priority="30" operator="lessThan">
      <formula>0</formula>
    </cfRule>
  </conditionalFormatting>
  <conditionalFormatting sqref="BQ4 BT4:BV4 BX4 CB4 CN4:CR4 DL4 DI4 DC4:DD4 AE4 CZ4 CW4:CX4 CU4 CE4 DO4 DR4 DU4 CI4:CK4 BM4 AM4 DF4">
    <cfRule type="cellIs" dxfId="100" priority="29" operator="lessThan">
      <formula>0</formula>
    </cfRule>
  </conditionalFormatting>
  <conditionalFormatting sqref="BS4">
    <cfRule type="cellIs" dxfId="99" priority="28" operator="lessThan">
      <formula>0</formula>
    </cfRule>
  </conditionalFormatting>
  <conditionalFormatting sqref="DA4">
    <cfRule type="cellIs" dxfId="98" priority="27" operator="lessThan">
      <formula>0</formula>
    </cfRule>
  </conditionalFormatting>
  <conditionalFormatting sqref="DV4">
    <cfRule type="cellIs" dxfId="97" priority="26" operator="lessThan">
      <formula>0</formula>
    </cfRule>
  </conditionalFormatting>
  <conditionalFormatting sqref="CC4">
    <cfRule type="cellIs" dxfId="96" priority="25" operator="lessThan">
      <formula>0</formula>
    </cfRule>
  </conditionalFormatting>
  <conditionalFormatting sqref="BO4">
    <cfRule type="cellIs" dxfId="95" priority="24" operator="lessThan">
      <formula>0</formula>
    </cfRule>
  </conditionalFormatting>
  <conditionalFormatting sqref="BZ4">
    <cfRule type="cellIs" dxfId="94" priority="23" operator="lessThan">
      <formula>0</formula>
    </cfRule>
  </conditionalFormatting>
  <conditionalFormatting sqref="DG4">
    <cfRule type="cellIs" dxfId="93" priority="22" operator="lessThan">
      <formula>0</formula>
    </cfRule>
  </conditionalFormatting>
  <conditionalFormatting sqref="DJ4">
    <cfRule type="cellIs" dxfId="92" priority="21" operator="lessThan">
      <formula>0</formula>
    </cfRule>
  </conditionalFormatting>
  <conditionalFormatting sqref="DM4">
    <cfRule type="cellIs" dxfId="91" priority="20" operator="lessThan">
      <formula>0</formula>
    </cfRule>
  </conditionalFormatting>
  <conditionalFormatting sqref="DP4">
    <cfRule type="cellIs" dxfId="90" priority="19" operator="lessThan">
      <formula>0</formula>
    </cfRule>
  </conditionalFormatting>
  <conditionalFormatting sqref="DS4">
    <cfRule type="cellIs" dxfId="89" priority="18" operator="lessThan">
      <formula>0</formula>
    </cfRule>
  </conditionalFormatting>
  <conditionalFormatting sqref="DZ4">
    <cfRule type="cellIs" dxfId="88" priority="17" operator="lessThan">
      <formula>0</formula>
    </cfRule>
  </conditionalFormatting>
  <conditionalFormatting sqref="EB4">
    <cfRule type="cellIs" dxfId="87" priority="16" operator="lessThan">
      <formula>0</formula>
    </cfRule>
  </conditionalFormatting>
  <conditionalFormatting sqref="ED4">
    <cfRule type="cellIs" dxfId="86" priority="15" operator="lessThan">
      <formula>0</formula>
    </cfRule>
  </conditionalFormatting>
  <conditionalFormatting sqref="CG4">
    <cfRule type="cellIs" dxfId="85" priority="14" operator="lessThan">
      <formula>0</formula>
    </cfRule>
  </conditionalFormatting>
  <conditionalFormatting sqref="CV4 BI4 BA4 AO4">
    <cfRule type="cellIs" dxfId="84" priority="13" operator="lessThan">
      <formula>0</formula>
    </cfRule>
  </conditionalFormatting>
  <conditionalFormatting sqref="EG4">
    <cfRule type="cellIs" dxfId="83" priority="12" operator="lessThan">
      <formula>0</formula>
    </cfRule>
  </conditionalFormatting>
  <conditionalFormatting sqref="EC4">
    <cfRule type="cellIs" dxfId="82" priority="10" operator="lessThan">
      <formula>0</formula>
    </cfRule>
  </conditionalFormatting>
  <conditionalFormatting sqref="EC4">
    <cfRule type="cellIs" dxfId="81" priority="11" operator="lessThan">
      <formula>0</formula>
    </cfRule>
  </conditionalFormatting>
  <conditionalFormatting sqref="CT4">
    <cfRule type="cellIs" dxfId="80" priority="9" operator="lessThan">
      <formula>0</formula>
    </cfRule>
  </conditionalFormatting>
  <conditionalFormatting sqref="CS4">
    <cfRule type="cellIs" dxfId="79" priority="8" operator="lessThan">
      <formula>0</formula>
    </cfRule>
  </conditionalFormatting>
  <conditionalFormatting sqref="BW4">
    <cfRule type="cellIs" dxfId="78" priority="7" operator="lessThan">
      <formula>0</formula>
    </cfRule>
  </conditionalFormatting>
  <conditionalFormatting sqref="AT4">
    <cfRule type="cellIs" dxfId="77" priority="6" operator="lessThan">
      <formula>0</formula>
    </cfRule>
  </conditionalFormatting>
  <conditionalFormatting sqref="W8:W11">
    <cfRule type="cellIs" dxfId="76" priority="5" operator="lessThan">
      <formula>0</formula>
    </cfRule>
  </conditionalFormatting>
  <conditionalFormatting sqref="W29:W34">
    <cfRule type="cellIs" dxfId="75" priority="4" operator="lessThan">
      <formula>0</formula>
    </cfRule>
  </conditionalFormatting>
  <conditionalFormatting sqref="AN30:AN33">
    <cfRule type="cellIs" dxfId="74" priority="3" operator="lessThan">
      <formula>0</formula>
    </cfRule>
  </conditionalFormatting>
  <conditionalFormatting sqref="BN30:BN34">
    <cfRule type="cellIs" dxfId="73" priority="2" operator="lessThan">
      <formula>0</formula>
    </cfRule>
  </conditionalFormatting>
  <conditionalFormatting sqref="BO30:BO3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Marie Prisca Natasha GOVINDEN</cp:lastModifiedBy>
  <cp:revision/>
  <dcterms:created xsi:type="dcterms:W3CDTF">2016-09-19T10:41:46Z</dcterms:created>
  <dcterms:modified xsi:type="dcterms:W3CDTF">2021-09-02T06:02:12Z</dcterms:modified>
  <cp:category/>
  <cp:contentStatus/>
</cp:coreProperties>
</file>