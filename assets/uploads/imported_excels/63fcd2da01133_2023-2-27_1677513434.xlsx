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07" documentId="8_{9B439D3B-B023-4087-B27B-CB56FE35C246}" xr6:coauthVersionLast="47" xr6:coauthVersionMax="47" xr10:uidLastSave="{C4F9AEE1-80DD-4B22-A770-8FCC7B2B3A58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E2" i="6" l="1"/>
  <c r="P42" i="3"/>
  <c r="V42" i="3"/>
  <c r="Q42" i="3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<sst xmlns="http://schemas.openxmlformats.org/spreadsheetml/2006/main" count="90" uniqueCount="53">
  <si>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</si>
  <si>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</si>
  <si>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</si>
  <si>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</si>
  <si>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</si>
  <si>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</si>
  <si>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</si>
  <si>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</si>
  <si>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</si>
  <si>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</si>
  <si>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</si>
  <si>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</si>
  <si>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</si>
  <si>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</si>
  <si>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</si>
  <si>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</si>
  <si>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APRIL 2022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</si>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</sst>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Protection="1">
      <protection locked="0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4</v>
      </c>
      <c r="D2" s="97">
        <v>2022</v>
      </c>
      <c r="E2" s="99">
        <f>'Localize Daily Bali Jimbaran'!P7</f>
        <v>15539.999999999707</v>
      </c>
      <c r="F2" s="100">
        <f>'Localize Daily Bali Jimbaran'!O7/'Localize Daily Bali Jimbaran'!P7</f>
        <v>1180.6492297297336</v>
      </c>
      <c r="G2" s="99">
        <f>'Localize Daily Bali Jimbaran'!AC7</f>
        <v>135.78967200000045</v>
      </c>
      <c r="H2" s="100">
        <f>'Localize Daily Bali Jimbaran'!AD7/'Localize Daily Bali Jimbaran'!AC7</f>
        <v>18167.675780231653</v>
      </c>
      <c r="I2" s="99">
        <f>'Localize Daily Bali Jimbaran'!AH7</f>
        <v>346.36000000000058</v>
      </c>
      <c r="J2" s="101">
        <f>'Localize Daily Bali Jimbaran'!AI7/'Localize Daily Bali Jimbaran'!AH7</f>
        <v>15700</v>
      </c>
      <c r="K2" s="99">
        <f>'Localize Daily Bali Jimbaran'!Q7</f>
        <v>597</v>
      </c>
      <c r="L2" s="100">
        <f>'Localize Daily Bali Jimbaran'!V7/'Localize Daily Bali Jimbaran'!Q7</f>
        <v>7863.8952428810717</v>
      </c>
      <c r="M2" s="99">
        <f>'Localize Daily Bali Jimbaran'!C7</f>
        <v>19</v>
      </c>
      <c r="N2" s="99">
        <v>46</v>
      </c>
    </row>
    <row r="3" spans="1:14" ht="15">
      <c r="A3" s="96" t="s">
        <v>14</v>
      </c>
      <c r="B3" s="97">
        <v>2</v>
      </c>
      <c r="C3" s="98">
        <v>4</v>
      </c>
      <c r="D3" s="97">
        <v>2022</v>
      </c>
      <c r="E3" s="99">
        <f>'Localize Daily Bali Jimbaran'!P8</f>
        <v>15399.999999999807</v>
      </c>
      <c r="F3" s="100">
        <f>'Localize Daily Bali Jimbaran'!O8/'Localize Daily Bali Jimbaran'!P8</f>
        <v>1181.4954136363576</v>
      </c>
      <c r="G3" s="99">
        <f>'Localize Daily Bali Jimbaran'!AC8</f>
        <v>105.97323999999969</v>
      </c>
      <c r="H3" s="100">
        <f>'Localize Daily Bali Jimbaran'!AD8/'Localize Daily Bali Jimbaran'!AC8</f>
        <v>18701.786262267717</v>
      </c>
      <c r="I3" s="99">
        <f>'Localize Daily Bali Jimbaran'!AH8</f>
        <v>296.86999999999534</v>
      </c>
      <c r="J3" s="101">
        <f>'Localize Daily Bali Jimbaran'!AI8/'Localize Daily Bali Jimbaran'!AH8</f>
        <v>15700.000000000002</v>
      </c>
      <c r="K3" s="99">
        <f>'Localize Daily Bali Jimbaran'!Q8</f>
        <v>744</v>
      </c>
      <c r="L3" s="100">
        <f>'Localize Daily Bali Jimbaran'!V8/'Localize Daily Bali Jimbaran'!Q8</f>
        <v>7323.1451612903229</v>
      </c>
      <c r="M3" s="99">
        <f>'Localize Daily Bali Jimbaran'!C8</f>
        <v>13</v>
      </c>
      <c r="N3" s="99">
        <v>31</v>
      </c>
    </row>
    <row r="4" spans="1:14" ht="15">
      <c r="A4" s="96" t="s">
        <v>14</v>
      </c>
      <c r="B4" s="97">
        <v>3</v>
      </c>
      <c r="C4" s="98">
        <v>4</v>
      </c>
      <c r="D4" s="97">
        <v>2022</v>
      </c>
      <c r="E4" s="99">
        <f>'Localize Daily Bali Jimbaran'!P9</f>
        <v>14940.000000000196</v>
      </c>
      <c r="F4" s="100">
        <f>'Localize Daily Bali Jimbaran'!O9/'Localize Daily Bali Jimbaran'!P9</f>
        <v>1182.2035180722896</v>
      </c>
      <c r="G4" s="99">
        <f>'Localize Daily Bali Jimbaran'!AC9</f>
        <v>126.0292399999997</v>
      </c>
      <c r="H4" s="100">
        <f>'Localize Daily Bali Jimbaran'!AD9/'Localize Daily Bali Jimbaran'!AC9</f>
        <v>18430.314139798036</v>
      </c>
      <c r="I4" s="99">
        <f>'Localize Daily Bali Jimbaran'!AH9</f>
        <v>296.11999999999534</v>
      </c>
      <c r="J4" s="101">
        <f>'Localize Daily Bali Jimbaran'!AI9/'Localize Daily Bali Jimbaran'!AH9</f>
        <v>15700.000000000002</v>
      </c>
      <c r="K4" s="99">
        <f>'Localize Daily Bali Jimbaran'!Q9</f>
        <v>702</v>
      </c>
      <c r="L4" s="100">
        <f>'Localize Daily Bali Jimbaran'!V9/'Localize Daily Bali Jimbaran'!Q9</f>
        <v>7438.4156695156689</v>
      </c>
      <c r="M4" s="99">
        <f>'Localize Daily Bali Jimbaran'!C9</f>
        <v>14</v>
      </c>
      <c r="N4" s="99">
        <v>37</v>
      </c>
    </row>
    <row r="5" spans="1:14" ht="15">
      <c r="A5" s="96" t="s">
        <v>14</v>
      </c>
      <c r="B5" s="97">
        <v>4</v>
      </c>
      <c r="C5" s="98">
        <v>4</v>
      </c>
      <c r="D5" s="97">
        <v>2022</v>
      </c>
      <c r="E5" s="99">
        <f>'Localize Daily Bali Jimbaran'!P10</f>
        <v>15080.000000000069</v>
      </c>
      <c r="F5" s="100">
        <f>'Localize Daily Bali Jimbaran'!O10/'Localize Daily Bali Jimbaran'!P10</f>
        <v>1185.6521458885998</v>
      </c>
      <c r="G5" s="99">
        <f>'Localize Daily Bali Jimbaran'!AC10</f>
        <v>110.28664000000043</v>
      </c>
      <c r="H5" s="100">
        <f>'Localize Daily Bali Jimbaran'!AD10/'Localize Daily Bali Jimbaran'!AC10</f>
        <v>19100</v>
      </c>
      <c r="I5" s="99">
        <f>'Localize Daily Bali Jimbaran'!AH10</f>
        <v>302.5</v>
      </c>
      <c r="J5" s="101">
        <f>'Localize Daily Bali Jimbaran'!AI10/'Localize Daily Bali Jimbaran'!AH10</f>
        <v>15700</v>
      </c>
      <c r="K5" s="99">
        <f>'Localize Daily Bali Jimbaran'!Q10</f>
        <v>759</v>
      </c>
      <c r="L5" s="100">
        <f>'Localize Daily Bali Jimbaran'!V10/'Localize Daily Bali Jimbaran'!Q10</f>
        <v>7220.4592094861664</v>
      </c>
      <c r="M5" s="99">
        <f>'Localize Daily Bali Jimbaran'!C10</f>
        <v>12</v>
      </c>
      <c r="N5" s="99">
        <v>32</v>
      </c>
    </row>
    <row r="6" spans="1:14" ht="15">
      <c r="A6" s="96" t="s">
        <v>14</v>
      </c>
      <c r="B6" s="97">
        <v>5</v>
      </c>
      <c r="C6" s="98">
        <v>4</v>
      </c>
      <c r="D6" s="97">
        <v>2022</v>
      </c>
      <c r="E6" s="99">
        <f>'Localize Daily Bali Jimbaran'!P11</f>
        <v>15600.000000000562</v>
      </c>
      <c r="F6" s="100">
        <f>'Localize Daily Bali Jimbaran'!O11/'Localize Daily Bali Jimbaran'!P11</f>
        <v>1185.1713461538402</v>
      </c>
      <c r="G6" s="99">
        <f>'Localize Daily Bali Jimbaran'!AC11</f>
        <v>202.06608000000051</v>
      </c>
      <c r="H6" s="100">
        <f>'Localize Daily Bali Jimbaran'!AD11/'Localize Daily Bali Jimbaran'!AC11</f>
        <v>18891.157427312886</v>
      </c>
      <c r="I6" s="99">
        <f>'Localize Daily Bali Jimbaran'!AH11</f>
        <v>259.40000000000873</v>
      </c>
      <c r="J6" s="101">
        <f>'Localize Daily Bali Jimbaran'!AI11/'Localize Daily Bali Jimbaran'!AH11</f>
        <v>15700</v>
      </c>
      <c r="K6" s="99">
        <f>'Localize Daily Bali Jimbaran'!Q11</f>
        <v>781</v>
      </c>
      <c r="L6" s="100">
        <f>'Localize Daily Bali Jimbaran'!V11/'Localize Daily Bali Jimbaran'!Q11</f>
        <v>7168.2745454545457</v>
      </c>
      <c r="M6" s="99">
        <f>'Localize Daily Bali Jimbaran'!C11</f>
        <v>15</v>
      </c>
      <c r="N6" s="99">
        <v>38</v>
      </c>
    </row>
    <row r="7" spans="1:14" ht="15">
      <c r="A7" s="96" t="s">
        <v>14</v>
      </c>
      <c r="B7" s="97">
        <v>6</v>
      </c>
      <c r="C7" s="98">
        <v>4</v>
      </c>
      <c r="D7" s="97">
        <v>2022</v>
      </c>
      <c r="E7" s="99">
        <f>'Localize Daily Bali Jimbaran'!P12</f>
        <v>15160.000000000082</v>
      </c>
      <c r="F7" s="100">
        <f>'Localize Daily Bali Jimbaran'!O12/'Localize Daily Bali Jimbaran'!P12</f>
        <v>1183.6997691292893</v>
      </c>
      <c r="G7" s="99">
        <f>'Localize Daily Bali Jimbaran'!AC12</f>
        <v>101.13620000000036</v>
      </c>
      <c r="H7" s="100">
        <f>'Localize Daily Bali Jimbaran'!AD12/'Localize Daily Bali Jimbaran'!AC12</f>
        <v>18265.48179583572</v>
      </c>
      <c r="I7" s="99">
        <f>'Localize Daily Bali Jimbaran'!AH12</f>
        <v>375.5</v>
      </c>
      <c r="J7" s="101">
        <f>'Localize Daily Bali Jimbaran'!AI12/'Localize Daily Bali Jimbaran'!AH12</f>
        <v>15700</v>
      </c>
      <c r="K7" s="99">
        <f>'Localize Daily Bali Jimbaran'!Q12</f>
        <v>698</v>
      </c>
      <c r="L7" s="100">
        <f>'Localize Daily Bali Jimbaran'!V12/'Localize Daily Bali Jimbaran'!Q12</f>
        <v>7472.6352435530089</v>
      </c>
      <c r="M7" s="99">
        <f>'Localize Daily Bali Jimbaran'!C12</f>
        <v>16</v>
      </c>
      <c r="N7" s="99">
        <v>37</v>
      </c>
    </row>
    <row r="8" spans="1:14" ht="15">
      <c r="A8" s="96" t="s">
        <v>14</v>
      </c>
      <c r="B8" s="97">
        <v>7</v>
      </c>
      <c r="C8" s="98">
        <v>4</v>
      </c>
      <c r="D8" s="97">
        <v>2022</v>
      </c>
      <c r="E8" s="99">
        <f>'Localize Daily Bali Jimbaran'!P13</f>
        <v>15599.999999999683</v>
      </c>
      <c r="F8" s="100">
        <f>'Localize Daily Bali Jimbaran'!O13/'Localize Daily Bali Jimbaran'!P13</f>
        <v>1183.0798673076904</v>
      </c>
      <c r="G8" s="99">
        <f>'Localize Daily Bali Jimbaran'!AC13</f>
        <v>95.02051999999874</v>
      </c>
      <c r="H8" s="100">
        <f>'Localize Daily Bali Jimbaran'!AD13/'Localize Daily Bali Jimbaran'!AC13</f>
        <v>19100</v>
      </c>
      <c r="I8" s="99">
        <f>'Localize Daily Bali Jimbaran'!AH13</f>
        <v>333.59999999999997</v>
      </c>
      <c r="J8" s="101">
        <f>'Localize Daily Bali Jimbaran'!AI13/'Localize Daily Bali Jimbaran'!AH13</f>
        <v>15699.999999999998</v>
      </c>
      <c r="K8" s="99">
        <f>'Localize Daily Bali Jimbaran'!Q13</f>
        <v>728</v>
      </c>
      <c r="L8" s="100">
        <f>'Localize Daily Bali Jimbaran'!V13/'Localize Daily Bali Jimbaran'!Q13</f>
        <v>7361.1714285714279</v>
      </c>
      <c r="M8" s="99">
        <f>'Localize Daily Bali Jimbaran'!C13</f>
        <v>19</v>
      </c>
      <c r="N8" s="99">
        <v>38</v>
      </c>
    </row>
    <row r="9" spans="1:14" ht="15">
      <c r="A9" s="96" t="s">
        <v>14</v>
      </c>
      <c r="B9" s="97">
        <v>8</v>
      </c>
      <c r="C9" s="98">
        <v>4</v>
      </c>
      <c r="D9" s="97">
        <v>2022</v>
      </c>
      <c r="E9" s="99">
        <f>'Localize Daily Bali Jimbaran'!P14</f>
        <v>17139.999999999676</v>
      </c>
      <c r="F9" s="100">
        <f>'Localize Daily Bali Jimbaran'!O14/'Localize Daily Bali Jimbaran'!P14</f>
        <v>1192.8994865811012</v>
      </c>
      <c r="G9" s="99">
        <f>'Localize Daily Bali Jimbaran'!AC14</f>
        <v>95.78240000000072</v>
      </c>
      <c r="H9" s="100">
        <f>'Localize Daily Bali Jimbaran'!AD14/'Localize Daily Bali Jimbaran'!AC14</f>
        <v>18659.418014165447</v>
      </c>
      <c r="I9" s="99">
        <f>'Localize Daily Bali Jimbaran'!AH14</f>
        <v>362.27</v>
      </c>
      <c r="J9" s="101">
        <f>'Localize Daily Bali Jimbaran'!AI14/'Localize Daily Bali Jimbaran'!AH14</f>
        <v>15700</v>
      </c>
      <c r="K9" s="99">
        <f>'Localize Daily Bali Jimbaran'!Q14</f>
        <v>778</v>
      </c>
      <c r="L9" s="100">
        <f>'Localize Daily Bali Jimbaran'!V14/'Localize Daily Bali Jimbaran'!Q14</f>
        <v>7194.5010282776348</v>
      </c>
      <c r="M9" s="99">
        <f>'Localize Daily Bali Jimbaran'!C14</f>
        <v>24</v>
      </c>
      <c r="N9" s="99">
        <v>52</v>
      </c>
    </row>
    <row r="10" spans="1:14" ht="15">
      <c r="A10" s="96" t="s">
        <v>14</v>
      </c>
      <c r="B10" s="97">
        <v>9</v>
      </c>
      <c r="C10" s="98">
        <v>4</v>
      </c>
      <c r="D10" s="97">
        <v>2022</v>
      </c>
      <c r="E10" s="99">
        <f>'Localize Daily Bali Jimbaran'!P15</f>
        <v>16279.999999999802</v>
      </c>
      <c r="F10" s="100">
        <f>'Localize Daily Bali Jimbaran'!O15/'Localize Daily Bali Jimbaran'!P15</f>
        <v>1181.0945896805874</v>
      </c>
      <c r="G10" s="99">
        <f>'Localize Daily Bali Jimbaran'!AC15</f>
        <v>84.346320000000205</v>
      </c>
      <c r="H10" s="100">
        <f>'Localize Daily Bali Jimbaran'!AD15/'Localize Daily Bali Jimbaran'!AC15</f>
        <v>19100</v>
      </c>
      <c r="I10" s="99">
        <f>'Localize Daily Bali Jimbaran'!AH15</f>
        <v>323.79999999998847</v>
      </c>
      <c r="J10" s="101">
        <f>'Localize Daily Bali Jimbaran'!AI15/'Localize Daily Bali Jimbaran'!AH15</f>
        <v>15700.000000000002</v>
      </c>
      <c r="K10" s="99">
        <f>'Localize Daily Bali Jimbaran'!Q15</f>
        <v>764</v>
      </c>
      <c r="L10" s="100">
        <f>'Localize Daily Bali Jimbaran'!V15/'Localize Daily Bali Jimbaran'!Q15</f>
        <v>7256.250785340314</v>
      </c>
      <c r="M10" s="99">
        <f>'Localize Daily Bali Jimbaran'!C15</f>
        <v>22</v>
      </c>
      <c r="N10" s="99">
        <v>51</v>
      </c>
    </row>
    <row r="11" spans="1:14" ht="15">
      <c r="A11" s="96" t="s">
        <v>14</v>
      </c>
      <c r="B11" s="97">
        <v>10</v>
      </c>
      <c r="C11" s="98">
        <v>4</v>
      </c>
      <c r="D11" s="97">
        <v>2022</v>
      </c>
      <c r="E11" s="99">
        <f>'Localize Daily Bali Jimbaran'!P16</f>
        <v>16659.999999999938</v>
      </c>
      <c r="F11" s="100">
        <f>'Localize Daily Bali Jimbaran'!O16/'Localize Daily Bali Jimbaran'!P16</f>
        <v>1186.7949831932758</v>
      </c>
      <c r="G11" s="99">
        <f>'Localize Daily Bali Jimbaran'!AC16</f>
        <v>112.34091999999947</v>
      </c>
      <c r="H11" s="100">
        <f>'Localize Daily Bali Jimbaran'!AD16/'Localize Daily Bali Jimbaran'!AC16</f>
        <v>19100</v>
      </c>
      <c r="I11" s="99">
        <f>'Localize Daily Bali Jimbaran'!AH16</f>
        <v>305.25</v>
      </c>
      <c r="J11" s="101">
        <f>'Localize Daily Bali Jimbaran'!AI16/'Localize Daily Bali Jimbaran'!AH16</f>
        <v>15700</v>
      </c>
      <c r="K11" s="99">
        <f>'Localize Daily Bali Jimbaran'!Q16</f>
        <v>757</v>
      </c>
      <c r="L11" s="100">
        <f>'Localize Daily Bali Jimbaran'!V16/'Localize Daily Bali Jimbaran'!Q16</f>
        <v>7244.380052840158</v>
      </c>
      <c r="M11" s="99">
        <f>'Localize Daily Bali Jimbaran'!C16</f>
        <v>22</v>
      </c>
      <c r="N11" s="99">
        <v>61</v>
      </c>
    </row>
    <row r="12" spans="1:14" ht="15">
      <c r="A12" s="96" t="s">
        <v>14</v>
      </c>
      <c r="B12" s="97">
        <v>11</v>
      </c>
      <c r="C12" s="98">
        <v>4</v>
      </c>
      <c r="D12" s="97">
        <v>2022</v>
      </c>
      <c r="E12" s="99">
        <f>'Localize Daily Bali Jimbaran'!P17</f>
        <v>16500.000000000055</v>
      </c>
      <c r="F12" s="100">
        <f>'Localize Daily Bali Jimbaran'!O17/'Localize Daily Bali Jimbaran'!P17</f>
        <v>1182.4841127272744</v>
      </c>
      <c r="G12" s="99">
        <f>'Localize Daily Bali Jimbaran'!AC17</f>
        <v>111.05196000000065</v>
      </c>
      <c r="H12" s="100">
        <f>'Localize Daily Bali Jimbaran'!AD17/'Localize Daily Bali Jimbaran'!AC17</f>
        <v>19100</v>
      </c>
      <c r="I12" s="99">
        <f>'Localize Daily Bali Jimbaran'!AH17</f>
        <v>95.259999999999991</v>
      </c>
      <c r="J12" s="101">
        <f>'Localize Daily Bali Jimbaran'!AI17/'Localize Daily Bali Jimbaran'!AH17</f>
        <v>15699.999999999998</v>
      </c>
      <c r="K12" s="99">
        <f>'Localize Daily Bali Jimbaran'!Q17</f>
        <v>750</v>
      </c>
      <c r="L12" s="100">
        <f>'Localize Daily Bali Jimbaran'!V17/'Localize Daily Bali Jimbaran'!Q17</f>
        <v>7267.4949866666666</v>
      </c>
      <c r="M12" s="99">
        <f>'Localize Daily Bali Jimbaran'!C17</f>
        <v>25</v>
      </c>
      <c r="N12" s="99">
        <v>60</v>
      </c>
    </row>
    <row r="13" spans="1:14" ht="15">
      <c r="A13" s="96" t="s">
        <v>14</v>
      </c>
      <c r="B13" s="97">
        <v>12</v>
      </c>
      <c r="C13" s="98">
        <v>4</v>
      </c>
      <c r="D13" s="97">
        <v>2022</v>
      </c>
      <c r="E13" s="99">
        <f>'Localize Daily Bali Jimbaran'!P18</f>
        <v>16720.00000000068</v>
      </c>
      <c r="F13" s="100">
        <f>'Localize Daily Bali Jimbaran'!O18/'Localize Daily Bali Jimbaran'!P18</f>
        <v>1182.5361495215291</v>
      </c>
      <c r="G13" s="99">
        <f>'Localize Daily Bali Jimbaran'!AC18</f>
        <v>226.94879999999961</v>
      </c>
      <c r="H13" s="100">
        <f>'Localize Daily Bali Jimbaran'!AD18/'Localize Daily Bali Jimbaran'!AC18</f>
        <v>18356.219905106351</v>
      </c>
      <c r="I13" s="99">
        <f>'Localize Daily Bali Jimbaran'!AH18</f>
        <v>378.56999999999994</v>
      </c>
      <c r="J13" s="101">
        <f>'Localize Daily Bali Jimbaran'!AI18/'Localize Daily Bali Jimbaran'!AH18</f>
        <v>15700</v>
      </c>
      <c r="K13" s="99">
        <f>'Localize Daily Bali Jimbaran'!Q18</f>
        <v>704</v>
      </c>
      <c r="L13" s="100">
        <f>'Localize Daily Bali Jimbaran'!V18/'Localize Daily Bali Jimbaran'!Q18</f>
        <v>7430.8286363636353</v>
      </c>
      <c r="M13" s="99">
        <f>'Localize Daily Bali Jimbaran'!C18</f>
        <v>21</v>
      </c>
      <c r="N13" s="99">
        <v>53</v>
      </c>
    </row>
    <row r="14" spans="1:14" ht="15">
      <c r="A14" s="96" t="s">
        <v>14</v>
      </c>
      <c r="B14" s="97">
        <v>13</v>
      </c>
      <c r="C14" s="98">
        <v>4</v>
      </c>
      <c r="D14" s="97">
        <v>2022</v>
      </c>
      <c r="E14" s="99">
        <f>'Localize Daily Bali Jimbaran'!P19</f>
        <v>16739.999999999611</v>
      </c>
      <c r="F14" s="100">
        <f>'Localize Daily Bali Jimbaran'!O19/'Localize Daily Bali Jimbaran'!P19</f>
        <v>1186.970467741934</v>
      </c>
      <c r="G14" s="99">
        <f>'Localize Daily Bali Jimbaran'!AC19</f>
        <v>107.82611999999985</v>
      </c>
      <c r="H14" s="100">
        <f>'Localize Daily Bali Jimbaran'!AD19/'Localize Daily Bali Jimbaran'!AC19</f>
        <v>18708.629152194291</v>
      </c>
      <c r="I14" s="99">
        <f>'Localize Daily Bali Jimbaran'!AH19</f>
        <v>745.95000000001164</v>
      </c>
      <c r="J14" s="101">
        <f>'Localize Daily Bali Jimbaran'!AI19/'Localize Daily Bali Jimbaran'!AH19</f>
        <v>15700</v>
      </c>
      <c r="K14" s="99">
        <f>'Localize Daily Bali Jimbaran'!Q19</f>
        <v>708</v>
      </c>
      <c r="L14" s="100">
        <f>'Localize Daily Bali Jimbaran'!V19/'Localize Daily Bali Jimbaran'!Q19</f>
        <v>7471.726892655367</v>
      </c>
      <c r="M14" s="99">
        <f>'Localize Daily Bali Jimbaran'!C19</f>
        <v>24</v>
      </c>
      <c r="N14" s="99">
        <v>54</v>
      </c>
    </row>
    <row r="15" spans="1:14" ht="15">
      <c r="A15" s="96" t="s">
        <v>14</v>
      </c>
      <c r="B15" s="97">
        <v>14</v>
      </c>
      <c r="C15" s="98">
        <v>4</v>
      </c>
      <c r="D15" s="97">
        <v>2022</v>
      </c>
      <c r="E15" s="99">
        <f>'Localize Daily Bali Jimbaran'!P20</f>
        <v>17500.000000000342</v>
      </c>
      <c r="F15" s="100">
        <f>'Localize Daily Bali Jimbaran'!O20/'Localize Daily Bali Jimbaran'!P20</f>
        <v>1185.1394760000012</v>
      </c>
      <c r="G15" s="99">
        <f>'Localize Daily Bali Jimbaran'!AC20</f>
        <v>143.54415999999918</v>
      </c>
      <c r="H15" s="100">
        <f>'Localize Daily Bali Jimbaran'!AD20/'Localize Daily Bali Jimbaran'!AC20</f>
        <v>17924.055259371045</v>
      </c>
      <c r="I15" s="99">
        <f>'Localize Daily Bali Jimbaran'!AH20</f>
        <v>407.34999999999991</v>
      </c>
      <c r="J15" s="101">
        <f>'Localize Daily Bali Jimbaran'!AI20/'Localize Daily Bali Jimbaran'!AH20</f>
        <v>15699.999999999998</v>
      </c>
      <c r="K15" s="99">
        <f>'Localize Daily Bali Jimbaran'!Q20</f>
        <v>782</v>
      </c>
      <c r="L15" s="100">
        <f>'Localize Daily Bali Jimbaran'!V20/'Localize Daily Bali Jimbaran'!Q20</f>
        <v>7165.2048593350373</v>
      </c>
      <c r="M15" s="99">
        <f>'Localize Daily Bali Jimbaran'!C20</f>
        <v>31</v>
      </c>
      <c r="N15" s="99">
        <v>71</v>
      </c>
    </row>
    <row r="16" spans="1:14" ht="15">
      <c r="A16" s="96" t="s">
        <v>14</v>
      </c>
      <c r="B16" s="97">
        <v>15</v>
      </c>
      <c r="C16" s="98">
        <v>4</v>
      </c>
      <c r="D16" s="97">
        <v>2022</v>
      </c>
      <c r="E16" s="99">
        <f>'Localize Daily Bali Jimbaran'!P21</f>
        <v>18039.999999999822</v>
      </c>
      <c r="F16" s="100">
        <f>'Localize Daily Bali Jimbaran'!O21/'Localize Daily Bali Jimbaran'!P21</f>
        <v>1184.6303131929089</v>
      </c>
      <c r="G16" s="99">
        <f>'Localize Daily Bali Jimbaran'!AC21</f>
        <v>115.15708000000051</v>
      </c>
      <c r="H16" s="100">
        <f>'Localize Daily Bali Jimbaran'!AD21/'Localize Daily Bali Jimbaran'!AC21</f>
        <v>18733.544025256633</v>
      </c>
      <c r="I16" s="99">
        <f>'Localize Daily Bali Jimbaran'!AH21</f>
        <v>343.07999999999993</v>
      </c>
      <c r="J16" s="101">
        <f>'Localize Daily Bali Jimbaran'!AI21/'Localize Daily Bali Jimbaran'!AH21</f>
        <v>15700</v>
      </c>
      <c r="K16" s="99">
        <f>'Localize Daily Bali Jimbaran'!Q21</f>
        <v>760</v>
      </c>
      <c r="L16" s="100">
        <f>'Localize Daily Bali Jimbaran'!V21/'Localize Daily Bali Jimbaran'!Q21</f>
        <v>7234.6040000000003</v>
      </c>
      <c r="M16" s="99">
        <f>'Localize Daily Bali Jimbaran'!C21</f>
        <v>40</v>
      </c>
      <c r="N16" s="99">
        <v>86</v>
      </c>
    </row>
    <row r="17" spans="1:14" ht="15">
      <c r="A17" s="96" t="s">
        <v>14</v>
      </c>
      <c r="B17" s="97">
        <v>16</v>
      </c>
      <c r="C17" s="98">
        <v>4</v>
      </c>
      <c r="D17" s="97">
        <v>2022</v>
      </c>
      <c r="E17" s="99">
        <f>'Localize Daily Bali Jimbaran'!P22</f>
        <v>18099.999999999538</v>
      </c>
      <c r="F17" s="100">
        <f>'Localize Daily Bali Jimbaran'!O22/'Localize Daily Bali Jimbaran'!P22</f>
        <v>1183.7076961325929</v>
      </c>
      <c r="G17" s="99">
        <f>'Localize Daily Bali Jimbaran'!AC22</f>
        <v>107.9872399999997</v>
      </c>
      <c r="H17" s="100">
        <f>'Localize Daily Bali Jimbaran'!AD22/'Localize Daily Bali Jimbaran'!AC22</f>
        <v>18709.213088509347</v>
      </c>
      <c r="I17" s="99">
        <f>'Localize Daily Bali Jimbaran'!AH22</f>
        <v>257.02</v>
      </c>
      <c r="J17" s="101">
        <f>'Localize Daily Bali Jimbaran'!AI22/'Localize Daily Bali Jimbaran'!AH22</f>
        <v>15700</v>
      </c>
      <c r="K17" s="99">
        <f>'Localize Daily Bali Jimbaran'!Q22</f>
        <v>664</v>
      </c>
      <c r="L17" s="100">
        <f>'Localize Daily Bali Jimbaran'!V22/'Localize Daily Bali Jimbaran'!Q22</f>
        <v>7551.4860240963853</v>
      </c>
      <c r="M17" s="99">
        <f>'Localize Daily Bali Jimbaran'!C22</f>
        <v>40</v>
      </c>
      <c r="N17" s="99">
        <v>86</v>
      </c>
    </row>
    <row r="18" spans="1:14" ht="15">
      <c r="A18" s="96" t="s">
        <v>14</v>
      </c>
      <c r="B18" s="97">
        <v>17</v>
      </c>
      <c r="C18" s="98">
        <v>4</v>
      </c>
      <c r="D18" s="97">
        <v>2022</v>
      </c>
      <c r="E18" s="99">
        <f>'Localize Daily Bali Jimbaran'!P23</f>
        <v>18080.000000000753</v>
      </c>
      <c r="F18" s="100">
        <f>'Localize Daily Bali Jimbaran'!O23/'Localize Daily Bali Jimbaran'!P23</f>
        <v>1189.8293595132702</v>
      </c>
      <c r="G18" s="99">
        <f>'Localize Daily Bali Jimbaran'!AC23</f>
        <v>137.75416000000101</v>
      </c>
      <c r="H18" s="100">
        <f>'Localize Daily Bali Jimbaran'!AD23/'Localize Daily Bali Jimbaran'!AC23</f>
        <v>18793.657164328106</v>
      </c>
      <c r="I18" s="99">
        <f>'Localize Daily Bali Jimbaran'!AH23</f>
        <v>351.15000000000009</v>
      </c>
      <c r="J18" s="101">
        <f>'Localize Daily Bali Jimbaran'!AI23/'Localize Daily Bali Jimbaran'!AH23</f>
        <v>15700.000000000002</v>
      </c>
      <c r="K18" s="99">
        <f>'Localize Daily Bali Jimbaran'!Q23</f>
        <v>657</v>
      </c>
      <c r="L18" s="100">
        <f>'Localize Daily Bali Jimbaran'!V23/'Localize Daily Bali Jimbaran'!Q23</f>
        <v>7621.335920852358</v>
      </c>
      <c r="M18" s="99">
        <f>'Localize Daily Bali Jimbaran'!C23</f>
        <v>35</v>
      </c>
      <c r="N18" s="99">
        <v>85</v>
      </c>
    </row>
    <row r="19" spans="1:14" ht="15">
      <c r="A19" s="96" t="s">
        <v>14</v>
      </c>
      <c r="B19" s="97">
        <v>18</v>
      </c>
      <c r="C19" s="98">
        <v>4</v>
      </c>
      <c r="D19" s="97">
        <v>2022</v>
      </c>
      <c r="E19" s="99">
        <f>'Localize Daily Bali Jimbaran'!P24</f>
        <v>17419.999999999476</v>
      </c>
      <c r="F19" s="100">
        <f>'Localize Daily Bali Jimbaran'!O24/'Localize Daily Bali Jimbaran'!P24</f>
        <v>1187.4605269804895</v>
      </c>
      <c r="G19" s="99">
        <f>'Localize Daily Bali Jimbaran'!AC24</f>
        <v>149.46876000000029</v>
      </c>
      <c r="H19" s="100">
        <f>'Localize Daily Bali Jimbaran'!AD24/'Localize Daily Bali Jimbaran'!AC24</f>
        <v>18253.000265741153</v>
      </c>
      <c r="I19" s="99">
        <f>'Localize Daily Bali Jimbaran'!AH24</f>
        <v>366.00000000000045</v>
      </c>
      <c r="J19" s="101">
        <f>'Localize Daily Bali Jimbaran'!AI24/'Localize Daily Bali Jimbaran'!AH24</f>
        <v>15700</v>
      </c>
      <c r="K19" s="99">
        <f>'Localize Daily Bali Jimbaran'!Q24</f>
        <v>724</v>
      </c>
      <c r="L19" s="100">
        <f>'Localize Daily Bali Jimbaran'!V24/'Localize Daily Bali Jimbaran'!Q24</f>
        <v>7357.2637569060771</v>
      </c>
      <c r="M19" s="99">
        <f>'Localize Daily Bali Jimbaran'!C24</f>
        <v>27</v>
      </c>
      <c r="N19" s="99">
        <v>76</v>
      </c>
    </row>
    <row r="20" spans="1:14" ht="15">
      <c r="A20" s="96" t="s">
        <v>14</v>
      </c>
      <c r="B20" s="97">
        <v>19</v>
      </c>
      <c r="C20" s="98">
        <v>4</v>
      </c>
      <c r="D20" s="97">
        <v>2022</v>
      </c>
      <c r="E20" s="99">
        <f>'Localize Daily Bali Jimbaran'!P25</f>
        <v>16159.999999999996</v>
      </c>
      <c r="F20" s="100">
        <f>'Localize Daily Bali Jimbaran'!O25/'Localize Daily Bali Jimbaran'!P25</f>
        <v>1181.7890866336591</v>
      </c>
      <c r="G20" s="99">
        <f>'Localize Daily Bali Jimbaran'!AC25</f>
        <v>246.33035999999953</v>
      </c>
      <c r="H20" s="100">
        <f>'Localize Daily Bali Jimbaran'!AD25/'Localize Daily Bali Jimbaran'!AC25</f>
        <v>18757.37069519161</v>
      </c>
      <c r="I20" s="99">
        <f>'Localize Daily Bali Jimbaran'!AH25</f>
        <v>436.78999999999996</v>
      </c>
      <c r="J20" s="101">
        <f>'Localize Daily Bali Jimbaran'!AI25/'Localize Daily Bali Jimbaran'!AH25</f>
        <v>15700</v>
      </c>
      <c r="K20" s="99">
        <f>'Localize Daily Bali Jimbaran'!Q25</f>
        <v>770</v>
      </c>
      <c r="L20" s="100">
        <f>'Localize Daily Bali Jimbaran'!V25/'Localize Daily Bali Jimbaran'!Q25</f>
        <v>7219.7137142857146</v>
      </c>
      <c r="M20" s="99">
        <f>'Localize Daily Bali Jimbaran'!C25</f>
        <v>22</v>
      </c>
      <c r="N20" s="99">
        <v>61</v>
      </c>
    </row>
    <row r="21" spans="1:14" ht="15">
      <c r="A21" s="96" t="s">
        <v>14</v>
      </c>
      <c r="B21" s="97">
        <v>20</v>
      </c>
      <c r="C21" s="98">
        <v>4</v>
      </c>
      <c r="D21" s="97">
        <v>2022</v>
      </c>
      <c r="E21" s="99">
        <f>'Localize Daily Bali Jimbaran'!P26</f>
        <v>16340.000000000231</v>
      </c>
      <c r="F21" s="100">
        <f>'Localize Daily Bali Jimbaran'!O26/'Localize Daily Bali Jimbaran'!P26</f>
        <v>1184.0791009791967</v>
      </c>
      <c r="G21" s="99">
        <f>'Localize Daily Bali Jimbaran'!AC26</f>
        <v>97.474159999999188</v>
      </c>
      <c r="H21" s="100">
        <f>'Localize Daily Bali Jimbaran'!AD26/'Localize Daily Bali Jimbaran'!AC26</f>
        <v>18667.064748236862</v>
      </c>
      <c r="I21" s="99">
        <f>'Localize Daily Bali Jimbaran'!AH26</f>
        <v>378.55999999999949</v>
      </c>
      <c r="J21" s="101">
        <f>'Localize Daily Bali Jimbaran'!AI26/'Localize Daily Bali Jimbaran'!AH26</f>
        <v>15699.999999999998</v>
      </c>
      <c r="K21" s="99">
        <f>'Localize Daily Bali Jimbaran'!Q26</f>
        <v>783</v>
      </c>
      <c r="L21" s="100">
        <f>'Localize Daily Bali Jimbaran'!V26/'Localize Daily Bali Jimbaran'!Q26</f>
        <v>7145.2813026819922</v>
      </c>
      <c r="M21" s="99">
        <f>'Localize Daily Bali Jimbaran'!C26</f>
        <v>26</v>
      </c>
      <c r="N21" s="99">
        <v>69</v>
      </c>
    </row>
    <row r="22" spans="1:14" ht="15">
      <c r="A22" s="96" t="s">
        <v>14</v>
      </c>
      <c r="B22" s="97">
        <v>21</v>
      </c>
      <c r="C22" s="98">
        <v>4</v>
      </c>
      <c r="D22" s="97">
        <v>2022</v>
      </c>
      <c r="E22" s="99">
        <f>'Localize Daily Bali Jimbaran'!P27</f>
        <v>17040.000000000164</v>
      </c>
      <c r="F22" s="100">
        <f>'Localize Daily Bali Jimbaran'!O27/'Localize Daily Bali Jimbaran'!P27</f>
        <v>1190.3263996478825</v>
      </c>
      <c r="G22" s="99">
        <f>'Localize Daily Bali Jimbaran'!AC27</f>
        <v>118.18152000000057</v>
      </c>
      <c r="H22" s="100">
        <f>'Localize Daily Bali Jimbaran'!AD27/'Localize Daily Bali Jimbaran'!AC27</f>
        <v>19100</v>
      </c>
      <c r="I22" s="99">
        <f>'Localize Daily Bali Jimbaran'!AH27</f>
        <v>349.77999999999975</v>
      </c>
      <c r="J22" s="101">
        <f>'Localize Daily Bali Jimbaran'!AI27/'Localize Daily Bali Jimbaran'!AH27</f>
        <v>15700</v>
      </c>
      <c r="K22" s="99">
        <f>'Localize Daily Bali Jimbaran'!Q27</f>
        <v>625</v>
      </c>
      <c r="L22" s="100">
        <f>'Localize Daily Bali Jimbaran'!V27/'Localize Daily Bali Jimbaran'!Q27</f>
        <v>5317.0131519999995</v>
      </c>
      <c r="M22" s="99">
        <f>'Localize Daily Bali Jimbaran'!C27</f>
        <v>21</v>
      </c>
      <c r="N22" s="99">
        <v>52</v>
      </c>
    </row>
    <row r="23" spans="1:14" ht="15">
      <c r="A23" s="96" t="s">
        <v>14</v>
      </c>
      <c r="B23" s="97">
        <v>22</v>
      </c>
      <c r="C23" s="98">
        <v>4</v>
      </c>
      <c r="D23" s="97">
        <v>2022</v>
      </c>
      <c r="E23" s="99">
        <f>'Localize Daily Bali Jimbaran'!P28</f>
        <v>17560.000000000113</v>
      </c>
      <c r="F23" s="100">
        <f>'Localize Daily Bali Jimbaran'!O28/'Localize Daily Bali Jimbaran'!P28</f>
        <v>1187.9028143507953</v>
      </c>
      <c r="G23" s="99">
        <f>'Localize Daily Bali Jimbaran'!AC28</f>
        <v>130.46003999999931</v>
      </c>
      <c r="H23" s="100">
        <f>'Localize Daily Bali Jimbaran'!AD28/'Localize Daily Bali Jimbaran'!AC28</f>
        <v>18453.058607064664</v>
      </c>
      <c r="I23" s="99">
        <f>'Localize Daily Bali Jimbaran'!AH28</f>
        <v>380.74000000000069</v>
      </c>
      <c r="J23" s="101">
        <f>'Localize Daily Bali Jimbaran'!AI28/'Localize Daily Bali Jimbaran'!AH28</f>
        <v>15700</v>
      </c>
      <c r="K23" s="99">
        <f>'Localize Daily Bali Jimbaran'!Q28</f>
        <v>768</v>
      </c>
      <c r="L23" s="100">
        <f>'Localize Daily Bali Jimbaran'!V28/'Localize Daily Bali Jimbaran'!Q28</f>
        <v>7174.5258333333331</v>
      </c>
      <c r="M23" s="99">
        <f>'Localize Daily Bali Jimbaran'!C28</f>
        <v>19</v>
      </c>
      <c r="N23" s="99">
        <v>41</v>
      </c>
    </row>
    <row r="24" spans="1:14" ht="15">
      <c r="A24" s="96" t="s">
        <v>14</v>
      </c>
      <c r="B24" s="97">
        <v>23</v>
      </c>
      <c r="C24" s="98">
        <v>4</v>
      </c>
      <c r="D24" s="97">
        <v>2022</v>
      </c>
      <c r="E24" s="99">
        <f>'Localize Daily Bali Jimbaran'!P29</f>
        <v>17259.999999999538</v>
      </c>
      <c r="F24" s="100">
        <f>'Localize Daily Bali Jimbaran'!O29/'Localize Daily Bali Jimbaran'!P29</f>
        <v>1187.1263012746324</v>
      </c>
      <c r="G24" s="99">
        <f>'Localize Daily Bali Jimbaran'!AC29</f>
        <v>112.74028000000087</v>
      </c>
      <c r="H24" s="100">
        <f>'Localize Daily Bali Jimbaran'!AD29/'Localize Daily Bali Jimbaran'!AC29</f>
        <v>18725.688352024674</v>
      </c>
      <c r="I24" s="99">
        <f>'Localize Daily Bali Jimbaran'!AH29</f>
        <v>483.75999999999931</v>
      </c>
      <c r="J24" s="101">
        <f>'Localize Daily Bali Jimbaran'!AI29/'Localize Daily Bali Jimbaran'!AH29</f>
        <v>15700</v>
      </c>
      <c r="K24" s="99">
        <f>'Localize Daily Bali Jimbaran'!Q29</f>
        <v>679</v>
      </c>
      <c r="L24" s="100">
        <f>'Localize Daily Bali Jimbaran'!V29/'Localize Daily Bali Jimbaran'!Q29</f>
        <v>7528.8790279823261</v>
      </c>
      <c r="M24" s="99">
        <f>'Localize Daily Bali Jimbaran'!C29</f>
        <v>14</v>
      </c>
      <c r="N24" s="99">
        <v>36</v>
      </c>
    </row>
    <row r="25" spans="1:14" ht="15">
      <c r="A25" s="96" t="s">
        <v>14</v>
      </c>
      <c r="B25" s="97">
        <v>24</v>
      </c>
      <c r="C25" s="98">
        <v>4</v>
      </c>
      <c r="D25" s="97">
        <v>2022</v>
      </c>
      <c r="E25" s="99">
        <f>'Localize Daily Bali Jimbaran'!P30</f>
        <v>17560.000000000062</v>
      </c>
      <c r="F25" s="100">
        <f>'Localize Daily Bali Jimbaran'!O30/'Localize Daily Bali Jimbaran'!P30</f>
        <v>1187.2834698177646</v>
      </c>
      <c r="G25" s="99">
        <f>'Localize Daily Bali Jimbaran'!AC30</f>
        <v>133.15879999999962</v>
      </c>
      <c r="H25" s="100">
        <f>'Localize Daily Bali Jimbaran'!AD30/'Localize Daily Bali Jimbaran'!AC30</f>
        <v>18466.170316944877</v>
      </c>
      <c r="I25" s="99">
        <f>'Localize Daily Bali Jimbaran'!AH30</f>
        <v>265.8100000000004</v>
      </c>
      <c r="J25" s="101">
        <f>'Localize Daily Bali Jimbaran'!AI30/'Localize Daily Bali Jimbaran'!AH30</f>
        <v>15700</v>
      </c>
      <c r="K25" s="99">
        <f>'Localize Daily Bali Jimbaran'!Q30</f>
        <v>578</v>
      </c>
      <c r="L25" s="100">
        <f>'Localize Daily Bali Jimbaran'!V30/'Localize Daily Bali Jimbaran'!Q30</f>
        <v>7988.5127335640127</v>
      </c>
      <c r="M25" s="99">
        <f>'Localize Daily Bali Jimbaran'!C30</f>
        <v>10</v>
      </c>
      <c r="N25" s="99">
        <v>22</v>
      </c>
    </row>
    <row r="26" spans="1:14" ht="15">
      <c r="A26" s="96" t="s">
        <v>14</v>
      </c>
      <c r="B26" s="97">
        <v>25</v>
      </c>
      <c r="C26" s="98">
        <v>4</v>
      </c>
      <c r="D26" s="97">
        <v>2022</v>
      </c>
      <c r="E26" s="99">
        <f>'Localize Daily Bali Jimbaran'!P31</f>
        <v>15380.000000000195</v>
      </c>
      <c r="F26" s="100">
        <f>'Localize Daily Bali Jimbaran'!O31/'Localize Daily Bali Jimbaran'!P31</f>
        <v>1196.4673263979184</v>
      </c>
      <c r="G26" s="99">
        <f>'Localize Daily Bali Jimbaran'!AC31</f>
        <v>260.15761200003806</v>
      </c>
      <c r="H26" s="100">
        <f>'Localize Daily Bali Jimbaran'!AD31/'Localize Daily Bali Jimbaran'!AC31</f>
        <v>17617.118092243152</v>
      </c>
      <c r="I26" s="99">
        <f>'Localize Daily Bali Jimbaran'!AH31</f>
        <v>4287.1099999999769</v>
      </c>
      <c r="J26" s="101">
        <f>'Localize Daily Bali Jimbaran'!AI31/'Localize Daily Bali Jimbaran'!AH31</f>
        <v>15700.000000000002</v>
      </c>
      <c r="K26" s="99">
        <f>'Localize Daily Bali Jimbaran'!Q31</f>
        <v>705</v>
      </c>
      <c r="L26" s="100">
        <f>'Localize Daily Bali Jimbaran'!V31/'Localize Daily Bali Jimbaran'!Q31</f>
        <v>7389.5967375886512</v>
      </c>
      <c r="M26" s="99">
        <f>'Localize Daily Bali Jimbaran'!C31</f>
        <v>7</v>
      </c>
      <c r="N26" s="99">
        <v>14</v>
      </c>
    </row>
    <row r="27" spans="1:14" ht="15">
      <c r="A27" s="96" t="s">
        <v>14</v>
      </c>
      <c r="B27" s="97">
        <v>26</v>
      </c>
      <c r="C27" s="98">
        <v>4</v>
      </c>
      <c r="D27" s="97">
        <v>2022</v>
      </c>
      <c r="E27" s="99">
        <f>'Localize Daily Bali Jimbaran'!P32</f>
        <v>16739.999999999924</v>
      </c>
      <c r="F27" s="100">
        <f>'Localize Daily Bali Jimbaran'!O32/'Localize Daily Bali Jimbaran'!P32</f>
        <v>1190.8685645161252</v>
      </c>
      <c r="G27" s="99">
        <f>'Localize Daily Bali Jimbaran'!AC32</f>
        <v>359.43139599996209</v>
      </c>
      <c r="H27" s="100">
        <f>'Localize Daily Bali Jimbaran'!AD32/'Localize Daily Bali Jimbaran'!AC32</f>
        <v>18255.830048858756</v>
      </c>
      <c r="I27" s="99">
        <f>'Localize Daily Bali Jimbaran'!AH32</f>
        <v>353.34999999999945</v>
      </c>
      <c r="J27" s="101">
        <f>'Localize Daily Bali Jimbaran'!AI32/'Localize Daily Bali Jimbaran'!AH32</f>
        <v>15700</v>
      </c>
      <c r="K27" s="99">
        <f>'Localize Daily Bali Jimbaran'!Q32</f>
        <v>624</v>
      </c>
      <c r="L27" s="100">
        <f>'Localize Daily Bali Jimbaran'!V32/'Localize Daily Bali Jimbaran'!Q32</f>
        <v>4915.8874358974354</v>
      </c>
      <c r="M27" s="99">
        <f>'Localize Daily Bali Jimbaran'!C32</f>
        <v>10</v>
      </c>
      <c r="N27" s="99">
        <v>23</v>
      </c>
    </row>
    <row r="28" spans="1:14" ht="15">
      <c r="A28" s="96" t="s">
        <v>14</v>
      </c>
      <c r="B28" s="97">
        <v>27</v>
      </c>
      <c r="C28" s="98">
        <v>4</v>
      </c>
      <c r="D28" s="97">
        <v>2022</v>
      </c>
      <c r="E28" s="99">
        <f>'Localize Daily Bali Jimbaran'!P33</f>
        <v>17620.000000000004</v>
      </c>
      <c r="F28" s="100">
        <f>'Localize Daily Bali Jimbaran'!O33/'Localize Daily Bali Jimbaran'!P33</f>
        <v>1188.7956265607327</v>
      </c>
      <c r="G28" s="99">
        <f>'Localize Daily Bali Jimbaran'!AC33</f>
        <v>285.24743600001824</v>
      </c>
      <c r="H28" s="100">
        <f>'Localize Daily Bali Jimbaran'!AD33/'Localize Daily Bali Jimbaran'!AC33</f>
        <v>17674.298813329158</v>
      </c>
      <c r="I28" s="99">
        <f>'Localize Daily Bali Jimbaran'!AH33</f>
        <v>374.47000000000025</v>
      </c>
      <c r="J28" s="101">
        <f>'Localize Daily Bali Jimbaran'!AI33/'Localize Daily Bali Jimbaran'!AH33</f>
        <v>15700</v>
      </c>
      <c r="K28" s="99">
        <f>'Localize Daily Bali Jimbaran'!Q33</f>
        <v>713</v>
      </c>
      <c r="L28" s="100">
        <f>'Localize Daily Bali Jimbaran'!V33/'Localize Daily Bali Jimbaran'!Q33</f>
        <v>6730.5967180925663</v>
      </c>
      <c r="M28" s="99">
        <f>'Localize Daily Bali Jimbaran'!C33</f>
        <v>17</v>
      </c>
      <c r="N28" s="99">
        <v>36</v>
      </c>
    </row>
    <row r="29" spans="1:14" ht="15">
      <c r="A29" s="96" t="s">
        <v>14</v>
      </c>
      <c r="B29" s="97">
        <v>28</v>
      </c>
      <c r="C29" s="98">
        <v>4</v>
      </c>
      <c r="D29" s="97">
        <v>2022</v>
      </c>
      <c r="E29" s="99">
        <f>'Localize Daily Bali Jimbaran'!P34</f>
        <v>18419.999999999647</v>
      </c>
      <c r="F29" s="100">
        <f>'Localize Daily Bali Jimbaran'!O34/'Localize Daily Bali Jimbaran'!P34</f>
        <v>1180.2662491856665</v>
      </c>
      <c r="G29" s="99">
        <f>'Localize Daily Bali Jimbaran'!AC34</f>
        <v>607.88964800001702</v>
      </c>
      <c r="H29" s="100">
        <f>'Localize Daily Bali Jimbaran'!AD34/'Localize Daily Bali Jimbaran'!AC34</f>
        <v>17186.392430226082</v>
      </c>
      <c r="I29" s="99">
        <f>'Localize Daily Bali Jimbaran'!AH34</f>
        <v>317.19999999999982</v>
      </c>
      <c r="J29" s="101">
        <f>'Localize Daily Bali Jimbaran'!AI34/'Localize Daily Bali Jimbaran'!AH34</f>
        <v>15700</v>
      </c>
      <c r="K29" s="99">
        <f>'Localize Daily Bali Jimbaran'!Q34</f>
        <v>784</v>
      </c>
      <c r="L29" s="100">
        <f>'Localize Daily Bali Jimbaran'!V34/'Localize Daily Bali Jimbaran'!Q34</f>
        <v>6805.4446938775509</v>
      </c>
      <c r="M29" s="99">
        <f>'Localize Daily Bali Jimbaran'!C34</f>
        <v>27</v>
      </c>
      <c r="N29" s="99">
        <v>76</v>
      </c>
    </row>
    <row r="30" spans="1:14" ht="15">
      <c r="A30" s="96" t="s">
        <v>14</v>
      </c>
      <c r="B30" s="97">
        <v>29</v>
      </c>
      <c r="C30" s="98">
        <v>4</v>
      </c>
      <c r="D30" s="97">
        <v>2022</v>
      </c>
      <c r="E30" s="99">
        <f>'Localize Daily Bali Jimbaran'!P35</f>
        <v>20120.000000000007</v>
      </c>
      <c r="F30" s="100">
        <f>'Localize Daily Bali Jimbaran'!O35/'Localize Daily Bali Jimbaran'!P35</f>
        <v>1199.4610392644129</v>
      </c>
      <c r="G30" s="99">
        <f>'Localize Daily Bali Jimbaran'!AC35</f>
        <v>615.63951999998221</v>
      </c>
      <c r="H30" s="100">
        <f>'Localize Daily Bali Jimbaran'!AD35/'Localize Daily Bali Jimbaran'!AC35</f>
        <v>17157.079298612931</v>
      </c>
      <c r="I30" s="99">
        <f>'Localize Daily Bali Jimbaran'!AH35</f>
        <v>336.52000000000044</v>
      </c>
      <c r="J30" s="101">
        <f>'Localize Daily Bali Jimbaran'!AI35/'Localize Daily Bali Jimbaran'!AH35</f>
        <v>15699.999999999998</v>
      </c>
      <c r="K30" s="99">
        <f>'Localize Daily Bali Jimbaran'!Q35</f>
        <v>722</v>
      </c>
      <c r="L30" s="100">
        <f>'Localize Daily Bali Jimbaran'!V35/'Localize Daily Bali Jimbaran'!Q35</f>
        <v>6742.702105263158</v>
      </c>
      <c r="M30" s="99">
        <f>'Localize Daily Bali Jimbaran'!C35</f>
        <v>39</v>
      </c>
      <c r="N30" s="99">
        <v>110</v>
      </c>
    </row>
    <row r="31" spans="1:14" ht="15">
      <c r="A31" s="96" t="s">
        <v>14</v>
      </c>
      <c r="B31" s="97">
        <v>30</v>
      </c>
      <c r="C31" s="98">
        <v>4</v>
      </c>
      <c r="D31" s="97">
        <v>2022</v>
      </c>
      <c r="E31" s="99">
        <f>'Localize Daily Bali Jimbaran'!P36</f>
        <v>20620.000000000688</v>
      </c>
      <c r="F31" s="100">
        <f>'Localize Daily Bali Jimbaran'!O36/'Localize Daily Bali Jimbaran'!P36</f>
        <v>1187.2540344325887</v>
      </c>
      <c r="G31" s="99">
        <f>'Localize Daily Bali Jimbaran'!AC36</f>
        <v>692.57725999999661</v>
      </c>
      <c r="H31" s="100">
        <f>'Localize Daily Bali Jimbaran'!AD36/'Localize Daily Bali Jimbaran'!AC36</f>
        <v>17064.41880289284</v>
      </c>
      <c r="I31" s="99">
        <f>'Localize Daily Bali Jimbaran'!AH36</f>
        <v>339.70999999998821</v>
      </c>
      <c r="J31" s="101">
        <f>'Localize Daily Bali Jimbaran'!AI36/'Localize Daily Bali Jimbaran'!AH36</f>
        <v>15700</v>
      </c>
      <c r="K31" s="99">
        <f>'Localize Daily Bali Jimbaran'!Q36</f>
        <v>716</v>
      </c>
      <c r="L31" s="100">
        <f>'Localize Daily Bali Jimbaran'!V36/'Localize Daily Bali Jimbaran'!Q36</f>
        <v>7441.5151955307265</v>
      </c>
      <c r="M31" s="99">
        <f>'Localize Daily Bali Jimbaran'!C36</f>
        <v>53</v>
      </c>
      <c r="N31" s="99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M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89" t="s">
        <v>47</v>
      </c>
      <c r="AC6" s="89" t="s">
        <v>48</v>
      </c>
      <c r="AD6" s="90" t="s">
        <v>41</v>
      </c>
      <c r="AE6" s="126" t="s">
        <v>49</v>
      </c>
      <c r="AF6" s="126" t="s">
        <v>50</v>
      </c>
      <c r="AG6" s="126" t="s">
        <v>51</v>
      </c>
      <c r="AH6" s="126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19</v>
      </c>
      <c r="D7" s="102">
        <v>121</v>
      </c>
      <c r="E7" s="155">
        <v>11319.999999999709</v>
      </c>
      <c r="F7" s="155">
        <v>12311281.079999683</v>
      </c>
      <c r="G7" s="115">
        <v>2200.0000000000455</v>
      </c>
      <c r="H7" s="156">
        <v>3588977.7000000747</v>
      </c>
      <c r="I7" s="104">
        <f>F7+H7</f>
        <v>15900258.779999759</v>
      </c>
      <c r="J7" s="114">
        <v>1559.9999999999454</v>
      </c>
      <c r="K7" s="114">
        <v>1696607.6399999408</v>
      </c>
      <c r="L7" s="118">
        <v>460.00000000000796</v>
      </c>
      <c r="M7" s="120">
        <v>750422.61000001302</v>
      </c>
      <c r="N7" s="106">
        <f>K7+M7</f>
        <v>2447030.2499999539</v>
      </c>
      <c r="O7" s="104">
        <f>I7+N7</f>
        <v>18347289.029999714</v>
      </c>
      <c r="P7" s="106">
        <f>E7+G7+J7+L7</f>
        <v>15539.999999999707</v>
      </c>
      <c r="Q7" s="122">
        <f>R7+T7</f>
        <v>597</v>
      </c>
      <c r="R7" s="114">
        <v>140</v>
      </c>
      <c r="S7" s="114">
        <v>2515870</v>
      </c>
      <c r="T7" s="114">
        <v>457</v>
      </c>
      <c r="U7" s="114">
        <v>2178875.46</v>
      </c>
      <c r="V7" s="114">
        <f>S7+U7</f>
        <v>4694745.46</v>
      </c>
      <c r="W7" s="114">
        <v>0</v>
      </c>
      <c r="X7" s="105">
        <v>0</v>
      </c>
      <c r="Y7" s="109">
        <v>99.789672000000451</v>
      </c>
      <c r="Z7" s="109"/>
      <c r="AA7" s="107">
        <v>0</v>
      </c>
      <c r="AB7" s="111">
        <v>36</v>
      </c>
      <c r="AC7" s="122">
        <f>W7+X7+Y7+Z7+AA7+AB7</f>
        <v>135.78967200000045</v>
      </c>
      <c r="AD7" s="103">
        <v>2466982.7352000084</v>
      </c>
      <c r="AE7" s="108"/>
      <c r="AF7" s="127">
        <v>346.36000000000058</v>
      </c>
      <c r="AG7" s="129">
        <v>0</v>
      </c>
      <c r="AH7" s="129">
        <f>AF7+AG7</f>
        <v>346.36000000000058</v>
      </c>
      <c r="AI7" s="131">
        <v>5437852.0000000093</v>
      </c>
      <c r="AJ7" s="18"/>
    </row>
    <row r="8" spans="1:36" ht="15">
      <c r="A8" s="19"/>
      <c r="B8" s="64">
        <v>2</v>
      </c>
      <c r="C8" s="158">
        <v>13</v>
      </c>
      <c r="D8" s="158">
        <v>144</v>
      </c>
      <c r="E8" s="123">
        <v>11000</v>
      </c>
      <c r="F8" s="123">
        <v>11963259</v>
      </c>
      <c r="G8" s="110">
        <v>2199.9999999998181</v>
      </c>
      <c r="H8" s="110">
        <v>3588977.6999997036</v>
      </c>
      <c r="I8" s="104">
        <f>F8+H8</f>
        <v>15552236.699999703</v>
      </c>
      <c r="J8" s="157">
        <v>1740.0000000000091</v>
      </c>
      <c r="K8" s="157">
        <v>1892370.0600000098</v>
      </c>
      <c r="L8" s="119">
        <v>459.99999999997954</v>
      </c>
      <c r="M8" s="121">
        <v>750422.60999996669</v>
      </c>
      <c r="N8" s="106">
        <f>K8+M8</f>
        <v>2642792.6699999766</v>
      </c>
      <c r="O8" s="104">
        <f>I8+N8</f>
        <v>18195029.369999681</v>
      </c>
      <c r="P8" s="106">
        <f>E8+G8+J8+L8</f>
        <v>15399.999999999807</v>
      </c>
      <c r="Q8" s="122">
        <f>R8+T8</f>
        <v>744</v>
      </c>
      <c r="R8" s="123">
        <v>144</v>
      </c>
      <c r="S8" s="123">
        <v>2587752</v>
      </c>
      <c r="T8" s="116">
        <v>600</v>
      </c>
      <c r="U8" s="116">
        <v>2860668</v>
      </c>
      <c r="V8" s="114">
        <f>S8+U8</f>
        <v>5448420</v>
      </c>
      <c r="W8" s="125">
        <v>0</v>
      </c>
      <c r="X8" s="111">
        <v>0</v>
      </c>
      <c r="Y8" s="109">
        <v>93.973239999999691</v>
      </c>
      <c r="Z8" s="109"/>
      <c r="AA8" s="111">
        <v>0</v>
      </c>
      <c r="AB8" s="111">
        <v>12</v>
      </c>
      <c r="AC8" s="122">
        <f>W8+X8+Y8+Z8+AA8+AB8</f>
        <v>105.97323999999969</v>
      </c>
      <c r="AD8" s="109">
        <v>1981888.883999994</v>
      </c>
      <c r="AE8" s="112"/>
      <c r="AF8" s="128">
        <v>239.47000000000116</v>
      </c>
      <c r="AG8" s="130">
        <v>57.399999999994179</v>
      </c>
      <c r="AH8" s="129">
        <f>AF8+AG8</f>
        <v>296.86999999999534</v>
      </c>
      <c r="AI8" s="132">
        <v>4660858.9999999274</v>
      </c>
      <c r="AJ8" s="21"/>
    </row>
    <row r="9" spans="1:36" ht="15">
      <c r="A9" s="19"/>
      <c r="B9" s="81">
        <v>3</v>
      </c>
      <c r="C9" s="158">
        <v>14</v>
      </c>
      <c r="D9" s="158">
        <v>152</v>
      </c>
      <c r="E9" s="123">
        <v>10880.000000000109</v>
      </c>
      <c r="F9" s="123">
        <v>11832750.720000118</v>
      </c>
      <c r="G9" s="110">
        <v>2200.0000000000455</v>
      </c>
      <c r="H9" s="110">
        <v>3588977.7000000747</v>
      </c>
      <c r="I9" s="104">
        <f>F9+H9</f>
        <v>15421728.420000192</v>
      </c>
      <c r="J9" s="157">
        <v>1460.0000000000364</v>
      </c>
      <c r="K9" s="157">
        <v>1587850.7400000396</v>
      </c>
      <c r="L9" s="119">
        <v>400.00000000000568</v>
      </c>
      <c r="M9" s="121">
        <v>652541.40000000934</v>
      </c>
      <c r="N9" s="106">
        <f>K9+M9</f>
        <v>2240392.140000049</v>
      </c>
      <c r="O9" s="104">
        <f>I9+N9</f>
        <v>17662120.560000241</v>
      </c>
      <c r="P9" s="106">
        <f>E9+G9+J9+L9</f>
        <v>14940.000000000196</v>
      </c>
      <c r="Q9" s="122">
        <f>R9+T9</f>
        <v>702</v>
      </c>
      <c r="R9" s="123">
        <v>142</v>
      </c>
      <c r="S9" s="123">
        <v>2551811</v>
      </c>
      <c r="T9" s="116">
        <v>560</v>
      </c>
      <c r="U9" s="116">
        <v>2669956.7999999998</v>
      </c>
      <c r="V9" s="114">
        <f>S9+U9</f>
        <v>5221767.8</v>
      </c>
      <c r="W9" s="125">
        <v>0</v>
      </c>
      <c r="X9" s="111">
        <v>0</v>
      </c>
      <c r="Y9" s="109">
        <v>102.0292399999997</v>
      </c>
      <c r="Z9" s="109"/>
      <c r="AA9" s="111">
        <v>0</v>
      </c>
      <c r="AB9" s="111">
        <v>24</v>
      </c>
      <c r="AC9" s="122">
        <f>W9+X9+Y9+Z9+AA9+AB9</f>
        <v>126.0292399999997</v>
      </c>
      <c r="AD9" s="109">
        <v>2322758.4839999946</v>
      </c>
      <c r="AE9" s="112"/>
      <c r="AF9" s="128">
        <v>296.11999999999534</v>
      </c>
      <c r="AG9" s="130">
        <v>0</v>
      </c>
      <c r="AH9" s="129">
        <f>AF9+AG9</f>
        <v>296.11999999999534</v>
      </c>
      <c r="AI9" s="132">
        <v>4649083.9999999274</v>
      </c>
      <c r="AJ9" s="21"/>
    </row>
    <row r="10" spans="1:36" ht="15">
      <c r="A10" s="19"/>
      <c r="B10" s="64">
        <v>4</v>
      </c>
      <c r="C10" s="158">
        <v>12</v>
      </c>
      <c r="D10" s="158">
        <v>107</v>
      </c>
      <c r="E10" s="123">
        <v>11079.999999999927</v>
      </c>
      <c r="F10" s="123">
        <v>12050264.519999921</v>
      </c>
      <c r="G10" s="110">
        <v>2320.0000000001637</v>
      </c>
      <c r="H10" s="110">
        <v>3784740.1200002674</v>
      </c>
      <c r="I10" s="104">
        <f>F10+H10</f>
        <v>15835004.640000189</v>
      </c>
      <c r="J10" s="157">
        <v>1279.9999999999727</v>
      </c>
      <c r="K10" s="157">
        <v>1392088.3199999705</v>
      </c>
      <c r="L10" s="119">
        <v>400.00000000000568</v>
      </c>
      <c r="M10" s="121">
        <v>652541.40000000934</v>
      </c>
      <c r="N10" s="106">
        <f>K10+M10</f>
        <v>2044629.7199999797</v>
      </c>
      <c r="O10" s="104">
        <f>I10+N10</f>
        <v>17879634.360000167</v>
      </c>
      <c r="P10" s="106">
        <f>E10+G10+J10+L10</f>
        <v>15080.000000000069</v>
      </c>
      <c r="Q10" s="122">
        <f>R10+T10</f>
        <v>759</v>
      </c>
      <c r="R10" s="123">
        <v>141</v>
      </c>
      <c r="S10" s="123">
        <v>2533840.5</v>
      </c>
      <c r="T10" s="116">
        <v>618</v>
      </c>
      <c r="U10" s="116">
        <v>2946488.04</v>
      </c>
      <c r="V10" s="114">
        <f>S10+U10</f>
        <v>5480328.54</v>
      </c>
      <c r="W10" s="125">
        <v>0</v>
      </c>
      <c r="X10" s="111">
        <v>0</v>
      </c>
      <c r="Y10" s="109">
        <v>110.28664000000043</v>
      </c>
      <c r="Z10" s="109"/>
      <c r="AA10" s="111">
        <v>0</v>
      </c>
      <c r="AB10" s="111">
        <v>0</v>
      </c>
      <c r="AC10" s="122">
        <f>W10+X10+Y10+Z10+AA10+AB10</f>
        <v>110.28664000000043</v>
      </c>
      <c r="AD10" s="109">
        <v>2106474.8240000084</v>
      </c>
      <c r="AE10" s="112"/>
      <c r="AF10" s="128">
        <v>302.5</v>
      </c>
      <c r="AG10" s="130">
        <v>0</v>
      </c>
      <c r="AH10" s="129">
        <f>AF10+AG10</f>
        <v>302.5</v>
      </c>
      <c r="AI10" s="132">
        <v>4749250</v>
      </c>
      <c r="AJ10" s="21"/>
    </row>
    <row r="11" spans="1:36" ht="15">
      <c r="A11" s="19"/>
      <c r="B11" s="81">
        <v>5</v>
      </c>
      <c r="C11" s="158">
        <v>15</v>
      </c>
      <c r="D11" s="158">
        <v>105</v>
      </c>
      <c r="E11" s="123">
        <v>11360.000000000582</v>
      </c>
      <c r="F11" s="123">
        <v>12354783.840000633</v>
      </c>
      <c r="G11" s="110">
        <v>2319.9999999999363</v>
      </c>
      <c r="H11" s="110">
        <v>3784740.1199998963</v>
      </c>
      <c r="I11" s="104">
        <f>F11+H11</f>
        <v>16139523.96000053</v>
      </c>
      <c r="J11" s="157">
        <v>1440.0000000000546</v>
      </c>
      <c r="K11" s="157">
        <v>1566099.3600000595</v>
      </c>
      <c r="L11" s="119">
        <v>479.99999999998977</v>
      </c>
      <c r="M11" s="121">
        <v>783049.6799999834</v>
      </c>
      <c r="N11" s="106">
        <f>K11+M11</f>
        <v>2349149.0400000429</v>
      </c>
      <c r="O11" s="104">
        <f>I11+N11</f>
        <v>18488673.000000574</v>
      </c>
      <c r="P11" s="106">
        <f>E11+G11+J11+L11</f>
        <v>15600.000000000562</v>
      </c>
      <c r="Q11" s="122">
        <f>R11+T11</f>
        <v>781</v>
      </c>
      <c r="R11" s="123">
        <v>142</v>
      </c>
      <c r="S11" s="123">
        <v>2551811</v>
      </c>
      <c r="T11" s="116">
        <v>639</v>
      </c>
      <c r="U11" s="116">
        <v>3046611.42</v>
      </c>
      <c r="V11" s="114">
        <f>S11+U11</f>
        <v>5598422.4199999999</v>
      </c>
      <c r="W11" s="125">
        <v>0</v>
      </c>
      <c r="X11" s="111">
        <v>0</v>
      </c>
      <c r="Y11" s="109">
        <v>90.066080000000497</v>
      </c>
      <c r="Z11" s="109">
        <v>100</v>
      </c>
      <c r="AA11" s="111">
        <v>0</v>
      </c>
      <c r="AB11" s="111">
        <v>12</v>
      </c>
      <c r="AC11" s="122">
        <f>W11+X11+Y11+Z11+AA11+AB11</f>
        <v>202.06608000000051</v>
      </c>
      <c r="AD11" s="109">
        <v>3817262.1280000098</v>
      </c>
      <c r="AE11" s="112"/>
      <c r="AF11" s="128">
        <v>259.40000000000873</v>
      </c>
      <c r="AG11" s="130">
        <v>0</v>
      </c>
      <c r="AH11" s="129">
        <f>AF11+AG11</f>
        <v>259.40000000000873</v>
      </c>
      <c r="AI11" s="132">
        <v>4072580.0000001369</v>
      </c>
      <c r="AJ11" s="21"/>
    </row>
    <row r="12" spans="1:36" ht="15">
      <c r="A12" s="19"/>
      <c r="B12" s="64">
        <v>6</v>
      </c>
      <c r="C12" s="158">
        <v>16</v>
      </c>
      <c r="D12" s="158">
        <v>123</v>
      </c>
      <c r="E12" s="123">
        <v>11000</v>
      </c>
      <c r="F12" s="123">
        <v>11963259</v>
      </c>
      <c r="G12" s="110">
        <v>2200.0000000000455</v>
      </c>
      <c r="H12" s="110">
        <v>3588977.7000000747</v>
      </c>
      <c r="I12" s="104">
        <f>F12+H12</f>
        <v>15552236.700000074</v>
      </c>
      <c r="J12" s="157">
        <v>1480.0000000000182</v>
      </c>
      <c r="K12" s="157">
        <v>1609602.1200000197</v>
      </c>
      <c r="L12" s="119">
        <v>480.00000000001819</v>
      </c>
      <c r="M12" s="121">
        <v>783049.68000002974</v>
      </c>
      <c r="N12" s="106">
        <f>K12+M12</f>
        <v>2392651.8000000492</v>
      </c>
      <c r="O12" s="104">
        <f>I12+N12</f>
        <v>17944888.500000123</v>
      </c>
      <c r="P12" s="106">
        <f>E12+G12+J12+L12</f>
        <v>15160.000000000082</v>
      </c>
      <c r="Q12" s="122">
        <f>R12+T12</f>
        <v>698</v>
      </c>
      <c r="R12" s="123">
        <v>143</v>
      </c>
      <c r="S12" s="123">
        <v>2569781.5</v>
      </c>
      <c r="T12" s="116">
        <v>555</v>
      </c>
      <c r="U12" s="116">
        <v>2646117.9</v>
      </c>
      <c r="V12" s="114">
        <f>S12+U12</f>
        <v>5215899.4000000004</v>
      </c>
      <c r="W12" s="125">
        <v>0</v>
      </c>
      <c r="X12" s="111">
        <v>0</v>
      </c>
      <c r="Y12" s="109">
        <v>77.136200000000358</v>
      </c>
      <c r="Z12" s="109"/>
      <c r="AA12" s="111">
        <v>0</v>
      </c>
      <c r="AB12" s="111">
        <v>24</v>
      </c>
      <c r="AC12" s="122">
        <f>W12+X12+Y12+Z12+AA12+AB12</f>
        <v>101.13620000000036</v>
      </c>
      <c r="AD12" s="109">
        <v>1847301.4200000069</v>
      </c>
      <c r="AE12" s="112"/>
      <c r="AF12" s="128">
        <v>375.5</v>
      </c>
      <c r="AG12" s="130">
        <v>0</v>
      </c>
      <c r="AH12" s="129">
        <f>AF12+AG12</f>
        <v>375.5</v>
      </c>
      <c r="AI12" s="132">
        <v>5895350</v>
      </c>
      <c r="AJ12" s="21"/>
    </row>
    <row r="13" spans="1:36" ht="15">
      <c r="A13" s="19"/>
      <c r="B13" s="81">
        <v>7</v>
      </c>
      <c r="C13" s="158">
        <v>19</v>
      </c>
      <c r="D13" s="158">
        <v>95</v>
      </c>
      <c r="E13" s="123">
        <v>11239.999999999782</v>
      </c>
      <c r="F13" s="123">
        <v>12224275.559999764</v>
      </c>
      <c r="G13" s="110">
        <v>2359.9999999999</v>
      </c>
      <c r="H13" s="110">
        <v>3849994.2599998373</v>
      </c>
      <c r="I13" s="104">
        <f>F13+H13</f>
        <v>16074269.819999602</v>
      </c>
      <c r="J13" s="157">
        <v>1620.0000000000045</v>
      </c>
      <c r="K13" s="157">
        <v>1761861.7800000052</v>
      </c>
      <c r="L13" s="119">
        <v>379.99999999999545</v>
      </c>
      <c r="M13" s="121">
        <v>619914.32999999262</v>
      </c>
      <c r="N13" s="106">
        <f>K13+M13</f>
        <v>2381776.1099999975</v>
      </c>
      <c r="O13" s="104">
        <f>I13+N13</f>
        <v>18456045.929999597</v>
      </c>
      <c r="P13" s="106">
        <f>E13+G13+J13+L13</f>
        <v>15599.999999999683</v>
      </c>
      <c r="Q13" s="122">
        <f>R13+T13</f>
        <v>728</v>
      </c>
      <c r="R13" s="123">
        <v>143</v>
      </c>
      <c r="S13" s="123">
        <v>2569781.5</v>
      </c>
      <c r="T13" s="116">
        <v>585</v>
      </c>
      <c r="U13" s="116">
        <v>2789151.3</v>
      </c>
      <c r="V13" s="114">
        <f>S13+U13</f>
        <v>5358932.8</v>
      </c>
      <c r="W13" s="125">
        <v>0</v>
      </c>
      <c r="X13" s="111">
        <v>0</v>
      </c>
      <c r="Y13" s="109">
        <v>95.02051999999874</v>
      </c>
      <c r="Z13" s="109"/>
      <c r="AA13" s="111">
        <v>0</v>
      </c>
      <c r="AB13" s="111">
        <v>0</v>
      </c>
      <c r="AC13" s="122">
        <f>W13+X13+Y13+Z13+AA13+AB13</f>
        <v>95.02051999999874</v>
      </c>
      <c r="AD13" s="109">
        <v>1814891.931999976</v>
      </c>
      <c r="AE13" s="112"/>
      <c r="AF13" s="128">
        <v>333.59999999999997</v>
      </c>
      <c r="AG13" s="130">
        <v>0</v>
      </c>
      <c r="AH13" s="129">
        <f>AF13+AG13</f>
        <v>333.59999999999997</v>
      </c>
      <c r="AI13" s="132">
        <v>5237519.9999999991</v>
      </c>
      <c r="AJ13" s="21"/>
    </row>
    <row r="14" spans="1:36" ht="15">
      <c r="A14" s="19"/>
      <c r="B14" s="64">
        <v>8</v>
      </c>
      <c r="C14" s="158">
        <v>24</v>
      </c>
      <c r="D14" s="158">
        <v>190</v>
      </c>
      <c r="E14" s="123">
        <v>12439.9999999996</v>
      </c>
      <c r="F14" s="123">
        <v>13529358.359999565</v>
      </c>
      <c r="G14" s="110">
        <v>2920.0000000000728</v>
      </c>
      <c r="H14" s="110">
        <v>4763552.2200001189</v>
      </c>
      <c r="I14" s="104">
        <f>F14+H14</f>
        <v>18292910.579999685</v>
      </c>
      <c r="J14" s="157">
        <v>1379.9999999999955</v>
      </c>
      <c r="K14" s="157">
        <v>1500845.2199999951</v>
      </c>
      <c r="L14" s="119">
        <v>400.00000000000568</v>
      </c>
      <c r="M14" s="121">
        <v>652541.40000000934</v>
      </c>
      <c r="N14" s="106">
        <f>K14+M14</f>
        <v>2153386.6200000043</v>
      </c>
      <c r="O14" s="104">
        <f>I14+N14</f>
        <v>20446297.19999969</v>
      </c>
      <c r="P14" s="106">
        <f>E14+G14+J14+L14</f>
        <v>17139.999999999676</v>
      </c>
      <c r="Q14" s="122">
        <f>R14+T14</f>
        <v>778</v>
      </c>
      <c r="R14" s="123">
        <v>143</v>
      </c>
      <c r="S14" s="123">
        <v>2569781.5</v>
      </c>
      <c r="T14" s="116">
        <v>635</v>
      </c>
      <c r="U14" s="116">
        <v>3027540.3</v>
      </c>
      <c r="V14" s="114">
        <f>S14+U14</f>
        <v>5597321.7999999998</v>
      </c>
      <c r="W14" s="125">
        <v>0</v>
      </c>
      <c r="X14" s="111">
        <v>0</v>
      </c>
      <c r="Y14" s="109">
        <v>83.78240000000072</v>
      </c>
      <c r="Z14" s="109"/>
      <c r="AA14" s="111">
        <v>0</v>
      </c>
      <c r="AB14" s="111">
        <v>12</v>
      </c>
      <c r="AC14" s="122">
        <f>W14+X14+Y14+Z14+AA14+AB14</f>
        <v>95.78240000000072</v>
      </c>
      <c r="AD14" s="109">
        <v>1787243.8400000138</v>
      </c>
      <c r="AE14" s="112"/>
      <c r="AF14" s="128">
        <v>362.27</v>
      </c>
      <c r="AG14" s="130">
        <v>0</v>
      </c>
      <c r="AH14" s="129">
        <f>AF14+AG14</f>
        <v>362.27</v>
      </c>
      <c r="AI14" s="132">
        <v>5687639</v>
      </c>
      <c r="AJ14" s="21"/>
    </row>
    <row r="15" spans="1:36" ht="15">
      <c r="A15" s="19"/>
      <c r="B15" s="81">
        <v>9</v>
      </c>
      <c r="C15" s="158">
        <v>22</v>
      </c>
      <c r="D15" s="158">
        <v>207</v>
      </c>
      <c r="E15" s="123">
        <v>12079.999999999927</v>
      </c>
      <c r="F15" s="123">
        <v>13137833.519999921</v>
      </c>
      <c r="G15" s="110">
        <v>2359.9999999999</v>
      </c>
      <c r="H15" s="110">
        <v>3849994.2599998373</v>
      </c>
      <c r="I15" s="104">
        <f>F15+H15</f>
        <v>16987827.779999759</v>
      </c>
      <c r="J15" s="157">
        <v>1399.9999999999773</v>
      </c>
      <c r="K15" s="157">
        <v>1522596.5999999754</v>
      </c>
      <c r="L15" s="119">
        <v>439.99999999999773</v>
      </c>
      <c r="M15" s="121">
        <v>717795.53999999643</v>
      </c>
      <c r="N15" s="106">
        <f>K15+M15</f>
        <v>2240392.1399999717</v>
      </c>
      <c r="O15" s="104">
        <f>I15+N15</f>
        <v>19228219.91999973</v>
      </c>
      <c r="P15" s="106">
        <f>E15+G15+J15+L15</f>
        <v>16279.999999999802</v>
      </c>
      <c r="Q15" s="122">
        <f>R15+T15</f>
        <v>764</v>
      </c>
      <c r="R15" s="123">
        <v>144</v>
      </c>
      <c r="S15" s="123">
        <v>2587752</v>
      </c>
      <c r="T15" s="116">
        <v>620</v>
      </c>
      <c r="U15" s="116">
        <v>2956023.5999999996</v>
      </c>
      <c r="V15" s="114">
        <f>S15+U15</f>
        <v>5543775.5999999996</v>
      </c>
      <c r="W15" s="125">
        <v>0</v>
      </c>
      <c r="X15" s="111">
        <v>0</v>
      </c>
      <c r="Y15" s="109">
        <v>84.346320000000205</v>
      </c>
      <c r="Z15" s="109"/>
      <c r="AA15" s="111">
        <v>0</v>
      </c>
      <c r="AB15" s="111">
        <v>0</v>
      </c>
      <c r="AC15" s="122">
        <f>W15+X15+Y15+Z15+AA15+AB15</f>
        <v>84.346320000000205</v>
      </c>
      <c r="AD15" s="109">
        <v>1611014.712000004</v>
      </c>
      <c r="AE15" s="112"/>
      <c r="AF15" s="128">
        <v>268.00000000000011</v>
      </c>
      <c r="AG15" s="130">
        <v>55.799999999988358</v>
      </c>
      <c r="AH15" s="129">
        <f>AF15+AG15</f>
        <v>323.79999999998847</v>
      </c>
      <c r="AI15" s="132">
        <v>5083659.9999998193</v>
      </c>
      <c r="AJ15" s="21"/>
    </row>
    <row r="16" spans="1:36" ht="15">
      <c r="A16" s="19"/>
      <c r="B16" s="64">
        <v>10</v>
      </c>
      <c r="C16" s="158">
        <v>22</v>
      </c>
      <c r="D16" s="158">
        <v>245</v>
      </c>
      <c r="E16" s="123">
        <v>12000</v>
      </c>
      <c r="F16" s="123">
        <v>13050828</v>
      </c>
      <c r="G16" s="110">
        <v>2559.9999999999454</v>
      </c>
      <c r="H16" s="110">
        <v>4176264.9599999115</v>
      </c>
      <c r="I16" s="104">
        <f>F16+H16</f>
        <v>17227092.959999911</v>
      </c>
      <c r="J16" s="157">
        <v>1620.0000000000045</v>
      </c>
      <c r="K16" s="157">
        <v>1761861.7800000052</v>
      </c>
      <c r="L16" s="119">
        <v>479.99999999998977</v>
      </c>
      <c r="M16" s="121">
        <v>783049.6799999834</v>
      </c>
      <c r="N16" s="106">
        <f>K16+M16</f>
        <v>2544911.4599999888</v>
      </c>
      <c r="O16" s="104">
        <f>I16+N16</f>
        <v>19772004.419999901</v>
      </c>
      <c r="P16" s="106">
        <f>E16+G16+J16+L16</f>
        <v>16659.999999999938</v>
      </c>
      <c r="Q16" s="122">
        <f>R16+T16</f>
        <v>757</v>
      </c>
      <c r="R16" s="123">
        <v>142</v>
      </c>
      <c r="S16" s="123">
        <v>2551811</v>
      </c>
      <c r="T16" s="116">
        <v>615</v>
      </c>
      <c r="U16" s="116">
        <v>2932184.6999999997</v>
      </c>
      <c r="V16" s="114">
        <f>S16+U16</f>
        <v>5483995.6999999993</v>
      </c>
      <c r="W16" s="125">
        <v>0</v>
      </c>
      <c r="X16" s="111">
        <v>0</v>
      </c>
      <c r="Y16" s="109">
        <v>112.34091999999947</v>
      </c>
      <c r="Z16" s="109"/>
      <c r="AA16" s="111">
        <v>0</v>
      </c>
      <c r="AB16" s="111">
        <v>0</v>
      </c>
      <c r="AC16" s="122">
        <f>W16+X16+Y16+Z16+AA16+AB16</f>
        <v>112.34091999999947</v>
      </c>
      <c r="AD16" s="109">
        <v>2145711.5719999899</v>
      </c>
      <c r="AE16" s="112"/>
      <c r="AF16" s="128">
        <v>305.25</v>
      </c>
      <c r="AG16" s="130">
        <v>0</v>
      </c>
      <c r="AH16" s="129">
        <f>AF16+AG16</f>
        <v>305.25</v>
      </c>
      <c r="AI16" s="132">
        <v>4792425</v>
      </c>
      <c r="AJ16" s="21"/>
    </row>
    <row r="17" spans="1:36" ht="15">
      <c r="A17" s="19"/>
      <c r="B17" s="81">
        <v>11</v>
      </c>
      <c r="C17" s="158">
        <v>25</v>
      </c>
      <c r="D17" s="158">
        <v>188</v>
      </c>
      <c r="E17" s="123">
        <v>11960.000000000036</v>
      </c>
      <c r="F17" s="123">
        <v>13007325.240000041</v>
      </c>
      <c r="G17" s="110">
        <v>2440.0000000000546</v>
      </c>
      <c r="H17" s="110">
        <v>3980502.5400000894</v>
      </c>
      <c r="I17" s="104">
        <f>F17+H17</f>
        <v>16987827.780000132</v>
      </c>
      <c r="J17" s="157">
        <v>1659.9999999999682</v>
      </c>
      <c r="K17" s="157">
        <v>1805364.5399999653</v>
      </c>
      <c r="L17" s="119">
        <v>439.99999999999773</v>
      </c>
      <c r="M17" s="121">
        <v>717795.53999999643</v>
      </c>
      <c r="N17" s="106">
        <f>K17+M17</f>
        <v>2523160.0799999619</v>
      </c>
      <c r="O17" s="104">
        <f>I17+N17</f>
        <v>19510987.860000093</v>
      </c>
      <c r="P17" s="106">
        <f>E17+G17+J17+L17</f>
        <v>16500.000000000055</v>
      </c>
      <c r="Q17" s="122">
        <f>R17+T17</f>
        <v>750</v>
      </c>
      <c r="R17" s="123">
        <v>142</v>
      </c>
      <c r="S17" s="123">
        <v>2551811</v>
      </c>
      <c r="T17" s="116">
        <v>608</v>
      </c>
      <c r="U17" s="116">
        <v>2898810.2399999998</v>
      </c>
      <c r="V17" s="114">
        <f>S17+U17</f>
        <v>5450621.2400000002</v>
      </c>
      <c r="W17" s="125">
        <v>0</v>
      </c>
      <c r="X17" s="111">
        <v>0</v>
      </c>
      <c r="Y17" s="109">
        <v>111.05196000000065</v>
      </c>
      <c r="Z17" s="109"/>
      <c r="AA17" s="111">
        <v>0</v>
      </c>
      <c r="AB17" s="111">
        <v>0</v>
      </c>
      <c r="AC17" s="122">
        <f>W17+X17+Y17+Z17+AA17+AB17</f>
        <v>111.05196000000065</v>
      </c>
      <c r="AD17" s="109">
        <v>2121092.4360000123</v>
      </c>
      <c r="AE17" s="112"/>
      <c r="AF17" s="128">
        <v>95.259999999999991</v>
      </c>
      <c r="AG17" s="130">
        <v>0</v>
      </c>
      <c r="AH17" s="129">
        <f>AF17+AG17</f>
        <v>95.259999999999991</v>
      </c>
      <c r="AI17" s="132">
        <v>1495581.9999999998</v>
      </c>
      <c r="AJ17" s="21"/>
    </row>
    <row r="18" spans="1:36" ht="15">
      <c r="A18" s="19"/>
      <c r="B18" s="64">
        <v>12</v>
      </c>
      <c r="C18" s="158">
        <v>21</v>
      </c>
      <c r="D18" s="158">
        <v>294</v>
      </c>
      <c r="E18" s="123">
        <v>12280.000000000655</v>
      </c>
      <c r="F18" s="123">
        <v>13355347.320000714</v>
      </c>
      <c r="G18" s="110">
        <v>2440.0000000000546</v>
      </c>
      <c r="H18" s="110">
        <v>3980502.5400000894</v>
      </c>
      <c r="I18" s="104">
        <f>F18+H18</f>
        <v>17335849.860000804</v>
      </c>
      <c r="J18" s="157">
        <v>1519.9999999999818</v>
      </c>
      <c r="K18" s="157">
        <v>1653104.8799999803</v>
      </c>
      <c r="L18" s="119">
        <v>479.99999999998977</v>
      </c>
      <c r="M18" s="121">
        <v>783049.6799999834</v>
      </c>
      <c r="N18" s="106">
        <f>K18+M18</f>
        <v>2436154.5599999637</v>
      </c>
      <c r="O18" s="104">
        <f>I18+N18</f>
        <v>19772004.420000769</v>
      </c>
      <c r="P18" s="106">
        <f>E18+G18+J18+L18</f>
        <v>16720.00000000068</v>
      </c>
      <c r="Q18" s="122">
        <f>R18+T18</f>
        <v>704</v>
      </c>
      <c r="R18" s="123">
        <v>142</v>
      </c>
      <c r="S18" s="123">
        <v>2551811</v>
      </c>
      <c r="T18" s="116">
        <v>562</v>
      </c>
      <c r="U18" s="116">
        <v>2679492.36</v>
      </c>
      <c r="V18" s="114">
        <f>S18+U18</f>
        <v>5231303.3599999994</v>
      </c>
      <c r="W18" s="125">
        <v>0</v>
      </c>
      <c r="X18" s="111">
        <v>0</v>
      </c>
      <c r="Y18" s="109">
        <v>78.948799999999622</v>
      </c>
      <c r="Z18" s="109">
        <v>100</v>
      </c>
      <c r="AA18" s="111">
        <v>0</v>
      </c>
      <c r="AB18" s="111">
        <v>48</v>
      </c>
      <c r="AC18" s="122">
        <f>W18+X18+Y18+Z18+AA18+AB18</f>
        <v>226.94879999999961</v>
      </c>
      <c r="AD18" s="109">
        <v>4165922.0799999926</v>
      </c>
      <c r="AE18" s="112"/>
      <c r="AF18" s="128">
        <v>378.56999999999994</v>
      </c>
      <c r="AG18" s="130">
        <v>0</v>
      </c>
      <c r="AH18" s="129">
        <f>AF18+AG18</f>
        <v>378.56999999999994</v>
      </c>
      <c r="AI18" s="132">
        <v>5943548.9999999991</v>
      </c>
      <c r="AJ18" s="21"/>
    </row>
    <row r="19" spans="1:36" ht="15">
      <c r="A19" s="19"/>
      <c r="B19" s="81">
        <v>13</v>
      </c>
      <c r="C19" s="158">
        <v>24</v>
      </c>
      <c r="D19" s="158">
        <v>182</v>
      </c>
      <c r="E19" s="123">
        <v>12319.999999999709</v>
      </c>
      <c r="F19" s="123">
        <v>13398850.079999683</v>
      </c>
      <c r="G19" s="110">
        <v>2639.9999999998727</v>
      </c>
      <c r="H19" s="110">
        <v>4306773.2399997925</v>
      </c>
      <c r="I19" s="104">
        <f>F19+H19</f>
        <v>17705623.319999475</v>
      </c>
      <c r="J19" s="157">
        <v>1360.0000000000136</v>
      </c>
      <c r="K19" s="157">
        <v>1479093.8400000148</v>
      </c>
      <c r="L19" s="119">
        <v>420.00000000001592</v>
      </c>
      <c r="M19" s="121">
        <v>685168.47000002593</v>
      </c>
      <c r="N19" s="106">
        <f>K19+M19</f>
        <v>2164262.3100000406</v>
      </c>
      <c r="O19" s="104">
        <f>I19+N19</f>
        <v>19869885.629999515</v>
      </c>
      <c r="P19" s="106">
        <f>E19+G19+J19+L19</f>
        <v>16739.999999999611</v>
      </c>
      <c r="Q19" s="122">
        <f>R19+T19</f>
        <v>708</v>
      </c>
      <c r="R19" s="123">
        <v>145</v>
      </c>
      <c r="S19" s="123">
        <v>2605722.5</v>
      </c>
      <c r="T19" s="116">
        <v>563</v>
      </c>
      <c r="U19" s="116">
        <v>2684260.1399999997</v>
      </c>
      <c r="V19" s="114">
        <f>S19+U19</f>
        <v>5289982.6399999997</v>
      </c>
      <c r="W19" s="125">
        <v>0</v>
      </c>
      <c r="X19" s="111">
        <v>0</v>
      </c>
      <c r="Y19" s="109">
        <v>95.826119999999847</v>
      </c>
      <c r="Z19" s="109"/>
      <c r="AA19" s="111">
        <v>0</v>
      </c>
      <c r="AB19" s="111">
        <v>12</v>
      </c>
      <c r="AC19" s="122">
        <f>W19+X19+Y19+Z19+AA19+AB19</f>
        <v>107.82611999999985</v>
      </c>
      <c r="AD19" s="109">
        <v>2017278.891999997</v>
      </c>
      <c r="AE19" s="112"/>
      <c r="AF19" s="128">
        <v>692.75</v>
      </c>
      <c r="AG19" s="130">
        <v>53.200000000011642</v>
      </c>
      <c r="AH19" s="129">
        <f>AF19+AG19</f>
        <v>745.95000000001164</v>
      </c>
      <c r="AI19" s="132">
        <v>11711415.000000183</v>
      </c>
      <c r="AJ19" s="21"/>
    </row>
    <row r="20" spans="1:36" ht="15">
      <c r="A20" s="19"/>
      <c r="B20" s="64">
        <v>14</v>
      </c>
      <c r="C20" s="158">
        <v>31</v>
      </c>
      <c r="D20" s="158">
        <v>226</v>
      </c>
      <c r="E20" s="123">
        <v>12800.000000000182</v>
      </c>
      <c r="F20" s="123">
        <v>13920883.200000199</v>
      </c>
      <c r="G20" s="110">
        <v>2640.0000000001</v>
      </c>
      <c r="H20" s="110">
        <v>4306773.2400001641</v>
      </c>
      <c r="I20" s="104">
        <f>F20+H20</f>
        <v>18227656.440000363</v>
      </c>
      <c r="J20" s="157">
        <v>1560.0000000000591</v>
      </c>
      <c r="K20" s="157">
        <v>1696607.6400000644</v>
      </c>
      <c r="L20" s="119">
        <v>500</v>
      </c>
      <c r="M20" s="121">
        <v>815676.75</v>
      </c>
      <c r="N20" s="106">
        <f>K20+M20</f>
        <v>2512284.3900000644</v>
      </c>
      <c r="O20" s="104">
        <f>I20+N20</f>
        <v>20739940.830000427</v>
      </c>
      <c r="P20" s="106">
        <f>E20+G20+J20+L20</f>
        <v>17500.000000000342</v>
      </c>
      <c r="Q20" s="122">
        <f>R20+T20</f>
        <v>782</v>
      </c>
      <c r="R20" s="123">
        <v>142</v>
      </c>
      <c r="S20" s="123">
        <v>2551811</v>
      </c>
      <c r="T20" s="116">
        <v>640</v>
      </c>
      <c r="U20" s="116">
        <v>3051379.1999999997</v>
      </c>
      <c r="V20" s="114">
        <f>S20+U20</f>
        <v>5603190.1999999993</v>
      </c>
      <c r="W20" s="125">
        <v>0</v>
      </c>
      <c r="X20" s="111">
        <v>0</v>
      </c>
      <c r="Y20" s="109">
        <v>95.544159999999181</v>
      </c>
      <c r="Z20" s="109"/>
      <c r="AA20" s="111">
        <v>0</v>
      </c>
      <c r="AB20" s="111">
        <v>48</v>
      </c>
      <c r="AC20" s="122">
        <f>W20+X20+Y20+Z20+AA20+AB20</f>
        <v>143.54415999999918</v>
      </c>
      <c r="AD20" s="109">
        <v>2572893.4559999844</v>
      </c>
      <c r="AE20" s="112"/>
      <c r="AF20" s="128">
        <v>407.34999999999991</v>
      </c>
      <c r="AG20" s="130">
        <v>0</v>
      </c>
      <c r="AH20" s="129">
        <f>AF20+AG20</f>
        <v>407.34999999999991</v>
      </c>
      <c r="AI20" s="132">
        <v>6395394.9999999981</v>
      </c>
      <c r="AJ20" s="21"/>
    </row>
    <row r="21" spans="1:36" ht="15">
      <c r="A21" s="19"/>
      <c r="B21" s="81">
        <v>15</v>
      </c>
      <c r="C21" s="158">
        <v>40</v>
      </c>
      <c r="D21" s="158">
        <v>307</v>
      </c>
      <c r="E21" s="116">
        <v>13319.999999999709</v>
      </c>
      <c r="F21" s="116">
        <v>14486419.079999683</v>
      </c>
      <c r="G21" s="113">
        <v>2880.0000000001091</v>
      </c>
      <c r="H21" s="113">
        <v>4698298.0800001789</v>
      </c>
      <c r="I21" s="104">
        <f>F21+H21</f>
        <v>19184717.159999862</v>
      </c>
      <c r="J21" s="113">
        <v>1500</v>
      </c>
      <c r="K21" s="113">
        <v>1631353.5</v>
      </c>
      <c r="L21" s="113">
        <v>340.00000000000341</v>
      </c>
      <c r="M21" s="116">
        <v>554660.19000000553</v>
      </c>
      <c r="N21" s="106">
        <f>K21+M21</f>
        <v>2186013.6900000055</v>
      </c>
      <c r="O21" s="104">
        <f>I21+N21</f>
        <v>21370730.849999867</v>
      </c>
      <c r="P21" s="106">
        <f>E21+G21+J21+L21</f>
        <v>18039.999999999822</v>
      </c>
      <c r="Q21" s="122">
        <f>R21+T21</f>
        <v>760</v>
      </c>
      <c r="R21" s="123">
        <v>142</v>
      </c>
      <c r="S21" s="123">
        <v>2551811</v>
      </c>
      <c r="T21" s="116">
        <v>618</v>
      </c>
      <c r="U21" s="116">
        <v>2946488.04</v>
      </c>
      <c r="V21" s="114">
        <f>S21+U21</f>
        <v>5498299.04</v>
      </c>
      <c r="W21" s="125">
        <v>0</v>
      </c>
      <c r="X21" s="111">
        <v>0</v>
      </c>
      <c r="Y21" s="109">
        <v>103.15708000000051</v>
      </c>
      <c r="Z21" s="109"/>
      <c r="AA21" s="111">
        <v>0</v>
      </c>
      <c r="AB21" s="111">
        <v>12</v>
      </c>
      <c r="AC21" s="122">
        <f>W21+X21+Y21+Z21+AA21+AB21</f>
        <v>115.15708000000051</v>
      </c>
      <c r="AD21" s="109">
        <v>2157300.2280000094</v>
      </c>
      <c r="AE21" s="112"/>
      <c r="AF21" s="128">
        <v>343.07999999999993</v>
      </c>
      <c r="AG21" s="130">
        <v>0</v>
      </c>
      <c r="AH21" s="129">
        <f>AF21+AG21</f>
        <v>343.07999999999993</v>
      </c>
      <c r="AI21" s="132">
        <v>5386355.9999999991</v>
      </c>
      <c r="AJ21" s="21"/>
    </row>
    <row r="22" spans="1:36" ht="15">
      <c r="A22" s="19"/>
      <c r="B22" s="64">
        <v>16</v>
      </c>
      <c r="C22" s="158">
        <v>40</v>
      </c>
      <c r="D22" s="158">
        <v>330</v>
      </c>
      <c r="E22" s="116">
        <v>13279.999999999745</v>
      </c>
      <c r="F22" s="116">
        <v>14442916.319999723</v>
      </c>
      <c r="G22" s="113">
        <v>2719.9999999997999</v>
      </c>
      <c r="H22" s="113">
        <v>4437281.5199996736</v>
      </c>
      <c r="I22" s="104">
        <f>F22+H22</f>
        <v>18880197.839999396</v>
      </c>
      <c r="J22" s="113">
        <v>1620.0000000000045</v>
      </c>
      <c r="K22" s="113">
        <v>1761861.7800000052</v>
      </c>
      <c r="L22" s="113">
        <v>479.99999999998977</v>
      </c>
      <c r="M22" s="116">
        <v>783049.6799999834</v>
      </c>
      <c r="N22" s="106">
        <f>K22+M22</f>
        <v>2544911.4599999888</v>
      </c>
      <c r="O22" s="104">
        <f>I22+N22</f>
        <v>21425109.299999386</v>
      </c>
      <c r="P22" s="106">
        <f>E22+G22+J22+L22</f>
        <v>18099.999999999538</v>
      </c>
      <c r="Q22" s="122">
        <f>R22+T22</f>
        <v>664</v>
      </c>
      <c r="R22" s="123">
        <v>140</v>
      </c>
      <c r="S22" s="123">
        <v>2515870</v>
      </c>
      <c r="T22" s="116">
        <v>524</v>
      </c>
      <c r="U22" s="116">
        <v>2498316.7199999997</v>
      </c>
      <c r="V22" s="114">
        <f>S22+U22</f>
        <v>5014186.72</v>
      </c>
      <c r="W22" s="125">
        <v>0</v>
      </c>
      <c r="X22" s="111">
        <v>0</v>
      </c>
      <c r="Y22" s="109">
        <v>95.987239999999701</v>
      </c>
      <c r="Z22" s="109"/>
      <c r="AA22" s="111">
        <v>0</v>
      </c>
      <c r="AB22" s="111">
        <v>12</v>
      </c>
      <c r="AC22" s="122">
        <f>W22+X22+Y22+Z22+AA22+AB22</f>
        <v>107.9872399999997</v>
      </c>
      <c r="AD22" s="109">
        <v>2020356.2839999944</v>
      </c>
      <c r="AE22" s="112"/>
      <c r="AF22" s="128">
        <v>257.02</v>
      </c>
      <c r="AG22" s="130">
        <v>0</v>
      </c>
      <c r="AH22" s="129">
        <f>AF22+AG22</f>
        <v>257.02</v>
      </c>
      <c r="AI22" s="132">
        <v>4035213.9999999995</v>
      </c>
      <c r="AJ22" s="21"/>
    </row>
    <row r="23" spans="1:36" ht="15">
      <c r="A23" s="19"/>
      <c r="B23" s="81">
        <v>17</v>
      </c>
      <c r="C23" s="158">
        <v>35</v>
      </c>
      <c r="D23" s="158">
        <v>303</v>
      </c>
      <c r="E23" s="116">
        <v>13120.0000000008</v>
      </c>
      <c r="F23" s="116">
        <v>14268905.280000871</v>
      </c>
      <c r="G23" s="113">
        <v>3000</v>
      </c>
      <c r="H23" s="113">
        <v>4894060.5</v>
      </c>
      <c r="I23" s="104">
        <f>F23+H23</f>
        <v>19162965.780000873</v>
      </c>
      <c r="J23" s="113">
        <v>1559.9999999999454</v>
      </c>
      <c r="K23" s="113">
        <v>1696607.6399999408</v>
      </c>
      <c r="L23" s="113">
        <v>400.00000000000568</v>
      </c>
      <c r="M23" s="116">
        <v>652541.40000000934</v>
      </c>
      <c r="N23" s="106">
        <f>K23+M23</f>
        <v>2349149.0399999502</v>
      </c>
      <c r="O23" s="104">
        <f>I23+N23</f>
        <v>21512114.820000824</v>
      </c>
      <c r="P23" s="106">
        <f>E23+G23+J23+L23</f>
        <v>18080.000000000753</v>
      </c>
      <c r="Q23" s="122">
        <f>R23+T23</f>
        <v>657</v>
      </c>
      <c r="R23" s="123">
        <v>142</v>
      </c>
      <c r="S23" s="123">
        <v>2551811</v>
      </c>
      <c r="T23" s="116">
        <v>515</v>
      </c>
      <c r="U23" s="116">
        <v>2455406.6999999997</v>
      </c>
      <c r="V23" s="114">
        <f>S23+U23</f>
        <v>5007217.6999999993</v>
      </c>
      <c r="W23" s="125">
        <v>0</v>
      </c>
      <c r="X23" s="111">
        <v>0</v>
      </c>
      <c r="Y23" s="109">
        <v>125.75416000000101</v>
      </c>
      <c r="Z23" s="109"/>
      <c r="AA23" s="111">
        <v>0</v>
      </c>
      <c r="AB23" s="111">
        <v>12</v>
      </c>
      <c r="AC23" s="122">
        <f>W23+X23+Y23+Z23+AA23+AB23</f>
        <v>137.75416000000101</v>
      </c>
      <c r="AD23" s="109">
        <v>2588904.4560000193</v>
      </c>
      <c r="AE23" s="112"/>
      <c r="AF23" s="128">
        <v>347.65000000000009</v>
      </c>
      <c r="AG23" s="130">
        <v>3.5</v>
      </c>
      <c r="AH23" s="129">
        <f>AF23+AG23</f>
        <v>351.15000000000009</v>
      </c>
      <c r="AI23" s="132">
        <v>5513055.0000000019</v>
      </c>
      <c r="AJ23" s="21"/>
    </row>
    <row r="24" spans="1:36" ht="15">
      <c r="A24" s="19"/>
      <c r="B24" s="64">
        <v>18</v>
      </c>
      <c r="C24" s="158">
        <v>27</v>
      </c>
      <c r="D24" s="158">
        <v>223</v>
      </c>
      <c r="E24" s="116">
        <v>12759.999999999309</v>
      </c>
      <c r="F24" s="116">
        <v>13877380.439999249</v>
      </c>
      <c r="G24" s="113">
        <v>2840.0000000001455</v>
      </c>
      <c r="H24" s="113">
        <v>4633043.9400002379</v>
      </c>
      <c r="I24" s="104">
        <f>F24+H24</f>
        <v>18510424.379999489</v>
      </c>
      <c r="J24" s="113">
        <v>1460.0000000000364</v>
      </c>
      <c r="K24" s="117">
        <v>1587850.7400000396</v>
      </c>
      <c r="L24" s="113">
        <v>359.99999999998522</v>
      </c>
      <c r="M24" s="116">
        <v>587287.25999997591</v>
      </c>
      <c r="N24" s="106">
        <f>K24+M24</f>
        <v>2175138.0000000154</v>
      </c>
      <c r="O24" s="104">
        <f>I24+N24</f>
        <v>20685562.379999503</v>
      </c>
      <c r="P24" s="106">
        <f>E24+G24+J24+L24</f>
        <v>17419.999999999476</v>
      </c>
      <c r="Q24" s="122">
        <f>R24+T24</f>
        <v>724</v>
      </c>
      <c r="R24" s="123">
        <v>142</v>
      </c>
      <c r="S24" s="123">
        <v>2551811</v>
      </c>
      <c r="T24" s="116">
        <v>582</v>
      </c>
      <c r="U24" s="116">
        <v>2774847.96</v>
      </c>
      <c r="V24" s="114">
        <f>S24+U24</f>
        <v>5326658.96</v>
      </c>
      <c r="W24" s="125">
        <v>0</v>
      </c>
      <c r="X24" s="111">
        <v>0</v>
      </c>
      <c r="Y24" s="109">
        <v>113.46876000000029</v>
      </c>
      <c r="Z24" s="109"/>
      <c r="AA24" s="111">
        <v>0</v>
      </c>
      <c r="AB24" s="111">
        <v>36</v>
      </c>
      <c r="AC24" s="122">
        <f>W24+X24+Y24+Z24+AA24+AB24</f>
        <v>149.46876000000029</v>
      </c>
      <c r="AD24" s="109">
        <v>2728253.3160000057</v>
      </c>
      <c r="AE24" s="112"/>
      <c r="AF24" s="128">
        <v>366.00000000000045</v>
      </c>
      <c r="AG24" s="130">
        <v>0</v>
      </c>
      <c r="AH24" s="129">
        <f>AF24+AG24</f>
        <v>366.00000000000045</v>
      </c>
      <c r="AI24" s="132">
        <v>5746200.0000000075</v>
      </c>
      <c r="AJ24" s="21"/>
    </row>
    <row r="25" spans="1:36" ht="15">
      <c r="A25" s="19"/>
      <c r="B25" s="81">
        <v>19</v>
      </c>
      <c r="C25" s="158">
        <v>22</v>
      </c>
      <c r="D25" s="158">
        <v>135</v>
      </c>
      <c r="E25" s="116">
        <v>11840.000000000146</v>
      </c>
      <c r="F25" s="116">
        <v>12876816.960000157</v>
      </c>
      <c r="G25" s="113">
        <v>2399.9999999998636</v>
      </c>
      <c r="H25" s="113">
        <v>3915248.3999997778</v>
      </c>
      <c r="I25" s="104">
        <f>F25+H25</f>
        <v>16792065.359999936</v>
      </c>
      <c r="J25" s="113">
        <v>1519.9999999999818</v>
      </c>
      <c r="K25" s="113">
        <v>1653104.8799999803</v>
      </c>
      <c r="L25" s="113">
        <v>400.00000000000568</v>
      </c>
      <c r="M25" s="116">
        <v>652541.40000000934</v>
      </c>
      <c r="N25" s="106">
        <f>K25+M25</f>
        <v>2305646.2799999896</v>
      </c>
      <c r="O25" s="104">
        <f>I25+N25</f>
        <v>19097711.639999926</v>
      </c>
      <c r="P25" s="106">
        <f>E25+G25+J25+L25</f>
        <v>16159.999999999996</v>
      </c>
      <c r="Q25" s="122">
        <f>R25+T25</f>
        <v>770</v>
      </c>
      <c r="R25" s="123">
        <v>143</v>
      </c>
      <c r="S25" s="123">
        <v>2569781.5</v>
      </c>
      <c r="T25" s="116">
        <v>627</v>
      </c>
      <c r="U25" s="116">
        <v>2989398.06</v>
      </c>
      <c r="V25" s="114">
        <f>S25+U25</f>
        <v>5559179.5600000005</v>
      </c>
      <c r="W25" s="125">
        <v>0</v>
      </c>
      <c r="X25" s="111">
        <v>0</v>
      </c>
      <c r="Y25" s="109">
        <v>122.33035999999954</v>
      </c>
      <c r="Z25" s="109">
        <v>100</v>
      </c>
      <c r="AA25" s="111">
        <v>0</v>
      </c>
      <c r="AB25" s="111">
        <v>24</v>
      </c>
      <c r="AC25" s="122">
        <f>W25+X25+Y25+Z25+AA25+AB25</f>
        <v>246.33035999999953</v>
      </c>
      <c r="AD25" s="109">
        <v>4620509.8759999909</v>
      </c>
      <c r="AE25" s="112"/>
      <c r="AF25" s="128">
        <v>436.78999999999996</v>
      </c>
      <c r="AG25" s="130">
        <v>0</v>
      </c>
      <c r="AH25" s="129">
        <f>AF25+AG25</f>
        <v>436.78999999999996</v>
      </c>
      <c r="AI25" s="132">
        <v>6857602.9999999991</v>
      </c>
      <c r="AJ25" s="21"/>
    </row>
    <row r="26" spans="1:36" ht="15">
      <c r="A26" s="19"/>
      <c r="B26" s="64">
        <v>20</v>
      </c>
      <c r="C26" s="158">
        <v>26</v>
      </c>
      <c r="D26" s="158">
        <v>147</v>
      </c>
      <c r="E26" s="116">
        <v>11960.000000000036</v>
      </c>
      <c r="F26" s="116">
        <v>13007325.240000041</v>
      </c>
      <c r="G26" s="113">
        <v>2560.0000000001728</v>
      </c>
      <c r="H26" s="113">
        <v>4176264.9600002826</v>
      </c>
      <c r="I26" s="104">
        <f>F26+H26</f>
        <v>17183590.200000323</v>
      </c>
      <c r="J26" s="113">
        <v>1480.0000000000182</v>
      </c>
      <c r="K26" s="113">
        <v>1609602.1200000197</v>
      </c>
      <c r="L26" s="113">
        <v>340.00000000000341</v>
      </c>
      <c r="M26" s="116">
        <v>554660.19000000553</v>
      </c>
      <c r="N26" s="106">
        <f>K26+M26</f>
        <v>2164262.3100000252</v>
      </c>
      <c r="O26" s="104">
        <f>I26+N26</f>
        <v>19347852.510000348</v>
      </c>
      <c r="P26" s="106">
        <f>E26+G26+J26+L26</f>
        <v>16340.000000000231</v>
      </c>
      <c r="Q26" s="122">
        <f>R26+T26</f>
        <v>783</v>
      </c>
      <c r="R26" s="123">
        <v>141</v>
      </c>
      <c r="S26" s="123">
        <v>2533840.5</v>
      </c>
      <c r="T26" s="116">
        <v>642</v>
      </c>
      <c r="U26" s="116">
        <v>3060914.76</v>
      </c>
      <c r="V26" s="114">
        <f>S26+U26</f>
        <v>5594755.2599999998</v>
      </c>
      <c r="W26" s="125">
        <v>0</v>
      </c>
      <c r="X26" s="111">
        <v>0</v>
      </c>
      <c r="Y26" s="109">
        <v>85.474159999999188</v>
      </c>
      <c r="Z26" s="109"/>
      <c r="AA26" s="111">
        <v>0</v>
      </c>
      <c r="AB26" s="111">
        <v>12</v>
      </c>
      <c r="AC26" s="122">
        <f>W26+X26+Y26+Z26+AA26+AB26</f>
        <v>97.474159999999188</v>
      </c>
      <c r="AD26" s="109">
        <v>1819556.4559999844</v>
      </c>
      <c r="AE26" s="112"/>
      <c r="AF26" s="128">
        <v>378.55999999999949</v>
      </c>
      <c r="AG26" s="130">
        <v>0</v>
      </c>
      <c r="AH26" s="129">
        <f>AF26+AG26</f>
        <v>378.55999999999949</v>
      </c>
      <c r="AI26" s="132">
        <v>5943391.9999999916</v>
      </c>
      <c r="AJ26" s="21"/>
    </row>
    <row r="27" spans="1:36" ht="15">
      <c r="A27" s="19"/>
      <c r="B27" s="81">
        <v>21</v>
      </c>
      <c r="C27" s="158">
        <v>21</v>
      </c>
      <c r="D27" s="158">
        <v>173</v>
      </c>
      <c r="E27" s="123">
        <v>12600.000000000364</v>
      </c>
      <c r="F27" s="123">
        <v>13703369.400000395</v>
      </c>
      <c r="G27" s="110">
        <v>2879.9999999998818</v>
      </c>
      <c r="H27" s="110">
        <v>4698298.0799998073</v>
      </c>
      <c r="I27" s="104">
        <f>F27+H27</f>
        <v>18401667.480000202</v>
      </c>
      <c r="J27" s="157">
        <v>1219.9999999999136</v>
      </c>
      <c r="K27" s="157">
        <v>1326834.1799999061</v>
      </c>
      <c r="L27" s="119">
        <v>340.00000000000341</v>
      </c>
      <c r="M27" s="121">
        <v>554660.19000000553</v>
      </c>
      <c r="N27" s="106">
        <f>K27+M27</f>
        <v>1881494.3699999116</v>
      </c>
      <c r="O27" s="104">
        <f>I27+N27</f>
        <v>20283161.850000113</v>
      </c>
      <c r="P27" s="106">
        <f>E27+G27+J27+L27</f>
        <v>17040.000000000164</v>
      </c>
      <c r="Q27" s="122">
        <f>R27+T27</f>
        <v>625</v>
      </c>
      <c r="R27" s="123">
        <v>26</v>
      </c>
      <c r="S27" s="123">
        <v>467233</v>
      </c>
      <c r="T27" s="116">
        <v>599</v>
      </c>
      <c r="U27" s="116">
        <v>2855900.2199999997</v>
      </c>
      <c r="V27" s="114">
        <f>S27+U27</f>
        <v>3323133.2199999997</v>
      </c>
      <c r="W27" s="125">
        <v>0</v>
      </c>
      <c r="X27" s="111">
        <v>0</v>
      </c>
      <c r="Y27" s="109">
        <v>118.18152000000057</v>
      </c>
      <c r="Z27" s="109"/>
      <c r="AA27" s="111">
        <v>0</v>
      </c>
      <c r="AB27" s="111">
        <v>0</v>
      </c>
      <c r="AC27" s="122">
        <f>W27+X27+Y27+Z27+AA27+AB27</f>
        <v>118.18152000000057</v>
      </c>
      <c r="AD27" s="109">
        <v>2257267.0320000108</v>
      </c>
      <c r="AE27" s="112"/>
      <c r="AF27" s="128">
        <v>349.77999999999975</v>
      </c>
      <c r="AG27" s="130">
        <v>0</v>
      </c>
      <c r="AH27" s="129">
        <f>AF27+AG27</f>
        <v>349.77999999999975</v>
      </c>
      <c r="AI27" s="132">
        <v>5491545.9999999963</v>
      </c>
      <c r="AJ27" s="21"/>
    </row>
    <row r="28" spans="1:36" ht="15">
      <c r="A28" s="19"/>
      <c r="B28" s="64">
        <v>22</v>
      </c>
      <c r="C28" s="158">
        <v>19</v>
      </c>
      <c r="D28" s="158">
        <v>196</v>
      </c>
      <c r="E28" s="123">
        <v>12840.000000000146</v>
      </c>
      <c r="F28" s="123">
        <v>13964385.960000157</v>
      </c>
      <c r="G28" s="110">
        <v>2799.9999999999545</v>
      </c>
      <c r="H28" s="110">
        <v>4567789.7999999262</v>
      </c>
      <c r="I28" s="104">
        <f>F28+H28</f>
        <v>18532175.760000084</v>
      </c>
      <c r="J28" s="157">
        <v>1480.0000000000182</v>
      </c>
      <c r="K28" s="157">
        <v>1609602.1200000197</v>
      </c>
      <c r="L28" s="119">
        <v>439.99999999999773</v>
      </c>
      <c r="M28" s="121">
        <v>717795.53999999643</v>
      </c>
      <c r="N28" s="106">
        <f>K28+M28</f>
        <v>2327397.660000016</v>
      </c>
      <c r="O28" s="104">
        <f>I28+N28</f>
        <v>20859573.420000099</v>
      </c>
      <c r="P28" s="106">
        <f>E28+G28+J28+L28</f>
        <v>17560.000000000113</v>
      </c>
      <c r="Q28" s="122">
        <f>R28+T28</f>
        <v>768</v>
      </c>
      <c r="R28" s="123">
        <v>140</v>
      </c>
      <c r="S28" s="123">
        <v>2515870</v>
      </c>
      <c r="T28" s="116">
        <v>628</v>
      </c>
      <c r="U28" s="116">
        <v>2994165.84</v>
      </c>
      <c r="V28" s="114">
        <f>S28+U28</f>
        <v>5510035.8399999999</v>
      </c>
      <c r="W28" s="125">
        <v>0</v>
      </c>
      <c r="X28" s="111">
        <v>0</v>
      </c>
      <c r="Y28" s="109">
        <v>106.46003999999932</v>
      </c>
      <c r="Z28" s="109"/>
      <c r="AA28" s="111">
        <v>0</v>
      </c>
      <c r="AB28" s="111">
        <v>24</v>
      </c>
      <c r="AC28" s="122">
        <f>W28+X28+Y28+Z28+AA28+AB28</f>
        <v>130.46003999999931</v>
      </c>
      <c r="AD28" s="109">
        <v>2407386.7639999874</v>
      </c>
      <c r="AE28" s="112"/>
      <c r="AF28" s="128">
        <v>380.74000000000069</v>
      </c>
      <c r="AG28" s="130">
        <v>0</v>
      </c>
      <c r="AH28" s="129">
        <f>AF28+AG28</f>
        <v>380.74000000000069</v>
      </c>
      <c r="AI28" s="132">
        <v>5977618.0000000112</v>
      </c>
      <c r="AJ28" s="21"/>
    </row>
    <row r="29" spans="1:36" ht="15">
      <c r="A29" s="19"/>
      <c r="B29" s="81">
        <v>23</v>
      </c>
      <c r="C29" s="158">
        <v>14</v>
      </c>
      <c r="D29" s="158">
        <v>187</v>
      </c>
      <c r="E29" s="123">
        <v>12719.999999999345</v>
      </c>
      <c r="F29" s="123">
        <v>13833877.679999288</v>
      </c>
      <c r="G29" s="110">
        <v>2800.0000000001819</v>
      </c>
      <c r="H29" s="110">
        <v>4567789.8000002978</v>
      </c>
      <c r="I29" s="104">
        <f>F29+H29</f>
        <v>18401667.479999587</v>
      </c>
      <c r="J29" s="157">
        <v>1379.9999999999955</v>
      </c>
      <c r="K29" s="157">
        <v>1500845.2199999951</v>
      </c>
      <c r="L29" s="119">
        <v>360.00000000001364</v>
      </c>
      <c r="M29" s="121">
        <v>587287.26000002236</v>
      </c>
      <c r="N29" s="106">
        <f>K29+M29</f>
        <v>2088132.4800000174</v>
      </c>
      <c r="O29" s="104">
        <f>I29+N29</f>
        <v>20489799.959999606</v>
      </c>
      <c r="P29" s="106">
        <f>E29+G29+J29+L29</f>
        <v>17259.999999999538</v>
      </c>
      <c r="Q29" s="122">
        <f>R29+T29</f>
        <v>679</v>
      </c>
      <c r="R29" s="123">
        <v>142</v>
      </c>
      <c r="S29" s="123">
        <v>2551811</v>
      </c>
      <c r="T29" s="116">
        <v>537</v>
      </c>
      <c r="U29" s="116">
        <v>2560297.86</v>
      </c>
      <c r="V29" s="114">
        <f>S29+U29</f>
        <v>5112108.8599999994</v>
      </c>
      <c r="W29" s="125">
        <v>0</v>
      </c>
      <c r="X29" s="111">
        <v>0</v>
      </c>
      <c r="Y29" s="109">
        <v>100.74028000000087</v>
      </c>
      <c r="Z29" s="109"/>
      <c r="AA29" s="111">
        <v>0</v>
      </c>
      <c r="AB29" s="111">
        <v>12</v>
      </c>
      <c r="AC29" s="122">
        <f>W29+X29+Y29+Z29+AA29+AB29</f>
        <v>112.74028000000087</v>
      </c>
      <c r="AD29" s="109">
        <v>2111139.3480000165</v>
      </c>
      <c r="AE29" s="112"/>
      <c r="AF29" s="128">
        <v>263.75999999999931</v>
      </c>
      <c r="AG29" s="130">
        <v>220</v>
      </c>
      <c r="AH29" s="129">
        <f>AF29+AG29</f>
        <v>483.75999999999931</v>
      </c>
      <c r="AI29" s="132">
        <v>7595031.9999999888</v>
      </c>
      <c r="AJ29" s="21"/>
    </row>
    <row r="30" spans="1:36" ht="15">
      <c r="A30" s="19"/>
      <c r="B30" s="64">
        <v>24</v>
      </c>
      <c r="C30" s="158">
        <v>10</v>
      </c>
      <c r="D30" s="158">
        <v>185</v>
      </c>
      <c r="E30" s="123">
        <v>12880.000000000109</v>
      </c>
      <c r="F30" s="123">
        <v>14007888.720000118</v>
      </c>
      <c r="G30" s="110">
        <v>2839.9999999999181</v>
      </c>
      <c r="H30" s="110">
        <v>4633043.9399998672</v>
      </c>
      <c r="I30" s="104">
        <f>F30+H30</f>
        <v>18640932.659999985</v>
      </c>
      <c r="J30" s="157">
        <v>1460.0000000000364</v>
      </c>
      <c r="K30" s="157">
        <v>1587850.7400000396</v>
      </c>
      <c r="L30" s="119">
        <v>379.99999999999545</v>
      </c>
      <c r="M30" s="121">
        <v>619914.32999999262</v>
      </c>
      <c r="N30" s="106">
        <f>K30+M30</f>
        <v>2207765.070000032</v>
      </c>
      <c r="O30" s="104">
        <f>I30+N30</f>
        <v>20848697.730000019</v>
      </c>
      <c r="P30" s="106">
        <f>E30+G30+J30+L30</f>
        <v>17560.000000000062</v>
      </c>
      <c r="Q30" s="122">
        <f>R30+T30</f>
        <v>578</v>
      </c>
      <c r="R30" s="123">
        <v>141</v>
      </c>
      <c r="S30" s="123">
        <v>2533840.5</v>
      </c>
      <c r="T30" s="116">
        <v>437</v>
      </c>
      <c r="U30" s="116">
        <v>2083519.8599999999</v>
      </c>
      <c r="V30" s="114">
        <f>S30+U30</f>
        <v>4617360.3599999994</v>
      </c>
      <c r="W30" s="125">
        <v>0</v>
      </c>
      <c r="X30" s="111">
        <v>0</v>
      </c>
      <c r="Y30" s="109">
        <v>109.15879999999962</v>
      </c>
      <c r="Z30" s="109"/>
      <c r="AA30" s="111">
        <v>0</v>
      </c>
      <c r="AB30" s="111">
        <v>24</v>
      </c>
      <c r="AC30" s="122">
        <f>W30+X30+Y30+Z30+AA30+AB30</f>
        <v>133.15879999999962</v>
      </c>
      <c r="AD30" s="109">
        <v>2458933.0799999926</v>
      </c>
      <c r="AE30" s="112"/>
      <c r="AF30" s="128">
        <v>265.8100000000004</v>
      </c>
      <c r="AG30" s="130">
        <v>0</v>
      </c>
      <c r="AH30" s="129">
        <f>AF30+AG30</f>
        <v>265.8100000000004</v>
      </c>
      <c r="AI30" s="132">
        <v>4173217.0000000061</v>
      </c>
      <c r="AJ30" s="21"/>
    </row>
    <row r="31" spans="1:36" ht="15">
      <c r="A31" s="19"/>
      <c r="B31" s="81">
        <v>25</v>
      </c>
      <c r="C31" s="158">
        <v>7</v>
      </c>
      <c r="D31" s="158">
        <v>84</v>
      </c>
      <c r="E31" s="123">
        <v>10800.000000000182</v>
      </c>
      <c r="F31" s="123">
        <v>11745745.200000199</v>
      </c>
      <c r="G31" s="110">
        <v>2720.0000000000273</v>
      </c>
      <c r="H31" s="110">
        <v>4437281.5200000443</v>
      </c>
      <c r="I31" s="104">
        <f>F31+H31</f>
        <v>16183026.720000243</v>
      </c>
      <c r="J31" s="157">
        <v>1500</v>
      </c>
      <c r="K31" s="157">
        <v>1631353.5</v>
      </c>
      <c r="L31" s="119">
        <v>359.99999999998522</v>
      </c>
      <c r="M31" s="121">
        <v>587287.25999997591</v>
      </c>
      <c r="N31" s="106">
        <f>K31+M31</f>
        <v>2218640.759999976</v>
      </c>
      <c r="O31" s="104">
        <f>I31+N31</f>
        <v>18401667.48000022</v>
      </c>
      <c r="P31" s="106">
        <f>E31+G31+J31+L31</f>
        <v>15380.000000000195</v>
      </c>
      <c r="Q31" s="122">
        <f>R31+T31</f>
        <v>705</v>
      </c>
      <c r="R31" s="123">
        <v>140</v>
      </c>
      <c r="S31" s="123">
        <v>2515870</v>
      </c>
      <c r="T31" s="116">
        <v>565</v>
      </c>
      <c r="U31" s="116">
        <v>2693795.6999999997</v>
      </c>
      <c r="V31" s="114">
        <f>S31+U31</f>
        <v>5209665.6999999993</v>
      </c>
      <c r="W31" s="125">
        <v>136.99228000003751</v>
      </c>
      <c r="X31" s="111">
        <v>0</v>
      </c>
      <c r="Y31" s="109">
        <v>99.165332000000561</v>
      </c>
      <c r="Z31" s="109"/>
      <c r="AA31" s="111">
        <v>0</v>
      </c>
      <c r="AB31" s="111">
        <v>24</v>
      </c>
      <c r="AC31" s="122">
        <f>W31+X31+Y31+Z31+AA31+AB31</f>
        <v>260.15761200003806</v>
      </c>
      <c r="AD31" s="109">
        <v>4583227.3732006447</v>
      </c>
      <c r="AE31" s="112"/>
      <c r="AF31" s="128">
        <v>306.51000000000022</v>
      </c>
      <c r="AG31" s="130">
        <v>3980.5999999999767</v>
      </c>
      <c r="AH31" s="129">
        <f>AF31+AG31</f>
        <v>4287.1099999999769</v>
      </c>
      <c r="AI31" s="132">
        <v>67307626.999999642</v>
      </c>
      <c r="AJ31" s="21"/>
    </row>
    <row r="32" spans="1:36" ht="15">
      <c r="A32" s="19"/>
      <c r="B32" s="64">
        <v>26</v>
      </c>
      <c r="C32" s="158">
        <v>10</v>
      </c>
      <c r="D32" s="158">
        <v>120</v>
      </c>
      <c r="E32" s="123">
        <v>12880.000000000109</v>
      </c>
      <c r="F32" s="123">
        <v>14007888.720000118</v>
      </c>
      <c r="G32" s="110">
        <v>3159.9999999998545</v>
      </c>
      <c r="H32" s="110">
        <v>5155077.059999763</v>
      </c>
      <c r="I32" s="104">
        <f>F32+H32</f>
        <v>19162965.779999882</v>
      </c>
      <c r="J32" s="157">
        <v>679.99999999994998</v>
      </c>
      <c r="K32" s="157">
        <v>739546.91999994568</v>
      </c>
      <c r="L32" s="119">
        <v>20.000000000010232</v>
      </c>
      <c r="M32" s="121">
        <v>32627.070000016694</v>
      </c>
      <c r="N32" s="106">
        <f>K32+M32</f>
        <v>772173.98999996239</v>
      </c>
      <c r="O32" s="104">
        <f>I32+N32</f>
        <v>19935139.769999843</v>
      </c>
      <c r="P32" s="106">
        <f>E32+G32+J32+L32</f>
        <v>16739.999999999924</v>
      </c>
      <c r="Q32" s="122">
        <f>R32+T32</f>
        <v>624</v>
      </c>
      <c r="R32" s="123">
        <v>7</v>
      </c>
      <c r="S32" s="123">
        <v>125793.5</v>
      </c>
      <c r="T32" s="116">
        <v>617</v>
      </c>
      <c r="U32" s="116">
        <v>2941720.26</v>
      </c>
      <c r="V32" s="114">
        <f>S32+U32</f>
        <v>3067513.76</v>
      </c>
      <c r="W32" s="125">
        <v>137.91871999996246</v>
      </c>
      <c r="X32" s="111">
        <v>0</v>
      </c>
      <c r="Y32" s="109">
        <v>121.51267599999964</v>
      </c>
      <c r="Z32" s="109">
        <v>100</v>
      </c>
      <c r="AA32" s="111">
        <v>0</v>
      </c>
      <c r="AB32" s="111">
        <v>0</v>
      </c>
      <c r="AC32" s="122">
        <f>W32+X32+Y32+Z32+AA32+AB32</f>
        <v>359.43139599996209</v>
      </c>
      <c r="AD32" s="109">
        <v>6561718.4795993585</v>
      </c>
      <c r="AE32" s="112"/>
      <c r="AF32" s="128">
        <v>353.34999999999945</v>
      </c>
      <c r="AG32" s="130">
        <v>0</v>
      </c>
      <c r="AH32" s="129">
        <f>AF32+AG32</f>
        <v>353.34999999999945</v>
      </c>
      <c r="AI32" s="132">
        <v>5547594.9999999916</v>
      </c>
      <c r="AJ32" s="21"/>
    </row>
    <row r="33" spans="1:36" ht="15">
      <c r="A33" s="19"/>
      <c r="B33" s="81">
        <v>27</v>
      </c>
      <c r="C33" s="158">
        <v>17</v>
      </c>
      <c r="D33" s="158">
        <v>132</v>
      </c>
      <c r="E33" s="123">
        <v>14319.999999999709</v>
      </c>
      <c r="F33" s="123">
        <v>15573988.079999683</v>
      </c>
      <c r="G33" s="110">
        <v>3280.0000000002001</v>
      </c>
      <c r="H33" s="110">
        <v>5350839.4800003264</v>
      </c>
      <c r="I33" s="104">
        <f>F33+H33</f>
        <v>20924827.56000001</v>
      </c>
      <c r="J33" s="157">
        <v>20.000000000095497</v>
      </c>
      <c r="K33" s="157">
        <v>21751.380000103858</v>
      </c>
      <c r="L33" s="119">
        <v>0</v>
      </c>
      <c r="M33" s="121">
        <v>0</v>
      </c>
      <c r="N33" s="106">
        <f>K33+M33</f>
        <v>21751.380000103858</v>
      </c>
      <c r="O33" s="104">
        <f>I33+N33</f>
        <v>20946578.940000113</v>
      </c>
      <c r="P33" s="106">
        <f>E33+G33+J33+L33</f>
        <v>17620.000000000004</v>
      </c>
      <c r="Q33" s="122">
        <f>R33+T33</f>
        <v>713</v>
      </c>
      <c r="R33" s="123">
        <v>106</v>
      </c>
      <c r="S33" s="123">
        <v>1904873</v>
      </c>
      <c r="T33" s="116">
        <v>607</v>
      </c>
      <c r="U33" s="116">
        <v>2894042.46</v>
      </c>
      <c r="V33" s="114">
        <f>S33+U33</f>
        <v>4798915.46</v>
      </c>
      <c r="W33" s="125">
        <v>165.67164000001873</v>
      </c>
      <c r="X33" s="111">
        <v>0</v>
      </c>
      <c r="Y33" s="109">
        <v>107.5757959999995</v>
      </c>
      <c r="Z33" s="109"/>
      <c r="AA33" s="111">
        <v>0</v>
      </c>
      <c r="AB33" s="111">
        <v>12</v>
      </c>
      <c r="AC33" s="122">
        <f>W33+X33+Y33+Z33+AA33+AB33</f>
        <v>285.24743600001824</v>
      </c>
      <c r="AD33" s="109">
        <v>5041548.419600307</v>
      </c>
      <c r="AE33" s="112"/>
      <c r="AF33" s="128">
        <v>374.47000000000025</v>
      </c>
      <c r="AG33" s="130">
        <v>0</v>
      </c>
      <c r="AH33" s="129">
        <f>AF33+AG33</f>
        <v>374.47000000000025</v>
      </c>
      <c r="AI33" s="132">
        <v>5879179.0000000037</v>
      </c>
      <c r="AJ33" s="21"/>
    </row>
    <row r="34" spans="1:36" ht="15">
      <c r="A34" s="19"/>
      <c r="B34" s="64">
        <v>28</v>
      </c>
      <c r="C34" s="158">
        <v>27</v>
      </c>
      <c r="D34" s="158">
        <v>183</v>
      </c>
      <c r="E34" s="123">
        <v>15239.999999999782</v>
      </c>
      <c r="F34" s="123">
        <v>16574551.559999764</v>
      </c>
      <c r="G34" s="110">
        <v>3119.9999999998909</v>
      </c>
      <c r="H34" s="110">
        <v>5089822.919999823</v>
      </c>
      <c r="I34" s="104">
        <f>F34+H34</f>
        <v>21664374.479999587</v>
      </c>
      <c r="J34" s="157">
        <v>39.99999999996362</v>
      </c>
      <c r="K34" s="157">
        <v>43502.759999960435</v>
      </c>
      <c r="L34" s="119">
        <v>20.000000000010232</v>
      </c>
      <c r="M34" s="121">
        <v>32627.070000016694</v>
      </c>
      <c r="N34" s="106">
        <f>K34+M34</f>
        <v>76129.829999977126</v>
      </c>
      <c r="O34" s="104">
        <f>I34+N34</f>
        <v>21740504.309999563</v>
      </c>
      <c r="P34" s="106">
        <f>E34+G34+J34+L34</f>
        <v>18419.999999999647</v>
      </c>
      <c r="Q34" s="122">
        <f>R34+T34</f>
        <v>784</v>
      </c>
      <c r="R34" s="123">
        <v>121</v>
      </c>
      <c r="S34" s="123">
        <v>2174430.5</v>
      </c>
      <c r="T34" s="116">
        <v>663</v>
      </c>
      <c r="U34" s="116">
        <v>3161038.1399999997</v>
      </c>
      <c r="V34" s="114">
        <f>S34+U34</f>
        <v>5335468.6399999997</v>
      </c>
      <c r="W34" s="125">
        <v>528.75556000001632</v>
      </c>
      <c r="X34" s="111">
        <v>0</v>
      </c>
      <c r="Y34" s="109">
        <v>79.134088000000745</v>
      </c>
      <c r="Z34" s="109"/>
      <c r="AA34" s="111">
        <v>0</v>
      </c>
      <c r="AB34" s="111">
        <v>0</v>
      </c>
      <c r="AC34" s="122">
        <f>W34+X34+Y34+Z34+AA34+AB34</f>
        <v>607.88964800001702</v>
      </c>
      <c r="AD34" s="109">
        <v>10447430.044800289</v>
      </c>
      <c r="AE34" s="112"/>
      <c r="AF34" s="128">
        <v>317.19999999999982</v>
      </c>
      <c r="AG34" s="130">
        <v>0</v>
      </c>
      <c r="AH34" s="129">
        <f>AF34+AG34</f>
        <v>317.19999999999982</v>
      </c>
      <c r="AI34" s="132">
        <v>4980039.9999999972</v>
      </c>
      <c r="AJ34" s="21"/>
    </row>
    <row r="35" spans="1:36" ht="15">
      <c r="A35" s="19"/>
      <c r="B35" s="81">
        <v>29</v>
      </c>
      <c r="C35" s="158">
        <v>39</v>
      </c>
      <c r="D35" s="158">
        <v>265</v>
      </c>
      <c r="E35" s="123">
        <v>14920.000000000073</v>
      </c>
      <c r="F35" s="123">
        <v>16226529.480000079</v>
      </c>
      <c r="G35" s="110">
        <v>3759.9999999999909</v>
      </c>
      <c r="H35" s="110">
        <v>6133889.1599999862</v>
      </c>
      <c r="I35" s="104">
        <f>F35+H35</f>
        <v>22360418.640000064</v>
      </c>
      <c r="J35" s="157">
        <v>1059.9999999999454</v>
      </c>
      <c r="K35" s="157">
        <v>1152823.1399999408</v>
      </c>
      <c r="L35" s="119">
        <v>379.99999999999545</v>
      </c>
      <c r="M35" s="121">
        <v>619914.32999999262</v>
      </c>
      <c r="N35" s="106">
        <f>K35+M35</f>
        <v>1772737.4699999334</v>
      </c>
      <c r="O35" s="104">
        <f>I35+N35</f>
        <v>24133156.109999996</v>
      </c>
      <c r="P35" s="106">
        <f>E35+G35+J35+L35</f>
        <v>20120.000000000007</v>
      </c>
      <c r="Q35" s="122">
        <f>R35+T35</f>
        <v>722</v>
      </c>
      <c r="R35" s="123">
        <v>108</v>
      </c>
      <c r="S35" s="123">
        <v>1940814</v>
      </c>
      <c r="T35" s="116">
        <v>614</v>
      </c>
      <c r="U35" s="116">
        <v>2927416.92</v>
      </c>
      <c r="V35" s="114">
        <f>S35+U35</f>
        <v>4868230.92</v>
      </c>
      <c r="W35" s="125">
        <v>543.6994399999835</v>
      </c>
      <c r="X35" s="111">
        <v>0</v>
      </c>
      <c r="Y35" s="109">
        <v>71.940079999998673</v>
      </c>
      <c r="Z35" s="109"/>
      <c r="AA35" s="111">
        <v>0</v>
      </c>
      <c r="AB35" s="111">
        <v>0</v>
      </c>
      <c r="AC35" s="122">
        <f>W35+X35+Y35+Z35+AA35+AB35</f>
        <v>615.63951999998221</v>
      </c>
      <c r="AD35" s="109">
        <v>10562576.063999696</v>
      </c>
      <c r="AE35" s="112"/>
      <c r="AF35" s="128">
        <v>285.52000000000044</v>
      </c>
      <c r="AG35" s="130">
        <v>51</v>
      </c>
      <c r="AH35" s="129">
        <f>AF35+AG35</f>
        <v>336.52000000000044</v>
      </c>
      <c r="AI35" s="132">
        <v>5283364.0000000065</v>
      </c>
      <c r="AJ35" s="21"/>
    </row>
    <row r="36" spans="1:36" ht="15">
      <c r="A36" s="19"/>
      <c r="B36" s="64">
        <v>30</v>
      </c>
      <c r="C36" s="158">
        <v>53</v>
      </c>
      <c r="D36" s="158">
        <v>358</v>
      </c>
      <c r="E36" s="123">
        <v>15440.000000000509</v>
      </c>
      <c r="F36" s="123">
        <v>16792065.360000554</v>
      </c>
      <c r="G36" s="110">
        <v>3400.0000000000909</v>
      </c>
      <c r="H36" s="110">
        <v>5546601.9000001485</v>
      </c>
      <c r="I36" s="104">
        <f>F36+H36</f>
        <v>22338667.260000702</v>
      </c>
      <c r="J36" s="157">
        <v>1400.0000000000909</v>
      </c>
      <c r="K36" s="157">
        <v>1522596.6000000988</v>
      </c>
      <c r="L36" s="119">
        <v>379.99999999999545</v>
      </c>
      <c r="M36" s="121">
        <v>619914.32999999262</v>
      </c>
      <c r="N36" s="106">
        <f>K36+M36</f>
        <v>2142510.9300000914</v>
      </c>
      <c r="O36" s="104">
        <f>I36+N36</f>
        <v>24481178.190000795</v>
      </c>
      <c r="P36" s="106">
        <f>E36+G36+J36+L36</f>
        <v>20620.000000000688</v>
      </c>
      <c r="Q36" s="122">
        <f>R36+T36</f>
        <v>716</v>
      </c>
      <c r="R36" s="123">
        <v>145</v>
      </c>
      <c r="S36" s="123">
        <v>2605722.5</v>
      </c>
      <c r="T36" s="116">
        <v>571</v>
      </c>
      <c r="U36" s="116">
        <v>2722402.38</v>
      </c>
      <c r="V36" s="114">
        <f>S36+U36</f>
        <v>5328124.88</v>
      </c>
      <c r="W36" s="125">
        <v>544.9078399999953</v>
      </c>
      <c r="X36" s="111">
        <v>0</v>
      </c>
      <c r="Y36" s="109">
        <v>87.66942000000131</v>
      </c>
      <c r="Z36" s="109"/>
      <c r="AA36" s="111">
        <v>0</v>
      </c>
      <c r="AB36" s="111">
        <v>60</v>
      </c>
      <c r="AC36" s="122">
        <f>W36+X36+Y36+Z36+AA36+AB36</f>
        <v>692.57725999999661</v>
      </c>
      <c r="AD36" s="109">
        <v>11818428.417999946</v>
      </c>
      <c r="AE36" s="112"/>
      <c r="AF36" s="128">
        <v>339.40999999999985</v>
      </c>
      <c r="AG36" s="130">
        <v>0.29999999998835847</v>
      </c>
      <c r="AH36" s="129">
        <f>AF36+AG36</f>
        <v>339.70999999998821</v>
      </c>
      <c r="AI36" s="132">
        <v>5333446.9999998147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4"/>
      <c r="D41" s="144"/>
      <c r="E41" s="145"/>
      <c r="F41" s="146"/>
      <c r="G41" s="147"/>
      <c r="H41" s="146"/>
      <c r="I41" s="147"/>
      <c r="J41" s="147"/>
      <c r="K41" s="147"/>
      <c r="L41" s="146"/>
      <c r="M41" s="148"/>
      <c r="N41" s="149"/>
      <c r="O41" s="147"/>
      <c r="P41" s="149"/>
      <c r="Q41" s="150"/>
      <c r="R41" s="151"/>
      <c r="S41" s="147"/>
      <c r="T41" s="147"/>
      <c r="U41" s="147"/>
      <c r="V41" s="147"/>
      <c r="W41" s="152"/>
      <c r="X41" s="146"/>
      <c r="Y41" s="152"/>
      <c r="Z41" s="152"/>
      <c r="AA41" s="152"/>
      <c r="AB41" s="152"/>
      <c r="AC41" s="152"/>
      <c r="AD41" s="146"/>
      <c r="AE41" s="153"/>
      <c r="AF41" s="153"/>
      <c r="AG41" s="153"/>
      <c r="AH41" s="153"/>
      <c r="AI41" s="154"/>
    </row>
    <row r="42" spans="1:36">
      <c r="A42" s="33"/>
      <c r="B42" s="143"/>
      <c r="C42" s="133">
        <f>SUM(C7:C36)</f>
        <v>684</v>
      </c>
      <c r="D42" s="133">
        <f>SUM(D7:D36)</f>
        <v>5707</v>
      </c>
      <c r="E42" s="134">
        <f>SUM(E7:E36)</f>
        <v>374680.00000000029</v>
      </c>
      <c r="F42" s="134">
        <f>SUM(F7:F36)</f>
        <v>407490352.92000037</v>
      </c>
      <c r="G42" s="134">
        <f>SUM(G7:G36)</f>
        <v>80960.000000000044</v>
      </c>
      <c r="H42" s="134">
        <f>SUM(H7:H36)</f>
        <v>132074379.36000006</v>
      </c>
      <c r="I42" s="134">
        <f>SUM(I7:I36)</f>
        <v>539564732.28000033</v>
      </c>
      <c r="J42" s="134">
        <f>SUM(J7:J36)</f>
        <v>40460.000000000029</v>
      </c>
      <c r="K42" s="134">
        <f>SUM(K7:K36)</f>
        <v>44003041.740000032</v>
      </c>
      <c r="L42" s="134">
        <f>SUM(L7:L36)</f>
        <v>11220.000000000004</v>
      </c>
      <c r="M42" s="134">
        <f>SUM(M7:M36)</f>
        <v>18303786.269999996</v>
      </c>
      <c r="N42" s="134">
        <f>SUM(N7:N36)</f>
        <v>62306828.010000035</v>
      </c>
      <c r="O42" s="135">
        <f>SUM(O7:O36)</f>
        <v>601871560.29000044</v>
      </c>
      <c r="P42" s="136">
        <f>SUM(P7:P36)</f>
        <v>507320.00000000041</v>
      </c>
      <c r="Q42" s="137">
        <f>SUM(Q7:Q36)</f>
        <v>21524</v>
      </c>
      <c r="R42" s="134">
        <f>SUM(R7:R36)</f>
        <v>3921</v>
      </c>
      <c r="S42" s="134">
        <f>SUM(S7:S36)</f>
        <v>70462330.5</v>
      </c>
      <c r="T42" s="134">
        <f>SUM(T7:T36)</f>
        <v>17603</v>
      </c>
      <c r="U42" s="134">
        <f>SUM(U7:U36)</f>
        <v>83927231.340000004</v>
      </c>
      <c r="V42" s="138">
        <f>SUM(V7:V36)</f>
        <v>154389561.83999997</v>
      </c>
      <c r="W42" s="139">
        <f>SUM(W7:W36)</f>
        <v>2057.945480000014</v>
      </c>
      <c r="X42" s="134">
        <f>SUM(X7:X36)</f>
        <v>0</v>
      </c>
      <c r="Y42" s="134">
        <f>SUM(Y7:Y36)</f>
        <v>2977.8520640000006</v>
      </c>
      <c r="Z42" s="134">
        <f>SUM(Z7:Z36)</f>
        <v>400</v>
      </c>
      <c r="AA42" s="134">
        <f>SUM(AA7:AA36)</f>
        <v>0</v>
      </c>
      <c r="AB42" s="134">
        <f>SUM(AB7:AB36)</f>
        <v>492</v>
      </c>
      <c r="AC42" s="140">
        <f>SUM(AC7:AC36)</f>
        <v>5927.7975440000146</v>
      </c>
      <c r="AD42" s="140">
        <f>SUM(AD7:AD36)</f>
        <v>106963253.03440025</v>
      </c>
      <c r="AE42" s="141">
        <f>SUM(AE8:AE38)</f>
        <v>0</v>
      </c>
      <c r="AF42" s="134">
        <f>SUM(AF7:AF36)</f>
        <v>10028.050000000007</v>
      </c>
      <c r="AG42" s="134">
        <f>SUM(AG7:AG36)</f>
        <v>4421.7999999999593</v>
      </c>
      <c r="AH42" s="142">
        <f>SUM(AH7:AH36)</f>
        <v>14449.849999999966</v>
      </c>
      <c r="AI42" s="142">
        <f>SUM(AI7:AI36)</f>
        <v>226862644.99999946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1186.374596487424</v>
      </c>
      <c r="Q44" s="43"/>
      <c r="R44" s="43"/>
      <c r="S44" s="43"/>
      <c r="T44" s="36"/>
      <c r="U44" s="36"/>
      <c r="V44" s="43">
        <f>V42/Q42</f>
        <v>7172.9028916558245</v>
      </c>
      <c r="W44" s="43"/>
      <c r="X44" s="36"/>
      <c r="Y44" s="43"/>
      <c r="Z44" s="43"/>
      <c r="AA44" s="43"/>
      <c r="AB44" s="43"/>
      <c r="AC44" s="36"/>
      <c r="AD44" s="36">
        <f>AD42/AC42</f>
        <v>18044.349902379188</v>
      </c>
      <c r="AE44" s="40"/>
      <c r="AF44" s="40"/>
      <c r="AG44" s="40"/>
      <c r="AH44" s="40"/>
      <c r="AI44" s="43">
        <f>AI42/AH42</f>
        <v>15700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