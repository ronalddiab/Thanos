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30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26" i="3" l="1"/>
  <c r="F31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E29" i="3" l="1"/>
  <c r="E28" i="3"/>
  <c r="F29" i="3"/>
  <c r="F28" i="3" l="1"/>
  <c r="F25" i="3" l="1"/>
  <c r="F26" i="3" l="1"/>
  <c r="E25" i="3"/>
  <c r="F27" i="3" l="1"/>
  <c r="E27" i="3" l="1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BI29" i="3" s="1"/>
  <c r="EY37" i="4"/>
  <c r="EX37" i="4"/>
  <c r="EW37" i="4"/>
  <c r="EV37" i="4"/>
  <c r="EU37" i="4"/>
  <c r="ET37" i="4"/>
  <c r="BG29" i="3" s="1"/>
  <c r="ER37" i="4"/>
  <c r="EQ37" i="4"/>
  <c r="EP37" i="4"/>
  <c r="EO37" i="4"/>
  <c r="EN37" i="4"/>
  <c r="EM37" i="4"/>
  <c r="BE29" i="3" s="1"/>
  <c r="EL37" i="4"/>
  <c r="EK37" i="4"/>
  <c r="EJ37" i="4"/>
  <c r="EI37" i="4"/>
  <c r="EH37" i="4"/>
  <c r="EG37" i="4"/>
  <c r="BA29" i="3" s="1"/>
  <c r="EE37" i="4"/>
  <c r="ED37" i="4"/>
  <c r="EC37" i="4"/>
  <c r="EB37" i="4"/>
  <c r="EA37" i="4"/>
  <c r="DZ37" i="4"/>
  <c r="AX29" i="3" s="1"/>
  <c r="DY37" i="4"/>
  <c r="DX37" i="4"/>
  <c r="DW37" i="4"/>
  <c r="DV37" i="4"/>
  <c r="DU37" i="4"/>
  <c r="DT37" i="4"/>
  <c r="AU29" i="3" s="1"/>
  <c r="DR37" i="4"/>
  <c r="DQ37" i="4"/>
  <c r="DP37" i="4"/>
  <c r="DO37" i="4"/>
  <c r="DN37" i="4"/>
  <c r="DM37" i="4"/>
  <c r="AS29" i="3" s="1"/>
  <c r="DL37" i="4"/>
  <c r="DK37" i="4"/>
  <c r="DJ37" i="4"/>
  <c r="DI37" i="4"/>
  <c r="DH37" i="4"/>
  <c r="DG37" i="4"/>
  <c r="AN29" i="3" s="1"/>
  <c r="DF37" i="4"/>
  <c r="DE37" i="4"/>
  <c r="DD37" i="4"/>
  <c r="DC37" i="4"/>
  <c r="DB37" i="4"/>
  <c r="DA37" i="4"/>
  <c r="AM29" i="3" s="1"/>
  <c r="CZ37" i="4"/>
  <c r="CY37" i="4"/>
  <c r="CX37" i="4"/>
  <c r="CW37" i="4"/>
  <c r="CU37" i="4"/>
  <c r="CT37" i="4"/>
  <c r="AC29" i="3" s="1"/>
  <c r="CS37" i="4"/>
  <c r="CR37" i="4"/>
  <c r="CQ37" i="4"/>
  <c r="CP37" i="4"/>
  <c r="CO37" i="4"/>
  <c r="CN37" i="4"/>
  <c r="CM37" i="4"/>
  <c r="CL37" i="4"/>
  <c r="CK37" i="4"/>
  <c r="Z29" i="3" s="1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BZ37" i="4"/>
  <c r="BY37" i="4"/>
  <c r="AD29" i="3" s="1"/>
  <c r="BX37" i="4"/>
  <c r="BW37" i="4"/>
  <c r="BV37" i="4"/>
  <c r="BT37" i="4"/>
  <c r="BS37" i="4"/>
  <c r="BH37" i="4"/>
  <c r="BG37" i="4"/>
  <c r="BF37" i="4"/>
  <c r="Y29" i="3" s="1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U29" i="3" s="1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Q29" i="3" s="1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M29" i="3" s="1"/>
  <c r="S37" i="4"/>
  <c r="R37" i="4"/>
  <c r="Q37" i="4"/>
  <c r="P37" i="4"/>
  <c r="O37" i="4"/>
  <c r="N37" i="4"/>
  <c r="M37" i="4"/>
  <c r="L37" i="4"/>
  <c r="K37" i="4"/>
  <c r="J37" i="4"/>
  <c r="BL29" i="3" s="1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BC28" i="3" s="1"/>
  <c r="EO36" i="4"/>
  <c r="EM36" i="4"/>
  <c r="EK36" i="4"/>
  <c r="EI36" i="4"/>
  <c r="EG36" i="4"/>
  <c r="ED36" i="4"/>
  <c r="AZ28" i="3" s="1"/>
  <c r="EB36" i="4"/>
  <c r="DZ36" i="4"/>
  <c r="DX36" i="4"/>
  <c r="DV36" i="4"/>
  <c r="DT36" i="4"/>
  <c r="DQ36" i="4"/>
  <c r="AT28" i="3" s="1"/>
  <c r="DO36" i="4"/>
  <c r="DM36" i="4"/>
  <c r="DK36" i="4"/>
  <c r="DI36" i="4"/>
  <c r="DG36" i="4"/>
  <c r="DE36" i="4"/>
  <c r="AO28" i="3" s="1"/>
  <c r="DC36" i="4"/>
  <c r="DA36" i="4"/>
  <c r="CY36" i="4"/>
  <c r="CW36" i="4"/>
  <c r="CT36" i="4"/>
  <c r="CQ36" i="4"/>
  <c r="AB28" i="3" s="1"/>
  <c r="CN36" i="4"/>
  <c r="CK36" i="4"/>
  <c r="CI36" i="4"/>
  <c r="CG36" i="4"/>
  <c r="CE36" i="4"/>
  <c r="CC36" i="4"/>
  <c r="AF28" i="3" s="1"/>
  <c r="CA36" i="4"/>
  <c r="BY36" i="4"/>
  <c r="BV36" i="4"/>
  <c r="BS36" i="4"/>
  <c r="BF36" i="4"/>
  <c r="BC36" i="4"/>
  <c r="X28" i="3" s="1"/>
  <c r="AZ36" i="4"/>
  <c r="AV36" i="4"/>
  <c r="AS36" i="4"/>
  <c r="AP36" i="4"/>
  <c r="AM36" i="4"/>
  <c r="AJ36" i="4"/>
  <c r="R28" i="3" s="1"/>
  <c r="AG36" i="4"/>
  <c r="AD36" i="4"/>
  <c r="AA36" i="4"/>
  <c r="X36" i="4"/>
  <c r="U36" i="4"/>
  <c r="R36" i="4"/>
  <c r="L28" i="3" s="1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BL25" i="3" s="1"/>
  <c r="K25" i="1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K24" i="1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K22" i="1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K21" i="1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E30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31" i="1"/>
  <c r="G31" i="1"/>
  <c r="E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9" i="1"/>
  <c r="L26" i="3" l="1"/>
  <c r="R26" i="3"/>
  <c r="X26" i="3"/>
  <c r="H29" i="3"/>
  <c r="L29" i="3"/>
  <c r="AE29" i="3"/>
  <c r="AH29" i="3"/>
  <c r="AA29" i="3"/>
  <c r="AF29" i="3"/>
  <c r="G29" i="3"/>
  <c r="I29" i="1" s="1"/>
  <c r="K29" i="3"/>
  <c r="AK29" i="3"/>
  <c r="AL29" i="3"/>
  <c r="AQ29" i="3"/>
  <c r="AR29" i="3"/>
  <c r="AY29" i="3"/>
  <c r="BB29" i="3"/>
  <c r="BF29" i="3"/>
  <c r="BH29" i="3"/>
  <c r="BK29" i="3"/>
  <c r="AB29" i="3"/>
  <c r="J29" i="3"/>
  <c r="I29" i="3"/>
  <c r="N29" i="3"/>
  <c r="E29" i="1" s="1"/>
  <c r="P29" i="3"/>
  <c r="R29" i="3"/>
  <c r="T29" i="3"/>
  <c r="V29" i="3"/>
  <c r="X29" i="3"/>
  <c r="AJ29" i="3"/>
  <c r="AO29" i="3"/>
  <c r="AP29" i="3"/>
  <c r="AT29" i="3"/>
  <c r="AW29" i="3"/>
  <c r="AZ29" i="3"/>
  <c r="BD29" i="3"/>
  <c r="BC29" i="3"/>
  <c r="BJ29" i="3"/>
  <c r="AB26" i="3"/>
  <c r="AO26" i="3"/>
  <c r="AT26" i="3"/>
  <c r="AZ26" i="3"/>
  <c r="BC26" i="3"/>
  <c r="N27" i="3"/>
  <c r="T27" i="3"/>
  <c r="AH27" i="3"/>
  <c r="AK27" i="3"/>
  <c r="AQ27" i="3"/>
  <c r="BB27" i="3"/>
  <c r="BH27" i="3"/>
  <c r="K28" i="3"/>
  <c r="P28" i="3"/>
  <c r="V28" i="3"/>
  <c r="AD28" i="3"/>
  <c r="Z28" i="3"/>
  <c r="AM28" i="3"/>
  <c r="AS28" i="3"/>
  <c r="AX28" i="3"/>
  <c r="BE28" i="3"/>
  <c r="BI28" i="3"/>
  <c r="H28" i="3"/>
  <c r="Q28" i="3"/>
  <c r="W28" i="3"/>
  <c r="AE28" i="3"/>
  <c r="AA28" i="3"/>
  <c r="AL28" i="3"/>
  <c r="AR28" i="3"/>
  <c r="AY28" i="3"/>
  <c r="BF28" i="3"/>
  <c r="BK28" i="3"/>
  <c r="M28" i="3"/>
  <c r="S28" i="3"/>
  <c r="Y28" i="3"/>
  <c r="AG28" i="3"/>
  <c r="AC28" i="3"/>
  <c r="AN28" i="3"/>
  <c r="AU28" i="3"/>
  <c r="BA28" i="3"/>
  <c r="BG28" i="3"/>
  <c r="J28" i="3"/>
  <c r="I28" i="3"/>
  <c r="N28" i="3"/>
  <c r="T28" i="3"/>
  <c r="AH28" i="3"/>
  <c r="AK28" i="3"/>
  <c r="AQ28" i="3"/>
  <c r="BB28" i="3"/>
  <c r="BH28" i="3"/>
  <c r="G28" i="3"/>
  <c r="I28" i="1" s="1"/>
  <c r="O28" i="3"/>
  <c r="U28" i="3"/>
  <c r="AI28" i="3"/>
  <c r="AJ28" i="3"/>
  <c r="AP28" i="3"/>
  <c r="AW28" i="3"/>
  <c r="BD28" i="3"/>
  <c r="BJ28" i="3"/>
  <c r="AF26" i="3"/>
  <c r="I27" i="3"/>
  <c r="J27" i="3"/>
  <c r="M26" i="3"/>
  <c r="S26" i="3"/>
  <c r="Y26" i="3"/>
  <c r="AG26" i="3"/>
  <c r="AC26" i="3"/>
  <c r="AN26" i="3"/>
  <c r="AU26" i="3"/>
  <c r="BA26" i="3"/>
  <c r="BG26" i="3"/>
  <c r="G27" i="3"/>
  <c r="I27" i="1" s="1"/>
  <c r="O27" i="3"/>
  <c r="U27" i="3"/>
  <c r="AI27" i="3"/>
  <c r="AJ27" i="3"/>
  <c r="AP27" i="3"/>
  <c r="AW27" i="3"/>
  <c r="BD27" i="3"/>
  <c r="BJ27" i="3"/>
  <c r="J26" i="3"/>
  <c r="I26" i="3"/>
  <c r="N26" i="3"/>
  <c r="T26" i="3"/>
  <c r="AH26" i="3"/>
  <c r="AK26" i="3"/>
  <c r="AQ26" i="3"/>
  <c r="BB26" i="3"/>
  <c r="BH26" i="3"/>
  <c r="K27" i="3"/>
  <c r="P27" i="3"/>
  <c r="V27" i="3"/>
  <c r="AD27" i="3"/>
  <c r="Z27" i="3"/>
  <c r="AM27" i="3"/>
  <c r="AS27" i="3"/>
  <c r="AX27" i="3"/>
  <c r="BE27" i="3"/>
  <c r="BI27" i="3"/>
  <c r="G26" i="3"/>
  <c r="I26" i="1" s="1"/>
  <c r="O26" i="3"/>
  <c r="U26" i="3"/>
  <c r="AI26" i="3"/>
  <c r="AJ26" i="3"/>
  <c r="AP26" i="3"/>
  <c r="AW26" i="3"/>
  <c r="BD26" i="3"/>
  <c r="BJ26" i="3"/>
  <c r="H27" i="3"/>
  <c r="Q27" i="3"/>
  <c r="W27" i="3"/>
  <c r="AE27" i="3"/>
  <c r="AA27" i="3"/>
  <c r="AL27" i="3"/>
  <c r="AR27" i="3"/>
  <c r="AY27" i="3"/>
  <c r="BF27" i="3"/>
  <c r="BK27" i="3"/>
  <c r="H25" i="3"/>
  <c r="L25" i="3"/>
  <c r="AE25" i="3"/>
  <c r="AH25" i="3"/>
  <c r="K26" i="3"/>
  <c r="P26" i="3"/>
  <c r="V26" i="3"/>
  <c r="AD26" i="3"/>
  <c r="Z26" i="3"/>
  <c r="AM26" i="3"/>
  <c r="AS26" i="3"/>
  <c r="AX26" i="3"/>
  <c r="BE26" i="3"/>
  <c r="BI26" i="3"/>
  <c r="L27" i="3"/>
  <c r="R27" i="3"/>
  <c r="X27" i="3"/>
  <c r="AF27" i="3"/>
  <c r="AB27" i="3"/>
  <c r="AO27" i="3"/>
  <c r="AT27" i="3"/>
  <c r="AZ27" i="3"/>
  <c r="BC27" i="3"/>
  <c r="H26" i="3"/>
  <c r="Q26" i="3"/>
  <c r="W26" i="3"/>
  <c r="AE26" i="3"/>
  <c r="AA26" i="3"/>
  <c r="AL26" i="3"/>
  <c r="AR26" i="3"/>
  <c r="AY26" i="3"/>
  <c r="BF26" i="3"/>
  <c r="BK26" i="3"/>
  <c r="M27" i="3"/>
  <c r="S27" i="3"/>
  <c r="Y27" i="3"/>
  <c r="AG27" i="3"/>
  <c r="AC27" i="3"/>
  <c r="AN27" i="3"/>
  <c r="AU27" i="3"/>
  <c r="BA27" i="3"/>
  <c r="BG27" i="3"/>
  <c r="AA25" i="3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29" i="1" l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BL28" i="3" s="1"/>
  <c r="K28" i="1" s="1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BL27" i="3" s="1"/>
  <c r="K27" i="1" s="1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J34" i="4"/>
  <c r="CH34" i="4"/>
  <c r="CF34" i="4"/>
  <c r="CD34" i="4"/>
  <c r="CC48" i="4" s="1"/>
  <c r="CB34" i="4"/>
  <c r="CA48" i="4" s="1"/>
  <c r="BZ34" i="4"/>
  <c r="BT34" i="4"/>
  <c r="S34" i="4"/>
  <c r="P34" i="4"/>
  <c r="N34" i="4"/>
  <c r="L34" i="4"/>
  <c r="K48" i="4" s="1"/>
  <c r="K49" i="4" s="1"/>
  <c r="J34" i="4"/>
  <c r="BL26" i="3" s="1"/>
  <c r="K26" i="1" s="1"/>
  <c r="G34" i="4"/>
  <c r="D34" i="4"/>
  <c r="CX33" i="4"/>
  <c r="CE48" i="4" l="1"/>
  <c r="R48" i="4"/>
  <c r="R49" i="4" s="1"/>
  <c r="BS48" i="4"/>
  <c r="CT48" i="4"/>
  <c r="CT49" i="4" s="1"/>
  <c r="BH36" i="4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CI48" i="4"/>
  <c r="CG48" i="4"/>
  <c r="BY48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I36" i="4"/>
  <c r="AH36" i="4"/>
  <c r="AI35" i="4"/>
  <c r="AH35" i="4"/>
  <c r="AI34" i="4"/>
  <c r="AH34" i="4"/>
  <c r="AF36" i="4"/>
  <c r="AE36" i="4"/>
  <c r="AF34" i="4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O48" i="4"/>
  <c r="O49" i="4" s="1"/>
  <c r="I48" i="4"/>
  <c r="I49" i="4" s="1"/>
  <c r="F48" i="4"/>
  <c r="F49" i="4" s="1"/>
  <c r="C48" i="4"/>
  <c r="C49" i="4" s="1"/>
  <c r="AJ47" i="4" l="1"/>
  <c r="AZ48" i="4"/>
  <c r="AZ49" i="4" s="1"/>
  <c r="AD47" i="4"/>
  <c r="CQ47" i="4"/>
  <c r="CQ48" i="4"/>
  <c r="CQ49" i="4" s="1"/>
  <c r="CN48" i="4"/>
  <c r="CN49" i="4" s="1"/>
  <c r="CN47" i="4"/>
  <c r="CK47" i="4"/>
  <c r="CK48" i="4"/>
  <c r="BF48" i="4"/>
  <c r="BF49" i="4" s="1"/>
  <c r="BC48" i="4"/>
  <c r="BC49" i="4" s="1"/>
  <c r="X48" i="4"/>
  <c r="AV47" i="4"/>
  <c r="AD48" i="4"/>
  <c r="AV48" i="4"/>
  <c r="AS48" i="4"/>
  <c r="AS47" i="4"/>
  <c r="AP48" i="4"/>
  <c r="AP47" i="4"/>
  <c r="AM47" i="4"/>
  <c r="AM48" i="4"/>
  <c r="AJ48" i="4"/>
  <c r="AJ49" i="4" s="1"/>
  <c r="AG48" i="4"/>
  <c r="AG47" i="4"/>
  <c r="AG49" i="4" s="1"/>
  <c r="AA48" i="4"/>
  <c r="AA47" i="4"/>
  <c r="AA49" i="4" s="1"/>
  <c r="X47" i="4"/>
  <c r="U48" i="4"/>
  <c r="U47" i="4"/>
  <c r="AD49" i="4" l="1"/>
  <c r="U49" i="4"/>
  <c r="AS49" i="4"/>
  <c r="X49" i="4"/>
  <c r="AP49" i="4"/>
  <c r="CK49" i="4"/>
  <c r="BC51" i="4"/>
  <c r="AV49" i="4"/>
  <c r="AM50" i="4"/>
  <c r="AM49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<sst xmlns="http://schemas.openxmlformats.org/spreadsheetml/2006/main" count="413" uniqueCount="204">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</sst>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B34">
            <v>0.8</v>
          </cell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B36">
            <v>0.93</v>
          </cell>
          <cell r="E36">
            <v>222546</v>
          </cell>
          <cell r="F36">
            <v>554</v>
          </cell>
          <cell r="G36">
            <v>751</v>
          </cell>
          <cell r="H36">
            <v>249535</v>
          </cell>
          <cell r="I36">
            <v>440</v>
          </cell>
          <cell r="J36">
            <v>349</v>
          </cell>
          <cell r="K36">
            <v>10037</v>
          </cell>
          <cell r="L36">
            <v>179</v>
          </cell>
          <cell r="N36">
            <v>924308</v>
          </cell>
          <cell r="O36">
            <v>0</v>
          </cell>
          <cell r="Q36">
            <v>245382</v>
          </cell>
          <cell r="R36">
            <v>0</v>
          </cell>
          <cell r="U36">
            <v>117882</v>
          </cell>
          <cell r="V36">
            <v>71</v>
          </cell>
          <cell r="W36">
            <v>90.969999999993888</v>
          </cell>
          <cell r="X36">
            <v>6490</v>
          </cell>
          <cell r="Y36">
            <v>9</v>
          </cell>
          <cell r="AE36">
            <v>8195922</v>
          </cell>
          <cell r="AF36">
            <v>1705.2000000001863</v>
          </cell>
          <cell r="AH36">
            <v>15560485.919999998</v>
          </cell>
          <cell r="AI36">
            <v>4482.2399999983609</v>
          </cell>
          <cell r="AK36">
            <v>15828592.08</v>
          </cell>
          <cell r="AL36">
            <v>97.439999999478459</v>
          </cell>
          <cell r="AN36">
            <v>18939851.280000001</v>
          </cell>
          <cell r="AO36">
            <v>8331.1200000010431</v>
          </cell>
          <cell r="AQ36">
            <v>19227153.119999997</v>
          </cell>
          <cell r="AR36">
            <v>438.48000000044703</v>
          </cell>
          <cell r="AT36">
            <v>17671815.84</v>
          </cell>
          <cell r="AU36">
            <v>5261.7599999979138</v>
          </cell>
          <cell r="AW36">
            <v>14867346.48</v>
          </cell>
          <cell r="AX36">
            <v>3946.320000000298</v>
          </cell>
          <cell r="AZ36">
            <v>14395639.439999999</v>
          </cell>
          <cell r="BA36">
            <v>4579.679999999702</v>
          </cell>
          <cell r="BC36">
            <v>11237462.880000001</v>
          </cell>
          <cell r="BD36">
            <v>2728.3200000021607</v>
          </cell>
          <cell r="BF36">
            <v>17809352.399999999</v>
          </cell>
          <cell r="BG36">
            <v>5505.359999999404</v>
          </cell>
          <cell r="BM36">
            <v>78188000</v>
          </cell>
          <cell r="BN36">
            <v>0</v>
          </cell>
          <cell r="BP36">
            <v>81062100</v>
          </cell>
          <cell r="BQ36">
            <v>40400</v>
          </cell>
          <cell r="BS36">
            <v>75092800</v>
          </cell>
          <cell r="BT36">
            <v>0</v>
          </cell>
          <cell r="BV36">
            <v>10355310</v>
          </cell>
          <cell r="BW36">
            <v>6430</v>
          </cell>
          <cell r="BY36">
            <v>0.6</v>
          </cell>
          <cell r="BZ36">
            <v>5.0000000000000044E-2</v>
          </cell>
          <cell r="CB36">
            <v>64695</v>
          </cell>
          <cell r="CC36">
            <v>20</v>
          </cell>
          <cell r="CD36">
            <v>55777</v>
          </cell>
          <cell r="CE36">
            <v>19</v>
          </cell>
          <cell r="CF36">
            <v>18869</v>
          </cell>
          <cell r="CG36">
            <v>8</v>
          </cell>
          <cell r="CH36">
            <v>25792</v>
          </cell>
          <cell r="CI36">
            <v>10</v>
          </cell>
          <cell r="CJ36">
            <v>28758</v>
          </cell>
          <cell r="CK36">
            <v>14</v>
          </cell>
          <cell r="CL36">
            <v>63114</v>
          </cell>
          <cell r="CM36">
            <v>35</v>
          </cell>
          <cell r="CN36">
            <v>269405</v>
          </cell>
          <cell r="CO36">
            <v>73</v>
          </cell>
          <cell r="CQ36">
            <v>217077</v>
          </cell>
          <cell r="CR36">
            <v>120</v>
          </cell>
          <cell r="CT36">
            <v>359784</v>
          </cell>
          <cell r="CU36">
            <v>212</v>
          </cell>
          <cell r="CW36">
            <v>697973</v>
          </cell>
          <cell r="CX36">
            <v>172</v>
          </cell>
          <cell r="CZ36">
            <v>9009</v>
          </cell>
          <cell r="DA36">
            <v>9</v>
          </cell>
          <cell r="DB36">
            <v>6114</v>
          </cell>
          <cell r="DC36">
            <v>6</v>
          </cell>
          <cell r="DD36">
            <v>32426</v>
          </cell>
          <cell r="DE36">
            <v>17</v>
          </cell>
          <cell r="DF36">
            <v>32620</v>
          </cell>
          <cell r="DG36">
            <v>15</v>
          </cell>
          <cell r="DH36">
            <v>22039</v>
          </cell>
          <cell r="DI36">
            <v>12</v>
          </cell>
          <cell r="DJ36">
            <v>24155</v>
          </cell>
          <cell r="DK36">
            <v>7</v>
          </cell>
          <cell r="DL36">
            <v>7288</v>
          </cell>
          <cell r="DM36">
            <v>14</v>
          </cell>
          <cell r="DN36">
            <v>9917</v>
          </cell>
          <cell r="DO36">
            <v>6</v>
          </cell>
          <cell r="DP36">
            <v>3339</v>
          </cell>
          <cell r="DQ36">
            <v>4</v>
          </cell>
          <cell r="DR36">
            <v>6598</v>
          </cell>
          <cell r="DS36">
            <v>9</v>
          </cell>
          <cell r="DT36">
            <v>30380</v>
          </cell>
          <cell r="DU36">
            <v>0</v>
          </cell>
          <cell r="DW36">
            <v>6534.8</v>
          </cell>
          <cell r="DX36">
            <v>10.5</v>
          </cell>
          <cell r="DY36">
            <v>11433.5</v>
          </cell>
          <cell r="DZ36">
            <v>7.5</v>
          </cell>
          <cell r="EA36">
            <v>4922.6000000000004</v>
          </cell>
          <cell r="EB36">
            <v>7.1000000000003638</v>
          </cell>
          <cell r="EC36">
            <v>5501</v>
          </cell>
          <cell r="ED36">
            <v>6.8000000000001819</v>
          </cell>
          <cell r="EE36">
            <v>1137492</v>
          </cell>
          <cell r="EF36">
            <v>569</v>
          </cell>
          <cell r="EI36">
            <v>234251.4</v>
          </cell>
          <cell r="EJ36">
            <v>132.79999999998836</v>
          </cell>
          <cell r="EL36">
            <v>12204900</v>
          </cell>
          <cell r="EM36">
            <v>3200</v>
          </cell>
          <cell r="EN36">
            <v>938260</v>
          </cell>
          <cell r="EO36">
            <v>220</v>
          </cell>
          <cell r="EP36">
            <v>7255200</v>
          </cell>
          <cell r="EQ36">
            <v>1700</v>
          </cell>
          <cell r="ER36">
            <v>2503500</v>
          </cell>
          <cell r="ES36">
            <v>200</v>
          </cell>
          <cell r="ET36">
            <v>1289700</v>
          </cell>
          <cell r="EU36">
            <v>600</v>
          </cell>
          <cell r="EV36">
            <v>16673200</v>
          </cell>
          <cell r="EW36">
            <v>1500</v>
          </cell>
          <cell r="EY36">
            <v>42410</v>
          </cell>
          <cell r="EZ36">
            <v>17</v>
          </cell>
          <cell r="FA36">
            <v>37004</v>
          </cell>
          <cell r="FB36">
            <v>0</v>
          </cell>
          <cell r="FC36">
            <v>7705</v>
          </cell>
          <cell r="FD36">
            <v>10</v>
          </cell>
          <cell r="FE36">
            <v>59528</v>
          </cell>
          <cell r="FF36">
            <v>14</v>
          </cell>
          <cell r="FG36">
            <v>50148</v>
          </cell>
          <cell r="FH36">
            <v>35</v>
          </cell>
        </row>
        <row r="37">
          <cell r="B37">
            <v>0.93</v>
          </cell>
          <cell r="E37">
            <v>223205</v>
          </cell>
          <cell r="F37">
            <v>659</v>
          </cell>
          <cell r="G37">
            <v>989</v>
          </cell>
          <cell r="H37">
            <v>250061</v>
          </cell>
          <cell r="I37">
            <v>526</v>
          </cell>
          <cell r="J37">
            <v>557.00999999999476</v>
          </cell>
          <cell r="K37">
            <v>10038</v>
          </cell>
          <cell r="L37">
            <v>1</v>
          </cell>
          <cell r="N37">
            <v>924308</v>
          </cell>
          <cell r="O37">
            <v>0</v>
          </cell>
          <cell r="Q37">
            <v>245382</v>
          </cell>
          <cell r="R37">
            <v>0</v>
          </cell>
          <cell r="U37">
            <v>117956</v>
          </cell>
          <cell r="V37">
            <v>74</v>
          </cell>
          <cell r="W37">
            <v>84.620000000002619</v>
          </cell>
          <cell r="X37">
            <v>6496</v>
          </cell>
          <cell r="Y37">
            <v>6</v>
          </cell>
          <cell r="AE37">
            <v>8197773.3599999994</v>
          </cell>
          <cell r="AF37">
            <v>1851.359999999404</v>
          </cell>
          <cell r="AH37">
            <v>15565016.880000001</v>
          </cell>
          <cell r="AI37">
            <v>4530.9600000027567</v>
          </cell>
          <cell r="AK37">
            <v>15828689.52</v>
          </cell>
          <cell r="AL37">
            <v>97.439999999478459</v>
          </cell>
          <cell r="AN37">
            <v>18949010.639999997</v>
          </cell>
          <cell r="AO37">
            <v>9159.3599999956787</v>
          </cell>
          <cell r="AQ37">
            <v>19227153.119999997</v>
          </cell>
          <cell r="AR37">
            <v>0</v>
          </cell>
          <cell r="AT37">
            <v>17677175.039999999</v>
          </cell>
          <cell r="AU37">
            <v>5359.1999999992549</v>
          </cell>
          <cell r="AW37">
            <v>14871536.4</v>
          </cell>
          <cell r="AX37">
            <v>4189.9199999999255</v>
          </cell>
          <cell r="AZ37">
            <v>14400267.84</v>
          </cell>
          <cell r="BA37">
            <v>4628.4000000003725</v>
          </cell>
          <cell r="BC37">
            <v>11240483.52</v>
          </cell>
          <cell r="BD37">
            <v>3020.6399999987334</v>
          </cell>
          <cell r="BF37">
            <v>17814955.199999999</v>
          </cell>
          <cell r="BG37">
            <v>5602.8000000007451</v>
          </cell>
          <cell r="BM37">
            <v>78188000</v>
          </cell>
          <cell r="BN37">
            <v>0</v>
          </cell>
          <cell r="BP37">
            <v>81103400</v>
          </cell>
          <cell r="BQ37">
            <v>41300</v>
          </cell>
          <cell r="BS37">
            <v>75092800</v>
          </cell>
          <cell r="BT37">
            <v>0</v>
          </cell>
          <cell r="BV37">
            <v>10362870</v>
          </cell>
          <cell r="BW37">
            <v>7560</v>
          </cell>
          <cell r="BY37">
            <v>0.68</v>
          </cell>
          <cell r="BZ37">
            <v>-8.0000000000000071E-2</v>
          </cell>
          <cell r="CB37">
            <v>64716</v>
          </cell>
          <cell r="CC37">
            <v>21</v>
          </cell>
          <cell r="CD37">
            <v>55796</v>
          </cell>
          <cell r="CE37">
            <v>19</v>
          </cell>
          <cell r="CF37">
            <v>18876</v>
          </cell>
          <cell r="CG37">
            <v>7</v>
          </cell>
          <cell r="CH37">
            <v>25803</v>
          </cell>
          <cell r="CI37">
            <v>11</v>
          </cell>
          <cell r="CJ37">
            <v>28772</v>
          </cell>
          <cell r="CK37">
            <v>14</v>
          </cell>
          <cell r="CL37">
            <v>63148</v>
          </cell>
          <cell r="CM37">
            <v>34</v>
          </cell>
          <cell r="CN37">
            <v>269479</v>
          </cell>
          <cell r="CO37">
            <v>74</v>
          </cell>
          <cell r="CQ37">
            <v>217197</v>
          </cell>
          <cell r="CR37">
            <v>120</v>
          </cell>
          <cell r="CT37">
            <v>360081</v>
          </cell>
          <cell r="CU37">
            <v>297</v>
          </cell>
          <cell r="CW37">
            <v>698145</v>
          </cell>
          <cell r="CX37">
            <v>172</v>
          </cell>
          <cell r="CZ37">
            <v>9023</v>
          </cell>
          <cell r="DA37">
            <v>14</v>
          </cell>
          <cell r="DB37">
            <v>6124</v>
          </cell>
          <cell r="DC37">
            <v>10</v>
          </cell>
          <cell r="DD37">
            <v>32445</v>
          </cell>
          <cell r="DE37">
            <v>19</v>
          </cell>
          <cell r="DF37">
            <v>32634</v>
          </cell>
          <cell r="DG37">
            <v>14</v>
          </cell>
          <cell r="DH37">
            <v>22052</v>
          </cell>
          <cell r="DI37">
            <v>13</v>
          </cell>
          <cell r="DJ37">
            <v>24162</v>
          </cell>
          <cell r="DK37">
            <v>7</v>
          </cell>
          <cell r="DL37">
            <v>7301</v>
          </cell>
          <cell r="DM37">
            <v>13</v>
          </cell>
          <cell r="DN37">
            <v>9923</v>
          </cell>
          <cell r="DO37">
            <v>6</v>
          </cell>
          <cell r="DP37">
            <v>3344</v>
          </cell>
          <cell r="DQ37">
            <v>5</v>
          </cell>
          <cell r="DR37">
            <v>6608</v>
          </cell>
          <cell r="DS37">
            <v>10</v>
          </cell>
          <cell r="DT37">
            <v>30380</v>
          </cell>
          <cell r="DU37">
            <v>0</v>
          </cell>
          <cell r="DW37">
            <v>6545.9</v>
          </cell>
          <cell r="DX37">
            <v>11.099999999999454</v>
          </cell>
          <cell r="DY37">
            <v>11441.6</v>
          </cell>
          <cell r="DZ37">
            <v>8.1000000000003638</v>
          </cell>
          <cell r="EA37">
            <v>4929.8999999999996</v>
          </cell>
          <cell r="EB37">
            <v>7.2999999999992724</v>
          </cell>
          <cell r="EC37">
            <v>5500.1</v>
          </cell>
          <cell r="ED37">
            <v>-0.8999999999996362</v>
          </cell>
          <cell r="EE37">
            <v>1138062</v>
          </cell>
          <cell r="EF37">
            <v>570</v>
          </cell>
          <cell r="EI37">
            <v>234381.2</v>
          </cell>
          <cell r="EJ37">
            <v>129.80000000001746</v>
          </cell>
          <cell r="EL37">
            <v>12208000</v>
          </cell>
          <cell r="EM37">
            <v>3100</v>
          </cell>
          <cell r="EN37">
            <v>938500</v>
          </cell>
          <cell r="EO37">
            <v>240</v>
          </cell>
          <cell r="EP37">
            <v>7256800</v>
          </cell>
          <cell r="EQ37">
            <v>1600</v>
          </cell>
          <cell r="ER37">
            <v>2503800</v>
          </cell>
          <cell r="ES37">
            <v>300</v>
          </cell>
          <cell r="ET37">
            <v>1290250</v>
          </cell>
          <cell r="EU37">
            <v>550</v>
          </cell>
          <cell r="EV37">
            <v>16675100</v>
          </cell>
          <cell r="EW37">
            <v>1900</v>
          </cell>
          <cell r="EY37">
            <v>42427</v>
          </cell>
          <cell r="EZ37">
            <v>17</v>
          </cell>
          <cell r="FA37">
            <v>37037</v>
          </cell>
          <cell r="FB37">
            <v>33</v>
          </cell>
          <cell r="FC37">
            <v>7714</v>
          </cell>
          <cell r="FD37">
            <v>9</v>
          </cell>
          <cell r="FE37">
            <v>59547</v>
          </cell>
          <cell r="FF37">
            <v>19</v>
          </cell>
          <cell r="FG37">
            <v>50184</v>
          </cell>
          <cell r="FH37">
            <v>36</v>
          </cell>
        </row>
        <row r="38">
          <cell r="B38">
            <v>0.92</v>
          </cell>
          <cell r="E38">
            <v>223865</v>
          </cell>
          <cell r="F38">
            <v>660</v>
          </cell>
          <cell r="G38">
            <v>769</v>
          </cell>
          <cell r="H38">
            <v>250609</v>
          </cell>
          <cell r="I38">
            <v>548</v>
          </cell>
          <cell r="J38">
            <v>484.49000000000524</v>
          </cell>
          <cell r="K38">
            <v>10038</v>
          </cell>
          <cell r="L38">
            <v>0</v>
          </cell>
          <cell r="N38">
            <v>924389</v>
          </cell>
          <cell r="O38">
            <v>81</v>
          </cell>
          <cell r="Q38">
            <v>245382</v>
          </cell>
          <cell r="R38">
            <v>0</v>
          </cell>
          <cell r="U38">
            <v>118029</v>
          </cell>
          <cell r="V38">
            <v>73</v>
          </cell>
          <cell r="W38">
            <v>83.770000000004075</v>
          </cell>
          <cell r="X38">
            <v>6505</v>
          </cell>
          <cell r="Y38">
            <v>9</v>
          </cell>
          <cell r="AE38">
            <v>8199527.2800000003</v>
          </cell>
          <cell r="AF38">
            <v>1753.9200000008568</v>
          </cell>
          <cell r="AH38">
            <v>15569547.84</v>
          </cell>
          <cell r="AI38">
            <v>4530.9599999990314</v>
          </cell>
          <cell r="AK38">
            <v>15828786.959999999</v>
          </cell>
          <cell r="AL38">
            <v>97.439999999478459</v>
          </cell>
          <cell r="AN38">
            <v>18958072.560000002</v>
          </cell>
          <cell r="AO38">
            <v>9061.9200000055134</v>
          </cell>
          <cell r="AQ38">
            <v>19227153.119999997</v>
          </cell>
          <cell r="AR38">
            <v>0</v>
          </cell>
          <cell r="AT38">
            <v>17682534.239999998</v>
          </cell>
          <cell r="AU38">
            <v>5359.1999999992549</v>
          </cell>
          <cell r="AW38">
            <v>14875872.48</v>
          </cell>
          <cell r="AX38">
            <v>4336.0800000000745</v>
          </cell>
          <cell r="AZ38">
            <v>14405042.4</v>
          </cell>
          <cell r="BA38">
            <v>4774.5600000005215</v>
          </cell>
          <cell r="BC38">
            <v>11244186.24</v>
          </cell>
          <cell r="BD38">
            <v>3702.7200000006706</v>
          </cell>
          <cell r="BF38">
            <v>17820558</v>
          </cell>
          <cell r="BG38">
            <v>5602.8000000007451</v>
          </cell>
          <cell r="BM38">
            <v>78188000</v>
          </cell>
          <cell r="BN38">
            <v>0</v>
          </cell>
          <cell r="BP38">
            <v>81144000</v>
          </cell>
          <cell r="BQ38">
            <v>40600</v>
          </cell>
          <cell r="BS38">
            <v>75092800</v>
          </cell>
          <cell r="BT38">
            <v>0</v>
          </cell>
          <cell r="BV38">
            <v>10370030</v>
          </cell>
          <cell r="BW38">
            <v>7160</v>
          </cell>
          <cell r="BY38">
            <v>0.59</v>
          </cell>
          <cell r="BZ38">
            <v>9.000000000000008E-2</v>
          </cell>
          <cell r="CB38">
            <v>64736</v>
          </cell>
          <cell r="CC38">
            <v>20</v>
          </cell>
          <cell r="CD38">
            <v>55815</v>
          </cell>
          <cell r="CE38">
            <v>19</v>
          </cell>
          <cell r="CF38">
            <v>18883</v>
          </cell>
          <cell r="CG38">
            <v>7</v>
          </cell>
          <cell r="CH38">
            <v>25814</v>
          </cell>
          <cell r="CI38">
            <v>11</v>
          </cell>
          <cell r="CJ38">
            <v>28786</v>
          </cell>
          <cell r="CK38">
            <v>14</v>
          </cell>
          <cell r="CL38">
            <v>63186</v>
          </cell>
          <cell r="CM38">
            <v>38</v>
          </cell>
          <cell r="CN38">
            <v>269551</v>
          </cell>
          <cell r="CO38">
            <v>72</v>
          </cell>
          <cell r="CQ38">
            <v>217306</v>
          </cell>
          <cell r="CR38">
            <v>109</v>
          </cell>
          <cell r="CT38">
            <v>360353</v>
          </cell>
          <cell r="CU38">
            <v>272</v>
          </cell>
          <cell r="CW38">
            <v>698316</v>
          </cell>
          <cell r="CX38">
            <v>171</v>
          </cell>
          <cell r="CZ38">
            <v>9036</v>
          </cell>
          <cell r="DA38">
            <v>13</v>
          </cell>
          <cell r="DB38">
            <v>6132</v>
          </cell>
          <cell r="DC38">
            <v>8</v>
          </cell>
          <cell r="DD38">
            <v>32464</v>
          </cell>
          <cell r="DE38">
            <v>19</v>
          </cell>
          <cell r="DF38">
            <v>32650</v>
          </cell>
          <cell r="DG38">
            <v>16</v>
          </cell>
          <cell r="DH38">
            <v>22066</v>
          </cell>
          <cell r="DI38">
            <v>14</v>
          </cell>
          <cell r="DJ38">
            <v>24170</v>
          </cell>
          <cell r="DK38">
            <v>8</v>
          </cell>
          <cell r="DL38">
            <v>7313</v>
          </cell>
          <cell r="DM38">
            <v>12</v>
          </cell>
          <cell r="DN38">
            <v>9929</v>
          </cell>
          <cell r="DO38">
            <v>6</v>
          </cell>
          <cell r="DP38">
            <v>3348</v>
          </cell>
          <cell r="DQ38">
            <v>4</v>
          </cell>
          <cell r="DR38">
            <v>6618</v>
          </cell>
          <cell r="DS38">
            <v>10</v>
          </cell>
          <cell r="DT38">
            <v>30380</v>
          </cell>
          <cell r="DU38">
            <v>0</v>
          </cell>
          <cell r="DW38">
            <v>6557.1</v>
          </cell>
          <cell r="DX38">
            <v>11.200000000000728</v>
          </cell>
          <cell r="DY38">
            <v>11449.8</v>
          </cell>
          <cell r="DZ38">
            <v>8.1999999999989086</v>
          </cell>
          <cell r="EA38">
            <v>4936.8999999999996</v>
          </cell>
          <cell r="EB38">
            <v>7</v>
          </cell>
          <cell r="EC38">
            <v>5514.2</v>
          </cell>
          <cell r="ED38">
            <v>14.099999999999454</v>
          </cell>
          <cell r="EE38">
            <v>1138614</v>
          </cell>
          <cell r="EF38">
            <v>552</v>
          </cell>
          <cell r="EI38">
            <v>234511.8</v>
          </cell>
          <cell r="EJ38">
            <v>130.59999999997672</v>
          </cell>
          <cell r="EL38">
            <v>12211500</v>
          </cell>
          <cell r="EM38">
            <v>3500</v>
          </cell>
          <cell r="EN38">
            <v>938760</v>
          </cell>
          <cell r="EO38">
            <v>260</v>
          </cell>
          <cell r="EP38">
            <v>7258600</v>
          </cell>
          <cell r="EQ38">
            <v>1800</v>
          </cell>
          <cell r="ER38">
            <v>2504000</v>
          </cell>
          <cell r="ES38">
            <v>200</v>
          </cell>
          <cell r="ET38">
            <v>1290890</v>
          </cell>
          <cell r="EU38">
            <v>640</v>
          </cell>
          <cell r="EV38">
            <v>16677300</v>
          </cell>
          <cell r="EW38">
            <v>2200</v>
          </cell>
          <cell r="EY38">
            <v>42443</v>
          </cell>
          <cell r="EZ38">
            <v>16</v>
          </cell>
          <cell r="FA38">
            <v>37053</v>
          </cell>
          <cell r="FB38">
            <v>16</v>
          </cell>
          <cell r="FC38">
            <v>7723</v>
          </cell>
          <cell r="FD38">
            <v>9</v>
          </cell>
          <cell r="FE38">
            <v>59566</v>
          </cell>
          <cell r="FF38">
            <v>19</v>
          </cell>
          <cell r="FG38">
            <v>50222</v>
          </cell>
          <cell r="FH38">
            <v>38</v>
          </cell>
        </row>
        <row r="39">
          <cell r="F39">
            <v>-223865</v>
          </cell>
          <cell r="G39">
            <v>828</v>
          </cell>
          <cell r="I39">
            <v>-250609</v>
          </cell>
          <cell r="J39">
            <v>537.5</v>
          </cell>
          <cell r="L39">
            <v>-10038</v>
          </cell>
          <cell r="O39">
            <v>-924389</v>
          </cell>
          <cell r="R39">
            <v>-245382</v>
          </cell>
          <cell r="V39">
            <v>-118029</v>
          </cell>
          <cell r="W39">
            <v>90.009999999994761</v>
          </cell>
          <cell r="Y39">
            <v>-6505</v>
          </cell>
          <cell r="AF39">
            <v>-8199527.2800000003</v>
          </cell>
          <cell r="AI39">
            <v>-15569547.84</v>
          </cell>
          <cell r="AL39">
            <v>-15828786.959999999</v>
          </cell>
          <cell r="AO39">
            <v>-18958072.560000002</v>
          </cell>
          <cell r="AR39">
            <v>-19227153.119999997</v>
          </cell>
          <cell r="AU39">
            <v>-17682534.239999998</v>
          </cell>
          <cell r="AX39">
            <v>-14875872.48</v>
          </cell>
          <cell r="BA39">
            <v>-14405042.4</v>
          </cell>
          <cell r="BD39">
            <v>-11244186.24</v>
          </cell>
          <cell r="BG39">
            <v>-17820558</v>
          </cell>
          <cell r="BN39">
            <v>-78188000</v>
          </cell>
          <cell r="BQ39">
            <v>-81144000</v>
          </cell>
          <cell r="BT39">
            <v>-75092800</v>
          </cell>
          <cell r="BW39">
            <v>-10370030</v>
          </cell>
          <cell r="BZ39">
            <v>0.59</v>
          </cell>
          <cell r="CC39">
            <v>-64736</v>
          </cell>
          <cell r="CE39">
            <v>-55815</v>
          </cell>
          <cell r="CG39">
            <v>-18883</v>
          </cell>
          <cell r="CI39">
            <v>-25814</v>
          </cell>
          <cell r="CK39">
            <v>-28786</v>
          </cell>
          <cell r="CM39">
            <v>-63186</v>
          </cell>
          <cell r="CO39">
            <v>-269551</v>
          </cell>
          <cell r="CR39">
            <v>-217306</v>
          </cell>
          <cell r="CU39">
            <v>-360353</v>
          </cell>
          <cell r="CX39">
            <v>-698316</v>
          </cell>
          <cell r="DA39">
            <v>-9036</v>
          </cell>
          <cell r="DC39">
            <v>-6132</v>
          </cell>
          <cell r="DE39">
            <v>-32464</v>
          </cell>
          <cell r="DG39">
            <v>-32650</v>
          </cell>
          <cell r="DI39">
            <v>-22066</v>
          </cell>
          <cell r="DK39">
            <v>-24170</v>
          </cell>
          <cell r="DM39">
            <v>-7313</v>
          </cell>
          <cell r="DO39">
            <v>-9929</v>
          </cell>
          <cell r="DQ39">
            <v>-3348</v>
          </cell>
          <cell r="DS39">
            <v>-6618</v>
          </cell>
          <cell r="DU39">
            <v>-30380</v>
          </cell>
          <cell r="DX39">
            <v>-6557.1</v>
          </cell>
          <cell r="DZ39">
            <v>-11449.8</v>
          </cell>
          <cell r="EB39">
            <v>-4936.8999999999996</v>
          </cell>
          <cell r="ED39">
            <v>-5514.2</v>
          </cell>
          <cell r="EF39">
            <v>-1138614</v>
          </cell>
          <cell r="EJ39">
            <v>-234511.8</v>
          </cell>
          <cell r="EM39">
            <v>-12211500</v>
          </cell>
          <cell r="EO39">
            <v>-938760</v>
          </cell>
          <cell r="EQ39">
            <v>-7258600</v>
          </cell>
          <cell r="ES39">
            <v>-2504000</v>
          </cell>
          <cell r="EU39">
            <v>-1290890</v>
          </cell>
          <cell r="EW39">
            <v>-16677300</v>
          </cell>
          <cell r="EZ39">
            <v>-42443</v>
          </cell>
          <cell r="FB39">
            <v>-37053</v>
          </cell>
          <cell r="FD39">
            <v>-7723</v>
          </cell>
          <cell r="FF39">
            <v>-59566</v>
          </cell>
          <cell r="FH39">
            <v>-50222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173.01</v>
      </c>
      <c r="N25">
        <f>Submetering!F25</f>
        <v>388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Submetering!Z26+Submetering!AA26+Submetering!AB26</f>
        <v>842.93999999999994</v>
      </c>
      <c r="H26" s="238">
        <f t="shared" si="0"/>
        <v>3.3461538461538458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38">
        <f>Submetering!E26</f>
        <v>165.89999999999998</v>
      </c>
      <c r="N26">
        <f>Submetering!F26</f>
        <v>372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Submetering!Z27+Submetering!AA27+Submetering!AB27</f>
        <v>863.7299999999999</v>
      </c>
      <c r="H27" s="238">
        <f t="shared" si="0"/>
        <v>3.3461538461538458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38">
        <f>Submetering!E27</f>
        <v>173.01</v>
      </c>
      <c r="N27">
        <f>Submetering!F27</f>
        <v>418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37075.919999998994</v>
      </c>
      <c r="F28">
        <v>0.44447999999999999</v>
      </c>
      <c r="G28" s="3">
        <f>Submetering!Z28+Submetering!AA28+Submetering!AB28</f>
        <v>765.45</v>
      </c>
      <c r="H28" s="238">
        <f t="shared" si="0"/>
        <v>3.3461538461538458</v>
      </c>
      <c r="I28" s="3">
        <f>Submetering!G28</f>
        <v>554</v>
      </c>
      <c r="J28">
        <v>13.83</v>
      </c>
      <c r="K28" s="3">
        <f>Submetering!BL28</f>
        <v>179</v>
      </c>
      <c r="L28">
        <v>1.2</v>
      </c>
      <c r="M28" s="238">
        <f>Submetering!E29</f>
        <v>220.41000000000003</v>
      </c>
      <c r="N28">
        <f>Submetering!F28</f>
        <v>466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38440.079999996349</v>
      </c>
      <c r="F29">
        <v>0.44447999999999999</v>
      </c>
      <c r="G29" s="3">
        <f>Submetering!Z29+Submetering!AA29+Submetering!AB29</f>
        <v>927.9899999999999</v>
      </c>
      <c r="H29" s="238">
        <f t="shared" si="0"/>
        <v>3.3461538461538458</v>
      </c>
      <c r="I29" s="3">
        <f>Submetering!G29</f>
        <v>659</v>
      </c>
      <c r="J29">
        <v>13.83</v>
      </c>
      <c r="K29" s="3">
        <f>Submetering!BL29</f>
        <v>1</v>
      </c>
      <c r="L29">
        <v>1.2</v>
      </c>
      <c r="M29" s="238" t="e">
        <f>Submetering!#REF!</f>
        <v>#REF!</v>
      </c>
      <c r="N29">
        <f>Submetering!F29</f>
        <v>464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39219.600000006147</v>
      </c>
      <c r="F30">
        <v>0.44447999999999999</v>
      </c>
      <c r="G30" s="3">
        <f>Submetering!Z30+Submetering!AA30+Submetering!AB30</f>
        <v>856.16999999999985</v>
      </c>
      <c r="H30" s="238">
        <f t="shared" si="0"/>
        <v>3.3461538461538458</v>
      </c>
      <c r="I30" s="3">
        <f>Submetering!G30</f>
        <v>660</v>
      </c>
      <c r="J30">
        <v>13.83</v>
      </c>
      <c r="K30" s="3">
        <f>Submetering!BL30</f>
        <v>0</v>
      </c>
      <c r="L30">
        <v>1.2</v>
      </c>
      <c r="M30" s="238">
        <f>Submetering!E30</f>
        <v>218.04000000000002</v>
      </c>
      <c r="N30">
        <f>Submetering!F30</f>
        <v>464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464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7" sqref="E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237*0.73</f>
        <v>173.01</v>
      </c>
      <c r="F25" s="79">
        <f>279+109</f>
        <v>388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>
        <f>237*0.7</f>
        <v>165.89999999999998</v>
      </c>
      <c r="F26" s="79">
        <f>274+98</f>
        <v>372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4">
        <f>('DJB Daily Readings'!BY34-'DJB Daily Readings'!BY33)*1.89</f>
        <v>37.799999999999997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24.57</v>
      </c>
      <c r="AI26" s="84">
        <f>('DJB Daily Readings'!CI34-'DJB Daily Readings'!CI33)*1.89</f>
        <v>71.819999999999993</v>
      </c>
      <c r="AJ26" s="81">
        <f>'DJB Daily Readings'!CY34-'DJB Daily Readings'!CY33</f>
        <v>3</v>
      </c>
      <c r="AK26" s="81">
        <f>'DJB Daily Readings'!CW34-'DJB Daily Readings'!CW33</f>
        <v>6</v>
      </c>
      <c r="AL26" s="82">
        <f>'DJB Daily Readings'!DC34-'DJB Daily Readings'!DC33</f>
        <v>20</v>
      </c>
      <c r="AM26" s="82">
        <f>'DJB Daily Readings'!DA34-'DJB Daily Readings'!DA33</f>
        <v>22</v>
      </c>
      <c r="AN26" s="82">
        <f>'DJB Daily Readings'!DG34-'DJB Daily Readings'!DG33</f>
        <v>4</v>
      </c>
      <c r="AO26" s="82">
        <f>'DJB Daily Readings'!DE34-'DJB Daily Readings'!DE33</f>
        <v>12</v>
      </c>
      <c r="AP26" s="82">
        <f>'DJB Daily Readings'!DK34-'DJB Daily Readings'!DK33</f>
        <v>12</v>
      </c>
      <c r="AQ26" s="82">
        <f>'DJB Daily Readings'!DI34-'DJB Daily Readings'!DI33</f>
        <v>17</v>
      </c>
      <c r="AR26" s="82">
        <f>'DJB Daily Readings'!DO34-'DJB Daily Readings'!DO33</f>
        <v>15</v>
      </c>
      <c r="AS26" s="82">
        <f>'DJB Daily Readings'!DM34-'DJB Daily Readings'!DM33</f>
        <v>7</v>
      </c>
      <c r="AT26" s="82">
        <f>'DJB Daily Readings'!DQ34-'DJB Daily Readings'!DQ33</f>
        <v>8</v>
      </c>
      <c r="AU26" s="82">
        <f>'DJB Daily Readings'!DT34-'DJB Daily Readings'!DT33</f>
        <v>11</v>
      </c>
      <c r="AW26" s="82">
        <f>'DJB Daily Readings'!DX34-'DJB Daily Readings'!DX33</f>
        <v>6.8000000000001819</v>
      </c>
      <c r="AX26" s="82">
        <f>'DJB Daily Readings'!DZ34-'DJB Daily Readings'!DZ33</f>
        <v>6.6999999999998181</v>
      </c>
      <c r="AY26" s="82">
        <f>'DJB Daily Readings'!EB34-'DJB Daily Readings'!EB33</f>
        <v>627</v>
      </c>
      <c r="AZ26" s="82">
        <f>'DJB Daily Readings'!ED34-'DJB Daily Readings'!ED33</f>
        <v>128</v>
      </c>
      <c r="BA26" s="82">
        <f>'DJB Daily Readings'!EG34-'DJB Daily Readings'!EG33</f>
        <v>3500</v>
      </c>
      <c r="BB26" s="82">
        <f>'DJB Daily Readings'!EI34-'DJB Daily Readings'!EI33</f>
        <v>250</v>
      </c>
      <c r="BC26" s="82">
        <f>'DJB Daily Readings'!EQ34-'DJB Daily Readings'!EQ33</f>
        <v>2300</v>
      </c>
      <c r="BD26" s="82">
        <f>'DJB Daily Readings'!EK34-'DJB Daily Readings'!EK33</f>
        <v>1700</v>
      </c>
      <c r="BE26" s="82">
        <f>'DJB Daily Readings'!EM34-'DJB Daily Readings'!EM33</f>
        <v>500</v>
      </c>
      <c r="BF26" s="82">
        <f>'DJB Daily Readings'!EO34-'DJB Daily Readings'!EO33</f>
        <v>610</v>
      </c>
      <c r="BG26" s="82">
        <f>('DJB Daily Readings'!ET34-'DJB Daily Readings'!ET33)*1.89</f>
        <v>32.129999999999995</v>
      </c>
      <c r="BH26" s="82">
        <f>('DJB Daily Readings'!EV34-'DJB Daily Readings'!EV33)*1.89</f>
        <v>26.459999999999997</v>
      </c>
      <c r="BI26" s="82">
        <f>('DJB Daily Readings'!EZ34-'DJB Daily Readings'!EZ33)*1.89</f>
        <v>26.459999999999997</v>
      </c>
      <c r="BJ26" s="82">
        <f>('DJB Daily Readings'!EX34-'DJB Daily Readings'!EX33)*1.89</f>
        <v>24.57</v>
      </c>
      <c r="BK26" s="82">
        <f>('DJB Daily Readings'!FB34-'DJB Daily Readings'!FB33)*1.89</f>
        <v>66.149999999999991</v>
      </c>
      <c r="BL26" s="82">
        <f>'DJB Daily Readings'!J34</f>
        <v>190</v>
      </c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>
        <f>237*0.73</f>
        <v>173.01</v>
      </c>
      <c r="F27" s="79">
        <f>304+114</f>
        <v>418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24.57</v>
      </c>
      <c r="AI27" s="84">
        <f>('DJB Daily Readings'!CI35-'DJB Daily Readings'!CI34)*1.89</f>
        <v>68.039999999999992</v>
      </c>
      <c r="AJ27" s="81">
        <f>'DJB Daily Readings'!CY35-'DJB Daily Readings'!CY34</f>
        <v>6</v>
      </c>
      <c r="AK27" s="81">
        <f>'DJB Daily Readings'!CW35-'DJB Daily Readings'!CW34</f>
        <v>9</v>
      </c>
      <c r="AL27" s="82">
        <f>'DJB Daily Readings'!DC35-'DJB Daily Readings'!DC34</f>
        <v>12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7</v>
      </c>
      <c r="AQ27" s="82">
        <f>'DJB Daily Readings'!DI35-'DJB Daily Readings'!DI34</f>
        <v>11</v>
      </c>
      <c r="AR27" s="82">
        <f>'DJB Daily Readings'!DO35-'DJB Daily Readings'!DO34</f>
        <v>12</v>
      </c>
      <c r="AS27" s="82">
        <f>'DJB Daily Readings'!DM35-'DJB Daily Readings'!DM34</f>
        <v>4</v>
      </c>
      <c r="AT27" s="82">
        <f>'DJB Daily Readings'!DQ35-'DJB Daily Readings'!DQ34</f>
        <v>1</v>
      </c>
      <c r="AU27" s="82">
        <f>'DJB Daily Readings'!DT35-'DJB Daily Readings'!DT34</f>
        <v>9.6999999999998181</v>
      </c>
      <c r="AW27" s="82">
        <f>'DJB Daily Readings'!DX35-'DJB Daily Readings'!DX34</f>
        <v>6.8000000000001819</v>
      </c>
      <c r="AX27" s="82">
        <f>'DJB Daily Readings'!DZ35-'DJB Daily Readings'!DZ34</f>
        <v>6</v>
      </c>
      <c r="AY27" s="82">
        <f>'DJB Daily Readings'!EB35-'DJB Daily Readings'!EB34</f>
        <v>549</v>
      </c>
      <c r="AZ27" s="82">
        <f>'DJB Daily Readings'!ED35-'DJB Daily Readings'!ED34</f>
        <v>127.10000000000582</v>
      </c>
      <c r="BA27" s="82">
        <f>'DJB Daily Readings'!EG35-'DJB Daily Readings'!EG34</f>
        <v>3100</v>
      </c>
      <c r="BB27" s="82">
        <f>'DJB Daily Readings'!EI35-'DJB Daily Readings'!EI34</f>
        <v>220</v>
      </c>
      <c r="BC27" s="82">
        <f>'DJB Daily Readings'!EQ35-'DJB Daily Readings'!EQ34</f>
        <v>1600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610</v>
      </c>
      <c r="BG27" s="82">
        <f>('DJB Daily Readings'!ET35-'DJB Daily Readings'!ET34)*1.89</f>
        <v>34.019999999999996</v>
      </c>
      <c r="BH27" s="82">
        <f>('DJB Daily Readings'!EV35-'DJB Daily Readings'!EV34)*1.89</f>
        <v>28.349999999999998</v>
      </c>
      <c r="BI27" s="82">
        <f>('DJB Daily Readings'!EZ35-'DJB Daily Readings'!EZ34)*1.89</f>
        <v>30.24</v>
      </c>
      <c r="BJ27" s="82">
        <f>('DJB Daily Readings'!EX35-'DJB Daily Readings'!EX34)*1.89</f>
        <v>18.899999999999999</v>
      </c>
      <c r="BK27" s="82">
        <f>('DJB Daily Readings'!FB35-'DJB Daily Readings'!FB34)*1.89</f>
        <v>66.149999999999991</v>
      </c>
      <c r="BL27" s="82">
        <f>'DJB Daily Readings'!J35</f>
        <v>216</v>
      </c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>
        <f>237*0.93</f>
        <v>220.41000000000003</v>
      </c>
      <c r="F28" s="79">
        <f>341+125</f>
        <v>466</v>
      </c>
      <c r="G28" s="3">
        <f>'DJB Daily Readings'!C36-'DJB Daily Readings'!C35</f>
        <v>554</v>
      </c>
      <c r="H28" s="3">
        <f>'DJB Daily Readings'!F36-'DJB Daily Readings'!F35</f>
        <v>440</v>
      </c>
      <c r="I28" s="3">
        <f>'DJB Daily Readings'!K36-'DJB Daily Readings'!K35</f>
        <v>0</v>
      </c>
      <c r="J28" s="3">
        <f>'DJB Daily Readings'!K36-'DJB Daily Readings'!K35</f>
        <v>0</v>
      </c>
      <c r="K28" s="3">
        <f>'DJB Daily Readings'!O36-'DJB Daily Readings'!O35</f>
        <v>71</v>
      </c>
      <c r="L28" s="3">
        <f>'DJB Daily Readings'!R36-'DJB Daily Readings'!R35</f>
        <v>9</v>
      </c>
      <c r="M28" s="3">
        <f>'DJB Daily Readings'!U36-'DJB Daily Readings'!U35</f>
        <v>1705.2000000001863</v>
      </c>
      <c r="N28" s="3">
        <f>'DJB Daily Readings'!X36-'DJB Daily Readings'!X35</f>
        <v>4482.2399999983609</v>
      </c>
      <c r="O28" s="3">
        <f>'DJB Daily Readings'!AA36-'DJB Daily Readings'!AA35</f>
        <v>97.439999999478459</v>
      </c>
      <c r="P28" s="3">
        <f>'DJB Daily Readings'!AD36-'DJB Daily Readings'!AD35</f>
        <v>8331.1200000010431</v>
      </c>
      <c r="Q28" s="3">
        <f>'DJB Daily Readings'!AG36-'DJB Daily Readings'!AG35</f>
        <v>438.48000000044703</v>
      </c>
      <c r="R28" s="3">
        <f>'DJB Daily Readings'!AJ36-'DJB Daily Readings'!AJ35</f>
        <v>5261.7599999979138</v>
      </c>
      <c r="S28" s="3">
        <f>'DJB Daily Readings'!AM36-'DJB Daily Readings'!AM35</f>
        <v>3946.320000000298</v>
      </c>
      <c r="T28" s="3">
        <f>'DJB Daily Readings'!AP36-'DJB Daily Readings'!AP35</f>
        <v>4579.679999999702</v>
      </c>
      <c r="U28" s="3">
        <f>'DJB Daily Readings'!AS36-'DJB Daily Readings'!AS35</f>
        <v>2728.3200000021607</v>
      </c>
      <c r="V28" s="3">
        <f>'DJB Daily Readings'!AV36-'DJB Daily Readings'!AV35</f>
        <v>5505.359999999404</v>
      </c>
      <c r="W28" s="3">
        <f>'DJB Daily Readings'!AZ36-'DJB Daily Readings'!AZ35</f>
        <v>0</v>
      </c>
      <c r="X28" s="3">
        <f>'DJB Daily Readings'!BC36-'DJB Daily Readings'!BC35</f>
        <v>40400</v>
      </c>
      <c r="Y28" s="3">
        <f>'DJB Daily Readings'!BF36-'DJB Daily Readings'!BF35</f>
        <v>0</v>
      </c>
      <c r="Z28" s="3">
        <f>('DJB Daily Readings'!CK36-'DJB Daily Readings'!CK35)*1.89</f>
        <v>137.97</v>
      </c>
      <c r="AA28" s="3">
        <f>('DJB Daily Readings'!CN36-'DJB Daily Readings'!CN35)*1.89</f>
        <v>226.79999999999998</v>
      </c>
      <c r="AB28" s="3">
        <f>('DJB Daily Readings'!CQ36-'DJB Daily Readings'!CQ35)*1.89</f>
        <v>400.68</v>
      </c>
      <c r="AC28" s="3">
        <f>'DJB Daily Readings'!CT36-'DJB Daily Readings'!CT35</f>
        <v>172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15.12</v>
      </c>
      <c r="AG28" s="84">
        <f>('DJB Daily Readings'!CE36-'DJB Daily Readings'!CE35)*1.89</f>
        <v>18.899999999999999</v>
      </c>
      <c r="AH28" s="84">
        <f>('DJB Daily Readings'!CG36-'DJB Daily Readings'!CG35)*1.89</f>
        <v>26.459999999999997</v>
      </c>
      <c r="AI28" s="84">
        <f>('DJB Daily Readings'!CI36-'DJB Daily Readings'!CI35)*1.89</f>
        <v>66.149999999999991</v>
      </c>
      <c r="AJ28" s="81">
        <f>'DJB Daily Readings'!CY36-'DJB Daily Readings'!CY35</f>
        <v>6</v>
      </c>
      <c r="AK28" s="81">
        <f>'DJB Daily Readings'!CW36-'DJB Daily Readings'!CW35</f>
        <v>9</v>
      </c>
      <c r="AL28" s="82">
        <f>'DJB Daily Readings'!DC36-'DJB Daily Readings'!DC35</f>
        <v>15</v>
      </c>
      <c r="AM28" s="82">
        <f>'DJB Daily Readings'!DA36-'DJB Daily Readings'!DA35</f>
        <v>17</v>
      </c>
      <c r="AN28" s="82">
        <f>'DJB Daily Readings'!DG36-'DJB Daily Readings'!DG35</f>
        <v>7</v>
      </c>
      <c r="AO28" s="82">
        <f>'DJB Daily Readings'!DE36-'DJB Daily Readings'!DE35</f>
        <v>12</v>
      </c>
      <c r="AP28" s="82">
        <f>'DJB Daily Readings'!DK36-'DJB Daily Readings'!DK35</f>
        <v>6</v>
      </c>
      <c r="AQ28" s="82">
        <f>'DJB Daily Readings'!DI36-'DJB Daily Readings'!DI35</f>
        <v>14</v>
      </c>
      <c r="AR28" s="82">
        <f>'DJB Daily Readings'!DO36-'DJB Daily Readings'!DO35</f>
        <v>9</v>
      </c>
      <c r="AS28" s="82">
        <f>'DJB Daily Readings'!DM36-'DJB Daily Readings'!DM35</f>
        <v>4</v>
      </c>
      <c r="AT28" s="82">
        <f>'DJB Daily Readings'!DQ36-'DJB Daily Readings'!DQ35</f>
        <v>0</v>
      </c>
      <c r="AU28" s="82">
        <f>'DJB Daily Readings'!DT36-'DJB Daily Readings'!DT35</f>
        <v>10.5</v>
      </c>
      <c r="AW28" s="82">
        <f>'DJB Daily Readings'!DX36-'DJB Daily Readings'!DX35</f>
        <v>7.1000000000003638</v>
      </c>
      <c r="AX28" s="82">
        <f>'DJB Daily Readings'!DZ36-'DJB Daily Readings'!DZ35</f>
        <v>6.8000000000001819</v>
      </c>
      <c r="AY28" s="82">
        <f>'DJB Daily Readings'!EB36-'DJB Daily Readings'!EB35</f>
        <v>569</v>
      </c>
      <c r="AZ28" s="82">
        <f>'DJB Daily Readings'!ED36-'DJB Daily Readings'!ED35</f>
        <v>132.79999999998836</v>
      </c>
      <c r="BA28" s="82">
        <f>'DJB Daily Readings'!EG36-'DJB Daily Readings'!EG35</f>
        <v>3200</v>
      </c>
      <c r="BB28" s="82">
        <f>'DJB Daily Readings'!EI36-'DJB Daily Readings'!EI35</f>
        <v>220</v>
      </c>
      <c r="BC28" s="82">
        <f>'DJB Daily Readings'!EQ36-'DJB Daily Readings'!EQ35</f>
        <v>1500</v>
      </c>
      <c r="BD28" s="82">
        <f>'DJB Daily Readings'!EK36-'DJB Daily Readings'!EK35</f>
        <v>1700</v>
      </c>
      <c r="BE28" s="82">
        <f>'DJB Daily Readings'!EM36-'DJB Daily Readings'!EM35</f>
        <v>200</v>
      </c>
      <c r="BF28" s="82">
        <f>'DJB Daily Readings'!EO36-'DJB Daily Readings'!EO35</f>
        <v>600</v>
      </c>
      <c r="BG28" s="82">
        <f>('DJB Daily Readings'!ET36-'DJB Daily Readings'!ET35)*1.89</f>
        <v>32.129999999999995</v>
      </c>
      <c r="BH28" s="82">
        <f>('DJB Daily Readings'!EV36-'DJB Daily Readings'!EV35)*1.89</f>
        <v>0</v>
      </c>
      <c r="BI28" s="82">
        <f>('DJB Daily Readings'!EZ36-'DJB Daily Readings'!EZ35)*1.89</f>
        <v>26.459999999999997</v>
      </c>
      <c r="BJ28" s="82">
        <f>('DJB Daily Readings'!EX36-'DJB Daily Readings'!EX35)*1.89</f>
        <v>18.899999999999999</v>
      </c>
      <c r="BK28" s="82">
        <f>('DJB Daily Readings'!FB36-'DJB Daily Readings'!FB35)*1.89</f>
        <v>66.149999999999991</v>
      </c>
      <c r="BL28" s="82">
        <f>'DJB Daily Readings'!J36</f>
        <v>179</v>
      </c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>
        <f>237*0.93</f>
        <v>220.41000000000003</v>
      </c>
      <c r="F29" s="79">
        <f>346+118</f>
        <v>464</v>
      </c>
      <c r="G29" s="3">
        <f>'DJB Daily Readings'!C37-'DJB Daily Readings'!C36</f>
        <v>659</v>
      </c>
      <c r="H29" s="3">
        <f>'DJB Daily Readings'!F37-'DJB Daily Readings'!F36</f>
        <v>526</v>
      </c>
      <c r="I29" s="3">
        <f>'DJB Daily Readings'!K37-'DJB Daily Readings'!K36</f>
        <v>0</v>
      </c>
      <c r="J29" s="3">
        <f>'DJB Daily Readings'!K37-'DJB Daily Readings'!K36</f>
        <v>0</v>
      </c>
      <c r="K29" s="3">
        <f>'DJB Daily Readings'!O37-'DJB Daily Readings'!O36</f>
        <v>74</v>
      </c>
      <c r="L29" s="3">
        <f>'DJB Daily Readings'!R37-'DJB Daily Readings'!R36</f>
        <v>6</v>
      </c>
      <c r="M29" s="3">
        <f>'DJB Daily Readings'!U37-'DJB Daily Readings'!U36</f>
        <v>1851.359999999404</v>
      </c>
      <c r="N29" s="3">
        <f>'DJB Daily Readings'!X37-'DJB Daily Readings'!X36</f>
        <v>4530.9600000027567</v>
      </c>
      <c r="O29" s="3">
        <f>'DJB Daily Readings'!AA37-'DJB Daily Readings'!AA36</f>
        <v>97.439999999478459</v>
      </c>
      <c r="P29" s="3">
        <f>'DJB Daily Readings'!AD37-'DJB Daily Readings'!AD36</f>
        <v>9159.3599999956787</v>
      </c>
      <c r="Q29" s="3">
        <f>'DJB Daily Readings'!AG37-'DJB Daily Readings'!AG36</f>
        <v>0</v>
      </c>
      <c r="R29" s="3">
        <f>'DJB Daily Readings'!AJ37-'DJB Daily Readings'!AJ36</f>
        <v>5359.1999999992549</v>
      </c>
      <c r="S29" s="3">
        <f>'DJB Daily Readings'!AM37-'DJB Daily Readings'!AM36</f>
        <v>4189.9199999999255</v>
      </c>
      <c r="T29" s="3">
        <f>'DJB Daily Readings'!AP37-'DJB Daily Readings'!AP36</f>
        <v>4628.4000000003725</v>
      </c>
      <c r="U29" s="3">
        <f>'DJB Daily Readings'!AS37-'DJB Daily Readings'!AS36</f>
        <v>3020.6399999987334</v>
      </c>
      <c r="V29" s="3">
        <f>'DJB Daily Readings'!AV37-'DJB Daily Readings'!AV36</f>
        <v>5602.8000000007451</v>
      </c>
      <c r="W29" s="3">
        <f>'DJB Daily Readings'!AZ37-'DJB Daily Readings'!AZ36</f>
        <v>0</v>
      </c>
      <c r="X29" s="3">
        <f>'DJB Daily Readings'!BC37-'DJB Daily Readings'!BC36</f>
        <v>41300</v>
      </c>
      <c r="Y29" s="3">
        <f>'DJB Daily Readings'!BF37-'DJB Daily Readings'!BF36</f>
        <v>0</v>
      </c>
      <c r="Z29" s="3">
        <f>('DJB Daily Readings'!CK37-'DJB Daily Readings'!CK36)*1.89</f>
        <v>139.85999999999999</v>
      </c>
      <c r="AA29" s="3">
        <f>('DJB Daily Readings'!CN37-'DJB Daily Readings'!CN36)*1.89</f>
        <v>226.79999999999998</v>
      </c>
      <c r="AB29" s="3">
        <f>('DJB Daily Readings'!CQ37-'DJB Daily Readings'!CQ36)*1.89</f>
        <v>561.32999999999993</v>
      </c>
      <c r="AC29" s="3">
        <f>'DJB Daily Readings'!CT37-'DJB Daily Readings'!CT36</f>
        <v>172</v>
      </c>
      <c r="AD29" s="84">
        <f>('DJB Daily Readings'!BY37-'DJB Daily Readings'!BY36)*1.89</f>
        <v>39.69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26.459999999999997</v>
      </c>
      <c r="AI29" s="84">
        <f>('DJB Daily Readings'!CI37-'DJB Daily Readings'!CI36)*1.89</f>
        <v>64.259999999999991</v>
      </c>
      <c r="AJ29" s="81">
        <f>'DJB Daily Readings'!CY37-'DJB Daily Readings'!CY36</f>
        <v>10</v>
      </c>
      <c r="AK29" s="81">
        <f>'DJB Daily Readings'!CW37-'DJB Daily Readings'!CW36</f>
        <v>14</v>
      </c>
      <c r="AL29" s="82">
        <f>'DJB Daily Readings'!DC37-'DJB Daily Readings'!DC36</f>
        <v>14</v>
      </c>
      <c r="AM29" s="82">
        <f>'DJB Daily Readings'!DA37-'DJB Daily Readings'!DA36</f>
        <v>19</v>
      </c>
      <c r="AN29" s="82">
        <f>'DJB Daily Readings'!DG37-'DJB Daily Readings'!DG36</f>
        <v>7</v>
      </c>
      <c r="AO29" s="82">
        <f>'DJB Daily Readings'!DE37-'DJB Daily Readings'!DE36</f>
        <v>13</v>
      </c>
      <c r="AP29" s="82">
        <f>'DJB Daily Readings'!DK37-'DJB Daily Readings'!DK36</f>
        <v>6</v>
      </c>
      <c r="AQ29" s="82">
        <f>'DJB Daily Readings'!DI37-'DJB Daily Readings'!DI36</f>
        <v>13</v>
      </c>
      <c r="AR29" s="82">
        <f>'DJB Daily Readings'!DO37-'DJB Daily Readings'!DO36</f>
        <v>10</v>
      </c>
      <c r="AS29" s="82">
        <f>'DJB Daily Readings'!DM37-'DJB Daily Readings'!DM36</f>
        <v>5</v>
      </c>
      <c r="AT29" s="82">
        <f>'DJB Daily Readings'!DQ37-'DJB Daily Readings'!DQ36</f>
        <v>0</v>
      </c>
      <c r="AU29" s="82">
        <f>'DJB Daily Readings'!DT37-'DJB Daily Readings'!DT36</f>
        <v>11.099999999999454</v>
      </c>
      <c r="AW29" s="82">
        <f>'DJB Daily Readings'!DX37-'DJB Daily Readings'!DX36</f>
        <v>7.2999999999992724</v>
      </c>
      <c r="AX29" s="82">
        <f>'DJB Daily Readings'!DZ37-'DJB Daily Readings'!DZ36</f>
        <v>-0.8999999999996362</v>
      </c>
      <c r="AY29" s="82">
        <f>'DJB Daily Readings'!EB37-'DJB Daily Readings'!EB36</f>
        <v>570</v>
      </c>
      <c r="AZ29" s="82">
        <f>'DJB Daily Readings'!ED37-'DJB Daily Readings'!ED36</f>
        <v>129.80000000001746</v>
      </c>
      <c r="BA29" s="82">
        <f>'DJB Daily Readings'!EG37-'DJB Daily Readings'!EG36</f>
        <v>3100</v>
      </c>
      <c r="BB29" s="82">
        <f>'DJB Daily Readings'!EI37-'DJB Daily Readings'!EI36</f>
        <v>240</v>
      </c>
      <c r="BC29" s="82">
        <f>'DJB Daily Readings'!EQ37-'DJB Daily Readings'!EQ36</f>
        <v>1900</v>
      </c>
      <c r="BD29" s="82">
        <f>'DJB Daily Readings'!EK37-'DJB Daily Readings'!EK36</f>
        <v>1600</v>
      </c>
      <c r="BE29" s="82">
        <f>'DJB Daily Readings'!EM37-'DJB Daily Readings'!EM36</f>
        <v>300</v>
      </c>
      <c r="BF29" s="82">
        <f>'DJB Daily Readings'!EO37-'DJB Daily Readings'!EO36</f>
        <v>550</v>
      </c>
      <c r="BG29" s="82">
        <f>('DJB Daily Readings'!ET37-'DJB Daily Readings'!ET36)*1.89</f>
        <v>32.129999999999995</v>
      </c>
      <c r="BH29" s="82">
        <f>('DJB Daily Readings'!EV37-'DJB Daily Readings'!EV36)*1.89</f>
        <v>62.37</v>
      </c>
      <c r="BI29" s="82">
        <f>('DJB Daily Readings'!EZ37-'DJB Daily Readings'!EZ36)*1.89</f>
        <v>35.909999999999997</v>
      </c>
      <c r="BJ29" s="82">
        <f>('DJB Daily Readings'!EX37-'DJB Daily Readings'!EX36)*1.89</f>
        <v>17.009999999999998</v>
      </c>
      <c r="BK29" s="82">
        <f>('DJB Daily Readings'!FB37-'DJB Daily Readings'!FB36)*1.89</f>
        <v>68.039999999999992</v>
      </c>
      <c r="BL29" s="82">
        <f>'DJB Daily Readings'!J37</f>
        <v>1</v>
      </c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>
        <f>237*0.92</f>
        <v>218.04000000000002</v>
      </c>
      <c r="F30" s="79">
        <f>343+121</f>
        <v>464</v>
      </c>
      <c r="G30" s="3">
        <f>'DJB Daily Readings'!C38-'DJB Daily Readings'!C37</f>
        <v>660</v>
      </c>
      <c r="H30" s="3">
        <f>'DJB Daily Readings'!F38-'DJB Daily Readings'!F37</f>
        <v>548</v>
      </c>
      <c r="I30" s="3">
        <f>'DJB Daily Readings'!K38-'DJB Daily Readings'!K37</f>
        <v>81</v>
      </c>
      <c r="J30" s="3">
        <f>'DJB Daily Readings'!K38-'DJB Daily Readings'!K37</f>
        <v>81</v>
      </c>
      <c r="K30" s="3">
        <f>'DJB Daily Readings'!O38-'DJB Daily Readings'!O37</f>
        <v>73</v>
      </c>
      <c r="L30" s="3">
        <f>'DJB Daily Readings'!R38-'DJB Daily Readings'!R37</f>
        <v>9</v>
      </c>
      <c r="M30" s="3">
        <f>'DJB Daily Readings'!U38-'DJB Daily Readings'!U37</f>
        <v>1753.9200000008568</v>
      </c>
      <c r="N30" s="3">
        <f>'DJB Daily Readings'!X38-'DJB Daily Readings'!X37</f>
        <v>4530.9599999990314</v>
      </c>
      <c r="O30" s="3">
        <f>'DJB Daily Readings'!AA38-'DJB Daily Readings'!AA37</f>
        <v>97.439999999478459</v>
      </c>
      <c r="P30" s="3">
        <f>'DJB Daily Readings'!AD38-'DJB Daily Readings'!AD37</f>
        <v>9061.9200000055134</v>
      </c>
      <c r="Q30" s="3">
        <f>'DJB Daily Readings'!AG38-'DJB Daily Readings'!AG37</f>
        <v>0</v>
      </c>
      <c r="R30" s="3">
        <f>'DJB Daily Readings'!AJ38-'DJB Daily Readings'!AJ37</f>
        <v>5359.1999999992549</v>
      </c>
      <c r="S30" s="3">
        <f>'DJB Daily Readings'!AM38-'DJB Daily Readings'!AM37</f>
        <v>4336.0800000000745</v>
      </c>
      <c r="T30" s="3">
        <f>'DJB Daily Readings'!AP38-'DJB Daily Readings'!AP37</f>
        <v>4774.5600000005215</v>
      </c>
      <c r="U30" s="3">
        <f>'DJB Daily Readings'!AS38-'DJB Daily Readings'!AS37</f>
        <v>3702.7200000006706</v>
      </c>
      <c r="V30" s="3">
        <f>'DJB Daily Readings'!AV38-'DJB Daily Readings'!AV37</f>
        <v>5602.8000000007451</v>
      </c>
      <c r="W30" s="3">
        <f>'DJB Daily Readings'!AZ38-'DJB Daily Readings'!AZ37</f>
        <v>0</v>
      </c>
      <c r="X30" s="3">
        <f>'DJB Daily Readings'!BC38-'DJB Daily Readings'!BC37</f>
        <v>40600</v>
      </c>
      <c r="Y30" s="3">
        <f>'DJB Daily Readings'!BF38-'DJB Daily Readings'!BF37</f>
        <v>0</v>
      </c>
      <c r="Z30" s="3">
        <f>('DJB Daily Readings'!CK38-'DJB Daily Readings'!CK37)*1.89</f>
        <v>136.07999999999998</v>
      </c>
      <c r="AA30" s="3">
        <f>('DJB Daily Readings'!CN38-'DJB Daily Readings'!CN37)*1.89</f>
        <v>206.01</v>
      </c>
      <c r="AB30" s="3">
        <f>('DJB Daily Readings'!CQ38-'DJB Daily Readings'!CQ37)*1.89</f>
        <v>514.07999999999993</v>
      </c>
      <c r="AC30" s="3">
        <f>'DJB Daily Readings'!CT38-'DJB Daily Readings'!CT37</f>
        <v>171</v>
      </c>
      <c r="AD30" s="84">
        <f>('DJB Daily Readings'!BY38-'DJB Daily Readings'!BY37)*1.89</f>
        <v>37.799999999999997</v>
      </c>
      <c r="AE30" s="84">
        <f>('DJB Daily Readings'!CA38-'DJB Daily Readings'!CA37)*1.89</f>
        <v>35.909999999999997</v>
      </c>
      <c r="AF30" s="84">
        <f>('DJB Daily Readings'!CC38-'DJB Daily Readings'!CC37)*1.89</f>
        <v>13.229999999999999</v>
      </c>
      <c r="AG30" s="84">
        <f>('DJB Daily Readings'!CE38-'DJB Daily Readings'!CE37)*1.89</f>
        <v>20.79</v>
      </c>
      <c r="AH30" s="84">
        <f>('DJB Daily Readings'!CG38-'DJB Daily Readings'!CG37)*1.89</f>
        <v>26.459999999999997</v>
      </c>
      <c r="AI30" s="84">
        <f>('DJB Daily Readings'!CI38-'DJB Daily Readings'!CI37)*1.89</f>
        <v>71.819999999999993</v>
      </c>
      <c r="AJ30" s="81">
        <f>'DJB Daily Readings'!CY38-'DJB Daily Readings'!CY37</f>
        <v>8</v>
      </c>
      <c r="AK30" s="81">
        <f>'DJB Daily Readings'!CW38-'DJB Daily Readings'!CW37</f>
        <v>13</v>
      </c>
      <c r="AL30" s="82">
        <f>'DJB Daily Readings'!DC38-'DJB Daily Readings'!DC37</f>
        <v>16</v>
      </c>
      <c r="AM30" s="82">
        <f>'DJB Daily Readings'!DA38-'DJB Daily Readings'!DA37</f>
        <v>19</v>
      </c>
      <c r="AN30" s="82">
        <f>'DJB Daily Readings'!DG38-'DJB Daily Readings'!DG37</f>
        <v>8</v>
      </c>
      <c r="AO30" s="82">
        <f>'DJB Daily Readings'!DE38-'DJB Daily Readings'!DE37</f>
        <v>14</v>
      </c>
      <c r="AP30" s="82">
        <f>'DJB Daily Readings'!DK38-'DJB Daily Readings'!DK37</f>
        <v>6</v>
      </c>
      <c r="AQ30" s="82">
        <f>'DJB Daily Readings'!DI38-'DJB Daily Readings'!DI37</f>
        <v>12</v>
      </c>
      <c r="AR30" s="82">
        <f>'DJB Daily Readings'!DO38-'DJB Daily Readings'!DO37</f>
        <v>10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11.200000000000728</v>
      </c>
      <c r="AW30" s="82">
        <f>'DJB Daily Readings'!DX38-'DJB Daily Readings'!DX37</f>
        <v>7</v>
      </c>
      <c r="AX30" s="82">
        <f>'DJB Daily Readings'!DZ38-'DJB Daily Readings'!DZ37</f>
        <v>14.099999999999454</v>
      </c>
      <c r="AY30" s="82">
        <f>'DJB Daily Readings'!EB38-'DJB Daily Readings'!EB37</f>
        <v>552</v>
      </c>
      <c r="AZ30" s="82">
        <f>'DJB Daily Readings'!ED38-'DJB Daily Readings'!ED37</f>
        <v>130.59999999997672</v>
      </c>
      <c r="BA30" s="82">
        <f>'DJB Daily Readings'!EG38-'DJB Daily Readings'!EG37</f>
        <v>3500</v>
      </c>
      <c r="BB30" s="82">
        <f>'DJB Daily Readings'!EI38-'DJB Daily Readings'!EI37</f>
        <v>260</v>
      </c>
      <c r="BC30" s="82">
        <f>'DJB Daily Readings'!EQ38-'DJB Daily Readings'!EQ37</f>
        <v>2200</v>
      </c>
      <c r="BD30" s="82">
        <f>'DJB Daily Readings'!EK38-'DJB Daily Readings'!EK37</f>
        <v>1800</v>
      </c>
      <c r="BE30" s="82">
        <f>'DJB Daily Readings'!EM38-'DJB Daily Readings'!EM37</f>
        <v>200</v>
      </c>
      <c r="BF30" s="82">
        <f>'DJB Daily Readings'!EO38-'DJB Daily Readings'!EO37</f>
        <v>640</v>
      </c>
      <c r="BG30" s="82">
        <f>('DJB Daily Readings'!ET38-'DJB Daily Readings'!ET37)*1.89</f>
        <v>30.24</v>
      </c>
      <c r="BH30" s="82">
        <f>('DJB Daily Readings'!EV38-'DJB Daily Readings'!EV37)*1.89</f>
        <v>30.24</v>
      </c>
      <c r="BI30" s="82">
        <f>('DJB Daily Readings'!EZ38-'DJB Daily Readings'!EZ37)*1.89</f>
        <v>35.909999999999997</v>
      </c>
      <c r="BJ30" s="82">
        <f>('DJB Daily Readings'!EX38-'DJB Daily Readings'!EX37)*1.89</f>
        <v>17.009999999999998</v>
      </c>
      <c r="BK30" s="82">
        <f>('DJB Daily Readings'!FB38-'DJB Daily Readings'!FB37)*1.89</f>
        <v>71.819999999999993</v>
      </c>
      <c r="BL30" s="82">
        <f>'DJB Daily Readings'!J38</f>
        <v>0</v>
      </c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F31" s="79">
        <f>343+121</f>
        <v>464</v>
      </c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  <ignoredErrors>
    <ignoredError sqref="E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186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187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188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189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178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190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191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192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179</v>
      </c>
      <c r="CX7" s="423"/>
      <c r="CY7" s="423"/>
      <c r="CZ7" s="423"/>
      <c r="DA7" s="464" t="s">
        <v>174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182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181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180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1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8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5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2">
        <f>C10-C9</f>
        <v>732</v>
      </c>
      <c r="E9" s="414">
        <f>'[1]December - 2022'!G9</f>
        <v>576</v>
      </c>
      <c r="F9" s="168">
        <f>'[1]December - 2022'!H9</f>
        <v>237720</v>
      </c>
      <c r="G9" s="370">
        <f>F10-F9</f>
        <v>427</v>
      </c>
      <c r="H9" s="414">
        <f>'[1]December - 2022'!J9</f>
        <v>407</v>
      </c>
      <c r="I9" s="264">
        <f>'[1]December - 2022'!K9</f>
        <v>5844</v>
      </c>
      <c r="J9" s="370">
        <f>I10-I9</f>
        <v>164</v>
      </c>
      <c r="K9" s="264">
        <f>'[1]December - 2022'!N9</f>
        <v>918944</v>
      </c>
      <c r="L9" s="369">
        <f>K10-K9</f>
        <v>277</v>
      </c>
      <c r="M9" s="264">
        <f>'[1]December - 2022'!Q9</f>
        <v>243148</v>
      </c>
      <c r="N9" s="369">
        <f>M10-M9</f>
        <v>112</v>
      </c>
      <c r="O9" s="264">
        <f>'[1]December - 2022'!U9</f>
        <v>115205</v>
      </c>
      <c r="P9" s="370">
        <f>O10-O9</f>
        <v>131</v>
      </c>
      <c r="Q9" s="414">
        <f>'[1]December - 2022'!W9</f>
        <v>105.08999999999651</v>
      </c>
      <c r="R9" s="264">
        <f>'[1]December - 2022'!X9</f>
        <v>6237</v>
      </c>
      <c r="S9" s="416">
        <f>R10-R9</f>
        <v>18</v>
      </c>
      <c r="T9" s="522"/>
      <c r="U9" s="269">
        <f>'[1]December - 2022'!AE9</f>
        <v>8125472.8800000008</v>
      </c>
      <c r="V9" s="418">
        <f>U10-U9</f>
        <v>2630.8799999989569</v>
      </c>
      <c r="W9" s="410">
        <f>'[1]December - 2022'!AF9</f>
        <v>2630.8799999989569</v>
      </c>
      <c r="X9" s="255">
        <f>'[1]December - 2022'!AH9</f>
        <v>15438880.799999999</v>
      </c>
      <c r="Y9" s="370">
        <f>X10-X9</f>
        <v>4579.6800000015646</v>
      </c>
      <c r="Z9" s="410">
        <f>'[1]December - 2022'!AI9</f>
        <v>4579.6800000015646</v>
      </c>
      <c r="AA9" s="255">
        <f>'[1]December - 2022'!AK9</f>
        <v>15753173.52</v>
      </c>
      <c r="AB9" s="370">
        <f>AA10-AA9</f>
        <v>0</v>
      </c>
      <c r="AC9" s="410">
        <f>'[1]December - 2022'!AL9</f>
        <v>0</v>
      </c>
      <c r="AD9" s="255">
        <f>'[1]December - 2022'!AN9</f>
        <v>18820730.879999999</v>
      </c>
      <c r="AE9" s="370">
        <f>AD10-AD9</f>
        <v>48.719999998807907</v>
      </c>
      <c r="AF9" s="410">
        <f>'[1]December - 2022'!AO9</f>
        <v>48.719999998807907</v>
      </c>
      <c r="AG9" s="255">
        <f>'[1]December - 2022'!AQ9</f>
        <v>19140870</v>
      </c>
      <c r="AH9" s="370">
        <f>AG10-AG9</f>
        <v>12959.519999999553</v>
      </c>
      <c r="AI9" s="410">
        <f>'[1]December - 2022'!AR9</f>
        <v>12959.519999999553</v>
      </c>
      <c r="AJ9" s="255">
        <f>'[1]December - 2022'!AT9</f>
        <v>17520394.080000002</v>
      </c>
      <c r="AK9" s="370">
        <f>AJ10-AJ9</f>
        <v>5943.8399999961257</v>
      </c>
      <c r="AL9" s="410">
        <f>'[1]December - 2022'!AU9</f>
        <v>5943.8399999961257</v>
      </c>
      <c r="AM9" s="255">
        <f>'[1]December - 2022'!AW9</f>
        <v>14752513.439999999</v>
      </c>
      <c r="AN9" s="370">
        <f>AM10-AM9</f>
        <v>4384.8000000007451</v>
      </c>
      <c r="AO9" s="410">
        <f>'[1]December - 2022'!AX9</f>
        <v>4384.8000000007451</v>
      </c>
      <c r="AP9" s="255">
        <f>'[1]December - 2022'!AZ9</f>
        <v>14272426.559999999</v>
      </c>
      <c r="AQ9" s="370">
        <f>AP10-AP9</f>
        <v>4872</v>
      </c>
      <c r="AR9" s="410">
        <f>'[1]December - 2022'!BA9</f>
        <v>4872</v>
      </c>
      <c r="AS9" s="255">
        <f>'[1]December - 2022'!BC9</f>
        <v>11154687.6</v>
      </c>
      <c r="AT9" s="370">
        <f>AS10-AS9</f>
        <v>3118.0800000000745</v>
      </c>
      <c r="AU9" s="410">
        <f>'[1]December - 2022'!BD9</f>
        <v>3118.0800000000745</v>
      </c>
      <c r="AV9" s="255">
        <f>'[1]December - 2022'!BF9</f>
        <v>17655543.359999999</v>
      </c>
      <c r="AW9" s="370">
        <f>AV10-AV9</f>
        <v>5554.0799999982119</v>
      </c>
      <c r="AX9" s="491">
        <f>'[1]December - 2022'!BG9</f>
        <v>5554.0799999982119</v>
      </c>
      <c r="AY9" s="488"/>
      <c r="AZ9" s="272">
        <f>'[1]December - 2022'!BM9</f>
        <v>77840000</v>
      </c>
      <c r="BA9" s="493">
        <f>AZ10-AZ9</f>
        <v>0</v>
      </c>
      <c r="BB9" s="489">
        <f>'[1]December - 2022'!BN9</f>
        <v>0</v>
      </c>
      <c r="BC9" s="272">
        <f>'[1]December - 2022'!BP9</f>
        <v>80452400</v>
      </c>
      <c r="BD9" s="493">
        <f>BC10-BC9</f>
        <v>0</v>
      </c>
      <c r="BE9" s="489">
        <f>'[1]December - 2022'!BQ9</f>
        <v>0</v>
      </c>
      <c r="BF9" s="272">
        <f>'[1]December - 2022'!BS9</f>
        <v>74637500</v>
      </c>
      <c r="BG9" s="493">
        <f>BF10-BF9</f>
        <v>65200</v>
      </c>
      <c r="BH9" s="489">
        <f>'[1]December - 2022'!BT9</f>
        <v>65200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7">
        <f>BS10-BS9</f>
        <v>7460</v>
      </c>
      <c r="BU9" s="395"/>
      <c r="BV9" s="88">
        <f>'[1]December - 2022'!BY9</f>
        <v>0.74</v>
      </c>
      <c r="BW9" s="389">
        <f>BV10-BV9</f>
        <v>-5.9999999999999942E-2</v>
      </c>
      <c r="BX9" s="391">
        <f>'[1]December - 2022'!$BZ$9:$BZ$10</f>
        <v>5.9999999999999942E-2</v>
      </c>
      <c r="BY9" s="89">
        <f>'[1]December - 2022'!CB9</f>
        <v>64169</v>
      </c>
      <c r="BZ9" s="393">
        <f>BY10-BY9</f>
        <v>21</v>
      </c>
      <c r="CA9" s="89">
        <f>'[1]December - 2022'!CD9</f>
        <v>55264</v>
      </c>
      <c r="CB9" s="393">
        <f>CA10-CA9</f>
        <v>20</v>
      </c>
      <c r="CC9" s="89">
        <f>'[1]December - 2022'!CF9</f>
        <v>18695</v>
      </c>
      <c r="CD9" s="393">
        <f>CC10-CC9</f>
        <v>7</v>
      </c>
      <c r="CE9" s="89">
        <f>'[1]December - 2022'!CH9</f>
        <v>25508</v>
      </c>
      <c r="CF9" s="393">
        <f>CE10-CE9</f>
        <v>10</v>
      </c>
      <c r="CG9" s="89">
        <f>'[1]December - 2022'!CJ9</f>
        <v>28364</v>
      </c>
      <c r="CH9" s="393">
        <f>CG10-CG9</f>
        <v>18</v>
      </c>
      <c r="CI9" s="89">
        <f>'[1]December - 2022'!CL9</f>
        <v>62228</v>
      </c>
      <c r="CJ9" s="393">
        <f>CI10-CI9</f>
        <v>34</v>
      </c>
      <c r="CK9" s="89">
        <f>'[1]December - 2022'!CN9</f>
        <v>267458</v>
      </c>
      <c r="CL9" s="393">
        <f>CK10-CK9</f>
        <v>73</v>
      </c>
      <c r="CM9" s="407">
        <f>'[1]December - 2022'!CO9</f>
        <v>73</v>
      </c>
      <c r="CN9" s="89">
        <f>'[1]December - 2022'!CQ9</f>
        <v>214182</v>
      </c>
      <c r="CO9" s="393">
        <f>CN10-CN9</f>
        <v>102</v>
      </c>
      <c r="CP9" s="407">
        <f>'[1]December - 2022'!CR9</f>
        <v>102</v>
      </c>
      <c r="CQ9" s="89">
        <f>'[1]December - 2022'!CT9</f>
        <v>353835</v>
      </c>
      <c r="CR9" s="393">
        <f>CQ10-CQ9</f>
        <v>166</v>
      </c>
      <c r="CS9" s="407">
        <f>'[1]December - 2022'!CU9</f>
        <v>166</v>
      </c>
      <c r="CT9" s="89">
        <f>'[1]December - 2022'!CW9</f>
        <v>693437</v>
      </c>
      <c r="CU9" s="469">
        <f>CT10-CT9</f>
        <v>168</v>
      </c>
      <c r="CV9" s="455"/>
      <c r="CW9" s="297">
        <f>'[1]December - 2022'!CZ9</f>
        <v>8807</v>
      </c>
      <c r="CX9" s="381">
        <f>CW10-CW9</f>
        <v>8</v>
      </c>
      <c r="CY9" s="298">
        <f>'[1]December - 2022'!DB9</f>
        <v>5981</v>
      </c>
      <c r="CZ9" s="381">
        <f>CY10-CY9</f>
        <v>5</v>
      </c>
      <c r="DA9" s="298">
        <f>'[1]December - 2022'!DD9</f>
        <v>32007</v>
      </c>
      <c r="DB9" s="381">
        <f>DA10-DA9</f>
        <v>16</v>
      </c>
      <c r="DC9" s="298">
        <f>'[1]December - 2022'!DF9</f>
        <v>32272</v>
      </c>
      <c r="DD9" s="381">
        <f>DC10-DC9</f>
        <v>15</v>
      </c>
      <c r="DE9" s="298">
        <f>'[1]December - 2022'!DH9</f>
        <v>21764</v>
      </c>
      <c r="DF9" s="381">
        <f>DE10-DE9</f>
        <v>10</v>
      </c>
      <c r="DG9" s="298">
        <f>'[1]December - 2022'!DJ9</f>
        <v>23989</v>
      </c>
      <c r="DH9" s="381">
        <f>DG10-DG9</f>
        <v>6</v>
      </c>
      <c r="DI9" s="298">
        <f>'[1]December - 2022'!DL9</f>
        <v>7013</v>
      </c>
      <c r="DJ9" s="381">
        <f>DI10-DI9</f>
        <v>9</v>
      </c>
      <c r="DK9" s="298">
        <f>'[1]December - 2022'!DN9</f>
        <v>9688</v>
      </c>
      <c r="DL9" s="381">
        <f>DK10-DK9</f>
        <v>8</v>
      </c>
      <c r="DM9" s="298">
        <f>'[1]December - 2022'!DP9</f>
        <v>3228</v>
      </c>
      <c r="DN9" s="381">
        <f>DM10-DM9</f>
        <v>4</v>
      </c>
      <c r="DO9" s="298">
        <f>'[1]December - 2022'!DR9</f>
        <v>6366</v>
      </c>
      <c r="DP9" s="381">
        <f>DO10-DO9</f>
        <v>9</v>
      </c>
      <c r="DQ9" s="298">
        <f>'[1]December - 2022'!DT9</f>
        <v>30245</v>
      </c>
      <c r="DR9" s="383">
        <f>DQ10-DQ9</f>
        <v>10</v>
      </c>
      <c r="DS9" s="440"/>
      <c r="DT9" s="210">
        <f>'[1]December - 2022'!DW9</f>
        <v>6235.5</v>
      </c>
      <c r="DU9" s="385">
        <f>DT10-DT9</f>
        <v>12</v>
      </c>
      <c r="DV9" s="91">
        <f>'[1]December - 2022'!DY9</f>
        <v>11223.7</v>
      </c>
      <c r="DW9" s="447">
        <f>DV10-DV9</f>
        <v>9.0999999999985448</v>
      </c>
      <c r="DX9" s="91">
        <f>'[1]December - 2022'!EA9</f>
        <v>4746.3</v>
      </c>
      <c r="DY9" s="385">
        <f>DX10-DX9</f>
        <v>6.8000000000001819</v>
      </c>
      <c r="DZ9" s="91">
        <f>'[1]December - 2022'!EC9</f>
        <v>5319.5</v>
      </c>
      <c r="EA9" s="385">
        <f>DZ10-DZ9</f>
        <v>6.8000000000001819</v>
      </c>
      <c r="EB9" s="91">
        <f>'[1]December - 2022'!EE9</f>
        <v>1122112</v>
      </c>
      <c r="EC9" s="385">
        <f>EB10-EB9</f>
        <v>608</v>
      </c>
      <c r="ED9" s="91">
        <f>'[1]December - 2022'!EI9</f>
        <v>230550</v>
      </c>
      <c r="EE9" s="449">
        <f>ED10-ED9</f>
        <v>154.89999999999418</v>
      </c>
      <c r="EF9" s="379"/>
      <c r="EG9" s="235">
        <f>'[1]December - 2022'!EL9</f>
        <v>12107000</v>
      </c>
      <c r="EH9" s="371">
        <f>EG10-EG9</f>
        <v>4400</v>
      </c>
      <c r="EI9" s="90">
        <f>'[1]December - 2022'!EN9</f>
        <v>931450</v>
      </c>
      <c r="EJ9" s="371">
        <f>EI10-EI9</f>
        <v>340</v>
      </c>
      <c r="EK9" s="90">
        <f>'[1]December - 2022'!EP9</f>
        <v>7205200</v>
      </c>
      <c r="EL9" s="371">
        <f>EK10-EK9</f>
        <v>2000</v>
      </c>
      <c r="EM9" s="90">
        <f>'[1]December - 2022'!ER9</f>
        <v>2494100</v>
      </c>
      <c r="EN9" s="371">
        <f>EM10-EM9</f>
        <v>400</v>
      </c>
      <c r="EO9" s="90">
        <f>'[1]December - 2022'!ET9</f>
        <v>1271830</v>
      </c>
      <c r="EP9" s="371">
        <f>EO10-EO9</f>
        <v>700</v>
      </c>
      <c r="EQ9" s="90">
        <f>'[1]December - 2022'!EV9</f>
        <v>16592300</v>
      </c>
      <c r="ER9" s="435">
        <f>EQ10-EQ9</f>
        <v>5600</v>
      </c>
      <c r="ES9" s="427"/>
      <c r="ET9" s="281">
        <f>'[1]December - 2022'!EY9</f>
        <v>41974</v>
      </c>
      <c r="EU9" s="382">
        <f>ET10-ET9</f>
        <v>16</v>
      </c>
      <c r="EV9" s="282">
        <f>'[1]December - 2022'!FA9</f>
        <v>36697</v>
      </c>
      <c r="EW9" s="382">
        <f>EV10-EV9</f>
        <v>13</v>
      </c>
      <c r="EX9" s="282">
        <f>'[1]December - 2022'!FC9</f>
        <v>7448</v>
      </c>
      <c r="EY9" s="382">
        <v>0</v>
      </c>
      <c r="EZ9" s="282">
        <f>'[1]December - 2022'!FE9</f>
        <v>59149</v>
      </c>
      <c r="FA9" s="382">
        <f>EZ10-EZ9</f>
        <v>15</v>
      </c>
      <c r="FB9" s="282">
        <f>'[1]December - 2022'!FG9</f>
        <v>49260</v>
      </c>
      <c r="FC9" s="384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3"/>
      <c r="E10" s="415"/>
      <c r="F10" s="168">
        <f>'[1]December - 2022'!H10</f>
        <v>238147</v>
      </c>
      <c r="G10" s="409"/>
      <c r="H10" s="415"/>
      <c r="I10" s="168">
        <f>'[1]December - 2022'!K10</f>
        <v>6008</v>
      </c>
      <c r="J10" s="409"/>
      <c r="K10" s="168">
        <f>'[1]December - 2022'!N10</f>
        <v>919221</v>
      </c>
      <c r="L10" s="370"/>
      <c r="M10" s="168">
        <f>'[1]December - 2022'!Q10</f>
        <v>243260</v>
      </c>
      <c r="N10" s="370"/>
      <c r="O10" s="168">
        <f>'[1]December - 2022'!U10</f>
        <v>115336</v>
      </c>
      <c r="P10" s="409"/>
      <c r="Q10" s="415"/>
      <c r="R10" s="168">
        <f>'[1]December - 2022'!X10</f>
        <v>6255</v>
      </c>
      <c r="S10" s="417"/>
      <c r="T10" s="522"/>
      <c r="U10" s="269">
        <f>'[1]December - 2022'!AE10</f>
        <v>8128103.7599999998</v>
      </c>
      <c r="V10" s="419"/>
      <c r="W10" s="411"/>
      <c r="X10" s="287">
        <f>'[1]December - 2022'!AH10</f>
        <v>15443460.48</v>
      </c>
      <c r="Y10" s="409"/>
      <c r="Z10" s="411"/>
      <c r="AA10" s="287">
        <f>'[1]December - 2022'!AK10</f>
        <v>15753173.52</v>
      </c>
      <c r="AB10" s="409"/>
      <c r="AC10" s="411"/>
      <c r="AD10" s="287">
        <f>'[1]December - 2022'!AN10</f>
        <v>18820779.599999998</v>
      </c>
      <c r="AE10" s="409"/>
      <c r="AF10" s="411"/>
      <c r="AG10" s="287">
        <f>'[1]December - 2022'!AQ10</f>
        <v>19153829.52</v>
      </c>
      <c r="AH10" s="409"/>
      <c r="AI10" s="411"/>
      <c r="AJ10" s="287">
        <f>'[1]December - 2022'!AT10</f>
        <v>17526337.919999998</v>
      </c>
      <c r="AK10" s="409"/>
      <c r="AL10" s="411"/>
      <c r="AM10" s="287">
        <f>'[1]December - 2022'!AW10</f>
        <v>14756898.24</v>
      </c>
      <c r="AN10" s="409"/>
      <c r="AO10" s="411"/>
      <c r="AP10" s="287">
        <f>'[1]December - 2022'!AZ10</f>
        <v>14277298.559999999</v>
      </c>
      <c r="AQ10" s="409"/>
      <c r="AR10" s="411"/>
      <c r="AS10" s="287">
        <f>'[1]December - 2022'!BC10</f>
        <v>11157805.68</v>
      </c>
      <c r="AT10" s="409"/>
      <c r="AU10" s="411"/>
      <c r="AV10" s="287">
        <f>'[1]December - 2022'!BF10</f>
        <v>17661097.439999998</v>
      </c>
      <c r="AW10" s="409"/>
      <c r="AX10" s="492"/>
      <c r="AY10" s="488"/>
      <c r="AZ10" s="272">
        <f>'[1]December - 2022'!BM10</f>
        <v>77840000</v>
      </c>
      <c r="BA10" s="494"/>
      <c r="BB10" s="490"/>
      <c r="BC10" s="272">
        <f>'[1]December - 2022'!BP10</f>
        <v>80452400</v>
      </c>
      <c r="BD10" s="494"/>
      <c r="BE10" s="490"/>
      <c r="BF10" s="272">
        <f>'[1]December - 2022'!BS10</f>
        <v>74702700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8"/>
      <c r="BU10" s="395"/>
      <c r="BV10" s="88">
        <f>'[1]December - 2022'!BY10</f>
        <v>0.68</v>
      </c>
      <c r="BW10" s="390"/>
      <c r="BX10" s="392"/>
      <c r="BY10" s="89">
        <f>'[1]December - 2022'!CB10</f>
        <v>64190</v>
      </c>
      <c r="BZ10" s="387"/>
      <c r="CA10" s="89">
        <f>'[1]December - 2022'!CD10</f>
        <v>55284</v>
      </c>
      <c r="CB10" s="387"/>
      <c r="CC10" s="89">
        <f>'[1]December - 2022'!CF10</f>
        <v>18702</v>
      </c>
      <c r="CD10" s="387"/>
      <c r="CE10" s="89">
        <f>'[1]December - 2022'!CH10</f>
        <v>25518</v>
      </c>
      <c r="CF10" s="387"/>
      <c r="CG10" s="89">
        <f>'[1]December - 2022'!CJ10</f>
        <v>28382</v>
      </c>
      <c r="CH10" s="387"/>
      <c r="CI10" s="89">
        <f>'[1]December - 2022'!CL10</f>
        <v>62262</v>
      </c>
      <c r="CJ10" s="387"/>
      <c r="CK10" s="89">
        <f>'[1]December - 2022'!CN10</f>
        <v>267531</v>
      </c>
      <c r="CL10" s="387"/>
      <c r="CM10" s="408"/>
      <c r="CN10" s="89">
        <f>'[1]December - 2022'!CQ10</f>
        <v>214284</v>
      </c>
      <c r="CO10" s="387"/>
      <c r="CP10" s="408"/>
      <c r="CQ10" s="89">
        <f>'[1]December - 2022'!CT10</f>
        <v>354001</v>
      </c>
      <c r="CR10" s="387"/>
      <c r="CS10" s="408"/>
      <c r="CT10" s="89">
        <f>'[1]December - 2022'!CW10</f>
        <v>693605</v>
      </c>
      <c r="CU10" s="470"/>
      <c r="CV10" s="455"/>
      <c r="CW10" s="256">
        <f>'[1]December - 2022'!CZ10</f>
        <v>8815</v>
      </c>
      <c r="CX10" s="382"/>
      <c r="CY10" s="257">
        <f>'[1]December - 2022'!DB10</f>
        <v>5986</v>
      </c>
      <c r="CZ10" s="382"/>
      <c r="DA10" s="257">
        <f>'[1]December - 2022'!DD10</f>
        <v>32023</v>
      </c>
      <c r="DB10" s="382"/>
      <c r="DC10" s="257">
        <f>'[1]December - 2022'!DF10</f>
        <v>32287</v>
      </c>
      <c r="DD10" s="382"/>
      <c r="DE10" s="257">
        <f>'[1]December - 2022'!DH10</f>
        <v>21774</v>
      </c>
      <c r="DF10" s="382"/>
      <c r="DG10" s="257">
        <f>'[1]December - 2022'!DJ10</f>
        <v>23995</v>
      </c>
      <c r="DH10" s="382"/>
      <c r="DI10" s="257">
        <f>'[1]December - 2022'!DL10</f>
        <v>7022</v>
      </c>
      <c r="DJ10" s="382"/>
      <c r="DK10" s="257">
        <f>'[1]December - 2022'!DN10</f>
        <v>9696</v>
      </c>
      <c r="DL10" s="382"/>
      <c r="DM10" s="257">
        <f>'[1]December - 2022'!DP10</f>
        <v>3232</v>
      </c>
      <c r="DN10" s="382"/>
      <c r="DO10" s="257">
        <f>'[1]December - 2022'!DR10</f>
        <v>6375</v>
      </c>
      <c r="DP10" s="382"/>
      <c r="DQ10" s="298">
        <f>'[1]December - 2022'!DT10</f>
        <v>30255</v>
      </c>
      <c r="DR10" s="384"/>
      <c r="DS10" s="440"/>
      <c r="DT10" s="210">
        <f>'[1]December - 2022'!DW10</f>
        <v>6247.5</v>
      </c>
      <c r="DU10" s="386"/>
      <c r="DV10" s="91">
        <f>'[1]December - 2022'!DY10</f>
        <v>11232.8</v>
      </c>
      <c r="DW10" s="448"/>
      <c r="DX10" s="91">
        <f>'[1]December - 2022'!EA10</f>
        <v>4753.1000000000004</v>
      </c>
      <c r="DY10" s="386"/>
      <c r="DZ10" s="91">
        <f>'[1]December - 2022'!EC10</f>
        <v>5326.3</v>
      </c>
      <c r="EA10" s="386"/>
      <c r="EB10" s="91">
        <f>'[1]December - 2022'!EE10</f>
        <v>1122720</v>
      </c>
      <c r="EC10" s="386"/>
      <c r="ED10" s="91">
        <f>'[1]December - 2022'!EI10</f>
        <v>230704.9</v>
      </c>
      <c r="EE10" s="450"/>
      <c r="EF10" s="379"/>
      <c r="EG10" s="235">
        <f>'[1]December - 2022'!EL10</f>
        <v>12111400</v>
      </c>
      <c r="EH10" s="372"/>
      <c r="EI10" s="90">
        <f>'[1]December - 2022'!EN10</f>
        <v>931790</v>
      </c>
      <c r="EJ10" s="372"/>
      <c r="EK10" s="90">
        <f>'[1]December - 2022'!EP10</f>
        <v>7207200</v>
      </c>
      <c r="EL10" s="372"/>
      <c r="EM10" s="90">
        <f>'[1]December - 2022'!ER10</f>
        <v>2494500</v>
      </c>
      <c r="EN10" s="372"/>
      <c r="EO10" s="90">
        <f>'[1]December - 2022'!ET10</f>
        <v>1272530</v>
      </c>
      <c r="EP10" s="372"/>
      <c r="EQ10" s="90">
        <f>'[1]December - 2022'!EV10</f>
        <v>16597900</v>
      </c>
      <c r="ER10" s="436"/>
      <c r="ES10" s="427"/>
      <c r="ET10" s="281">
        <f>'[1]December - 2022'!EY10</f>
        <v>41990</v>
      </c>
      <c r="EU10" s="431"/>
      <c r="EV10" s="282">
        <f>'[1]December - 2022'!FA10</f>
        <v>36710</v>
      </c>
      <c r="EW10" s="431"/>
      <c r="EX10" s="282">
        <f>'[1]December - 2022'!FC10</f>
        <v>7456</v>
      </c>
      <c r="EY10" s="431"/>
      <c r="EZ10" s="282">
        <f>'[1]December - 2022'!FE10</f>
        <v>59164</v>
      </c>
      <c r="FA10" s="431"/>
      <c r="FB10" s="282">
        <f>'[1]December - 2022'!FG10</f>
        <v>49296</v>
      </c>
      <c r="FC10" s="43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2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8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5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5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40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9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2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8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5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5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40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9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2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8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5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5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40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9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2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8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5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5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40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9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2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8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5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5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440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9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2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8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5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5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440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9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522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88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395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455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440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379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42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522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88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395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455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440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379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42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522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88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395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455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440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379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42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522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88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395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455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440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379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42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522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88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395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455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440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379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42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522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88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395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455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440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379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42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522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88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395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455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440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379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42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522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88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395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455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440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379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42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522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88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395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455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440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379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42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522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88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395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455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440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379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42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522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88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395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455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440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379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42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522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88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395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455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440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379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42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522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88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395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455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440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379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42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522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88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395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455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440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379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42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522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88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395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455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440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379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42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522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88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395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455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440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379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42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522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88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395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455"/>
      <c r="CW33" s="256">
        <f>'[1]December - 2022'!CZ33</f>
        <v>8985</v>
      </c>
      <c r="CX33" s="198">
        <f>'[1]December - 2022'!DA33</f>
        <v>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440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379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42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0.8</v>
      </c>
      <c r="C34" s="250">
        <f>'[1]December - 2022'!E34</f>
        <v>221438</v>
      </c>
      <c r="D34" s="170">
        <f>'[1]December - 2022'!F34</f>
        <v>725</v>
      </c>
      <c r="E34" s="168">
        <f>'[1]December - 2022'!G34</f>
        <v>910</v>
      </c>
      <c r="F34" s="168">
        <f>'[1]December - 2022'!H34</f>
        <v>248667</v>
      </c>
      <c r="G34" s="170">
        <f>'[1]December - 2022'!I34</f>
        <v>489</v>
      </c>
      <c r="H34" s="168">
        <f>'[1]December - 2022'!J34</f>
        <v>620</v>
      </c>
      <c r="I34" s="168">
        <f>'[1]December - 2022'!K34</f>
        <v>9642</v>
      </c>
      <c r="J34" s="170">
        <f>'[1]December - 2022'!L34</f>
        <v>190</v>
      </c>
      <c r="K34" s="168">
        <f>'[1]December - 2022'!N34</f>
        <v>924290</v>
      </c>
      <c r="L34" s="170">
        <f>'[1]December - 2022'!O34</f>
        <v>77</v>
      </c>
      <c r="M34" s="168">
        <f>'[1]December - 2022'!Q34</f>
        <v>245382</v>
      </c>
      <c r="N34" s="170">
        <f>'[1]December - 2022'!R34</f>
        <v>93</v>
      </c>
      <c r="O34" s="168">
        <f>'[1]December - 2022'!U34</f>
        <v>117740</v>
      </c>
      <c r="P34" s="170">
        <f>'[1]December - 2022'!V34</f>
        <v>90</v>
      </c>
      <c r="Q34" s="168">
        <f>'[1]December - 2022'!W34</f>
        <v>102.55000000000291</v>
      </c>
      <c r="R34" s="168">
        <f>'[1]December - 2022'!X34</f>
        <v>6476</v>
      </c>
      <c r="S34" s="208">
        <f>'[1]December - 2022'!Y34</f>
        <v>10</v>
      </c>
      <c r="T34" s="522"/>
      <c r="U34" s="169">
        <f>'[1]December - 2022'!AE34</f>
        <v>8192414.1599999992</v>
      </c>
      <c r="V34" s="288">
        <f>'[1]December - 2022'!AF34</f>
        <v>1997.5199999986216</v>
      </c>
      <c r="W34" s="92">
        <f>'[1]December - 2022'!AF34</f>
        <v>1997.5199999986216</v>
      </c>
      <c r="X34" s="287">
        <f>'[1]December - 2022'!AH34</f>
        <v>15551570.16</v>
      </c>
      <c r="Y34" s="288">
        <f>'[1]December - 2022'!AI34</f>
        <v>4482.2400000020862</v>
      </c>
      <c r="Z34" s="92">
        <f>'[1]December - 2022'!AI34</f>
        <v>4482.2400000020862</v>
      </c>
      <c r="AA34" s="287">
        <f>'[1]December - 2022'!AK34</f>
        <v>15828397.199999999</v>
      </c>
      <c r="AB34" s="288">
        <f>'[1]December - 2022'!AL34</f>
        <v>194.88000000081956</v>
      </c>
      <c r="AC34" s="92">
        <f>'[1]December - 2022'!AL34</f>
        <v>194.88000000081956</v>
      </c>
      <c r="AD34" s="287">
        <f>'[1]December - 2022'!AN34</f>
        <v>18923286.48</v>
      </c>
      <c r="AE34" s="288">
        <f>'[1]December - 2022'!AO34</f>
        <v>9597.8400000035763</v>
      </c>
      <c r="AF34" s="92">
        <f>'[1]December - 2022'!AO34</f>
        <v>9597.8400000035763</v>
      </c>
      <c r="AG34" s="287">
        <f>'[1]December - 2022'!AQ34</f>
        <v>19226227.439999998</v>
      </c>
      <c r="AH34" s="288">
        <f>'[1]December - 2022'!AR34</f>
        <v>633.35999999567866</v>
      </c>
      <c r="AI34" s="92">
        <f>'[1]December - 2022'!AR34</f>
        <v>633.35999999567866</v>
      </c>
      <c r="AJ34" s="287">
        <f>'[1]December - 2022'!AT34</f>
        <v>17661097.439999998</v>
      </c>
      <c r="AK34" s="288">
        <f>'[1]December - 2022'!AU34</f>
        <v>5407.9199999980628</v>
      </c>
      <c r="AL34" s="92">
        <f>'[1]December - 2022'!AU34</f>
        <v>5407.9199999980628</v>
      </c>
      <c r="AM34" s="287">
        <f>'[1]December - 2022'!AW34</f>
        <v>14859551.280000001</v>
      </c>
      <c r="AN34" s="288">
        <f>'[1]December - 2022'!AX34</f>
        <v>4092.4800000023097</v>
      </c>
      <c r="AO34" s="92">
        <f>'[1]December - 2022'!AX34</f>
        <v>4092.4800000023097</v>
      </c>
      <c r="AP34" s="287">
        <f>'[1]December - 2022'!AZ34</f>
        <v>14386674.959999999</v>
      </c>
      <c r="AQ34" s="288">
        <f>'[1]December - 2022'!BA34</f>
        <v>4482.2400000002235</v>
      </c>
      <c r="AR34" s="92">
        <f>'[1]December - 2022'!BA34</f>
        <v>4482.2400000002235</v>
      </c>
      <c r="AS34" s="287">
        <f>'[1]December - 2022'!BC34</f>
        <v>11232054.959999999</v>
      </c>
      <c r="AT34" s="288">
        <f>'[1]December - 2022'!BD34</f>
        <v>2582.160000000149</v>
      </c>
      <c r="AU34" s="92">
        <f>'[1]December - 2022'!BD34</f>
        <v>2582.160000000149</v>
      </c>
      <c r="AV34" s="287">
        <f>'[1]December - 2022'!BF34</f>
        <v>17798487.84</v>
      </c>
      <c r="AW34" s="252">
        <f>'[1]December - 2022'!BG34</f>
        <v>5700.2400000020862</v>
      </c>
      <c r="AX34" s="253">
        <f>'[1]December - 2022'!BG34</f>
        <v>5700.2400000020862</v>
      </c>
      <c r="AY34" s="488"/>
      <c r="AZ34" s="272">
        <f>'[1]December - 2022'!BM34</f>
        <v>78188000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80981200</v>
      </c>
      <c r="BD34" s="245">
        <f>'[1]December - 2022'!BQ34</f>
        <v>49200</v>
      </c>
      <c r="BE34" s="93">
        <f>'[1]December - 2022'!BQ34</f>
        <v>49200</v>
      </c>
      <c r="BF34" s="272">
        <f>'[1]December - 2022'!BS34</f>
        <v>75092800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10342720</v>
      </c>
      <c r="BT34" s="185">
        <f>'[1]December - 2022'!BW34</f>
        <v>6990</v>
      </c>
      <c r="BU34" s="395"/>
      <c r="BV34" s="88">
        <f>'[1]December - 2022'!BY34</f>
        <v>0.77</v>
      </c>
      <c r="BW34" s="241">
        <f>'[1]December - 2022'!BZ34</f>
        <v>-0.15000000000000002</v>
      </c>
      <c r="BX34" s="88">
        <f>'[1]December - 2022'!BZ34</f>
        <v>-0.15000000000000002</v>
      </c>
      <c r="BY34" s="89">
        <f>'[1]December - 2022'!CB34</f>
        <v>64655</v>
      </c>
      <c r="BZ34" s="191">
        <f>'[1]December - 2022'!CC34</f>
        <v>20</v>
      </c>
      <c r="CA34" s="89">
        <f>'[1]December - 2022'!CD34</f>
        <v>55740</v>
      </c>
      <c r="CB34" s="191">
        <f>'[1]December - 2022'!CE34</f>
        <v>19</v>
      </c>
      <c r="CC34" s="89">
        <f>'[1]December - 2022'!CF34</f>
        <v>18856</v>
      </c>
      <c r="CD34" s="191">
        <f>'[1]December - 2022'!CG34</f>
        <v>7</v>
      </c>
      <c r="CE34" s="89">
        <f>'[1]December - 2022'!CH34</f>
        <v>25771</v>
      </c>
      <c r="CF34" s="191">
        <f>'[1]December - 2022'!CI34</f>
        <v>9</v>
      </c>
      <c r="CG34" s="89">
        <f>'[1]December - 2022'!CJ34</f>
        <v>28731</v>
      </c>
      <c r="CH34" s="191">
        <f>'[1]December - 2022'!CK34</f>
        <v>13</v>
      </c>
      <c r="CI34" s="89">
        <f>'[1]December - 2022'!CL34</f>
        <v>63043</v>
      </c>
      <c r="CJ34" s="191">
        <f>'[1]December - 2022'!CM34</f>
        <v>38</v>
      </c>
      <c r="CK34" s="89">
        <f>'[1]December - 2022'!CN34</f>
        <v>269260</v>
      </c>
      <c r="CL34" s="246">
        <f>'[1]December - 2022'!CO34</f>
        <v>76</v>
      </c>
      <c r="CM34" s="89">
        <f>'[1]December - 2022'!CO34</f>
        <v>76</v>
      </c>
      <c r="CN34" s="89">
        <f>'[1]December - 2022'!CQ34</f>
        <v>216843</v>
      </c>
      <c r="CO34" s="246">
        <f>'[1]December - 2022'!CR34</f>
        <v>121</v>
      </c>
      <c r="CP34" s="89">
        <f>'[1]December - 2022'!CR34</f>
        <v>121</v>
      </c>
      <c r="CQ34" s="89">
        <f>'[1]December - 2022'!CT34</f>
        <v>359301</v>
      </c>
      <c r="CR34" s="246">
        <f>'[1]December - 2022'!CU34</f>
        <v>249</v>
      </c>
      <c r="CS34" s="89">
        <f>'[1]December - 2022'!CU34</f>
        <v>249</v>
      </c>
      <c r="CT34" s="89">
        <f>'[1]December - 2022'!CW34</f>
        <v>697631</v>
      </c>
      <c r="CU34" s="191">
        <f>'[1]December - 2022'!CX34</f>
        <v>178</v>
      </c>
      <c r="CV34" s="455"/>
      <c r="CW34" s="256">
        <f>'[1]December - 2022'!CZ34</f>
        <v>8991</v>
      </c>
      <c r="CX34" s="198">
        <f>'[1]December - 2022'!DA34</f>
        <v>6</v>
      </c>
      <c r="CY34" s="257">
        <f>'[1]December - 2022'!DB34</f>
        <v>6102</v>
      </c>
      <c r="CZ34" s="198">
        <f>'[1]December - 2022'!DC34</f>
        <v>3</v>
      </c>
      <c r="DA34" s="257">
        <f>'[1]December - 2022'!DD34</f>
        <v>32393</v>
      </c>
      <c r="DB34" s="198">
        <f>'[1]December - 2022'!DE34</f>
        <v>22</v>
      </c>
      <c r="DC34" s="257">
        <f>'[1]December - 2022'!DF34</f>
        <v>32593</v>
      </c>
      <c r="DD34" s="198">
        <f>'[1]December - 2022'!DG34</f>
        <v>20</v>
      </c>
      <c r="DE34" s="257">
        <f>'[1]December - 2022'!DH34</f>
        <v>22015</v>
      </c>
      <c r="DF34" s="198">
        <f>'[1]December - 2022'!DI34</f>
        <v>12</v>
      </c>
      <c r="DG34" s="257">
        <f>'[1]December - 2022'!DJ34</f>
        <v>24141</v>
      </c>
      <c r="DH34" s="198">
        <f>'[1]December - 2022'!DK34</f>
        <v>4</v>
      </c>
      <c r="DI34" s="257">
        <f>'[1]December - 2022'!DL34</f>
        <v>7263</v>
      </c>
      <c r="DJ34" s="198">
        <f>'[1]December - 2022'!DM34</f>
        <v>17</v>
      </c>
      <c r="DK34" s="257">
        <f>'[1]December - 2022'!DN34</f>
        <v>9904</v>
      </c>
      <c r="DL34" s="198">
        <f>'[1]December - 2022'!DO34</f>
        <v>12</v>
      </c>
      <c r="DM34" s="257">
        <f>'[1]December - 2022'!DP34</f>
        <v>3331</v>
      </c>
      <c r="DN34" s="198">
        <f>'[1]December - 2022'!DQ34</f>
        <v>7</v>
      </c>
      <c r="DO34" s="257">
        <f>'[1]December - 2022'!DR34</f>
        <v>6577</v>
      </c>
      <c r="DP34" s="198">
        <f>'[1]December - 2022'!DS34</f>
        <v>15</v>
      </c>
      <c r="DQ34" s="257">
        <f>'[1]December - 2022'!DT34</f>
        <v>30379</v>
      </c>
      <c r="DR34" s="206">
        <f>'[1]December - 2022'!DU34</f>
        <v>8</v>
      </c>
      <c r="DS34" s="440"/>
      <c r="DT34" s="210">
        <f>'[1]December - 2022'!DW34</f>
        <v>6514.6</v>
      </c>
      <c r="DU34" s="221">
        <f>'[1]December - 2022'!DX34</f>
        <v>11</v>
      </c>
      <c r="DV34" s="91">
        <f>'[1]December - 2022'!DY34</f>
        <v>11418.6</v>
      </c>
      <c r="DW34" s="215">
        <f>'[1]December - 2022'!DZ34</f>
        <v>7.8000000000010914</v>
      </c>
      <c r="DX34" s="91">
        <f>'[1]December - 2022'!EA34</f>
        <v>4908.7</v>
      </c>
      <c r="DY34" s="215">
        <f>'[1]December - 2022'!EB34</f>
        <v>6.8000000000001819</v>
      </c>
      <c r="DZ34" s="91">
        <f>'[1]December - 2022'!EC34</f>
        <v>5488.2</v>
      </c>
      <c r="EA34" s="215">
        <f>'[1]December - 2022'!ED34</f>
        <v>6.6999999999998181</v>
      </c>
      <c r="EB34" s="91">
        <f>'[1]December - 2022'!EE34</f>
        <v>1136374</v>
      </c>
      <c r="EC34" s="215">
        <f>'[1]December - 2022'!EF34</f>
        <v>627</v>
      </c>
      <c r="ED34" s="91">
        <f>'[1]December - 2022'!EI34</f>
        <v>233991.5</v>
      </c>
      <c r="EE34" s="229">
        <f>'[1]December - 2022'!EJ34</f>
        <v>128</v>
      </c>
      <c r="EF34" s="379"/>
      <c r="EG34" s="235">
        <f>'[1]December - 2022'!EL34</f>
        <v>12198600</v>
      </c>
      <c r="EH34" s="230">
        <f>'[1]December - 2022'!EM34</f>
        <v>3500</v>
      </c>
      <c r="EI34" s="90">
        <f>'[1]December - 2022'!EN34</f>
        <v>937820</v>
      </c>
      <c r="EJ34" s="230">
        <f>'[1]December - 2022'!EO34</f>
        <v>250</v>
      </c>
      <c r="EK34" s="90">
        <f>'[1]December - 2022'!EP34</f>
        <v>7251900</v>
      </c>
      <c r="EL34" s="230">
        <f>'[1]December - 2022'!EQ34</f>
        <v>1700</v>
      </c>
      <c r="EM34" s="90">
        <f>'[1]December - 2022'!ER34</f>
        <v>2503200</v>
      </c>
      <c r="EN34" s="230">
        <f>'[1]December - 2022'!ES34</f>
        <v>500</v>
      </c>
      <c r="EO34" s="90">
        <f>'[1]December - 2022'!ET34</f>
        <v>1288490</v>
      </c>
      <c r="EP34" s="230">
        <f>'[1]December - 2022'!EU34</f>
        <v>610</v>
      </c>
      <c r="EQ34" s="90">
        <f>'[1]December - 2022'!EV34</f>
        <v>16670100</v>
      </c>
      <c r="ER34" s="230">
        <f>'[1]December - 2022'!EW34</f>
        <v>2300</v>
      </c>
      <c r="ES34" s="427"/>
      <c r="ET34" s="281">
        <f>'[1]December - 2022'!EY34</f>
        <v>42375</v>
      </c>
      <c r="EU34" s="275">
        <f>'[1]December - 2022'!EZ34</f>
        <v>17</v>
      </c>
      <c r="EV34" s="282">
        <f>'[1]December - 2022'!FA34</f>
        <v>36989</v>
      </c>
      <c r="EW34" s="275">
        <f>'[1]December - 2022'!FB34</f>
        <v>14</v>
      </c>
      <c r="EX34" s="282">
        <f>'[1]December - 2022'!FC34</f>
        <v>7685</v>
      </c>
      <c r="EY34" s="275">
        <f>'[1]December - 2022'!FD34</f>
        <v>13</v>
      </c>
      <c r="EZ34" s="282">
        <f>'[1]December - 2022'!FE34</f>
        <v>59498</v>
      </c>
      <c r="FA34" s="275">
        <f>'[1]December - 2022'!FF34</f>
        <v>14</v>
      </c>
      <c r="FB34" s="282">
        <f>'[1]December - 2022'!FG34</f>
        <v>50078</v>
      </c>
      <c r="FC34" s="276">
        <f>'[1]December - 2022'!FH34</f>
        <v>35</v>
      </c>
    </row>
    <row r="35" spans="1:160" ht="30" customHeight="1" x14ac:dyDescent="0.25">
      <c r="A35" s="207">
        <v>43856</v>
      </c>
      <c r="B35" s="209">
        <f>'[1]December - 2022'!B35</f>
        <v>0.73</v>
      </c>
      <c r="C35" s="250">
        <f>'[1]December - 2022'!E35</f>
        <v>221992</v>
      </c>
      <c r="D35" s="170">
        <f>'[1]December - 2022'!F35</f>
        <v>554</v>
      </c>
      <c r="E35" s="168">
        <f>'[1]December - 2022'!G35</f>
        <v>498</v>
      </c>
      <c r="F35" s="168">
        <f>'[1]December - 2022'!H35</f>
        <v>249095</v>
      </c>
      <c r="G35" s="170">
        <f>'[1]December - 2022'!I35</f>
        <v>428</v>
      </c>
      <c r="H35" s="168">
        <f>'[1]December - 2022'!J35</f>
        <v>509</v>
      </c>
      <c r="I35" s="168">
        <f>'[1]December - 2022'!K35</f>
        <v>9858</v>
      </c>
      <c r="J35" s="170">
        <f>'[1]December - 2022'!L35</f>
        <v>216</v>
      </c>
      <c r="K35" s="168">
        <f>'[1]December - 2022'!N35</f>
        <v>924308</v>
      </c>
      <c r="L35" s="170">
        <f>'[1]December - 2022'!O35</f>
        <v>18</v>
      </c>
      <c r="M35" s="168">
        <f>'[1]December - 2022'!Q35</f>
        <v>245382</v>
      </c>
      <c r="N35" s="170">
        <f>'[1]December - 2022'!R35</f>
        <v>0</v>
      </c>
      <c r="O35" s="168">
        <f>'[1]December - 2022'!U35</f>
        <v>117811</v>
      </c>
      <c r="P35" s="170">
        <f>'[1]December - 2022'!V35</f>
        <v>71</v>
      </c>
      <c r="Q35" s="168">
        <f>'[1]December - 2022'!W35</f>
        <v>103.05000000000291</v>
      </c>
      <c r="R35" s="168">
        <f>'[1]December - 2022'!X35</f>
        <v>6481</v>
      </c>
      <c r="S35" s="208">
        <f>'[1]December - 2022'!Y35</f>
        <v>5</v>
      </c>
      <c r="T35" s="522"/>
      <c r="U35" s="169">
        <f>'[1]December - 2022'!AE35</f>
        <v>8194216.7999999998</v>
      </c>
      <c r="V35" s="288">
        <f>'[1]December - 2022'!AF35</f>
        <v>1802.640000000596</v>
      </c>
      <c r="W35" s="92">
        <f>'[1]December - 2022'!AF35</f>
        <v>1802.640000000596</v>
      </c>
      <c r="X35" s="287">
        <f>'[1]December - 2022'!AH35</f>
        <v>15556003.68</v>
      </c>
      <c r="Y35" s="288">
        <f>'[1]December - 2022'!AI35</f>
        <v>4433.519999999553</v>
      </c>
      <c r="Z35" s="92">
        <f>'[1]December - 2022'!AI35</f>
        <v>4433.519999999553</v>
      </c>
      <c r="AA35" s="287">
        <f>'[1]December - 2022'!AK35</f>
        <v>15828494.640000001</v>
      </c>
      <c r="AB35" s="288">
        <f>'[1]December - 2022'!AL35</f>
        <v>97.440000001341105</v>
      </c>
      <c r="AC35" s="92">
        <f>'[1]December - 2022'!AL35</f>
        <v>97.440000001341105</v>
      </c>
      <c r="AD35" s="287">
        <f>'[1]December - 2022'!AN35</f>
        <v>18931520.16</v>
      </c>
      <c r="AE35" s="288">
        <f>'[1]December - 2022'!AO35</f>
        <v>8233.679999999702</v>
      </c>
      <c r="AF35" s="92">
        <f>'[1]December - 2022'!AO35</f>
        <v>8233.679999999702</v>
      </c>
      <c r="AG35" s="287">
        <f>'[1]December - 2022'!AQ35</f>
        <v>19226714.639999997</v>
      </c>
      <c r="AH35" s="288">
        <f>'[1]December - 2022'!AR35</f>
        <v>487.19999999925494</v>
      </c>
      <c r="AI35" s="92">
        <f>'[1]December - 2022'!AR35</f>
        <v>487.19999999925494</v>
      </c>
      <c r="AJ35" s="287">
        <f>'[1]December - 2022'!AT35</f>
        <v>17666554.080000002</v>
      </c>
      <c r="AK35" s="288">
        <f>'[1]December - 2022'!AU35</f>
        <v>5456.6400000043213</v>
      </c>
      <c r="AL35" s="92">
        <f>'[1]December - 2022'!AU35</f>
        <v>5456.6400000043213</v>
      </c>
      <c r="AM35" s="287">
        <f>'[1]December - 2022'!AW35</f>
        <v>14863400.16</v>
      </c>
      <c r="AN35" s="288">
        <f>'[1]December - 2022'!AX35</f>
        <v>3848.8799999989569</v>
      </c>
      <c r="AO35" s="92">
        <f>'[1]December - 2022'!AX35</f>
        <v>3848.8799999989569</v>
      </c>
      <c r="AP35" s="287">
        <f>'[1]December - 2022'!AZ35</f>
        <v>14391059.76</v>
      </c>
      <c r="AQ35" s="288">
        <f>'[1]December - 2022'!BA35</f>
        <v>4384.8000000007451</v>
      </c>
      <c r="AR35" s="92">
        <f>'[1]December - 2022'!BA35</f>
        <v>4384.8000000007451</v>
      </c>
      <c r="AS35" s="287">
        <f>'[1]December - 2022'!BC35</f>
        <v>11234734.559999999</v>
      </c>
      <c r="AT35" s="288">
        <f>'[1]December - 2022'!BD35</f>
        <v>2679.5999999996275</v>
      </c>
      <c r="AU35" s="92">
        <f>'[1]December - 2022'!BD35</f>
        <v>2679.5999999996275</v>
      </c>
      <c r="AV35" s="287">
        <f>'[1]December - 2022'!BF35</f>
        <v>17803847.039999999</v>
      </c>
      <c r="AW35" s="252">
        <f>'[1]December - 2022'!BG35</f>
        <v>5359.1999999992549</v>
      </c>
      <c r="AX35" s="253">
        <f>'[1]December - 2022'!BG35</f>
        <v>5359.1999999992549</v>
      </c>
      <c r="AY35" s="488"/>
      <c r="AZ35" s="272">
        <f>'[1]December - 2022'!BM35</f>
        <v>78188000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81021700</v>
      </c>
      <c r="BD35" s="245">
        <f>'[1]December - 2022'!BQ35</f>
        <v>40500</v>
      </c>
      <c r="BE35" s="93">
        <f>'[1]December - 2022'!BQ35</f>
        <v>40500</v>
      </c>
      <c r="BF35" s="272">
        <f>'[1]December - 2022'!BS35</f>
        <v>75092800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10348880</v>
      </c>
      <c r="BT35" s="185">
        <f>'[1]December - 2022'!BW35</f>
        <v>6160</v>
      </c>
      <c r="BU35" s="395"/>
      <c r="BV35" s="88">
        <f>'[1]December - 2022'!BY35</f>
        <v>0.65</v>
      </c>
      <c r="BW35" s="241">
        <f>'[1]December - 2022'!BZ35</f>
        <v>0.12</v>
      </c>
      <c r="BX35" s="88">
        <f>'[1]December - 2022'!BZ35</f>
        <v>0.12</v>
      </c>
      <c r="BY35" s="89">
        <f>'[1]December - 2022'!CB35</f>
        <v>64675</v>
      </c>
      <c r="BZ35" s="191">
        <f>'[1]December - 2022'!CC35</f>
        <v>20</v>
      </c>
      <c r="CA35" s="89">
        <f>'[1]December - 2022'!CD35</f>
        <v>55758</v>
      </c>
      <c r="CB35" s="191">
        <f>'[1]December - 2022'!CE35</f>
        <v>18</v>
      </c>
      <c r="CC35" s="89">
        <f>'[1]December - 2022'!CF35</f>
        <v>18861</v>
      </c>
      <c r="CD35" s="191">
        <f>'[1]December - 2022'!CG35</f>
        <v>5</v>
      </c>
      <c r="CE35" s="89">
        <f>'[1]December - 2022'!CH35</f>
        <v>25782</v>
      </c>
      <c r="CF35" s="191">
        <f>'[1]December - 2022'!CI35</f>
        <v>11</v>
      </c>
      <c r="CG35" s="89">
        <f>'[1]December - 2022'!CJ35</f>
        <v>28744</v>
      </c>
      <c r="CH35" s="191">
        <f>'[1]December - 2022'!CK35</f>
        <v>13</v>
      </c>
      <c r="CI35" s="89">
        <f>'[1]December - 2022'!CL35</f>
        <v>63079</v>
      </c>
      <c r="CJ35" s="191">
        <f>'[1]December - 2022'!CM35</f>
        <v>36</v>
      </c>
      <c r="CK35" s="89">
        <f>'[1]December - 2022'!CN35</f>
        <v>269332</v>
      </c>
      <c r="CL35" s="246">
        <f>'[1]December - 2022'!CO35</f>
        <v>72</v>
      </c>
      <c r="CM35" s="89">
        <f>'[1]December - 2022'!CO35</f>
        <v>72</v>
      </c>
      <c r="CN35" s="89">
        <f>'[1]December - 2022'!CQ35</f>
        <v>216957</v>
      </c>
      <c r="CO35" s="246">
        <f>'[1]December - 2022'!CR35</f>
        <v>114</v>
      </c>
      <c r="CP35" s="89">
        <f>'[1]December - 2022'!CR35</f>
        <v>114</v>
      </c>
      <c r="CQ35" s="89">
        <f>'[1]December - 2022'!CT35</f>
        <v>359572</v>
      </c>
      <c r="CR35" s="246">
        <f>'[1]December - 2022'!CU35</f>
        <v>271</v>
      </c>
      <c r="CS35" s="89">
        <f>'[1]December - 2022'!CU35</f>
        <v>271</v>
      </c>
      <c r="CT35" s="89">
        <f>'[1]December - 2022'!CW35</f>
        <v>697801</v>
      </c>
      <c r="CU35" s="191">
        <f>'[1]December - 2022'!CX35</f>
        <v>170</v>
      </c>
      <c r="CV35" s="455"/>
      <c r="CW35" s="256">
        <f>'[1]December - 2022'!CZ35</f>
        <v>9000</v>
      </c>
      <c r="CX35" s="198">
        <f>'[1]December - 2022'!DA35</f>
        <v>9</v>
      </c>
      <c r="CY35" s="257">
        <f>'[1]December - 2022'!DB35</f>
        <v>6108</v>
      </c>
      <c r="CZ35" s="198">
        <f>'[1]December - 2022'!DC35</f>
        <v>6</v>
      </c>
      <c r="DA35" s="257">
        <f>'[1]December - 2022'!DD35</f>
        <v>32409</v>
      </c>
      <c r="DB35" s="198">
        <f>'[1]December - 2022'!DE35</f>
        <v>16</v>
      </c>
      <c r="DC35" s="257">
        <f>'[1]December - 2022'!DF35</f>
        <v>32605</v>
      </c>
      <c r="DD35" s="198">
        <f>'[1]December - 2022'!DG35</f>
        <v>12</v>
      </c>
      <c r="DE35" s="257">
        <f>'[1]December - 2022'!DH35</f>
        <v>22027</v>
      </c>
      <c r="DF35" s="198">
        <f>'[1]December - 2022'!DI35</f>
        <v>12</v>
      </c>
      <c r="DG35" s="257">
        <f>'[1]December - 2022'!DJ35</f>
        <v>24148</v>
      </c>
      <c r="DH35" s="198">
        <f>'[1]December - 2022'!DK35</f>
        <v>7</v>
      </c>
      <c r="DI35" s="257">
        <f>'[1]December - 2022'!DL35</f>
        <v>7274</v>
      </c>
      <c r="DJ35" s="198">
        <f>'[1]December - 2022'!DM35</f>
        <v>11</v>
      </c>
      <c r="DK35" s="257">
        <f>'[1]December - 2022'!DN35</f>
        <v>9911</v>
      </c>
      <c r="DL35" s="198">
        <f>'[1]December - 2022'!DO35</f>
        <v>7</v>
      </c>
      <c r="DM35" s="257">
        <f>'[1]December - 2022'!DP35</f>
        <v>3335</v>
      </c>
      <c r="DN35" s="198">
        <f>'[1]December - 2022'!DQ35</f>
        <v>4</v>
      </c>
      <c r="DO35" s="257">
        <f>'[1]December - 2022'!DR35</f>
        <v>6589</v>
      </c>
      <c r="DP35" s="198">
        <f>'[1]December - 2022'!DS35</f>
        <v>12</v>
      </c>
      <c r="DQ35" s="257">
        <f>'[1]December - 2022'!DT35</f>
        <v>30380</v>
      </c>
      <c r="DR35" s="206">
        <f>'[1]December - 2022'!DU35</f>
        <v>1</v>
      </c>
      <c r="DS35" s="440"/>
      <c r="DT35" s="210">
        <f>'[1]December - 2022'!DW35</f>
        <v>6524.3</v>
      </c>
      <c r="DU35" s="221">
        <f>'[1]December - 2022'!DX35</f>
        <v>9.6999999999998181</v>
      </c>
      <c r="DV35" s="91">
        <f>'[1]December - 2022'!DY35</f>
        <v>11426</v>
      </c>
      <c r="DW35" s="215">
        <f>'[1]December - 2022'!DZ35</f>
        <v>7.3999999999996362</v>
      </c>
      <c r="DX35" s="91">
        <f>'[1]December - 2022'!EA35</f>
        <v>4915.5</v>
      </c>
      <c r="DY35" s="215">
        <f>'[1]December - 2022'!EB35</f>
        <v>6.8000000000001819</v>
      </c>
      <c r="DZ35" s="91">
        <f>'[1]December - 2022'!EC35</f>
        <v>5494.2</v>
      </c>
      <c r="EA35" s="215">
        <f>'[1]December - 2022'!ED35</f>
        <v>6</v>
      </c>
      <c r="EB35" s="91">
        <f>'[1]December - 2022'!EE35</f>
        <v>1136923</v>
      </c>
      <c r="EC35" s="215">
        <f>'[1]December - 2022'!EF35</f>
        <v>549</v>
      </c>
      <c r="ED35" s="91">
        <f>'[1]December - 2022'!EI35</f>
        <v>234118.6</v>
      </c>
      <c r="EE35" s="229">
        <f>'[1]December - 2022'!EJ35</f>
        <v>127.10000000000582</v>
      </c>
      <c r="EF35" s="379"/>
      <c r="EG35" s="235">
        <f>'[1]December - 2022'!EL35</f>
        <v>12201700</v>
      </c>
      <c r="EH35" s="230">
        <f>'[1]December - 2022'!EM35</f>
        <v>3100</v>
      </c>
      <c r="EI35" s="90">
        <f>'[1]December - 2022'!EN35</f>
        <v>938040</v>
      </c>
      <c r="EJ35" s="230">
        <f>'[1]December - 2022'!EO35</f>
        <v>220</v>
      </c>
      <c r="EK35" s="90">
        <f>'[1]December - 2022'!EP35</f>
        <v>7253500</v>
      </c>
      <c r="EL35" s="230">
        <f>'[1]December - 2022'!EQ35</f>
        <v>1600</v>
      </c>
      <c r="EM35" s="90">
        <f>'[1]December - 2022'!ER35</f>
        <v>2503300</v>
      </c>
      <c r="EN35" s="230">
        <f>'[1]December - 2022'!ES35</f>
        <v>100</v>
      </c>
      <c r="EO35" s="90">
        <f>'[1]December - 2022'!ET35</f>
        <v>1289100</v>
      </c>
      <c r="EP35" s="230">
        <f>'[1]December - 2022'!EU35</f>
        <v>610</v>
      </c>
      <c r="EQ35" s="90">
        <f>'[1]December - 2022'!EV35</f>
        <v>16671700</v>
      </c>
      <c r="ER35" s="230">
        <f>'[1]December - 2022'!EW35</f>
        <v>1600</v>
      </c>
      <c r="ES35" s="427"/>
      <c r="ET35" s="281">
        <f>'[1]December - 2022'!EY35</f>
        <v>42393</v>
      </c>
      <c r="EU35" s="275">
        <f>'[1]December - 2022'!EZ35</f>
        <v>18</v>
      </c>
      <c r="EV35" s="282">
        <f>'[1]December - 2022'!FA35</f>
        <v>37004</v>
      </c>
      <c r="EW35" s="275">
        <f>'[1]December - 2022'!FB35</f>
        <v>15</v>
      </c>
      <c r="EX35" s="282">
        <f>'[1]December - 2022'!FC35</f>
        <v>7695</v>
      </c>
      <c r="EY35" s="275">
        <f>'[1]December - 2022'!FD35</f>
        <v>10</v>
      </c>
      <c r="EZ35" s="282">
        <f>'[1]December - 2022'!FE35</f>
        <v>59514</v>
      </c>
      <c r="FA35" s="275">
        <f>'[1]December - 2022'!FF35</f>
        <v>16</v>
      </c>
      <c r="FB35" s="282">
        <f>'[1]December - 2022'!FG35</f>
        <v>50113</v>
      </c>
      <c r="FC35" s="276">
        <f>'[1]December - 2022'!FH35</f>
        <v>35</v>
      </c>
    </row>
    <row r="36" spans="1:160" ht="30" customHeight="1" x14ac:dyDescent="0.25">
      <c r="A36" s="207">
        <v>43857</v>
      </c>
      <c r="B36" s="209">
        <f>'[1]December - 2022'!B36</f>
        <v>0.93</v>
      </c>
      <c r="C36" s="250">
        <f>'[1]December - 2022'!E36</f>
        <v>222546</v>
      </c>
      <c r="D36" s="170">
        <f>'[1]December - 2022'!F36</f>
        <v>554</v>
      </c>
      <c r="E36" s="168">
        <f>'[1]December - 2022'!G36</f>
        <v>751</v>
      </c>
      <c r="F36" s="168">
        <f>'[1]December - 2022'!H36</f>
        <v>249535</v>
      </c>
      <c r="G36" s="170">
        <f>'[1]December - 2022'!I36</f>
        <v>440</v>
      </c>
      <c r="H36" s="168">
        <f>'[1]December - 2022'!J36</f>
        <v>349</v>
      </c>
      <c r="I36" s="168">
        <f>'[1]December - 2022'!K36</f>
        <v>10037</v>
      </c>
      <c r="J36" s="170">
        <f>'[1]December - 2022'!L36</f>
        <v>179</v>
      </c>
      <c r="K36" s="168">
        <f>'[1]December - 2022'!N36</f>
        <v>924308</v>
      </c>
      <c r="L36" s="170">
        <f>'[1]December - 2022'!O36</f>
        <v>0</v>
      </c>
      <c r="M36" s="168">
        <f>'[1]December - 2022'!Q36</f>
        <v>245382</v>
      </c>
      <c r="N36" s="170">
        <f>'[1]December - 2022'!R36</f>
        <v>0</v>
      </c>
      <c r="O36" s="168">
        <f>'[1]December - 2022'!U36</f>
        <v>117882</v>
      </c>
      <c r="P36" s="170">
        <f>'[1]December - 2022'!V36</f>
        <v>71</v>
      </c>
      <c r="Q36" s="168">
        <f>'[1]December - 2022'!W36</f>
        <v>90.969999999993888</v>
      </c>
      <c r="R36" s="168">
        <f>'[1]December - 2022'!X36</f>
        <v>6490</v>
      </c>
      <c r="S36" s="208">
        <f>'[1]December - 2022'!Y36</f>
        <v>9</v>
      </c>
      <c r="T36" s="522"/>
      <c r="U36" s="169">
        <f>'[1]December - 2022'!AE36</f>
        <v>8195922</v>
      </c>
      <c r="V36" s="288">
        <f>'[1]December - 2022'!AF36</f>
        <v>1705.2000000001863</v>
      </c>
      <c r="W36" s="92">
        <f>'[1]December - 2022'!AF36</f>
        <v>1705.2000000001863</v>
      </c>
      <c r="X36" s="287">
        <f>'[1]December - 2022'!AH36</f>
        <v>15560485.919999998</v>
      </c>
      <c r="Y36" s="288">
        <f>'[1]December - 2022'!AI36</f>
        <v>4482.2399999983609</v>
      </c>
      <c r="Z36" s="92">
        <f>'[1]December - 2022'!AI36</f>
        <v>4482.2399999983609</v>
      </c>
      <c r="AA36" s="287">
        <f>'[1]December - 2022'!AK36</f>
        <v>15828592.08</v>
      </c>
      <c r="AB36" s="288">
        <f>'[1]December - 2022'!AL36</f>
        <v>97.439999999478459</v>
      </c>
      <c r="AC36" s="92">
        <f>'[1]December - 2022'!AL36</f>
        <v>97.439999999478459</v>
      </c>
      <c r="AD36" s="287">
        <f>'[1]December - 2022'!AN36</f>
        <v>18939851.280000001</v>
      </c>
      <c r="AE36" s="288">
        <f>'[1]December - 2022'!AO36</f>
        <v>8331.1200000010431</v>
      </c>
      <c r="AF36" s="92">
        <f>'[1]December - 2022'!AO36</f>
        <v>8331.1200000010431</v>
      </c>
      <c r="AG36" s="287">
        <f>'[1]December - 2022'!AQ36</f>
        <v>19227153.119999997</v>
      </c>
      <c r="AH36" s="288">
        <f>'[1]December - 2022'!AR36</f>
        <v>438.48000000044703</v>
      </c>
      <c r="AI36" s="92">
        <f>'[1]December - 2022'!AR36</f>
        <v>438.48000000044703</v>
      </c>
      <c r="AJ36" s="287">
        <f>'[1]December - 2022'!AT36</f>
        <v>17671815.84</v>
      </c>
      <c r="AK36" s="288">
        <f>'[1]December - 2022'!AU36</f>
        <v>5261.7599999979138</v>
      </c>
      <c r="AL36" s="92">
        <f>'[1]December - 2022'!AU36</f>
        <v>5261.7599999979138</v>
      </c>
      <c r="AM36" s="287">
        <f>'[1]December - 2022'!AW36</f>
        <v>14867346.48</v>
      </c>
      <c r="AN36" s="288">
        <f>'[1]December - 2022'!AX36</f>
        <v>3946.320000000298</v>
      </c>
      <c r="AO36" s="92">
        <f>'[1]December - 2022'!AX36</f>
        <v>3946.320000000298</v>
      </c>
      <c r="AP36" s="287">
        <f>'[1]December - 2022'!AZ36</f>
        <v>14395639.439999999</v>
      </c>
      <c r="AQ36" s="288">
        <f>'[1]December - 2022'!BA36</f>
        <v>4579.679999999702</v>
      </c>
      <c r="AR36" s="92">
        <f>'[1]December - 2022'!BA36</f>
        <v>4579.679999999702</v>
      </c>
      <c r="AS36" s="287">
        <f>'[1]December - 2022'!BC36</f>
        <v>11237462.880000001</v>
      </c>
      <c r="AT36" s="288">
        <f>'[1]December - 2022'!BD36</f>
        <v>2728.3200000021607</v>
      </c>
      <c r="AU36" s="92">
        <f>'[1]December - 2022'!BD36</f>
        <v>2728.3200000021607</v>
      </c>
      <c r="AV36" s="287">
        <f>'[1]December - 2022'!BF36</f>
        <v>17809352.399999999</v>
      </c>
      <c r="AW36" s="252">
        <f>'[1]December - 2022'!BG36</f>
        <v>5505.359999999404</v>
      </c>
      <c r="AX36" s="253">
        <f>'[1]December - 2022'!BG36</f>
        <v>5505.359999999404</v>
      </c>
      <c r="AY36" s="488"/>
      <c r="AZ36" s="272">
        <f>'[1]December - 2022'!BM36</f>
        <v>78188000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81062100</v>
      </c>
      <c r="BD36" s="245">
        <f>'[1]December - 2022'!BQ36</f>
        <v>40400</v>
      </c>
      <c r="BE36" s="93">
        <f>'[1]December - 2022'!BQ36</f>
        <v>40400</v>
      </c>
      <c r="BF36" s="272">
        <f>'[1]December - 2022'!BS36</f>
        <v>75092800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10355310</v>
      </c>
      <c r="BT36" s="185">
        <f>'[1]December - 2022'!BW36</f>
        <v>6430</v>
      </c>
      <c r="BU36" s="395"/>
      <c r="BV36" s="88">
        <f>'[1]December - 2022'!BY36</f>
        <v>0.6</v>
      </c>
      <c r="BW36" s="241">
        <f>'[1]December - 2022'!BZ36</f>
        <v>5.0000000000000044E-2</v>
      </c>
      <c r="BX36" s="88">
        <f>'[1]December - 2022'!BZ36</f>
        <v>5.0000000000000044E-2</v>
      </c>
      <c r="BY36" s="89">
        <f>'[1]December - 2022'!CB36</f>
        <v>64695</v>
      </c>
      <c r="BZ36" s="191">
        <f>'[1]December - 2022'!CC36</f>
        <v>20</v>
      </c>
      <c r="CA36" s="89">
        <f>'[1]December - 2022'!CD36</f>
        <v>55777</v>
      </c>
      <c r="CB36" s="191">
        <f>'[1]December - 2022'!CE36</f>
        <v>19</v>
      </c>
      <c r="CC36" s="89">
        <f>'[1]December - 2022'!CF36</f>
        <v>18869</v>
      </c>
      <c r="CD36" s="191">
        <f>'[1]December - 2022'!CG36</f>
        <v>8</v>
      </c>
      <c r="CE36" s="89">
        <f>'[1]December - 2022'!CH36</f>
        <v>25792</v>
      </c>
      <c r="CF36" s="191">
        <f>'[1]December - 2022'!CI36</f>
        <v>10</v>
      </c>
      <c r="CG36" s="89">
        <f>'[1]December - 2022'!CJ36</f>
        <v>28758</v>
      </c>
      <c r="CH36" s="191">
        <f>'[1]December - 2022'!CK36</f>
        <v>14</v>
      </c>
      <c r="CI36" s="89">
        <f>'[1]December - 2022'!CL36</f>
        <v>63114</v>
      </c>
      <c r="CJ36" s="191">
        <f>'[1]December - 2022'!CM36</f>
        <v>35</v>
      </c>
      <c r="CK36" s="89">
        <f>'[1]December - 2022'!CN36</f>
        <v>269405</v>
      </c>
      <c r="CL36" s="246">
        <f>'[1]December - 2022'!CO36</f>
        <v>73</v>
      </c>
      <c r="CM36" s="89">
        <f>'[1]December - 2022'!CO36</f>
        <v>73</v>
      </c>
      <c r="CN36" s="89">
        <f>'[1]December - 2022'!CQ36</f>
        <v>217077</v>
      </c>
      <c r="CO36" s="246">
        <f>'[1]December - 2022'!CR36</f>
        <v>120</v>
      </c>
      <c r="CP36" s="89">
        <f>'[1]December - 2022'!CR36</f>
        <v>120</v>
      </c>
      <c r="CQ36" s="89">
        <f>'[1]December - 2022'!CT36</f>
        <v>359784</v>
      </c>
      <c r="CR36" s="246">
        <f>'[1]December - 2022'!CU36</f>
        <v>212</v>
      </c>
      <c r="CS36" s="89">
        <f>'[1]December - 2022'!CU36</f>
        <v>212</v>
      </c>
      <c r="CT36" s="89">
        <f>'[1]December - 2022'!CW36</f>
        <v>697973</v>
      </c>
      <c r="CU36" s="191">
        <f>'[1]December - 2022'!CX36</f>
        <v>172</v>
      </c>
      <c r="CV36" s="455"/>
      <c r="CW36" s="256">
        <f>'[1]December - 2022'!CZ36</f>
        <v>9009</v>
      </c>
      <c r="CX36" s="198">
        <f>'[1]December - 2022'!DA36</f>
        <v>9</v>
      </c>
      <c r="CY36" s="257">
        <f>'[1]December - 2022'!DB36</f>
        <v>6114</v>
      </c>
      <c r="CZ36" s="198">
        <f>'[1]December - 2022'!DC36</f>
        <v>6</v>
      </c>
      <c r="DA36" s="257">
        <f>'[1]December - 2022'!DD36</f>
        <v>32426</v>
      </c>
      <c r="DB36" s="198">
        <f>'[1]December - 2022'!DE36</f>
        <v>17</v>
      </c>
      <c r="DC36" s="257">
        <f>'[1]December - 2022'!DF36</f>
        <v>32620</v>
      </c>
      <c r="DD36" s="198">
        <f>'[1]December - 2022'!DG36</f>
        <v>15</v>
      </c>
      <c r="DE36" s="257">
        <f>'[1]December - 2022'!DH36</f>
        <v>22039</v>
      </c>
      <c r="DF36" s="198">
        <f>'[1]December - 2022'!DI36</f>
        <v>12</v>
      </c>
      <c r="DG36" s="257">
        <f>'[1]December - 2022'!DJ36</f>
        <v>24155</v>
      </c>
      <c r="DH36" s="198">
        <f>'[1]December - 2022'!DK36</f>
        <v>7</v>
      </c>
      <c r="DI36" s="257">
        <f>'[1]December - 2022'!DL36</f>
        <v>7288</v>
      </c>
      <c r="DJ36" s="198">
        <f>'[1]December - 2022'!DM36</f>
        <v>14</v>
      </c>
      <c r="DK36" s="257">
        <f>'[1]December - 2022'!DN36</f>
        <v>9917</v>
      </c>
      <c r="DL36" s="198">
        <f>'[1]December - 2022'!DO36</f>
        <v>6</v>
      </c>
      <c r="DM36" s="257">
        <f>'[1]December - 2022'!DP36</f>
        <v>3339</v>
      </c>
      <c r="DN36" s="198">
        <f>'[1]December - 2022'!DQ36</f>
        <v>4</v>
      </c>
      <c r="DO36" s="257">
        <f>'[1]December - 2022'!DR36</f>
        <v>6598</v>
      </c>
      <c r="DP36" s="198">
        <f>'[1]December - 2022'!DS36</f>
        <v>9</v>
      </c>
      <c r="DQ36" s="257">
        <f>'[1]December - 2022'!DT36</f>
        <v>30380</v>
      </c>
      <c r="DR36" s="206">
        <f>'[1]December - 2022'!DU36</f>
        <v>0</v>
      </c>
      <c r="DS36" s="440"/>
      <c r="DT36" s="210">
        <f>'[1]December - 2022'!DW36</f>
        <v>6534.8</v>
      </c>
      <c r="DU36" s="221">
        <f>'[1]December - 2022'!DX36</f>
        <v>10.5</v>
      </c>
      <c r="DV36" s="91">
        <f>'[1]December - 2022'!DY36</f>
        <v>11433.5</v>
      </c>
      <c r="DW36" s="215">
        <f>'[1]December - 2022'!DZ36</f>
        <v>7.5</v>
      </c>
      <c r="DX36" s="91">
        <f>'[1]December - 2022'!EA36</f>
        <v>4922.6000000000004</v>
      </c>
      <c r="DY36" s="215">
        <f>'[1]December - 2022'!EB36</f>
        <v>7.1000000000003638</v>
      </c>
      <c r="DZ36" s="91">
        <f>'[1]December - 2022'!EC36</f>
        <v>5501</v>
      </c>
      <c r="EA36" s="215">
        <f>'[1]December - 2022'!ED36</f>
        <v>6.8000000000001819</v>
      </c>
      <c r="EB36" s="91">
        <f>'[1]December - 2022'!EE36</f>
        <v>1137492</v>
      </c>
      <c r="EC36" s="215">
        <f>'[1]December - 2022'!EF36</f>
        <v>569</v>
      </c>
      <c r="ED36" s="91">
        <f>'[1]December - 2022'!EI36</f>
        <v>234251.4</v>
      </c>
      <c r="EE36" s="229">
        <f>'[1]December - 2022'!EJ36</f>
        <v>132.79999999998836</v>
      </c>
      <c r="EF36" s="379"/>
      <c r="EG36" s="235">
        <f>'[1]December - 2022'!EL36</f>
        <v>12204900</v>
      </c>
      <c r="EH36" s="230">
        <f>'[1]December - 2022'!EM36</f>
        <v>3200</v>
      </c>
      <c r="EI36" s="90">
        <f>'[1]December - 2022'!EN36</f>
        <v>938260</v>
      </c>
      <c r="EJ36" s="230">
        <f>'[1]December - 2022'!EO36</f>
        <v>220</v>
      </c>
      <c r="EK36" s="90">
        <f>'[1]December - 2022'!EP36</f>
        <v>7255200</v>
      </c>
      <c r="EL36" s="230">
        <f>'[1]December - 2022'!EQ36</f>
        <v>1700</v>
      </c>
      <c r="EM36" s="90">
        <f>'[1]December - 2022'!ER36</f>
        <v>2503500</v>
      </c>
      <c r="EN36" s="230">
        <f>'[1]December - 2022'!ES36</f>
        <v>200</v>
      </c>
      <c r="EO36" s="90">
        <f>'[1]December - 2022'!ET36</f>
        <v>1289700</v>
      </c>
      <c r="EP36" s="230">
        <f>'[1]December - 2022'!EU36</f>
        <v>600</v>
      </c>
      <c r="EQ36" s="90">
        <f>'[1]December - 2022'!EV36</f>
        <v>16673200</v>
      </c>
      <c r="ER36" s="230">
        <f>'[1]December - 2022'!EW36</f>
        <v>1500</v>
      </c>
      <c r="ES36" s="427"/>
      <c r="ET36" s="281">
        <f>'[1]December - 2022'!EY36</f>
        <v>42410</v>
      </c>
      <c r="EU36" s="275">
        <f>'[1]December - 2022'!EZ36</f>
        <v>17</v>
      </c>
      <c r="EV36" s="282">
        <f>'[1]December - 2022'!FA36</f>
        <v>37004</v>
      </c>
      <c r="EW36" s="275">
        <f>'[1]December - 2022'!FB36</f>
        <v>0</v>
      </c>
      <c r="EX36" s="282">
        <f>'[1]December - 2022'!FC36</f>
        <v>7705</v>
      </c>
      <c r="EY36" s="275">
        <f>'[1]December - 2022'!FD36</f>
        <v>10</v>
      </c>
      <c r="EZ36" s="282">
        <f>'[1]December - 2022'!FE36</f>
        <v>59528</v>
      </c>
      <c r="FA36" s="275">
        <f>'[1]December - 2022'!FF36</f>
        <v>14</v>
      </c>
      <c r="FB36" s="282">
        <f>'[1]December - 2022'!FG36</f>
        <v>50148</v>
      </c>
      <c r="FC36" s="276">
        <f>'[1]December - 2022'!FH36</f>
        <v>35</v>
      </c>
    </row>
    <row r="37" spans="1:160" ht="30" customHeight="1" x14ac:dyDescent="0.25">
      <c r="A37" s="207">
        <v>43858</v>
      </c>
      <c r="B37" s="209">
        <f>'[1]December - 2022'!B37</f>
        <v>0.93</v>
      </c>
      <c r="C37" s="250">
        <f>'[1]December - 2022'!E37</f>
        <v>223205</v>
      </c>
      <c r="D37" s="170">
        <f>'[1]December - 2022'!F37</f>
        <v>659</v>
      </c>
      <c r="E37" s="168">
        <f>'[1]December - 2022'!G37</f>
        <v>989</v>
      </c>
      <c r="F37" s="168">
        <f>'[1]December - 2022'!H37</f>
        <v>250061</v>
      </c>
      <c r="G37" s="170">
        <f>'[1]December - 2022'!I37</f>
        <v>526</v>
      </c>
      <c r="H37" s="168">
        <f>'[1]December - 2022'!J37</f>
        <v>557.00999999999476</v>
      </c>
      <c r="I37" s="168">
        <f>'[1]December - 2022'!K37</f>
        <v>10038</v>
      </c>
      <c r="J37" s="170">
        <f>'[1]December - 2022'!L37</f>
        <v>1</v>
      </c>
      <c r="K37" s="168">
        <f>'[1]December - 2022'!N37</f>
        <v>924308</v>
      </c>
      <c r="L37" s="170">
        <f>'[1]December - 2022'!O37</f>
        <v>0</v>
      </c>
      <c r="M37" s="168">
        <f>'[1]December - 2022'!Q37</f>
        <v>245382</v>
      </c>
      <c r="N37" s="170">
        <f>'[1]December - 2022'!R37</f>
        <v>0</v>
      </c>
      <c r="O37" s="168">
        <f>'[1]December - 2022'!U37</f>
        <v>117956</v>
      </c>
      <c r="P37" s="170">
        <f>'[1]December - 2022'!V37</f>
        <v>74</v>
      </c>
      <c r="Q37" s="168">
        <f>'[1]December - 2022'!W37</f>
        <v>84.620000000002619</v>
      </c>
      <c r="R37" s="168">
        <f>'[1]December - 2022'!X37</f>
        <v>6496</v>
      </c>
      <c r="S37" s="208">
        <f>'[1]December - 2022'!Y37</f>
        <v>6</v>
      </c>
      <c r="T37" s="522"/>
      <c r="U37" s="169">
        <f>'[1]December - 2022'!AE37</f>
        <v>8197773.3599999994</v>
      </c>
      <c r="V37" s="288">
        <f>'[1]December - 2022'!AF37</f>
        <v>1851.359999999404</v>
      </c>
      <c r="W37" s="92">
        <f>'[1]December - 2022'!AF37</f>
        <v>1851.359999999404</v>
      </c>
      <c r="X37" s="287">
        <f>'[1]December - 2022'!AH37</f>
        <v>15565016.880000001</v>
      </c>
      <c r="Y37" s="288">
        <f>'[1]December - 2022'!AI37</f>
        <v>4530.9600000027567</v>
      </c>
      <c r="Z37" s="92">
        <f>'[1]December - 2022'!AI37</f>
        <v>4530.9600000027567</v>
      </c>
      <c r="AA37" s="287">
        <f>'[1]December - 2022'!AK37</f>
        <v>15828689.52</v>
      </c>
      <c r="AB37" s="288">
        <f>'[1]December - 2022'!AL37</f>
        <v>97.439999999478459</v>
      </c>
      <c r="AC37" s="92">
        <f>'[1]December - 2022'!AL37</f>
        <v>97.439999999478459</v>
      </c>
      <c r="AD37" s="287">
        <f>'[1]December - 2022'!AN37</f>
        <v>18949010.639999997</v>
      </c>
      <c r="AE37" s="288">
        <f>'[1]December - 2022'!AO37</f>
        <v>9159.3599999956787</v>
      </c>
      <c r="AF37" s="92">
        <f>'[1]December - 2022'!AO37</f>
        <v>9159.3599999956787</v>
      </c>
      <c r="AG37" s="287">
        <f>'[1]December - 2022'!AQ37</f>
        <v>19227153.119999997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17677175.039999999</v>
      </c>
      <c r="AK37" s="288">
        <f>'[1]December - 2022'!AU37</f>
        <v>5359.1999999992549</v>
      </c>
      <c r="AL37" s="92">
        <f>'[1]December - 2022'!AU37</f>
        <v>5359.1999999992549</v>
      </c>
      <c r="AM37" s="287">
        <f>'[1]December - 2022'!AW37</f>
        <v>14871536.4</v>
      </c>
      <c r="AN37" s="288">
        <f>'[1]December - 2022'!AX37</f>
        <v>4189.9199999999255</v>
      </c>
      <c r="AO37" s="92">
        <f>'[1]December - 2022'!AX37</f>
        <v>4189.9199999999255</v>
      </c>
      <c r="AP37" s="287">
        <f>'[1]December - 2022'!AZ37</f>
        <v>14400267.84</v>
      </c>
      <c r="AQ37" s="288">
        <f>'[1]December - 2022'!BA37</f>
        <v>4628.4000000003725</v>
      </c>
      <c r="AR37" s="92">
        <f>'[1]December - 2022'!BA37</f>
        <v>4628.4000000003725</v>
      </c>
      <c r="AS37" s="287">
        <f>'[1]December - 2022'!BC37</f>
        <v>11240483.52</v>
      </c>
      <c r="AT37" s="288">
        <f>'[1]December - 2022'!BD37</f>
        <v>3020.6399999987334</v>
      </c>
      <c r="AU37" s="92">
        <f>'[1]December - 2022'!BD37</f>
        <v>3020.6399999987334</v>
      </c>
      <c r="AV37" s="287">
        <f>'[1]December - 2022'!BF37</f>
        <v>17814955.199999999</v>
      </c>
      <c r="AW37" s="252">
        <f>'[1]December - 2022'!BG37</f>
        <v>5602.8000000007451</v>
      </c>
      <c r="AX37" s="253">
        <f>'[1]December - 2022'!BG37</f>
        <v>5602.8000000007451</v>
      </c>
      <c r="AY37" s="488"/>
      <c r="AZ37" s="272">
        <f>'[1]December - 2022'!BM37</f>
        <v>78188000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81103400</v>
      </c>
      <c r="BD37" s="245">
        <f>'[1]December - 2022'!BQ37</f>
        <v>41300</v>
      </c>
      <c r="BE37" s="93">
        <f>'[1]December - 2022'!BQ37</f>
        <v>41300</v>
      </c>
      <c r="BF37" s="272">
        <f>'[1]December - 2022'!BS37</f>
        <v>75092800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10362870</v>
      </c>
      <c r="BT37" s="185">
        <f>'[1]December - 2022'!BW37</f>
        <v>7560</v>
      </c>
      <c r="BU37" s="395"/>
      <c r="BV37" s="88">
        <f>'[1]December - 2022'!BY37</f>
        <v>0.68</v>
      </c>
      <c r="BW37" s="241">
        <f>'[1]December - 2022'!BZ37</f>
        <v>-8.0000000000000071E-2</v>
      </c>
      <c r="BX37" s="88">
        <f>'[1]December - 2022'!BZ37</f>
        <v>-8.0000000000000071E-2</v>
      </c>
      <c r="BY37" s="89">
        <f>'[1]December - 2022'!CB37</f>
        <v>64716</v>
      </c>
      <c r="BZ37" s="191">
        <f>'[1]December - 2022'!CC37</f>
        <v>21</v>
      </c>
      <c r="CA37" s="89">
        <f>'[1]December - 2022'!CD37</f>
        <v>55796</v>
      </c>
      <c r="CB37" s="191">
        <f>'[1]December - 2022'!CE37</f>
        <v>19</v>
      </c>
      <c r="CC37" s="89">
        <f>'[1]December - 2022'!CF37</f>
        <v>18876</v>
      </c>
      <c r="CD37" s="191">
        <f>'[1]December - 2022'!CG37</f>
        <v>7</v>
      </c>
      <c r="CE37" s="89">
        <f>'[1]December - 2022'!CH37</f>
        <v>25803</v>
      </c>
      <c r="CF37" s="191">
        <f>'[1]December - 2022'!CI37</f>
        <v>11</v>
      </c>
      <c r="CG37" s="89">
        <f>'[1]December - 2022'!CJ37</f>
        <v>28772</v>
      </c>
      <c r="CH37" s="191">
        <f>'[1]December - 2022'!CK37</f>
        <v>14</v>
      </c>
      <c r="CI37" s="89">
        <f>'[1]December - 2022'!CL37</f>
        <v>63148</v>
      </c>
      <c r="CJ37" s="191">
        <f>'[1]December - 2022'!CM37</f>
        <v>34</v>
      </c>
      <c r="CK37" s="89">
        <f>'[1]December - 2022'!CN37</f>
        <v>269479</v>
      </c>
      <c r="CL37" s="246">
        <f>'[1]December - 2022'!CO37</f>
        <v>74</v>
      </c>
      <c r="CM37" s="89">
        <f>'[1]December - 2022'!CO37</f>
        <v>74</v>
      </c>
      <c r="CN37" s="89">
        <f>'[1]December - 2022'!CQ37</f>
        <v>217197</v>
      </c>
      <c r="CO37" s="246">
        <f>'[1]December - 2022'!CR37</f>
        <v>120</v>
      </c>
      <c r="CP37" s="89">
        <f>'[1]December - 2022'!CR37</f>
        <v>120</v>
      </c>
      <c r="CQ37" s="89">
        <f>'[1]December - 2022'!CT37</f>
        <v>360081</v>
      </c>
      <c r="CR37" s="246">
        <f>'[1]December - 2022'!CU37</f>
        <v>297</v>
      </c>
      <c r="CS37" s="89">
        <f>'[1]December - 2022'!CU37</f>
        <v>297</v>
      </c>
      <c r="CT37" s="89">
        <f>'[1]December - 2022'!CW37</f>
        <v>698145</v>
      </c>
      <c r="CU37" s="191">
        <f>'[1]December - 2022'!CX37</f>
        <v>172</v>
      </c>
      <c r="CV37" s="455"/>
      <c r="CW37" s="256">
        <f>'[1]December - 2022'!CZ37</f>
        <v>9023</v>
      </c>
      <c r="CX37" s="198">
        <f>'[1]December - 2022'!DA37</f>
        <v>14</v>
      </c>
      <c r="CY37" s="257">
        <f>'[1]December - 2022'!DB37</f>
        <v>6124</v>
      </c>
      <c r="CZ37" s="198">
        <f>'[1]December - 2022'!DC37</f>
        <v>10</v>
      </c>
      <c r="DA37" s="257">
        <f>'[1]December - 2022'!DD37</f>
        <v>32445</v>
      </c>
      <c r="DB37" s="198">
        <f>'[1]December - 2022'!DE37</f>
        <v>19</v>
      </c>
      <c r="DC37" s="257">
        <f>'[1]December - 2022'!DF37</f>
        <v>32634</v>
      </c>
      <c r="DD37" s="198">
        <f>'[1]December - 2022'!DG37</f>
        <v>14</v>
      </c>
      <c r="DE37" s="257">
        <f>'[1]December - 2022'!DH37</f>
        <v>22052</v>
      </c>
      <c r="DF37" s="198">
        <f>'[1]December - 2022'!DI37</f>
        <v>13</v>
      </c>
      <c r="DG37" s="257">
        <f>'[1]December - 2022'!DJ37</f>
        <v>24162</v>
      </c>
      <c r="DH37" s="198">
        <f>'[1]December - 2022'!DK37</f>
        <v>7</v>
      </c>
      <c r="DI37" s="257">
        <f>'[1]December - 2022'!DL37</f>
        <v>7301</v>
      </c>
      <c r="DJ37" s="198">
        <f>'[1]December - 2022'!DM37</f>
        <v>13</v>
      </c>
      <c r="DK37" s="257">
        <f>'[1]December - 2022'!DN37</f>
        <v>9923</v>
      </c>
      <c r="DL37" s="198">
        <f>'[1]December - 2022'!DO37</f>
        <v>6</v>
      </c>
      <c r="DM37" s="257">
        <f>'[1]December - 2022'!DP37</f>
        <v>3344</v>
      </c>
      <c r="DN37" s="198">
        <f>'[1]December - 2022'!DQ37</f>
        <v>5</v>
      </c>
      <c r="DO37" s="257">
        <f>'[1]December - 2022'!DR37</f>
        <v>6608</v>
      </c>
      <c r="DP37" s="198">
        <f>'[1]December - 2022'!DS37</f>
        <v>10</v>
      </c>
      <c r="DQ37" s="257">
        <f>'[1]December - 2022'!DT37</f>
        <v>30380</v>
      </c>
      <c r="DR37" s="206">
        <f>'[1]December - 2022'!DU37</f>
        <v>0</v>
      </c>
      <c r="DS37" s="440"/>
      <c r="DT37" s="210">
        <f>'[1]December - 2022'!DW37</f>
        <v>6545.9</v>
      </c>
      <c r="DU37" s="221">
        <f>'[1]December - 2022'!DX37</f>
        <v>11.099999999999454</v>
      </c>
      <c r="DV37" s="91">
        <f>'[1]December - 2022'!DY37</f>
        <v>11441.6</v>
      </c>
      <c r="DW37" s="215">
        <f>'[1]December - 2022'!DZ37</f>
        <v>8.1000000000003638</v>
      </c>
      <c r="DX37" s="91">
        <f>'[1]December - 2022'!EA37</f>
        <v>4929.8999999999996</v>
      </c>
      <c r="DY37" s="215">
        <f>'[1]December - 2022'!EB37</f>
        <v>7.2999999999992724</v>
      </c>
      <c r="DZ37" s="91">
        <f>'[1]December - 2022'!EC37</f>
        <v>5500.1</v>
      </c>
      <c r="EA37" s="215">
        <f>'[1]December - 2022'!ED37</f>
        <v>-0.8999999999996362</v>
      </c>
      <c r="EB37" s="91">
        <f>'[1]December - 2022'!EE37</f>
        <v>1138062</v>
      </c>
      <c r="EC37" s="215">
        <f>'[1]December - 2022'!EF37</f>
        <v>570</v>
      </c>
      <c r="ED37" s="91">
        <f>'[1]December - 2022'!EI37</f>
        <v>234381.2</v>
      </c>
      <c r="EE37" s="229">
        <f>'[1]December - 2022'!EJ37</f>
        <v>129.80000000001746</v>
      </c>
      <c r="EF37" s="379"/>
      <c r="EG37" s="235">
        <f>'[1]December - 2022'!EL37</f>
        <v>12208000</v>
      </c>
      <c r="EH37" s="230">
        <f>'[1]December - 2022'!EM37</f>
        <v>3100</v>
      </c>
      <c r="EI37" s="90">
        <f>'[1]December - 2022'!EN37</f>
        <v>938500</v>
      </c>
      <c r="EJ37" s="230">
        <f>'[1]December - 2022'!EO37</f>
        <v>240</v>
      </c>
      <c r="EK37" s="90">
        <f>'[1]December - 2022'!EP37</f>
        <v>7256800</v>
      </c>
      <c r="EL37" s="230">
        <f>'[1]December - 2022'!EQ37</f>
        <v>1600</v>
      </c>
      <c r="EM37" s="90">
        <f>'[1]December - 2022'!ER37</f>
        <v>2503800</v>
      </c>
      <c r="EN37" s="230">
        <f>'[1]December - 2022'!ES37</f>
        <v>300</v>
      </c>
      <c r="EO37" s="90">
        <f>'[1]December - 2022'!ET37</f>
        <v>1290250</v>
      </c>
      <c r="EP37" s="230">
        <f>'[1]December - 2022'!EU37</f>
        <v>550</v>
      </c>
      <c r="EQ37" s="90">
        <f>'[1]December - 2022'!EV37</f>
        <v>16675100</v>
      </c>
      <c r="ER37" s="230">
        <f>'[1]December - 2022'!EW37</f>
        <v>1900</v>
      </c>
      <c r="ES37" s="427"/>
      <c r="ET37" s="281">
        <f>'[1]December - 2022'!EY37</f>
        <v>42427</v>
      </c>
      <c r="EU37" s="275">
        <f>'[1]December - 2022'!EZ37</f>
        <v>17</v>
      </c>
      <c r="EV37" s="282">
        <f>'[1]December - 2022'!FA37</f>
        <v>37037</v>
      </c>
      <c r="EW37" s="275">
        <f>'[1]December - 2022'!FB37</f>
        <v>33</v>
      </c>
      <c r="EX37" s="282">
        <f>'[1]December - 2022'!FC37</f>
        <v>7714</v>
      </c>
      <c r="EY37" s="275">
        <f>'[1]December - 2022'!FD37</f>
        <v>9</v>
      </c>
      <c r="EZ37" s="282">
        <f>'[1]December - 2022'!FE37</f>
        <v>59547</v>
      </c>
      <c r="FA37" s="275">
        <f>'[1]December - 2022'!FF37</f>
        <v>19</v>
      </c>
      <c r="FB37" s="282">
        <f>'[1]December - 2022'!FG37</f>
        <v>50184</v>
      </c>
      <c r="FC37" s="276">
        <f>'[1]December - 2022'!FH37</f>
        <v>36</v>
      </c>
    </row>
    <row r="38" spans="1:160" ht="30" customHeight="1" x14ac:dyDescent="0.25">
      <c r="A38" s="207">
        <v>43859</v>
      </c>
      <c r="B38" s="209">
        <f>'[1]December - 2022'!B38</f>
        <v>0.92</v>
      </c>
      <c r="C38" s="250">
        <f>'[1]December - 2022'!E38</f>
        <v>223865</v>
      </c>
      <c r="D38" s="170">
        <f>'[1]December - 2022'!F38</f>
        <v>660</v>
      </c>
      <c r="E38" s="168">
        <f>'[1]December - 2022'!G38</f>
        <v>769</v>
      </c>
      <c r="F38" s="168">
        <f>'[1]December - 2022'!H38</f>
        <v>250609</v>
      </c>
      <c r="G38" s="170">
        <f>'[1]December - 2022'!I38</f>
        <v>548</v>
      </c>
      <c r="H38" s="168">
        <f>'[1]December - 2022'!J38</f>
        <v>484.49000000000524</v>
      </c>
      <c r="I38" s="168">
        <f>'[1]December - 2022'!K38</f>
        <v>10038</v>
      </c>
      <c r="J38" s="170">
        <f>'[1]December - 2022'!L38</f>
        <v>0</v>
      </c>
      <c r="K38" s="168">
        <f>'[1]December - 2022'!N38</f>
        <v>924389</v>
      </c>
      <c r="L38" s="170">
        <f>'[1]December - 2022'!O38</f>
        <v>81</v>
      </c>
      <c r="M38" s="168">
        <f>'[1]December - 2022'!Q38</f>
        <v>245382</v>
      </c>
      <c r="N38" s="170">
        <f>'[1]December - 2022'!R38</f>
        <v>0</v>
      </c>
      <c r="O38" s="168">
        <f>'[1]December - 2022'!U38</f>
        <v>118029</v>
      </c>
      <c r="P38" s="170">
        <f>'[1]December - 2022'!V38</f>
        <v>73</v>
      </c>
      <c r="Q38" s="168">
        <f>'[1]December - 2022'!W38</f>
        <v>83.770000000004075</v>
      </c>
      <c r="R38" s="168">
        <f>'[1]December - 2022'!X38</f>
        <v>6505</v>
      </c>
      <c r="S38" s="208">
        <f>'[1]December - 2022'!Y38</f>
        <v>9</v>
      </c>
      <c r="T38" s="522"/>
      <c r="U38" s="169">
        <f>'[1]December - 2022'!AE38</f>
        <v>8199527.2800000003</v>
      </c>
      <c r="V38" s="288">
        <f>'[1]December - 2022'!AF38</f>
        <v>1753.9200000008568</v>
      </c>
      <c r="W38" s="92">
        <f>'[1]December - 2022'!AF38</f>
        <v>1753.9200000008568</v>
      </c>
      <c r="X38" s="287">
        <f>'[1]December - 2022'!AH38</f>
        <v>15569547.84</v>
      </c>
      <c r="Y38" s="288">
        <f>'[1]December - 2022'!AI38</f>
        <v>4530.9599999990314</v>
      </c>
      <c r="Z38" s="92">
        <f>'[1]December - 2022'!AI38</f>
        <v>4530.9599999990314</v>
      </c>
      <c r="AA38" s="287">
        <f>'[1]December - 2022'!AK38</f>
        <v>15828786.959999999</v>
      </c>
      <c r="AB38" s="288">
        <f>'[1]December - 2022'!AL38</f>
        <v>97.439999999478459</v>
      </c>
      <c r="AC38" s="92">
        <f>'[1]December - 2022'!AL38</f>
        <v>97.439999999478459</v>
      </c>
      <c r="AD38" s="287">
        <f>'[1]December - 2022'!AN38</f>
        <v>18958072.560000002</v>
      </c>
      <c r="AE38" s="288">
        <f>'[1]December - 2022'!AO38</f>
        <v>9061.9200000055134</v>
      </c>
      <c r="AF38" s="92">
        <f>'[1]December - 2022'!AO38</f>
        <v>9061.9200000055134</v>
      </c>
      <c r="AG38" s="287">
        <f>'[1]December - 2022'!AQ38</f>
        <v>19227153.119999997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17682534.239999998</v>
      </c>
      <c r="AK38" s="288">
        <f>'[1]December - 2022'!AU38</f>
        <v>5359.1999999992549</v>
      </c>
      <c r="AL38" s="92">
        <f>'[1]December - 2022'!AU38</f>
        <v>5359.1999999992549</v>
      </c>
      <c r="AM38" s="287">
        <f>'[1]December - 2022'!AW38</f>
        <v>14875872.48</v>
      </c>
      <c r="AN38" s="288">
        <f>'[1]December - 2022'!AX38</f>
        <v>4336.0800000000745</v>
      </c>
      <c r="AO38" s="92">
        <f>'[1]December - 2022'!AX38</f>
        <v>4336.0800000000745</v>
      </c>
      <c r="AP38" s="299">
        <f>'[1]December - 2022'!AZ38</f>
        <v>14405042.4</v>
      </c>
      <c r="AQ38" s="288">
        <f>'[1]December - 2022'!BA38</f>
        <v>4774.5600000005215</v>
      </c>
      <c r="AR38" s="92">
        <f>'[1]December - 2022'!BA38</f>
        <v>4774.5600000005215</v>
      </c>
      <c r="AS38" s="287">
        <f>'[1]December - 2022'!BC38</f>
        <v>11244186.24</v>
      </c>
      <c r="AT38" s="288">
        <f>'[1]December - 2022'!BD38</f>
        <v>3702.7200000006706</v>
      </c>
      <c r="AU38" s="92">
        <f>'[1]December - 2022'!BD38</f>
        <v>3702.7200000006706</v>
      </c>
      <c r="AV38" s="287">
        <f>'[1]December - 2022'!BF38</f>
        <v>17820558</v>
      </c>
      <c r="AW38" s="252">
        <f>'[1]December - 2022'!BG38</f>
        <v>5602.8000000007451</v>
      </c>
      <c r="AX38" s="253">
        <f>'[1]December - 2022'!BG38</f>
        <v>5602.8000000007451</v>
      </c>
      <c r="AY38" s="488"/>
      <c r="AZ38" s="272">
        <f>'[1]December - 2022'!BM38</f>
        <v>78188000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81144000</v>
      </c>
      <c r="BD38" s="245">
        <f>'[1]December - 2022'!BQ38</f>
        <v>40600</v>
      </c>
      <c r="BE38" s="93">
        <f>'[1]December - 2022'!BQ38</f>
        <v>40600</v>
      </c>
      <c r="BF38" s="272">
        <f>'[1]December - 2022'!BS38</f>
        <v>75092800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10370030</v>
      </c>
      <c r="BT38" s="185">
        <f>'[1]December - 2022'!BW38</f>
        <v>7160</v>
      </c>
      <c r="BU38" s="395"/>
      <c r="BV38" s="88">
        <f>'[1]December - 2022'!BY38</f>
        <v>0.59</v>
      </c>
      <c r="BW38" s="241">
        <f>'[1]December - 2022'!BZ38</f>
        <v>9.000000000000008E-2</v>
      </c>
      <c r="BX38" s="88">
        <f>'[1]December - 2022'!BZ38</f>
        <v>9.000000000000008E-2</v>
      </c>
      <c r="BY38" s="89">
        <f>'[1]December - 2022'!CB38</f>
        <v>64736</v>
      </c>
      <c r="BZ38" s="191">
        <f>'[1]December - 2022'!CC38</f>
        <v>20</v>
      </c>
      <c r="CA38" s="89">
        <f>'[1]December - 2022'!CD38</f>
        <v>55815</v>
      </c>
      <c r="CB38" s="191">
        <f>'[1]December - 2022'!CE38</f>
        <v>19</v>
      </c>
      <c r="CC38" s="89">
        <f>'[1]December - 2022'!CF38</f>
        <v>18883</v>
      </c>
      <c r="CD38" s="191">
        <f>'[1]December - 2022'!CG38</f>
        <v>7</v>
      </c>
      <c r="CE38" s="89">
        <f>'[1]December - 2022'!CH38</f>
        <v>25814</v>
      </c>
      <c r="CF38" s="191">
        <f>'[1]December - 2022'!CI38</f>
        <v>11</v>
      </c>
      <c r="CG38" s="89">
        <f>'[1]December - 2022'!CJ38</f>
        <v>28786</v>
      </c>
      <c r="CH38" s="191">
        <f>'[1]December - 2022'!CK38</f>
        <v>14</v>
      </c>
      <c r="CI38" s="89">
        <f>'[1]December - 2022'!CL38</f>
        <v>63186</v>
      </c>
      <c r="CJ38" s="191">
        <f>'[1]December - 2022'!CM38</f>
        <v>38</v>
      </c>
      <c r="CK38" s="89">
        <f>'[1]December - 2022'!CN38</f>
        <v>269551</v>
      </c>
      <c r="CL38" s="246">
        <f>'[1]December - 2022'!CO38</f>
        <v>72</v>
      </c>
      <c r="CM38" s="89">
        <f>'[1]December - 2022'!CO38</f>
        <v>72</v>
      </c>
      <c r="CN38" s="89">
        <f>'[1]December - 2022'!CQ38</f>
        <v>217306</v>
      </c>
      <c r="CO38" s="246">
        <f>'[1]December - 2022'!CR38</f>
        <v>109</v>
      </c>
      <c r="CP38" s="89">
        <f>'[1]December - 2022'!CR38</f>
        <v>109</v>
      </c>
      <c r="CQ38" s="89">
        <f>'[1]December - 2022'!CT38</f>
        <v>360353</v>
      </c>
      <c r="CR38" s="246">
        <f>'[1]December - 2022'!CU38</f>
        <v>272</v>
      </c>
      <c r="CS38" s="89">
        <f>'[1]December - 2022'!CU38</f>
        <v>272</v>
      </c>
      <c r="CT38" s="89">
        <f>'[1]December - 2022'!CW38</f>
        <v>698316</v>
      </c>
      <c r="CU38" s="191">
        <f>'[1]December - 2022'!CX38</f>
        <v>171</v>
      </c>
      <c r="CV38" s="455"/>
      <c r="CW38" s="256">
        <f>'[1]December - 2022'!CZ38</f>
        <v>9036</v>
      </c>
      <c r="CX38" s="198">
        <f>'[1]December - 2022'!DA38</f>
        <v>13</v>
      </c>
      <c r="CY38" s="257">
        <f>'[1]December - 2022'!DB38</f>
        <v>6132</v>
      </c>
      <c r="CZ38" s="198">
        <f>'[1]December - 2022'!DC38</f>
        <v>8</v>
      </c>
      <c r="DA38" s="257">
        <f>'[1]December - 2022'!DD38</f>
        <v>32464</v>
      </c>
      <c r="DB38" s="198">
        <f>'[1]December - 2022'!DE38</f>
        <v>19</v>
      </c>
      <c r="DC38" s="257">
        <f>'[1]December - 2022'!DF38</f>
        <v>32650</v>
      </c>
      <c r="DD38" s="198">
        <f>'[1]December - 2022'!DG38</f>
        <v>16</v>
      </c>
      <c r="DE38" s="257">
        <f>'[1]December - 2022'!DH38</f>
        <v>22066</v>
      </c>
      <c r="DF38" s="198">
        <f>'[1]December - 2022'!DI38</f>
        <v>14</v>
      </c>
      <c r="DG38" s="257">
        <f>'[1]December - 2022'!DJ38</f>
        <v>24170</v>
      </c>
      <c r="DH38" s="198">
        <f>'[1]December - 2022'!DK38</f>
        <v>8</v>
      </c>
      <c r="DI38" s="257">
        <f>'[1]December - 2022'!DL38</f>
        <v>7313</v>
      </c>
      <c r="DJ38" s="198">
        <f>'[1]December - 2022'!DM38</f>
        <v>12</v>
      </c>
      <c r="DK38" s="257">
        <f>'[1]December - 2022'!DN38</f>
        <v>9929</v>
      </c>
      <c r="DL38" s="198">
        <f>'[1]December - 2022'!DO38</f>
        <v>6</v>
      </c>
      <c r="DM38" s="257">
        <f>'[1]December - 2022'!DP38</f>
        <v>3348</v>
      </c>
      <c r="DN38" s="198">
        <f>'[1]December - 2022'!DQ38</f>
        <v>4</v>
      </c>
      <c r="DO38" s="257">
        <f>'[1]December - 2022'!DR38</f>
        <v>6618</v>
      </c>
      <c r="DP38" s="198">
        <f>'[1]December - 2022'!DS38</f>
        <v>10</v>
      </c>
      <c r="DQ38" s="257">
        <f>'[1]December - 2022'!DT38</f>
        <v>30380</v>
      </c>
      <c r="DR38" s="206">
        <f>'[1]December - 2022'!DU38</f>
        <v>0</v>
      </c>
      <c r="DS38" s="440"/>
      <c r="DT38" s="210">
        <f>'[1]December - 2022'!DW38</f>
        <v>6557.1</v>
      </c>
      <c r="DU38" s="221">
        <f>'[1]December - 2022'!DX38</f>
        <v>11.200000000000728</v>
      </c>
      <c r="DV38" s="91">
        <f>'[1]December - 2022'!DY38</f>
        <v>11449.8</v>
      </c>
      <c r="DW38" s="215">
        <f>'[1]December - 2022'!DZ38</f>
        <v>8.1999999999989086</v>
      </c>
      <c r="DX38" s="91">
        <f>'[1]December - 2022'!EA38</f>
        <v>4936.8999999999996</v>
      </c>
      <c r="DY38" s="215">
        <f>'[1]December - 2022'!EB38</f>
        <v>7</v>
      </c>
      <c r="DZ38" s="91">
        <f>'[1]December - 2022'!EC38</f>
        <v>5514.2</v>
      </c>
      <c r="EA38" s="215">
        <f>'[1]December - 2022'!ED38</f>
        <v>14.099999999999454</v>
      </c>
      <c r="EB38" s="91">
        <f>'[1]December - 2022'!EE38</f>
        <v>1138614</v>
      </c>
      <c r="EC38" s="215">
        <f>'[1]December - 2022'!EF38</f>
        <v>552</v>
      </c>
      <c r="ED38" s="91">
        <f>'[1]December - 2022'!EI38</f>
        <v>234511.8</v>
      </c>
      <c r="EE38" s="229">
        <f>'[1]December - 2022'!EJ38</f>
        <v>130.59999999997672</v>
      </c>
      <c r="EF38" s="379"/>
      <c r="EG38" s="235">
        <f>'[1]December - 2022'!EL38</f>
        <v>12211500</v>
      </c>
      <c r="EH38" s="230">
        <f>'[1]December - 2022'!EM38</f>
        <v>3500</v>
      </c>
      <c r="EI38" s="90">
        <f>'[1]December - 2022'!EN38</f>
        <v>938760</v>
      </c>
      <c r="EJ38" s="230">
        <f>'[1]December - 2022'!EO38</f>
        <v>260</v>
      </c>
      <c r="EK38" s="90">
        <f>'[1]December - 2022'!EP38</f>
        <v>7258600</v>
      </c>
      <c r="EL38" s="230">
        <f>'[1]December - 2022'!EQ38</f>
        <v>1800</v>
      </c>
      <c r="EM38" s="90">
        <f>'[1]December - 2022'!ER38</f>
        <v>2504000</v>
      </c>
      <c r="EN38" s="230">
        <f>'[1]December - 2022'!ES38</f>
        <v>200</v>
      </c>
      <c r="EO38" s="90">
        <f>'[1]December - 2022'!ET38</f>
        <v>1290890</v>
      </c>
      <c r="EP38" s="230">
        <f>'[1]December - 2022'!EU38</f>
        <v>640</v>
      </c>
      <c r="EQ38" s="90">
        <f>'[1]December - 2022'!EV38</f>
        <v>16677300</v>
      </c>
      <c r="ER38" s="230">
        <f>'[1]December - 2022'!EW38</f>
        <v>2200</v>
      </c>
      <c r="ES38" s="427"/>
      <c r="ET38" s="281">
        <f>'[1]December - 2022'!EY38</f>
        <v>42443</v>
      </c>
      <c r="EU38" s="275">
        <f>'[1]December - 2022'!EZ38</f>
        <v>16</v>
      </c>
      <c r="EV38" s="282">
        <f>'[1]December - 2022'!FA38</f>
        <v>37053</v>
      </c>
      <c r="EW38" s="275">
        <f>'[1]December - 2022'!FB38</f>
        <v>16</v>
      </c>
      <c r="EX38" s="282">
        <f>'[1]December - 2022'!FC38</f>
        <v>7723</v>
      </c>
      <c r="EY38" s="275">
        <f>'[1]December - 2022'!FD38</f>
        <v>9</v>
      </c>
      <c r="EZ38" s="282">
        <f>'[1]December - 2022'!FE38</f>
        <v>59566</v>
      </c>
      <c r="FA38" s="275">
        <f>'[1]December - 2022'!FF38</f>
        <v>19</v>
      </c>
      <c r="FB38" s="282">
        <f>'[1]December - 2022'!FG38</f>
        <v>50222</v>
      </c>
      <c r="FC38" s="276">
        <f>'[1]December - 2022'!FH38</f>
        <v>38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-223865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-250609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-10038</v>
      </c>
      <c r="K39" s="168">
        <f>'[1]December - 2022'!N39</f>
        <v>0</v>
      </c>
      <c r="L39" s="170">
        <f>'[1]December - 2022'!O39</f>
        <v>-924389</v>
      </c>
      <c r="M39" s="168">
        <f>'[1]December - 2022'!Q39</f>
        <v>0</v>
      </c>
      <c r="N39" s="170">
        <f>'[1]December - 2022'!R39</f>
        <v>-245382</v>
      </c>
      <c r="O39" s="168">
        <f>'[1]December - 2022'!U39</f>
        <v>0</v>
      </c>
      <c r="P39" s="170">
        <f>'[1]December - 2022'!V39</f>
        <v>-118029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-6505</v>
      </c>
      <c r="T39" s="522"/>
      <c r="U39" s="169">
        <f>'[1]December - 2022'!AE39</f>
        <v>0</v>
      </c>
      <c r="V39" s="288">
        <f>'[1]December - 2022'!AF39</f>
        <v>-8199527.2800000003</v>
      </c>
      <c r="W39" s="92">
        <f>'[1]December - 2022'!AF39</f>
        <v>-8199527.2800000003</v>
      </c>
      <c r="X39" s="287">
        <f>'[1]December - 2022'!AH39</f>
        <v>0</v>
      </c>
      <c r="Y39" s="288">
        <f>'[1]December - 2022'!AI39</f>
        <v>-15569547.84</v>
      </c>
      <c r="Z39" s="92">
        <f>'[1]December - 2022'!AI39</f>
        <v>-15569547.84</v>
      </c>
      <c r="AA39" s="287">
        <f>'[1]December - 2022'!AK39</f>
        <v>0</v>
      </c>
      <c r="AB39" s="288">
        <f>'[1]December - 2022'!AL39</f>
        <v>-15828786.959999999</v>
      </c>
      <c r="AC39" s="92">
        <f>'[1]December - 2022'!AL39</f>
        <v>-15828786.959999999</v>
      </c>
      <c r="AD39" s="287">
        <f>'[1]December - 2022'!AN39</f>
        <v>0</v>
      </c>
      <c r="AE39" s="288">
        <f>'[1]December - 2022'!AO39</f>
        <v>-18958072.560000002</v>
      </c>
      <c r="AF39" s="92">
        <f>'[1]December - 2022'!AO39</f>
        <v>-18958072.560000002</v>
      </c>
      <c r="AG39" s="287">
        <f>'[1]December - 2022'!AQ39</f>
        <v>0</v>
      </c>
      <c r="AH39" s="288">
        <f>'[1]December - 2022'!AR39</f>
        <v>-19227153.119999997</v>
      </c>
      <c r="AI39" s="92">
        <f>'[1]December - 2022'!AR39</f>
        <v>-19227153.119999997</v>
      </c>
      <c r="AJ39" s="287">
        <f>'[1]December - 2022'!AT39</f>
        <v>0</v>
      </c>
      <c r="AK39" s="288">
        <f>'[1]December - 2022'!AU39</f>
        <v>-17682534.239999998</v>
      </c>
      <c r="AL39" s="92">
        <f>'[1]December - 2022'!AU39</f>
        <v>-17682534.239999998</v>
      </c>
      <c r="AM39" s="287">
        <f>'[1]December - 2022'!AW39</f>
        <v>0</v>
      </c>
      <c r="AN39" s="288">
        <f>'[1]December - 2022'!AX39</f>
        <v>-14875872.48</v>
      </c>
      <c r="AO39" s="92">
        <f>'[1]December - 2022'!AX39</f>
        <v>-14875872.48</v>
      </c>
      <c r="AP39" s="287">
        <f>'[1]December - 2022'!AZ39</f>
        <v>0</v>
      </c>
      <c r="AQ39" s="288">
        <f>'[1]December - 2022'!BA39</f>
        <v>-14405042.4</v>
      </c>
      <c r="AR39" s="92">
        <f>'[1]December - 2022'!BA39</f>
        <v>-14405042.4</v>
      </c>
      <c r="AS39" s="287">
        <f>'[1]December - 2022'!BC39</f>
        <v>0</v>
      </c>
      <c r="AT39" s="288">
        <f>'[1]December - 2022'!BD39</f>
        <v>-11244186.24</v>
      </c>
      <c r="AU39" s="92">
        <f>'[1]December - 2022'!BD39</f>
        <v>-11244186.24</v>
      </c>
      <c r="AV39" s="287">
        <f>'[1]December - 2022'!BF39</f>
        <v>0</v>
      </c>
      <c r="AW39" s="252">
        <f>'[1]December - 2022'!BG39</f>
        <v>-17820558</v>
      </c>
      <c r="AX39" s="253">
        <f>'[1]December - 2022'!BG39</f>
        <v>-17820558</v>
      </c>
      <c r="AY39" s="488"/>
      <c r="AZ39" s="272">
        <f>'[1]December - 2022'!BM39</f>
        <v>0</v>
      </c>
      <c r="BA39" s="179">
        <f>'[1]December - 2022'!BN39</f>
        <v>-78188000</v>
      </c>
      <c r="BB39" s="93">
        <f>'[1]December - 2022'!BN39</f>
        <v>-78188000</v>
      </c>
      <c r="BC39" s="272">
        <f>'[1]December - 2022'!BP39</f>
        <v>0</v>
      </c>
      <c r="BD39" s="245">
        <f>'[1]December - 2022'!BQ39</f>
        <v>-81144000</v>
      </c>
      <c r="BE39" s="93">
        <f>'[1]December - 2022'!BQ39</f>
        <v>-81144000</v>
      </c>
      <c r="BF39" s="272">
        <f>'[1]December - 2022'!BS39</f>
        <v>0</v>
      </c>
      <c r="BG39" s="245">
        <f>'[1]December - 2022'!BT39</f>
        <v>-75092800</v>
      </c>
      <c r="BH39" s="93">
        <f>'[1]December - 2022'!BT39</f>
        <v>-75092800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-10370030</v>
      </c>
      <c r="BU39" s="396"/>
      <c r="BV39" s="88">
        <f>'[1]December - 2022'!BY39</f>
        <v>0</v>
      </c>
      <c r="BW39" s="241">
        <f>'[1]December - 2022'!BZ39</f>
        <v>0.59</v>
      </c>
      <c r="BX39" s="88">
        <f>'[1]December - 2022'!BZ39</f>
        <v>0.59</v>
      </c>
      <c r="BY39" s="89">
        <f>'[1]December - 2022'!CB39</f>
        <v>0</v>
      </c>
      <c r="BZ39" s="191">
        <f>'[1]December - 2022'!CC39</f>
        <v>-64736</v>
      </c>
      <c r="CA39" s="89">
        <f>'[1]December - 2022'!CD39</f>
        <v>0</v>
      </c>
      <c r="CB39" s="191">
        <f>'[1]December - 2022'!CE39</f>
        <v>-55815</v>
      </c>
      <c r="CC39" s="89">
        <f>'[1]December - 2022'!CF39</f>
        <v>0</v>
      </c>
      <c r="CD39" s="191">
        <f>'[1]December - 2022'!CG39</f>
        <v>-18883</v>
      </c>
      <c r="CE39" s="89">
        <f>'[1]December - 2022'!CH39</f>
        <v>0</v>
      </c>
      <c r="CF39" s="191">
        <f>'[1]December - 2022'!CI39</f>
        <v>-25814</v>
      </c>
      <c r="CG39" s="89">
        <f>'[1]December - 2022'!CJ39</f>
        <v>0</v>
      </c>
      <c r="CH39" s="191">
        <f>'[1]December - 2022'!CK39</f>
        <v>-28786</v>
      </c>
      <c r="CI39" s="89">
        <f>'[1]December - 2022'!CL39</f>
        <v>0</v>
      </c>
      <c r="CJ39" s="191">
        <f>'[1]December - 2022'!CM39</f>
        <v>-63186</v>
      </c>
      <c r="CK39" s="89">
        <f>'[1]December - 2022'!CN39</f>
        <v>0</v>
      </c>
      <c r="CL39" s="246">
        <f>'[1]December - 2022'!CO39</f>
        <v>-269551</v>
      </c>
      <c r="CM39" s="89">
        <f>'[1]December - 2022'!CO39</f>
        <v>-269551</v>
      </c>
      <c r="CN39" s="89">
        <f>'[1]December - 2022'!CQ39</f>
        <v>0</v>
      </c>
      <c r="CO39" s="246">
        <f>'[1]December - 2022'!CR39</f>
        <v>-217306</v>
      </c>
      <c r="CP39" s="89">
        <f>'[1]December - 2022'!CR39</f>
        <v>-217306</v>
      </c>
      <c r="CQ39" s="89">
        <f>'[1]December - 2022'!CT39</f>
        <v>0</v>
      </c>
      <c r="CR39" s="246">
        <f>'[1]December - 2022'!CU39</f>
        <v>-360353</v>
      </c>
      <c r="CS39" s="89">
        <f>'[1]December - 2022'!CU39</f>
        <v>-360353</v>
      </c>
      <c r="CT39" s="89">
        <f>'[1]December - 2022'!CW39</f>
        <v>0</v>
      </c>
      <c r="CU39" s="191">
        <f>'[1]December - 2022'!CX39</f>
        <v>-698316</v>
      </c>
      <c r="CV39" s="455"/>
      <c r="CW39" s="256">
        <f>'[1]December - 2022'!CZ39</f>
        <v>0</v>
      </c>
      <c r="CX39" s="198">
        <f>'[1]December - 2022'!DA39</f>
        <v>-9036</v>
      </c>
      <c r="CY39" s="257">
        <f>'[1]December - 2022'!DB39</f>
        <v>0</v>
      </c>
      <c r="CZ39" s="198">
        <f>'[1]December - 2022'!DC39</f>
        <v>-6132</v>
      </c>
      <c r="DA39" s="257">
        <f>'[1]December - 2022'!DD39</f>
        <v>0</v>
      </c>
      <c r="DB39" s="198">
        <f>'[1]December - 2022'!DE39</f>
        <v>-32464</v>
      </c>
      <c r="DC39" s="257">
        <f>'[1]December - 2022'!DF39</f>
        <v>0</v>
      </c>
      <c r="DD39" s="198">
        <f>'[1]December - 2022'!DG39</f>
        <v>-32650</v>
      </c>
      <c r="DE39" s="257">
        <f>'[1]December - 2022'!DH39</f>
        <v>0</v>
      </c>
      <c r="DF39" s="198">
        <f>'[1]December - 2022'!DI39</f>
        <v>-22066</v>
      </c>
      <c r="DG39" s="257">
        <f>'[1]December - 2022'!DJ39</f>
        <v>0</v>
      </c>
      <c r="DH39" s="198">
        <f>'[1]December - 2022'!DK39</f>
        <v>-24170</v>
      </c>
      <c r="DI39" s="257">
        <f>'[1]December - 2022'!DL39</f>
        <v>0</v>
      </c>
      <c r="DJ39" s="198">
        <f>'[1]December - 2022'!DM39</f>
        <v>-7313</v>
      </c>
      <c r="DK39" s="257">
        <f>'[1]December - 2022'!DN39</f>
        <v>0</v>
      </c>
      <c r="DL39" s="198">
        <f>'[1]December - 2022'!DO39</f>
        <v>-9929</v>
      </c>
      <c r="DM39" s="257">
        <f>'[1]December - 2022'!DP39</f>
        <v>0</v>
      </c>
      <c r="DN39" s="198">
        <f>'[1]December - 2022'!DQ39</f>
        <v>-3348</v>
      </c>
      <c r="DO39" s="257">
        <f>'[1]December - 2022'!DR39</f>
        <v>0</v>
      </c>
      <c r="DP39" s="198">
        <f>'[1]December - 2022'!DS39</f>
        <v>-6618</v>
      </c>
      <c r="DQ39" s="257">
        <f>'[1]December - 2022'!DT39</f>
        <v>0</v>
      </c>
      <c r="DR39" s="206">
        <f>'[1]December - 2022'!DU39</f>
        <v>-30380</v>
      </c>
      <c r="DS39" s="440"/>
      <c r="DT39" s="210">
        <f>'[1]December - 2022'!DW39</f>
        <v>0</v>
      </c>
      <c r="DU39" s="221">
        <f>'[1]December - 2022'!DX39</f>
        <v>-6557.1</v>
      </c>
      <c r="DV39" s="91">
        <f>'[1]December - 2022'!DY39</f>
        <v>0</v>
      </c>
      <c r="DW39" s="215">
        <f>'[1]December - 2022'!DZ39</f>
        <v>-11449.8</v>
      </c>
      <c r="DX39" s="91">
        <f>'[1]December - 2022'!EA39</f>
        <v>0</v>
      </c>
      <c r="DY39" s="215">
        <f>'[1]December - 2022'!EB39</f>
        <v>-4936.8999999999996</v>
      </c>
      <c r="DZ39" s="91">
        <f>'[1]December - 2022'!EC39</f>
        <v>0</v>
      </c>
      <c r="EA39" s="215">
        <f>'[1]December - 2022'!ED39</f>
        <v>-5514.2</v>
      </c>
      <c r="EB39" s="91">
        <f>'[1]December - 2022'!EE39</f>
        <v>0</v>
      </c>
      <c r="EC39" s="215">
        <f>'[1]December - 2022'!EF39</f>
        <v>-1138614</v>
      </c>
      <c r="ED39" s="91">
        <f>'[1]December - 2022'!EI39</f>
        <v>0</v>
      </c>
      <c r="EE39" s="229">
        <f>'[1]December - 2022'!EJ39</f>
        <v>-234511.8</v>
      </c>
      <c r="EF39" s="379"/>
      <c r="EG39" s="235">
        <f>'[1]December - 2022'!EL39</f>
        <v>0</v>
      </c>
      <c r="EH39" s="230">
        <f>'[1]December - 2022'!EM39</f>
        <v>-12211500</v>
      </c>
      <c r="EI39" s="90">
        <f>'[1]December - 2022'!EN39</f>
        <v>0</v>
      </c>
      <c r="EJ39" s="230">
        <f>'[1]December - 2022'!EO39</f>
        <v>-938760</v>
      </c>
      <c r="EK39" s="90">
        <f>'[1]December - 2022'!EP39</f>
        <v>0</v>
      </c>
      <c r="EL39" s="230">
        <f>'[1]December - 2022'!EQ39</f>
        <v>-7258600</v>
      </c>
      <c r="EM39" s="90">
        <f>'[1]December - 2022'!ER39</f>
        <v>0</v>
      </c>
      <c r="EN39" s="230">
        <f>'[1]December - 2022'!ES39</f>
        <v>-2504000</v>
      </c>
      <c r="EO39" s="90">
        <f>'[1]December - 2022'!ET39</f>
        <v>0</v>
      </c>
      <c r="EP39" s="230">
        <f>'[1]December - 2022'!EU39</f>
        <v>-1290890</v>
      </c>
      <c r="EQ39" s="90">
        <f>'[1]December - 2022'!EV39</f>
        <v>0</v>
      </c>
      <c r="ER39" s="230">
        <f>'[1]December - 2022'!EW39</f>
        <v>-16677300</v>
      </c>
      <c r="ES39" s="427"/>
      <c r="ET39" s="281">
        <f>'[1]December - 2022'!EY39</f>
        <v>0</v>
      </c>
      <c r="EU39" s="275">
        <f>'[1]December - 2022'!EZ39</f>
        <v>-42443</v>
      </c>
      <c r="EV39" s="282">
        <f>'[1]December - 2022'!FA39</f>
        <v>0</v>
      </c>
      <c r="EW39" s="275">
        <f>'[1]December - 2022'!FB39</f>
        <v>-37053</v>
      </c>
      <c r="EX39" s="282">
        <f>'[1]December - 2022'!FC39</f>
        <v>0</v>
      </c>
      <c r="EY39" s="275">
        <f>'[1]December - 2022'!FD39</f>
        <v>-7723</v>
      </c>
      <c r="EZ39" s="282">
        <f>'[1]December - 2022'!FE39</f>
        <v>0</v>
      </c>
      <c r="FA39" s="275">
        <f>'[1]December - 2022'!FF39</f>
        <v>-59566</v>
      </c>
      <c r="FB39" s="282">
        <f>'[1]December - 2022'!FG39</f>
        <v>0</v>
      </c>
      <c r="FC39" s="276">
        <f>'[1]December - 2022'!FH39</f>
        <v>-50222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5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40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9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9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193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194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128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129</v>
      </c>
      <c r="BT42" s="538"/>
      <c r="BU42" s="30"/>
      <c r="BV42" s="373" t="s">
        <v>195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130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131</v>
      </c>
      <c r="BA43" s="377"/>
      <c r="BB43" s="377"/>
      <c r="BC43" s="377" t="s">
        <v>132</v>
      </c>
      <c r="BD43" s="377"/>
      <c r="BE43" s="377"/>
      <c r="BF43" s="377" t="s">
        <v>133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134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135</v>
      </c>
      <c r="CR43" s="462"/>
      <c r="CS43" s="463"/>
      <c r="CT43" s="581" t="s">
        <v>136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196</v>
      </c>
      <c r="B44" s="548"/>
      <c r="C44" s="549">
        <f>SUM(E9:E24)</f>
        <v>10438</v>
      </c>
      <c r="D44" s="550"/>
      <c r="E44" s="551"/>
      <c r="F44" s="552">
        <f>SUM(H9:H24)</f>
        <v>6583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1333.0399999999936</v>
      </c>
      <c r="P44" s="553"/>
      <c r="Q44" s="554"/>
      <c r="R44" s="558"/>
      <c r="S44" s="559"/>
      <c r="T44" s="527"/>
      <c r="U44" s="364">
        <f>SUM(W9:W24)</f>
        <v>35078.399999999441</v>
      </c>
      <c r="V44" s="365"/>
      <c r="W44" s="366"/>
      <c r="X44" s="364">
        <f>SUM(Z9:Z24)</f>
        <v>67818.240000000224</v>
      </c>
      <c r="Y44" s="365"/>
      <c r="Z44" s="366"/>
      <c r="AA44" s="364">
        <f>SUM(AC9:AC24)</f>
        <v>61143.599999999627</v>
      </c>
      <c r="AB44" s="365"/>
      <c r="AC44" s="366"/>
      <c r="AD44" s="364">
        <f>SUM(AF9:AF24)</f>
        <v>82044.480000000447</v>
      </c>
      <c r="AE44" s="365"/>
      <c r="AF44" s="366"/>
      <c r="AG44" s="364">
        <f>SUM(AI9:AI24)</f>
        <v>29426.879999998957</v>
      </c>
      <c r="AH44" s="365"/>
      <c r="AI44" s="366"/>
      <c r="AJ44" s="364">
        <f>SUM(AL9:AL24)</f>
        <v>85308.719999998808</v>
      </c>
      <c r="AK44" s="365"/>
      <c r="AL44" s="366"/>
      <c r="AM44" s="364">
        <f>SUM(AO9:AO24)</f>
        <v>64115.519999999553</v>
      </c>
      <c r="AN44" s="365"/>
      <c r="AO44" s="366"/>
      <c r="AP44" s="364">
        <f>SUM(AR9:AR24)</f>
        <v>67915.680000001565</v>
      </c>
      <c r="AQ44" s="365"/>
      <c r="AR44" s="366"/>
      <c r="AS44" s="364">
        <f>SUM(AU9:AU24)</f>
        <v>47063.519999999553</v>
      </c>
      <c r="AT44" s="365"/>
      <c r="AU44" s="366"/>
      <c r="AV44" s="364">
        <f>SUM(AX9:AX24)</f>
        <v>86088.239999998361</v>
      </c>
      <c r="AW44" s="365"/>
      <c r="AX44" s="365"/>
      <c r="AY44" s="586"/>
      <c r="AZ44" s="365">
        <f>SUM(BB9:BB24)</f>
        <v>292100</v>
      </c>
      <c r="BA44" s="365"/>
      <c r="BB44" s="365"/>
      <c r="BC44" s="364">
        <f>SUM(BE9:BE24)</f>
        <v>430900</v>
      </c>
      <c r="BD44" s="365"/>
      <c r="BE44" s="365"/>
      <c r="BF44" s="359">
        <f>SUM(BH9:BH24)</f>
        <v>133400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1071</v>
      </c>
      <c r="CL44" s="359"/>
      <c r="CM44" s="359"/>
      <c r="CN44" s="359">
        <f>SUM(CP9:CP24)</f>
        <v>1550</v>
      </c>
      <c r="CO44" s="359"/>
      <c r="CP44" s="359"/>
      <c r="CQ44" s="359">
        <f>SUM(CS9:CS24)</f>
        <v>3066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197</v>
      </c>
      <c r="B45" s="360"/>
      <c r="C45" s="361">
        <f>SUM(D9:D24)</f>
        <v>10259</v>
      </c>
      <c r="D45" s="361"/>
      <c r="E45" s="362"/>
      <c r="F45" s="361">
        <f>SUM(G9:G24)</f>
        <v>6238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1617</v>
      </c>
      <c r="P45" s="361"/>
      <c r="Q45" s="362"/>
      <c r="R45" s="367"/>
      <c r="S45" s="368"/>
      <c r="T45" s="528"/>
      <c r="U45" s="352">
        <f>SUM(V9:V24)</f>
        <v>35078.399999999441</v>
      </c>
      <c r="V45" s="352"/>
      <c r="W45" s="353"/>
      <c r="X45" s="352">
        <f>SUM(Y9:Y24)</f>
        <v>67818.240000000224</v>
      </c>
      <c r="Y45" s="352"/>
      <c r="Z45" s="353"/>
      <c r="AA45" s="352">
        <f>SUM(AB9:AB24)</f>
        <v>61143.599999999627</v>
      </c>
      <c r="AB45" s="352"/>
      <c r="AC45" s="353"/>
      <c r="AD45" s="352">
        <f>SUM(AE9:AE24)</f>
        <v>82044.480000000447</v>
      </c>
      <c r="AE45" s="352"/>
      <c r="AF45" s="353"/>
      <c r="AG45" s="352">
        <f>SUM(AH9:AH24)</f>
        <v>29426.879999998957</v>
      </c>
      <c r="AH45" s="352"/>
      <c r="AI45" s="353"/>
      <c r="AJ45" s="352">
        <f>SUM(AK9:AK24)</f>
        <v>85308.719999998808</v>
      </c>
      <c r="AK45" s="352"/>
      <c r="AL45" s="353"/>
      <c r="AM45" s="352">
        <f>SUM(AN9:AN24)</f>
        <v>64115.519999999553</v>
      </c>
      <c r="AN45" s="352"/>
      <c r="AO45" s="353"/>
      <c r="AP45" s="352">
        <f>SUM(AQ9:AQ24)</f>
        <v>67915.680000001565</v>
      </c>
      <c r="AQ45" s="352"/>
      <c r="AR45" s="353"/>
      <c r="AS45" s="352">
        <f>SUM(AT9:AT24)</f>
        <v>47063.519999999553</v>
      </c>
      <c r="AT45" s="352"/>
      <c r="AU45" s="353"/>
      <c r="AV45" s="352">
        <f>SUM(AW9:AW24)</f>
        <v>86088.239999998361</v>
      </c>
      <c r="AW45" s="352"/>
      <c r="AX45" s="352"/>
      <c r="AY45" s="586"/>
      <c r="AZ45" s="353">
        <f>SUM(BA9:BA24)</f>
        <v>292100</v>
      </c>
      <c r="BA45" s="359"/>
      <c r="BB45" s="359"/>
      <c r="BC45" s="359">
        <f>SUM(BD9:BD24)</f>
        <v>430900</v>
      </c>
      <c r="BD45" s="359"/>
      <c r="BE45" s="359"/>
      <c r="BF45" s="359">
        <f>SUM(BG9:BG24)</f>
        <v>133400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1071</v>
      </c>
      <c r="CL45" s="359"/>
      <c r="CM45" s="359"/>
      <c r="CN45" s="359">
        <f>SUM(CO9:CO24)</f>
        <v>1550</v>
      </c>
      <c r="CO45" s="359"/>
      <c r="CP45" s="359"/>
      <c r="CQ45" s="359">
        <f>SUM(CR9:CR24)</f>
        <v>3066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198</v>
      </c>
      <c r="B47" s="576"/>
      <c r="C47" s="577">
        <f>SUM(E9:E39)</f>
        <v>21843</v>
      </c>
      <c r="D47" s="578"/>
      <c r="E47" s="579"/>
      <c r="F47" s="577">
        <f>SUM(H9:H39)</f>
        <v>13803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2668.2599999999948</v>
      </c>
      <c r="P47" s="580"/>
      <c r="Q47" s="580"/>
      <c r="R47" s="577">
        <v>476</v>
      </c>
      <c r="S47" s="578"/>
      <c r="T47" s="587"/>
      <c r="U47" s="351">
        <f>SUM(W9:W39)</f>
        <v>-8125472.8800000008</v>
      </c>
      <c r="V47" s="352"/>
      <c r="W47" s="353"/>
      <c r="X47" s="351">
        <f>SUM(Z9:Z39)</f>
        <v>-15438880.799999999</v>
      </c>
      <c r="Y47" s="352"/>
      <c r="Z47" s="353"/>
      <c r="AA47" s="351">
        <f>SUM(AC9:AC39)</f>
        <v>-15753173.52</v>
      </c>
      <c r="AB47" s="352"/>
      <c r="AC47" s="353"/>
      <c r="AD47" s="351">
        <f>SUM(AF9:AF39)</f>
        <v>-18820730.879999999</v>
      </c>
      <c r="AE47" s="352"/>
      <c r="AF47" s="353"/>
      <c r="AG47" s="351">
        <f>SUM(AI9:AI39)</f>
        <v>-19140870</v>
      </c>
      <c r="AH47" s="352"/>
      <c r="AI47" s="353"/>
      <c r="AJ47" s="351">
        <f>SUM(AL9:AL39)</f>
        <v>-17520394.080000002</v>
      </c>
      <c r="AK47" s="352"/>
      <c r="AL47" s="353"/>
      <c r="AM47" s="351">
        <f>SUM(AO9:AO39)</f>
        <v>-14752513.439999999</v>
      </c>
      <c r="AN47" s="352"/>
      <c r="AO47" s="353"/>
      <c r="AP47" s="351">
        <f>SUM(AR9:AR39)</f>
        <v>-14272426.559999999</v>
      </c>
      <c r="AQ47" s="352"/>
      <c r="AR47" s="353"/>
      <c r="AS47" s="351">
        <f>SUM(AU9:AU39)</f>
        <v>-11154687.6</v>
      </c>
      <c r="AT47" s="352"/>
      <c r="AU47" s="353"/>
      <c r="AV47" s="351">
        <f>SUM(AX9:AX39)</f>
        <v>-17655543.359999999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-267458</v>
      </c>
      <c r="CL47" s="352"/>
      <c r="CM47" s="353"/>
      <c r="CN47" s="351">
        <f>SUM(CP9:CP39)</f>
        <v>-214182</v>
      </c>
      <c r="CO47" s="352"/>
      <c r="CP47" s="353"/>
      <c r="CQ47" s="351">
        <f>SUM(CS9:CS39)</f>
        <v>-353835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199</v>
      </c>
      <c r="B48" s="592"/>
      <c r="C48" s="577">
        <f>SUM(D10:D39)</f>
        <v>-205274</v>
      </c>
      <c r="D48" s="578"/>
      <c r="E48" s="579"/>
      <c r="F48" s="577">
        <f>SUM(G9:G39)</f>
        <v>-237720</v>
      </c>
      <c r="G48" s="578"/>
      <c r="H48" s="579"/>
      <c r="I48" s="577">
        <f>SUM(J10:J39)</f>
        <v>-6008</v>
      </c>
      <c r="J48" s="579"/>
      <c r="K48" s="577">
        <f>SUM(L9:L39)</f>
        <v>-918944</v>
      </c>
      <c r="L48" s="579"/>
      <c r="M48" s="577"/>
      <c r="N48" s="579"/>
      <c r="O48" s="577">
        <f>SUM(P9:P39)</f>
        <v>-115205</v>
      </c>
      <c r="P48" s="578"/>
      <c r="Q48" s="579"/>
      <c r="R48" s="577">
        <f>SUM(S9:S39)</f>
        <v>-6237</v>
      </c>
      <c r="S48" s="578"/>
      <c r="T48" s="587"/>
      <c r="U48" s="588">
        <f>SUM(V9:V39)</f>
        <v>-8125472.8800000008</v>
      </c>
      <c r="V48" s="589"/>
      <c r="W48" s="590"/>
      <c r="X48" s="588">
        <f>SUM(Y9:Y39)</f>
        <v>-15438880.799999999</v>
      </c>
      <c r="Y48" s="589"/>
      <c r="Z48" s="590"/>
      <c r="AA48" s="341">
        <f>SUM(AB9:AB39)</f>
        <v>-15753173.52</v>
      </c>
      <c r="AB48" s="342"/>
      <c r="AC48" s="343"/>
      <c r="AD48" s="341">
        <f>SUM(AE9:AE39)</f>
        <v>-18820730.879999999</v>
      </c>
      <c r="AE48" s="342"/>
      <c r="AF48" s="343"/>
      <c r="AG48" s="341">
        <f>SUM(AH9:AH39)</f>
        <v>-19140870</v>
      </c>
      <c r="AH48" s="342"/>
      <c r="AI48" s="343"/>
      <c r="AJ48" s="341">
        <f>SUM(AK9:AK39)</f>
        <v>-17520394.080000002</v>
      </c>
      <c r="AK48" s="342"/>
      <c r="AL48" s="343"/>
      <c r="AM48" s="341">
        <f>SUM(AN9:AN39)</f>
        <v>-14752513.439999999</v>
      </c>
      <c r="AN48" s="342"/>
      <c r="AO48" s="343"/>
      <c r="AP48" s="341">
        <f>SUM(AQ9:AQ39)</f>
        <v>-14272426.559999999</v>
      </c>
      <c r="AQ48" s="342"/>
      <c r="AR48" s="343"/>
      <c r="AS48" s="341">
        <f>SUM(AT9:AT39)</f>
        <v>-11154687.6</v>
      </c>
      <c r="AT48" s="342"/>
      <c r="AU48" s="343"/>
      <c r="AV48" s="341">
        <f>SUM(AW9:AW39)</f>
        <v>-17655543.359999999</v>
      </c>
      <c r="AW48" s="342"/>
      <c r="AX48" s="342"/>
      <c r="AY48" s="586"/>
      <c r="AZ48" s="337">
        <f>SUM(BA9:BA40)</f>
        <v>-77840000</v>
      </c>
      <c r="BA48" s="337"/>
      <c r="BB48" s="338"/>
      <c r="BC48" s="337">
        <f t="shared" ref="BC48" si="0">SUM(BD9:BD40)</f>
        <v>-80452400</v>
      </c>
      <c r="BD48" s="337"/>
      <c r="BE48" s="338"/>
      <c r="BF48" s="337">
        <f t="shared" ref="BF48" si="1">SUM(BG9:BG40)</f>
        <v>-74637500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-10178512</v>
      </c>
      <c r="BT48" s="344"/>
      <c r="BU48" s="567"/>
      <c r="BV48" s="354"/>
      <c r="BW48" s="355"/>
      <c r="BX48" s="117"/>
      <c r="BY48" s="349">
        <f>SUM(BZ9:BZ39)</f>
        <v>-64169</v>
      </c>
      <c r="BZ48" s="350"/>
      <c r="CA48" s="349">
        <f>SUM(CB9:CB39)</f>
        <v>-55264</v>
      </c>
      <c r="CB48" s="350"/>
      <c r="CC48" s="349">
        <f>SUM(CD9:CD39)</f>
        <v>-18695</v>
      </c>
      <c r="CD48" s="350"/>
      <c r="CE48" s="349">
        <f>SUM(CF9:CF39)</f>
        <v>-25508</v>
      </c>
      <c r="CF48" s="350"/>
      <c r="CG48" s="349">
        <f>SUM(CH9:CH39)</f>
        <v>-28364</v>
      </c>
      <c r="CH48" s="350"/>
      <c r="CI48" s="349">
        <f>SUM(CJ9:CJ39)</f>
        <v>-62228</v>
      </c>
      <c r="CJ48" s="350"/>
      <c r="CK48" s="349">
        <f>SUM(CL9:CL39)</f>
        <v>-267458</v>
      </c>
      <c r="CL48" s="356"/>
      <c r="CM48" s="350"/>
      <c r="CN48" s="349">
        <f>SUM(CO9:CO39)</f>
        <v>-214182</v>
      </c>
      <c r="CO48" s="356"/>
      <c r="CP48" s="350"/>
      <c r="CQ48" s="349">
        <f>SUM(CR9:CR39)</f>
        <v>-353835</v>
      </c>
      <c r="CR48" s="356"/>
      <c r="CS48" s="350"/>
      <c r="CT48" s="349">
        <f>SUM(CU9:CU39)</f>
        <v>-693437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227117</v>
      </c>
      <c r="D49" s="305"/>
      <c r="E49" s="306"/>
      <c r="F49" s="304">
        <f>F47-F48</f>
        <v>251523</v>
      </c>
      <c r="G49" s="305"/>
      <c r="H49" s="306"/>
      <c r="I49" s="304">
        <f>I47-I48</f>
        <v>13056.9</v>
      </c>
      <c r="J49" s="306"/>
      <c r="K49" s="304">
        <f>K47-K48</f>
        <v>926646.2</v>
      </c>
      <c r="L49" s="306"/>
      <c r="M49" s="304"/>
      <c r="N49" s="306"/>
      <c r="O49" s="591">
        <f>O47-O48</f>
        <v>117873.26</v>
      </c>
      <c r="P49" s="591"/>
      <c r="Q49" s="591"/>
      <c r="R49" s="304">
        <f>R47-R48</f>
        <v>6713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-78187300</v>
      </c>
      <c r="BA49" s="337"/>
      <c r="BB49" s="338"/>
      <c r="BC49" s="337">
        <f t="shared" ref="BC49" si="2">BC48-BC47</f>
        <v>-80813500</v>
      </c>
      <c r="BD49" s="337"/>
      <c r="BE49" s="338"/>
      <c r="BF49" s="337">
        <f t="shared" ref="BF49" si="3">BF48-BF47</f>
        <v>-75196342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697331</v>
      </c>
      <c r="CU49" s="308"/>
      <c r="CV49" s="455"/>
    </row>
    <row r="50" spans="1:159" ht="31.5" customHeight="1" thickBot="1" x14ac:dyDescent="0.3">
      <c r="A50" s="309" t="s">
        <v>137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200</v>
      </c>
      <c r="V50" s="311"/>
      <c r="W50" s="311"/>
      <c r="X50" s="311"/>
      <c r="Y50" s="311"/>
      <c r="Z50" s="312"/>
      <c r="AA50" s="313">
        <f>SUM(U47,X47,AA47,AD47,AG47,AJ47,AM47,AP47,AS47,AV47)</f>
        <v>-152634693.12</v>
      </c>
      <c r="AB50" s="314"/>
      <c r="AC50" s="314"/>
      <c r="AD50" s="314"/>
      <c r="AE50" s="314"/>
      <c r="AF50" s="315"/>
      <c r="AG50" s="316" t="s">
        <v>201</v>
      </c>
      <c r="AH50" s="317"/>
      <c r="AI50" s="317"/>
      <c r="AJ50" s="317"/>
      <c r="AK50" s="317"/>
      <c r="AL50" s="318"/>
      <c r="AM50" s="319">
        <f>SUM(U48,X48,AA48,AD48,AG48,AJ48,AM48,AP48,AS48,AV48)</f>
        <v>-152634693.12</v>
      </c>
      <c r="AN50" s="320"/>
      <c r="AO50" s="320"/>
      <c r="AP50" s="320"/>
      <c r="AQ50" s="320"/>
      <c r="AR50" s="321"/>
      <c r="AS50" s="322" t="s">
        <v>138</v>
      </c>
      <c r="AT50" s="323"/>
      <c r="AU50" s="324"/>
      <c r="AV50" s="322">
        <f>AA50-AM50</f>
        <v>0</v>
      </c>
      <c r="AW50" s="323"/>
      <c r="AX50" s="323"/>
      <c r="AY50" s="586"/>
      <c r="AZ50" s="325">
        <v>42751</v>
      </c>
      <c r="BA50" s="326"/>
      <c r="BB50" s="327"/>
      <c r="BC50" s="325">
        <v>43116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202</v>
      </c>
      <c r="V51" s="598"/>
      <c r="W51" s="598"/>
      <c r="X51" s="598"/>
      <c r="Y51" s="598"/>
      <c r="Z51" s="599"/>
      <c r="AA51" s="313">
        <f>SUM(U44:AX44)</f>
        <v>626003.27999999654</v>
      </c>
      <c r="AB51" s="314"/>
      <c r="AC51" s="314"/>
      <c r="AD51" s="314"/>
      <c r="AE51" s="314"/>
      <c r="AF51" s="315"/>
      <c r="AG51" s="600" t="s">
        <v>203</v>
      </c>
      <c r="AH51" s="601"/>
      <c r="AI51" s="601"/>
      <c r="AJ51" s="601"/>
      <c r="AK51" s="601"/>
      <c r="AL51" s="602"/>
      <c r="AM51" s="603">
        <f>SUM(U45:AX45)</f>
        <v>626003.27999999654</v>
      </c>
      <c r="AN51" s="603"/>
      <c r="AO51" s="603"/>
      <c r="AP51" s="603"/>
      <c r="AQ51" s="603"/>
      <c r="AR51" s="603"/>
      <c r="AS51" s="322" t="s">
        <v>138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-232929900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2022-12-30T09:38:30Z</dcterms:modified>
</cp:coreProperties>
</file>