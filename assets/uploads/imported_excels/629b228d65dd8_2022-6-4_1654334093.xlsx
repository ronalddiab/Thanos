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29" i="3" l="1"/>
  <c r="C41" i="9" l="1"/>
  <c r="AS36" i="5" l="1"/>
  <c r="AS37" i="5" s="1"/>
  <c r="AQ36" i="5"/>
  <c r="AQ37" i="5" s="1"/>
  <c r="AO36" i="5"/>
  <c r="AO37" i="5" s="1"/>
  <c r="AM36" i="5"/>
  <c r="AM37" i="5" s="1"/>
  <c r="AI36" i="5"/>
  <c r="AI37" i="5" s="1"/>
  <c r="AG36" i="5"/>
  <c r="AG37" i="5" s="1"/>
  <c r="BC36" i="5"/>
  <c r="BC35" i="5"/>
  <c r="AY36" i="5"/>
  <c r="AY37" i="5" s="1"/>
  <c r="AE37" i="5"/>
  <c r="AE36" i="5"/>
  <c r="AC36" i="5"/>
  <c r="AC37" i="5" s="1"/>
  <c r="AA37" i="5"/>
  <c r="AA36" i="5"/>
  <c r="Y36" i="5"/>
  <c r="Y37" i="5" s="1"/>
  <c r="W37" i="5"/>
  <c r="W36" i="5"/>
  <c r="U36" i="5"/>
  <c r="U37" i="5" s="1"/>
  <c r="S37" i="5"/>
  <c r="S36" i="5"/>
  <c r="Q36" i="5"/>
  <c r="Q37" i="5" s="1"/>
  <c r="O36" i="5"/>
  <c r="O37" i="5" s="1"/>
  <c r="M36" i="5"/>
  <c r="M37" i="5" s="1"/>
  <c r="K36" i="5"/>
  <c r="K37" i="5" s="1"/>
  <c r="I36" i="5"/>
  <c r="I37" i="5" s="1"/>
  <c r="G36" i="5"/>
  <c r="G37" i="5" s="1"/>
  <c r="C37" i="5"/>
  <c r="C36" i="5"/>
  <c r="E35" i="4"/>
  <c r="O34" i="4"/>
  <c r="O35" i="4" s="1"/>
  <c r="K34" i="4"/>
  <c r="K35" i="4" s="1"/>
  <c r="I33" i="4"/>
  <c r="I34" i="4" s="1"/>
  <c r="G33" i="4"/>
  <c r="G34" i="4" s="1"/>
  <c r="C35" i="4"/>
  <c r="C34" i="4"/>
  <c r="O27" i="4"/>
  <c r="K27" i="4"/>
  <c r="I26" i="4"/>
  <c r="E27" i="4"/>
  <c r="C27" i="4"/>
  <c r="G26" i="4"/>
  <c r="G9" i="4"/>
  <c r="D39" i="5" l="1"/>
  <c r="F39" i="5" s="1"/>
  <c r="H39" i="5"/>
  <c r="J39" i="5"/>
  <c r="L39" i="5"/>
  <c r="N39" i="5"/>
  <c r="P39" i="5"/>
  <c r="R39" i="5"/>
  <c r="T39" i="5"/>
  <c r="V39" i="5"/>
  <c r="X39" i="5"/>
  <c r="Z39" i="5"/>
  <c r="AB39" i="5"/>
  <c r="AD39" i="5"/>
  <c r="AF39" i="5"/>
  <c r="AH39" i="5"/>
  <c r="AJ39" i="5"/>
  <c r="AL39" i="5"/>
  <c r="AN39" i="5"/>
  <c r="AP39" i="5"/>
  <c r="AR39" i="5"/>
  <c r="AT39" i="5"/>
  <c r="AV39" i="5"/>
  <c r="AX39" i="5"/>
  <c r="AZ39" i="5"/>
  <c r="BB39" i="5"/>
  <c r="BD39" i="5"/>
  <c r="BF39" i="5"/>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E39" i="5" l="1"/>
  <c r="BH39" i="5" s="1"/>
  <c r="BI39" i="5"/>
  <c r="AI38" i="3" l="1"/>
  <c r="AG38" i="3"/>
  <c r="AE38" i="3"/>
  <c r="AC38" i="3"/>
  <c r="AA38" i="3"/>
  <c r="X38" i="3"/>
  <c r="Y38" i="3" s="1"/>
  <c r="U38" i="3"/>
  <c r="V38" i="3" s="1"/>
  <c r="R38" i="3"/>
  <c r="S38" i="3"/>
  <c r="O38" i="3"/>
  <c r="P38" i="3"/>
  <c r="M38" i="3"/>
  <c r="K38" i="3"/>
  <c r="H38" i="3"/>
  <c r="I38" i="3" s="1"/>
  <c r="F38" i="3"/>
  <c r="D38" i="3"/>
  <c r="AL38" i="3" l="1"/>
  <c r="AK38" i="3"/>
  <c r="V18" i="5"/>
  <c r="H11" i="3"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AL38" i="5"/>
  <c r="AL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<sst xmlns="http://schemas.openxmlformats.org/spreadsheetml/2006/main" count="1420" uniqueCount="404">
  <si>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</si>
  <si>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</si>
  <si>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</si>
  <si>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</si>
  <si>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</si>
  <si>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</si>
  <si>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</si>
  <si>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</si>
  <si>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</si>
  <si>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</si>
  <si>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</si>
  <si>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</si>
  <si>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</si>
  <si>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</si>
  <si>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</si>
  <si>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</si>
  <si>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</si>
  <si>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</si>
  <si>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</si>
  <si>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</si>
  <si>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</si>
  <si>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</si>
  <si>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</si>
  <si>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</si>
  <si>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</si>
  <si>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</si>
  <si>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</si>
  <si>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</si>
  <si>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</si>
  <si>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</si>
  <si>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</si>
  <si>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</si>
  <si>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</si>
  <si>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</si>
  <si>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</si>
  <si>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</si>
  <si>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</si>
  <si>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</si>
  <si>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</si>
  <si>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</si>
  <si>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</si>
  <si>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</si>
  <si>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</si>
  <si>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</si>
  <si>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</si>
  <si>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</si>
  <si>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</si>
  <si>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</si>
  <si>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</si>
  <si>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</si>
  <si>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</si>
  <si>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</si>
  <si>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</si>
  <si>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</si>
  <si>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</si>
  <si>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</si>
  <si>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</si>
  <si>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</si>
  <si>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</si>
  <si>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</si>
  <si>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</si>
  <si>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</si>
  <si>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</si>
  <si>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</si>
  <si>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</si>
  <si>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</si>
  <si>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</si>
  <si>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</si>
  <si>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</si>
  <si>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</si>
  <si>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</si>
  <si>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</si>
  <si>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</si>
  <si>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</si>
  <si>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</si>
  <si>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</si>
  <si>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</si>
  <si>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</si>
  <si>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</si>
  <si>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</si>
  <si>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</si>
  <si>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</si>
  <si>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</si>
  <si>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</si>
  <si>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</si>
  <si>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</si>
  <si>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</si>
  <si>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</si>
  <si>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</si>
  <si>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</si>
  <si>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</si>
  <si>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</si>
  <si>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</si>
  <si>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</si>
  <si>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</si>
  <si>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</si>
  <si>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</si>
  <si>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</si>
  <si>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</si>
  <si>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</si>
  <si>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</si>
  <si>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</si>
  <si>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</si>
  <si>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</si>
  <si>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</si>
  <si>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</si>
  <si>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</si>
  <si>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</si>
  <si>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</si>
  <si>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</si>
  <si>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</si>
  <si>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</si>
  <si>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</si>
  <si>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</si>
  <si>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</si>
  <si>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</si>
  <si>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</si>
  <si>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</si>
  <si>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</si>
  <si>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</si>
  <si>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</si>
  <si>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</si>
  <si>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</si>
  <si>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</si>
  <si>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</si>
  <si>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</si>
  <si>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</si>
  <si>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</si>
  <si>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</si>
  <si>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</si>
  <si>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</si>
  <si>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</si>
  <si>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</si>
  <si>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</si>
  <si>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</si>
  <si>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</si>
  <si>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</si>
  <si>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</si>
  <si>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</si>
  <si>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</si>
  <si>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</si>
  <si>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</si>
  <si>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</si>
  <si>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</si>
  <si>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</si>
  <si>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</si>
  <si>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</si>
  <si>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</si>
  <si>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</si>
  <si>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</si>
  <si>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</si>
  <si>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</si>
  <si>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</si>
  <si>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</si>
  <si>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</si>
  <si>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</si>
  <si>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</si>
  <si>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</si>
  <si>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</si>
  <si>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</si>
  <si>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</si>
  <si>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</si>
  <si>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</si>
  <si>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</si>
  <si>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</si>
  <si>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</si>
  <si>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</si>
  <si>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</si>
  <si>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</si>
  <si>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</si>
  <si>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</si>
  <si>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</si>
  <si>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</si>
  <si>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</si>
  <si>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</si>
  <si>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</si>
  <si>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</si>
  <si>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</si>
  <si>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</si>
  <si>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</si>
  <si>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</si>
  <si>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</si>
  <si>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</si>
  <si>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</si>
  <si>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</si>
  <si>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</si>
  <si>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</si>
  <si>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</si>
  <si>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</si>
  <si>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</si>
  <si>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</si>
  <si>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</si>
  <si>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</si>
  <si>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</si>
  <si>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</si>
  <si>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</si>
  <si>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</si>
  <si>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</si>
  <si>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</si>
  <si>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</si>
  <si>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</si>
  <si>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</si>
  <si>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</si>
  <si>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</si>
  <si>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</si>
  <si>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</si>
  <si>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</si>
  <si>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</si>
  <si>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</si>
  <si>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</si>
  <si>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</si>
  <si>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</si>
  <si>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</si>
  <si>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</si>
  <si>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</si>
  <si>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</si>
  <si>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</si>
  <si>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</si>
  <si>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</si>
  <si>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</si>
  <si>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</si>
  <si>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</si>
  <si>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</si>
  <si>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</si>
  <si>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</si>
  <si>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</si>
  <si>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</si>
  <si>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</si>
  <si>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</si>
  <si>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</si>
  <si>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</si>
  <si>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</si>
  <si>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</si>
  <si>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</si>
  <si>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</si>
  <si>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</si>
  <si>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</si>
  <si>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</si>
  <si>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</si>
  <si>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</si>
  <si>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</si>
  <si>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</si>
  <si>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</si>
  <si>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</si>
  <si>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</si>
  <si>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</si>
  <si>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</si>
  <si>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</si>
  <si>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</si>
  <si>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</si>
  <si>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</si>
  <si>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</si>
  <si>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</si>
  <si>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</si>
  <si>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</si>
  <si>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</si>
  <si>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</si>
  <si>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</si>
  <si>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</si>
  <si>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</si>
  <si>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</si>
  <si>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</si>
  <si>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</si>
  <si>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</si>
  <si>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</si>
  <si>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</si>
  <si>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</si>
  <si>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</si>
  <si>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</si>
  <si>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</si>
  <si>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</si>
  <si>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</si>
  <si>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</si>
  <si>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</si>
  <si>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</si>
  <si>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</si>
  <si>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</si>
  <si>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</si>
  <si>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</si>
  <si>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</si>
  <si>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</si>
  <si>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</si>
  <si>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</si>
  <si>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</si>
  <si>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</si>
  <si>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</si>
  <si>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</si>
  <si>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</si>
  <si>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</si>
  <si>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</si>
  <si>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</si>
  <si>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</si>
  <si>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</si>
  <si>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</si>
  <si>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</si>
  <si>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</si>
  <si>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</si>
  <si>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</si>
  <si>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</si>
  <si>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</si>
  <si>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</si>
  <si>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</si>
  <si>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</si>
  <si>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</si>
  <si>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</si>
  <si>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</si>
  <si>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</si>
  <si>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</si>
  <si>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</si>
  <si>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</si>
  <si>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</si>
  <si>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</si>
  <si>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</si>
  <si>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</si>
  <si>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</si>
  <si>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</si>
  <si>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</si>
  <si>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</si>
  <si>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</si>
  <si>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</si>
  <si>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</si>
  <si>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</si>
  <si>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</si>
  <si>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</si>
  <si>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</si>
  <si>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</si>
  <si>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</si>
  <si>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</si>
  <si>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</si>
  <si>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</si>
  <si>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</si>
  <si>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</si>
  <si>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</si>
  <si>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</si>
  <si>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</si>
  <si>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</si>
  <si>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</si>
  <si>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</si>
  <si>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</si>
  <si>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</si>
  <si>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</si>
  <si>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</si>
  <si>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</si>
  <si>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</si>
  <si>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</si>
  <si>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</si>
  <si>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</si>
  <si>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</si>
  <si>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</si>
  <si>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</si>
  <si>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</si>
  <si>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</si>
  <si>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</si>
  <si>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</si>
  <si>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</si>
  <si>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</si>
  <si>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</si>
  <si>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</si>
  <si>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</si>
  <si>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</si>
  <si>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</si>
  <si>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</si>
  <si>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</si>
  <si>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</si>
  <si>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</si>
  <si>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</si>
  <si>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</si>
  <si>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</si>
  <si>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</si>
  <si>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</si>
  <si>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</si>
  <si>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</si>
  <si>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</si>
  <si>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</si>
  <si>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</si>
  <si>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</si>
  <si>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</si>
  <si>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</si>
  <si>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</si>
  <si>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</si>
  <si>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</si>
  <si>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</si>
  <si>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</si>
  <si>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</si>
  <si>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</si>
  <si>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</si>
  <si>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</si>
  <si>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</si>
  <si>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</si>
  <si>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</si>
  <si>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</si>
  <si>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</si>
  <si>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</si>
  <si>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</si>
  <si>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</si>
  <si>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</si>
  <si>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</si>
  <si>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</si>
  <si>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</si>
  <si>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</si>
  <si>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</si>
  <si>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</si>
  <si>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</si>
  <si>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March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</si>
</sst>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L35" sqref="L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63</v>
      </c>
      <c r="E1" s="185" t="s">
        <v>394</v>
      </c>
      <c r="F1" s="186" t="s">
        <v>395</v>
      </c>
      <c r="G1" s="185" t="s">
        <v>401</v>
      </c>
      <c r="H1" s="186" t="s">
        <v>396</v>
      </c>
      <c r="I1" s="185" t="s">
        <v>397</v>
      </c>
      <c r="J1" s="187" t="s">
        <v>398</v>
      </c>
      <c r="K1" s="185" t="s">
        <v>399</v>
      </c>
      <c r="L1" s="185" t="s">
        <v>62</v>
      </c>
    </row>
    <row r="2" spans="1:12">
      <c r="A2" s="188" t="s">
        <v>400</v>
      </c>
      <c r="B2" s="189">
        <v>1</v>
      </c>
      <c r="C2" s="190">
        <v>3</v>
      </c>
      <c r="D2" s="189">
        <v>2020</v>
      </c>
      <c r="E2" s="119">
        <f>Combine!G3</f>
        <v>221822</v>
      </c>
      <c r="F2" s="191">
        <v>1.2765</v>
      </c>
      <c r="G2" s="119">
        <f>Combine!M3</f>
        <v>3519.9776223776198</v>
      </c>
      <c r="H2" s="192">
        <v>9.0963999999999992</v>
      </c>
      <c r="I2" s="119">
        <f>Combine!J3</f>
        <v>359.48769999999968</v>
      </c>
      <c r="J2" s="191">
        <v>8.3843999999999994</v>
      </c>
      <c r="K2" s="119">
        <f>Combine!N3</f>
        <v>336</v>
      </c>
      <c r="L2" s="119">
        <f>Combine!O3</f>
        <v>787</v>
      </c>
    </row>
    <row r="3" spans="1:12">
      <c r="A3" s="188" t="s">
        <v>400</v>
      </c>
      <c r="B3" s="189">
        <v>2</v>
      </c>
      <c r="C3" s="190">
        <v>3</v>
      </c>
      <c r="D3" s="189">
        <v>2020</v>
      </c>
      <c r="E3" s="119">
        <f>Combine!G4</f>
        <v>229182</v>
      </c>
      <c r="F3" s="191">
        <v>1.2765</v>
      </c>
      <c r="G3" s="119">
        <f>Combine!M4</f>
        <v>3279.0191142191161</v>
      </c>
      <c r="H3" s="192">
        <v>9.0963999999999992</v>
      </c>
      <c r="I3" s="119">
        <f>Combine!J4</f>
        <v>315.96730000000025</v>
      </c>
      <c r="J3" s="191">
        <v>8.3843999999999994</v>
      </c>
      <c r="K3" s="119">
        <f>Combine!N4</f>
        <v>331</v>
      </c>
      <c r="L3" s="119">
        <f>Combine!O4</f>
        <v>774</v>
      </c>
    </row>
    <row r="4" spans="1:12">
      <c r="A4" s="188" t="s">
        <v>400</v>
      </c>
      <c r="B4" s="189">
        <v>3</v>
      </c>
      <c r="C4" s="190">
        <v>3</v>
      </c>
      <c r="D4" s="189">
        <v>2020</v>
      </c>
      <c r="E4" s="119">
        <f>Combine!G5</f>
        <v>227602</v>
      </c>
      <c r="F4" s="191">
        <v>1.2765</v>
      </c>
      <c r="G4" s="119">
        <f>Combine!M5</f>
        <v>4519.8209790209712</v>
      </c>
      <c r="H4" s="192">
        <v>9.0963999999999992</v>
      </c>
      <c r="I4" s="119">
        <f>Combine!J5</f>
        <v>324.99950000000024</v>
      </c>
      <c r="J4" s="191">
        <v>8.3843999999999994</v>
      </c>
      <c r="K4" s="119">
        <f>Combine!N5</f>
        <v>332</v>
      </c>
      <c r="L4" s="119">
        <f>Combine!O5</f>
        <v>775</v>
      </c>
    </row>
    <row r="5" spans="1:12">
      <c r="A5" s="188" t="s">
        <v>400</v>
      </c>
      <c r="B5" s="189">
        <v>4</v>
      </c>
      <c r="C5" s="190">
        <v>3</v>
      </c>
      <c r="D5" s="189">
        <v>2020</v>
      </c>
      <c r="E5" s="119">
        <f>Combine!G6</f>
        <v>232472</v>
      </c>
      <c r="F5" s="191">
        <v>1.2765</v>
      </c>
      <c r="G5" s="119">
        <f>Combine!M6</f>
        <v>3370.4752136752186</v>
      </c>
      <c r="H5" s="192">
        <v>9.0963999999999992</v>
      </c>
      <c r="I5" s="119">
        <f>Combine!J6</f>
        <v>286.04949999999934</v>
      </c>
      <c r="J5" s="191">
        <v>8.3843999999999994</v>
      </c>
      <c r="K5" s="119">
        <f>Combine!N6</f>
        <v>332</v>
      </c>
      <c r="L5" s="119">
        <f>Combine!O6</f>
        <v>777</v>
      </c>
    </row>
    <row r="6" spans="1:12">
      <c r="A6" s="188" t="s">
        <v>400</v>
      </c>
      <c r="B6" s="189">
        <v>5</v>
      </c>
      <c r="C6" s="190">
        <v>3</v>
      </c>
      <c r="D6" s="189">
        <v>2020</v>
      </c>
      <c r="E6" s="119">
        <f>Combine!G7</f>
        <v>231666</v>
      </c>
      <c r="F6" s="191">
        <v>1.2765</v>
      </c>
      <c r="G6" s="119">
        <f>Combine!M7</f>
        <v>3994.8469308469439</v>
      </c>
      <c r="H6" s="192">
        <v>9.0963999999999992</v>
      </c>
      <c r="I6" s="119">
        <f>Combine!J7</f>
        <v>348.59619999999978</v>
      </c>
      <c r="J6" s="191">
        <v>8.3843999999999994</v>
      </c>
      <c r="K6" s="119">
        <f>Combine!N7</f>
        <v>343</v>
      </c>
      <c r="L6" s="119">
        <f>Combine!O7</f>
        <v>783</v>
      </c>
    </row>
    <row r="7" spans="1:12">
      <c r="A7" s="188" t="s">
        <v>400</v>
      </c>
      <c r="B7" s="189">
        <v>6</v>
      </c>
      <c r="C7" s="190">
        <v>3</v>
      </c>
      <c r="D7" s="189">
        <v>2020</v>
      </c>
      <c r="E7" s="119">
        <f>Combine!G8</f>
        <v>228942</v>
      </c>
      <c r="F7" s="191">
        <v>1.2765</v>
      </c>
      <c r="G7" s="119">
        <f>Combine!M8</f>
        <v>3212.628438228433</v>
      </c>
      <c r="H7" s="192">
        <v>9.0963999999999992</v>
      </c>
      <c r="I7" s="119">
        <f>Combine!J8</f>
        <v>311.55630000000053</v>
      </c>
      <c r="J7" s="191">
        <v>8.3843999999999994</v>
      </c>
      <c r="K7" s="119">
        <f>Combine!N8</f>
        <v>335</v>
      </c>
      <c r="L7" s="119">
        <f>Combine!O8</f>
        <v>787</v>
      </c>
    </row>
    <row r="8" spans="1:12">
      <c r="A8" s="188" t="s">
        <v>400</v>
      </c>
      <c r="B8" s="189">
        <v>7</v>
      </c>
      <c r="C8" s="190">
        <v>3</v>
      </c>
      <c r="D8" s="189">
        <v>2020</v>
      </c>
      <c r="E8" s="119">
        <f>Combine!G9</f>
        <v>232253</v>
      </c>
      <c r="F8" s="191">
        <v>1.2765</v>
      </c>
      <c r="G8" s="119">
        <f>Combine!M9</f>
        <v>4744.8366744366704</v>
      </c>
      <c r="H8" s="192">
        <v>9.0963999999999992</v>
      </c>
      <c r="I8" s="119">
        <f>Combine!J9</f>
        <v>444.39770000000027</v>
      </c>
      <c r="J8" s="191">
        <v>8.3843999999999994</v>
      </c>
      <c r="K8" s="119">
        <f>Combine!N9</f>
        <v>333</v>
      </c>
      <c r="L8" s="119">
        <f>Combine!O9</f>
        <v>784</v>
      </c>
    </row>
    <row r="9" spans="1:12">
      <c r="A9" s="188" t="s">
        <v>400</v>
      </c>
      <c r="B9" s="189">
        <v>8</v>
      </c>
      <c r="C9" s="190">
        <v>3</v>
      </c>
      <c r="D9" s="189">
        <v>2020</v>
      </c>
      <c r="E9" s="119">
        <f>Combine!G10</f>
        <v>234381</v>
      </c>
      <c r="F9" s="191">
        <v>1.2765</v>
      </c>
      <c r="G9" s="119">
        <f>Combine!M10</f>
        <v>3568.0795648795565</v>
      </c>
      <c r="H9" s="192">
        <v>9.0963999999999992</v>
      </c>
      <c r="I9" s="119">
        <f>Combine!J10</f>
        <v>472.86159999999944</v>
      </c>
      <c r="J9" s="191">
        <v>8.3843999999999994</v>
      </c>
      <c r="K9" s="119">
        <f>Combine!N10</f>
        <v>331</v>
      </c>
      <c r="L9" s="119">
        <f>Combine!O10</f>
        <v>773</v>
      </c>
    </row>
    <row r="10" spans="1:12">
      <c r="A10" s="188" t="s">
        <v>400</v>
      </c>
      <c r="B10" s="189">
        <v>9</v>
      </c>
      <c r="C10" s="190">
        <v>3</v>
      </c>
      <c r="D10" s="189">
        <v>2020</v>
      </c>
      <c r="E10" s="119">
        <f>Combine!G11</f>
        <v>235816</v>
      </c>
      <c r="F10" s="191">
        <v>1.2765</v>
      </c>
      <c r="G10" s="119">
        <f>Combine!M11</f>
        <v>3398.0717948718047</v>
      </c>
      <c r="H10" s="192">
        <v>9.0963999999999992</v>
      </c>
      <c r="I10" s="119">
        <f>Combine!J11</f>
        <v>517.77630000000022</v>
      </c>
      <c r="J10" s="191">
        <v>8.3843999999999994</v>
      </c>
      <c r="K10" s="119">
        <f>Combine!N11</f>
        <v>335</v>
      </c>
      <c r="L10" s="119">
        <f>Combine!O11</f>
        <v>779</v>
      </c>
    </row>
    <row r="11" spans="1:12">
      <c r="A11" s="188" t="s">
        <v>400</v>
      </c>
      <c r="B11" s="189">
        <v>10</v>
      </c>
      <c r="C11" s="190">
        <v>3</v>
      </c>
      <c r="D11" s="189">
        <v>2020</v>
      </c>
      <c r="E11" s="119">
        <f>Combine!G12</f>
        <v>240456</v>
      </c>
      <c r="F11" s="191">
        <v>1.2765</v>
      </c>
      <c r="G11" s="119">
        <f>Combine!M12</f>
        <v>4643.3479409479442</v>
      </c>
      <c r="H11" s="192">
        <v>9.0963999999999992</v>
      </c>
      <c r="I11" s="119">
        <f>Combine!J12</f>
        <v>396.07789999999949</v>
      </c>
      <c r="J11" s="191">
        <v>8.3843999999999994</v>
      </c>
      <c r="K11" s="119">
        <f>Combine!N12</f>
        <v>334</v>
      </c>
      <c r="L11" s="119">
        <f>Combine!O12</f>
        <v>776</v>
      </c>
    </row>
    <row r="12" spans="1:12">
      <c r="A12" s="188" t="s">
        <v>400</v>
      </c>
      <c r="B12" s="189">
        <v>11</v>
      </c>
      <c r="C12" s="190">
        <v>3</v>
      </c>
      <c r="D12" s="189">
        <v>2020</v>
      </c>
      <c r="E12" s="119">
        <f>Combine!G13</f>
        <v>242852</v>
      </c>
      <c r="F12" s="191">
        <v>1.2765</v>
      </c>
      <c r="G12" s="119">
        <f>Combine!M13</f>
        <v>3200.8975912975839</v>
      </c>
      <c r="H12" s="192">
        <v>9.0963999999999992</v>
      </c>
      <c r="I12" s="119">
        <f>Combine!J13</f>
        <v>330.6423000000006</v>
      </c>
      <c r="J12" s="191">
        <v>8.3843999999999994</v>
      </c>
      <c r="K12" s="119">
        <f>Combine!N13</f>
        <v>333</v>
      </c>
      <c r="L12" s="119">
        <f>Combine!O13</f>
        <v>774</v>
      </c>
    </row>
    <row r="13" spans="1:12">
      <c r="A13" s="188" t="s">
        <v>400</v>
      </c>
      <c r="B13" s="189">
        <v>12</v>
      </c>
      <c r="C13" s="190">
        <v>3</v>
      </c>
      <c r="D13" s="189">
        <v>2020</v>
      </c>
      <c r="E13" s="119">
        <f>Combine!G14</f>
        <v>249425</v>
      </c>
      <c r="F13" s="191">
        <v>1.2765</v>
      </c>
      <c r="G13" s="119">
        <f>Combine!M14</f>
        <v>4482.8021756021835</v>
      </c>
      <c r="H13" s="192">
        <v>9.0963999999999992</v>
      </c>
      <c r="I13" s="119">
        <f>Combine!J14</f>
        <v>557.89120000000025</v>
      </c>
      <c r="J13" s="191">
        <v>8.3843999999999994</v>
      </c>
      <c r="K13" s="119">
        <f>Combine!N14</f>
        <v>337</v>
      </c>
      <c r="L13" s="119">
        <f>Combine!O14</f>
        <v>777</v>
      </c>
    </row>
    <row r="14" spans="1:12">
      <c r="A14" s="188" t="s">
        <v>400</v>
      </c>
      <c r="B14" s="189">
        <v>13</v>
      </c>
      <c r="C14" s="190">
        <v>3</v>
      </c>
      <c r="D14" s="189">
        <v>2020</v>
      </c>
      <c r="E14" s="119">
        <f>Combine!G15</f>
        <v>246640</v>
      </c>
      <c r="F14" s="191">
        <v>1.2765</v>
      </c>
      <c r="G14" s="119">
        <f>Combine!M15</f>
        <v>3884.423310023305</v>
      </c>
      <c r="H14" s="192">
        <v>9.0963999999999992</v>
      </c>
      <c r="I14" s="119">
        <f>Combine!J15</f>
        <v>467.52149999999926</v>
      </c>
      <c r="J14" s="191">
        <v>8.3843999999999994</v>
      </c>
      <c r="K14" s="119">
        <f>Combine!N15</f>
        <v>333</v>
      </c>
      <c r="L14" s="119">
        <f>Combine!O15</f>
        <v>780</v>
      </c>
    </row>
    <row r="15" spans="1:12">
      <c r="A15" s="188" t="s">
        <v>400</v>
      </c>
      <c r="B15" s="189">
        <v>14</v>
      </c>
      <c r="C15" s="190">
        <v>3</v>
      </c>
      <c r="D15" s="189">
        <v>2020</v>
      </c>
      <c r="E15" s="119">
        <f>Combine!G16</f>
        <v>238558</v>
      </c>
      <c r="F15" s="191">
        <v>1.2765</v>
      </c>
      <c r="G15" s="119">
        <f>Combine!M16</f>
        <v>4427.8240870240797</v>
      </c>
      <c r="H15" s="192">
        <v>9.0963999999999992</v>
      </c>
      <c r="I15" s="119">
        <f>Combine!J16</f>
        <v>363.12690000000055</v>
      </c>
      <c r="J15" s="191">
        <v>8.3843999999999994</v>
      </c>
      <c r="K15" s="119">
        <f>Combine!N16</f>
        <v>346</v>
      </c>
      <c r="L15" s="119">
        <f>Combine!O16</f>
        <v>806</v>
      </c>
    </row>
    <row r="16" spans="1:12">
      <c r="A16" s="188" t="s">
        <v>400</v>
      </c>
      <c r="B16" s="189">
        <v>15</v>
      </c>
      <c r="C16" s="190">
        <v>3</v>
      </c>
      <c r="D16" s="189">
        <v>2020</v>
      </c>
      <c r="E16" s="119">
        <f>Combine!G17</f>
        <v>228114</v>
      </c>
      <c r="F16" s="191">
        <v>1.2765</v>
      </c>
      <c r="G16" s="119">
        <f>Combine!M17</f>
        <v>3348.1933177933283</v>
      </c>
      <c r="H16" s="192">
        <v>9.0963999999999992</v>
      </c>
      <c r="I16" s="119">
        <f>Combine!J17</f>
        <v>363.36739999999992</v>
      </c>
      <c r="J16" s="191">
        <v>8.3843999999999994</v>
      </c>
      <c r="K16" s="119">
        <f>Combine!N17</f>
        <v>340</v>
      </c>
      <c r="L16" s="119">
        <f>Combine!O17</f>
        <v>790</v>
      </c>
    </row>
    <row r="17" spans="1:12">
      <c r="A17" s="188" t="s">
        <v>400</v>
      </c>
      <c r="B17" s="189">
        <v>16</v>
      </c>
      <c r="C17" s="190">
        <v>3</v>
      </c>
      <c r="D17" s="189">
        <v>2020</v>
      </c>
      <c r="E17" s="119">
        <f>Combine!G18</f>
        <v>227674</v>
      </c>
      <c r="F17" s="191">
        <v>1.2765</v>
      </c>
      <c r="G17" s="119">
        <f>Combine!M18</f>
        <v>3288.3530691530732</v>
      </c>
      <c r="H17" s="192">
        <v>9.0963999999999992</v>
      </c>
      <c r="I17" s="119">
        <f>Combine!J18</f>
        <v>292.71670000000012</v>
      </c>
      <c r="J17" s="191">
        <v>8.3843999999999994</v>
      </c>
      <c r="K17" s="119">
        <f>Combine!N18</f>
        <v>342</v>
      </c>
      <c r="L17" s="119">
        <f>Combine!O18</f>
        <v>784</v>
      </c>
    </row>
    <row r="18" spans="1:12">
      <c r="A18" s="188" t="s">
        <v>400</v>
      </c>
      <c r="B18" s="189">
        <v>17</v>
      </c>
      <c r="C18" s="190">
        <v>3</v>
      </c>
      <c r="D18" s="189">
        <v>2020</v>
      </c>
      <c r="E18" s="119">
        <f>Combine!G19</f>
        <v>240205</v>
      </c>
      <c r="F18" s="191">
        <v>1.2765</v>
      </c>
      <c r="G18" s="119">
        <f>Combine!M19</f>
        <v>4362.2104118103971</v>
      </c>
      <c r="H18" s="192">
        <v>9.0963999999999992</v>
      </c>
      <c r="I18" s="119">
        <f>Combine!J19</f>
        <v>364.74499999999972</v>
      </c>
      <c r="J18" s="191">
        <v>8.3843999999999994</v>
      </c>
      <c r="K18" s="119">
        <f>Combine!N19</f>
        <v>349</v>
      </c>
      <c r="L18" s="119">
        <f>Combine!O19</f>
        <v>798</v>
      </c>
    </row>
    <row r="19" spans="1:12">
      <c r="A19" s="188" t="s">
        <v>400</v>
      </c>
      <c r="B19" s="189">
        <v>18</v>
      </c>
      <c r="C19" s="190">
        <v>3</v>
      </c>
      <c r="D19" s="189">
        <v>2020</v>
      </c>
      <c r="E19" s="119">
        <f>Combine!G20</f>
        <v>242933</v>
      </c>
      <c r="F19" s="191">
        <v>1.2765</v>
      </c>
      <c r="G19" s="119">
        <f>Combine!M20</f>
        <v>3665.0616938616972</v>
      </c>
      <c r="H19" s="192">
        <v>9.0963999999999992</v>
      </c>
      <c r="I19" s="119">
        <f>Combine!J20</f>
        <v>345.10669999999993</v>
      </c>
      <c r="J19" s="191">
        <v>8.3843999999999994</v>
      </c>
      <c r="K19" s="119">
        <f>Combine!N20</f>
        <v>349</v>
      </c>
      <c r="L19" s="119">
        <f>Combine!O20</f>
        <v>801</v>
      </c>
    </row>
    <row r="20" spans="1:12">
      <c r="A20" s="188" t="s">
        <v>400</v>
      </c>
      <c r="B20" s="189">
        <v>19</v>
      </c>
      <c r="C20" s="190">
        <v>3</v>
      </c>
      <c r="D20" s="189">
        <v>2020</v>
      </c>
      <c r="E20" s="119">
        <f>Combine!G21</f>
        <v>245296</v>
      </c>
      <c r="F20" s="191">
        <v>1.2765</v>
      </c>
      <c r="G20" s="119">
        <f>Combine!M21</f>
        <v>4491.5219891219922</v>
      </c>
      <c r="H20" s="192">
        <v>9.0963999999999992</v>
      </c>
      <c r="I20" s="119">
        <f>Combine!J21</f>
        <v>381.7110999999997</v>
      </c>
      <c r="J20" s="191">
        <v>8.3843999999999994</v>
      </c>
      <c r="K20" s="119">
        <f>Combine!N21</f>
        <v>346</v>
      </c>
      <c r="L20" s="119">
        <f>Combine!O21</f>
        <v>803</v>
      </c>
    </row>
    <row r="21" spans="1:12">
      <c r="A21" s="188" t="s">
        <v>400</v>
      </c>
      <c r="B21" s="189">
        <v>20</v>
      </c>
      <c r="C21" s="190">
        <v>3</v>
      </c>
      <c r="D21" s="189">
        <v>2020</v>
      </c>
      <c r="E21" s="119">
        <f>Combine!G22</f>
        <v>246281</v>
      </c>
      <c r="F21" s="191">
        <v>1.2765</v>
      </c>
      <c r="G21" s="119">
        <f>Combine!M22</f>
        <v>3561.4334110334144</v>
      </c>
      <c r="H21" s="192">
        <v>9.0963999999999992</v>
      </c>
      <c r="I21" s="119">
        <f>Combine!J22</f>
        <v>358.98909999999995</v>
      </c>
      <c r="J21" s="191">
        <v>8.3843999999999994</v>
      </c>
      <c r="K21" s="119">
        <f>Combine!N22</f>
        <v>352</v>
      </c>
      <c r="L21" s="119">
        <f>Combine!O22</f>
        <v>816</v>
      </c>
    </row>
    <row r="22" spans="1:12">
      <c r="A22" s="188" t="s">
        <v>400</v>
      </c>
      <c r="B22" s="189">
        <v>21</v>
      </c>
      <c r="C22" s="190">
        <v>3</v>
      </c>
      <c r="D22" s="189">
        <v>2020</v>
      </c>
      <c r="E22" s="119">
        <f>Combine!G23</f>
        <v>243101</v>
      </c>
      <c r="F22" s="191">
        <v>1.2765</v>
      </c>
      <c r="G22" s="119">
        <f>Combine!M23</f>
        <v>3970.6169386169454</v>
      </c>
      <c r="H22" s="192">
        <v>9.0963999999999992</v>
      </c>
      <c r="I22" s="119">
        <f>Combine!J23</f>
        <v>375.36409999999995</v>
      </c>
      <c r="J22" s="191">
        <v>8.3843999999999994</v>
      </c>
      <c r="K22" s="119">
        <f>Combine!N23</f>
        <v>352</v>
      </c>
      <c r="L22" s="119">
        <f>Combine!O23</f>
        <v>817</v>
      </c>
    </row>
    <row r="23" spans="1:12">
      <c r="A23" s="188" t="s">
        <v>400</v>
      </c>
      <c r="B23" s="189">
        <v>22</v>
      </c>
      <c r="C23" s="190">
        <v>3</v>
      </c>
      <c r="D23" s="189">
        <v>2020</v>
      </c>
      <c r="E23" s="119">
        <f>Combine!G24</f>
        <v>237531</v>
      </c>
      <c r="F23" s="191">
        <v>1.2765</v>
      </c>
      <c r="G23" s="119">
        <f>Combine!M24</f>
        <v>3994.2390054389989</v>
      </c>
      <c r="H23" s="192">
        <v>9.0963999999999992</v>
      </c>
      <c r="I23" s="119">
        <f>Combine!J24</f>
        <v>376.62000000000006</v>
      </c>
      <c r="J23" s="191">
        <v>8.3843999999999994</v>
      </c>
      <c r="K23" s="119">
        <f>Combine!N24</f>
        <v>349</v>
      </c>
      <c r="L23" s="119">
        <f>Combine!O24</f>
        <v>814</v>
      </c>
    </row>
    <row r="24" spans="1:12">
      <c r="A24" s="188" t="s">
        <v>400</v>
      </c>
      <c r="B24" s="189">
        <v>23</v>
      </c>
      <c r="C24" s="190">
        <v>3</v>
      </c>
      <c r="D24" s="189">
        <v>2020</v>
      </c>
      <c r="E24" s="119">
        <f>Combine!G25</f>
        <v>223588</v>
      </c>
      <c r="F24" s="191">
        <v>1.2765</v>
      </c>
      <c r="G24" s="119">
        <f>Combine!M25</f>
        <v>3305.4806526806587</v>
      </c>
      <c r="H24" s="192">
        <v>9.0963999999999992</v>
      </c>
      <c r="I24" s="119">
        <f>Combine!J25</f>
        <v>348.94700000000029</v>
      </c>
      <c r="J24" s="191">
        <v>8.3843999999999994</v>
      </c>
      <c r="K24" s="119">
        <f>Combine!N25</f>
        <v>344</v>
      </c>
      <c r="L24" s="119">
        <f>Combine!O25</f>
        <v>803</v>
      </c>
    </row>
    <row r="25" spans="1:12">
      <c r="A25" s="188" t="s">
        <v>400</v>
      </c>
      <c r="B25" s="189">
        <v>24</v>
      </c>
      <c r="C25" s="190">
        <v>3</v>
      </c>
      <c r="D25" s="189">
        <v>2020</v>
      </c>
      <c r="E25" s="119">
        <f>Combine!G26</f>
        <v>250656</v>
      </c>
      <c r="F25" s="191">
        <v>1.2765</v>
      </c>
      <c r="G25" s="119">
        <f>Combine!M26</f>
        <v>4017.8610722610701</v>
      </c>
      <c r="H25" s="192">
        <v>9.0963999999999992</v>
      </c>
      <c r="I25" s="119">
        <f>Combine!J26</f>
        <v>390.24599999999975</v>
      </c>
      <c r="J25" s="191">
        <v>8.3843999999999994</v>
      </c>
      <c r="K25" s="119">
        <f>Combine!N26</f>
        <v>347</v>
      </c>
      <c r="L25" s="119">
        <f>Combine!O26</f>
        <v>808</v>
      </c>
    </row>
    <row r="26" spans="1:12">
      <c r="A26" s="188" t="s">
        <v>400</v>
      </c>
      <c r="B26" s="189">
        <v>25</v>
      </c>
      <c r="C26" s="190">
        <v>3</v>
      </c>
      <c r="D26" s="189">
        <v>2020</v>
      </c>
      <c r="E26" s="119">
        <f>Combine!G27</f>
        <v>235121</v>
      </c>
      <c r="F26" s="191">
        <v>1.2765</v>
      </c>
      <c r="G26" s="119">
        <f>Combine!M27</f>
        <v>3668.6445998446002</v>
      </c>
      <c r="H26" s="192">
        <v>9.0963999999999992</v>
      </c>
      <c r="I26" s="119">
        <f>Combine!J27</f>
        <v>380.25000000000074</v>
      </c>
      <c r="J26" s="191">
        <v>8.3843999999999994</v>
      </c>
      <c r="K26" s="119">
        <f>Combine!N27</f>
        <v>344</v>
      </c>
      <c r="L26" s="119">
        <f>Combine!O27</f>
        <v>802</v>
      </c>
    </row>
    <row r="27" spans="1:12">
      <c r="A27" s="188" t="s">
        <v>400</v>
      </c>
      <c r="B27" s="189">
        <v>26</v>
      </c>
      <c r="C27" s="190">
        <v>3</v>
      </c>
      <c r="D27" s="189">
        <v>2020</v>
      </c>
      <c r="E27" s="119">
        <f>Combine!G28</f>
        <v>245204</v>
      </c>
      <c r="F27" s="191">
        <v>1.2765</v>
      </c>
      <c r="G27" s="119">
        <f>Combine!M28</f>
        <v>4090.1022533022474</v>
      </c>
      <c r="H27" s="192">
        <v>9.0963999999999992</v>
      </c>
      <c r="I27" s="119">
        <f>Combine!J28</f>
        <v>404.84559999999948</v>
      </c>
      <c r="J27" s="191">
        <v>8.3843999999999994</v>
      </c>
      <c r="K27" s="119">
        <f>Combine!N28</f>
        <v>344</v>
      </c>
      <c r="L27" s="119">
        <f>Combine!O28</f>
        <v>800</v>
      </c>
    </row>
    <row r="28" spans="1:12">
      <c r="A28" s="188" t="s">
        <v>400</v>
      </c>
      <c r="B28" s="189">
        <v>27</v>
      </c>
      <c r="C28" s="190">
        <v>3</v>
      </c>
      <c r="D28" s="189">
        <v>2020</v>
      </c>
      <c r="E28" s="119">
        <f>Combine!G29</f>
        <v>241860</v>
      </c>
      <c r="F28" s="191">
        <v>1.2765</v>
      </c>
      <c r="G28" s="119">
        <f>Combine!M29</f>
        <v>3474.2564102563783</v>
      </c>
      <c r="H28" s="192">
        <v>9.0963999999999992</v>
      </c>
      <c r="I28" s="119">
        <f>Combine!J29</f>
        <v>339.93116666666702</v>
      </c>
      <c r="J28" s="191">
        <v>8.3843999999999994</v>
      </c>
      <c r="K28" s="119">
        <f>Combine!N29</f>
        <v>344</v>
      </c>
      <c r="L28" s="119">
        <f>Combine!O29</f>
        <v>801</v>
      </c>
    </row>
    <row r="29" spans="1:12">
      <c r="A29" s="188" t="s">
        <v>400</v>
      </c>
      <c r="B29" s="189">
        <v>28</v>
      </c>
      <c r="C29" s="190">
        <v>3</v>
      </c>
      <c r="D29" s="189">
        <v>2020</v>
      </c>
      <c r="E29" s="119">
        <f>Combine!G30</f>
        <v>242024</v>
      </c>
      <c r="F29" s="191">
        <v>1.2765</v>
      </c>
      <c r="G29" s="119">
        <f>Combine!M30</f>
        <v>3594.6600362603413</v>
      </c>
      <c r="H29" s="192">
        <v>9.0963999999999992</v>
      </c>
      <c r="I29" s="119">
        <f>Combine!J30</f>
        <v>490.74783333332397</v>
      </c>
      <c r="J29" s="191">
        <v>8.3843999999999994</v>
      </c>
      <c r="K29" s="119">
        <f>Combine!N30</f>
        <v>347</v>
      </c>
      <c r="L29" s="119">
        <f>Combine!O30</f>
        <v>809</v>
      </c>
    </row>
    <row r="30" spans="1:12">
      <c r="A30" s="188" t="s">
        <v>400</v>
      </c>
      <c r="B30" s="189">
        <v>29</v>
      </c>
      <c r="C30" s="190">
        <v>3</v>
      </c>
      <c r="D30" s="189">
        <v>2020</v>
      </c>
      <c r="E30" s="119">
        <f>Combine!G31</f>
        <v>226202</v>
      </c>
      <c r="F30" s="191">
        <v>1.2765</v>
      </c>
      <c r="G30" s="119">
        <f>Combine!M31</f>
        <v>3594.6600362604227</v>
      </c>
      <c r="H30" s="192">
        <v>9.0963999999999992</v>
      </c>
      <c r="I30" s="119">
        <f>Combine!J31</f>
        <v>306.24783333332306</v>
      </c>
      <c r="J30" s="191">
        <v>8.3843999999999994</v>
      </c>
      <c r="K30" s="119">
        <f>Combine!N31</f>
        <v>339</v>
      </c>
      <c r="L30" s="119">
        <f>Combine!O31</f>
        <v>794</v>
      </c>
    </row>
    <row r="31" spans="1:12">
      <c r="A31" s="188" t="s">
        <v>400</v>
      </c>
      <c r="B31" s="189">
        <v>30</v>
      </c>
      <c r="C31" s="190">
        <v>3</v>
      </c>
      <c r="D31" s="189">
        <v>2020</v>
      </c>
      <c r="E31" s="119">
        <f>Combine!G32</f>
        <v>230255</v>
      </c>
      <c r="F31" s="191">
        <v>1.2765</v>
      </c>
      <c r="G31" s="119">
        <f>Combine!M32</f>
        <v>3594.6600362593736</v>
      </c>
      <c r="H31" s="192">
        <v>9.0963999999999992</v>
      </c>
      <c r="I31" s="119">
        <f>Combine!J32</f>
        <v>302.60966666668645</v>
      </c>
      <c r="J31" s="191">
        <v>8.3843999999999994</v>
      </c>
      <c r="K31" s="119">
        <f>Combine!N32</f>
        <v>339</v>
      </c>
      <c r="L31" s="119">
        <f>Combine!O32</f>
        <v>793</v>
      </c>
    </row>
    <row r="32" spans="1:12">
      <c r="A32" s="188" t="s">
        <v>400</v>
      </c>
      <c r="B32" s="189">
        <v>31</v>
      </c>
      <c r="C32" s="190">
        <v>3</v>
      </c>
      <c r="D32" s="189">
        <v>2020</v>
      </c>
      <c r="E32" s="119">
        <f>Combine!G33</f>
        <v>238354</v>
      </c>
      <c r="F32" s="191">
        <v>1.2765</v>
      </c>
      <c r="G32" s="119">
        <f>Combine!M33</f>
        <v>4555.8738150738254</v>
      </c>
      <c r="H32" s="192">
        <v>9.0963999999999992</v>
      </c>
      <c r="I32" s="119">
        <f>Combine!J33</f>
        <v>0</v>
      </c>
      <c r="J32" s="191">
        <v>8.3843999999999994</v>
      </c>
      <c r="K32" s="119">
        <f>Combine!N33</f>
        <v>333</v>
      </c>
      <c r="L32" s="119">
        <f>Combine!O33</f>
        <v>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17" sqref="H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4" t="s">
        <v>65</v>
      </c>
      <c r="O1" s="195"/>
      <c r="P1" s="196"/>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393</v>
      </c>
    </row>
    <row r="3" spans="1:17" ht="15.75">
      <c r="A3" s="7" t="s">
        <v>14</v>
      </c>
      <c r="B3" s="7">
        <v>1</v>
      </c>
      <c r="C3" s="7">
        <v>3</v>
      </c>
      <c r="D3" s="118">
        <v>2020</v>
      </c>
      <c r="E3" s="149">
        <f>'Athens Daily - EL'!AK8</f>
        <v>203735</v>
      </c>
      <c r="F3" s="151">
        <f>'Athens Daily - EL'!AL8</f>
        <v>18087</v>
      </c>
      <c r="G3" s="129">
        <f>SUM(E3,F3)</f>
        <v>221822</v>
      </c>
      <c r="H3" s="149">
        <f>'Athens Daily - Water'!R7</f>
        <v>275.48769999999968</v>
      </c>
      <c r="I3" s="119">
        <f>'Athens Daily - Water'!S7</f>
        <v>84</v>
      </c>
      <c r="J3" s="125">
        <f t="shared" ref="J3:J33" si="0">SUM(H3,I3)</f>
        <v>359.48769999999968</v>
      </c>
      <c r="K3" s="149">
        <f>'Athens Daily - Gas'!BH9</f>
        <v>90459.9359999999</v>
      </c>
      <c r="L3" s="119">
        <f>'Athens Daily - Gas'!BI9</f>
        <v>45446.400000000001</v>
      </c>
      <c r="M3" s="129">
        <f>SUM(K3,L3)/38.61</f>
        <v>3519.9776223776198</v>
      </c>
      <c r="N3" s="158">
        <f>Occ!G10</f>
        <v>336</v>
      </c>
      <c r="O3" s="101">
        <f>Occ!H10</f>
        <v>787</v>
      </c>
      <c r="P3" s="157">
        <v>918</v>
      </c>
      <c r="Q3" s="166"/>
    </row>
    <row r="4" spans="1:17" ht="15.75">
      <c r="A4" s="7" t="s">
        <v>14</v>
      </c>
      <c r="B4" s="7">
        <v>2</v>
      </c>
      <c r="C4" s="7">
        <v>3</v>
      </c>
      <c r="D4" s="118">
        <v>2020</v>
      </c>
      <c r="E4" s="149">
        <f>'Athens Daily - EL'!AK9</f>
        <v>210754</v>
      </c>
      <c r="F4" s="151">
        <f>'Athens Daily - EL'!AL9</f>
        <v>18428</v>
      </c>
      <c r="G4" s="129">
        <f t="shared" ref="G4:G33" si="1">SUM(E4,F4)</f>
        <v>229182</v>
      </c>
      <c r="H4" s="149">
        <f>'Athens Daily - Water'!R8</f>
        <v>223.46730000000025</v>
      </c>
      <c r="I4" s="119">
        <f>'Athens Daily - Water'!S8</f>
        <v>92.5</v>
      </c>
      <c r="J4" s="125">
        <f t="shared" si="0"/>
        <v>315.96730000000025</v>
      </c>
      <c r="K4" s="149">
        <f>'Athens Daily - Gas'!BH10</f>
        <v>81175.728000000076</v>
      </c>
      <c r="L4" s="119">
        <f>'Athens Daily - Gas'!BI10</f>
        <v>45427.199999999997</v>
      </c>
      <c r="M4" s="129">
        <f t="shared" ref="M4:M33" si="2">SUM(K4,L4)/38.61</f>
        <v>3279.0191142191161</v>
      </c>
      <c r="N4" s="158">
        <f>Occ!G11</f>
        <v>331</v>
      </c>
      <c r="O4" s="101">
        <f>Occ!H11</f>
        <v>774</v>
      </c>
      <c r="P4" s="157">
        <v>918</v>
      </c>
      <c r="Q4" s="166"/>
    </row>
    <row r="5" spans="1:17" ht="15.75">
      <c r="A5" s="7" t="s">
        <v>14</v>
      </c>
      <c r="B5" s="7">
        <v>3</v>
      </c>
      <c r="C5" s="7">
        <v>3</v>
      </c>
      <c r="D5" s="118">
        <v>2020</v>
      </c>
      <c r="E5" s="149">
        <f>'Athens Daily - EL'!AK10</f>
        <v>209779</v>
      </c>
      <c r="F5" s="151">
        <f>'Athens Daily - EL'!AL10</f>
        <v>17823</v>
      </c>
      <c r="G5" s="129">
        <f t="shared" si="1"/>
        <v>227602</v>
      </c>
      <c r="H5" s="149">
        <f>'Athens Daily - Water'!R9</f>
        <v>193.34950000000026</v>
      </c>
      <c r="I5" s="119">
        <f>'Athens Daily - Water'!S9</f>
        <v>131.65</v>
      </c>
      <c r="J5" s="125">
        <f t="shared" si="0"/>
        <v>324.99950000000024</v>
      </c>
      <c r="K5" s="149">
        <f>'Athens Daily - Gas'!BH11</f>
        <v>109911.88799999972</v>
      </c>
      <c r="L5" s="119">
        <f>'Athens Daily - Gas'!BI11</f>
        <v>64598.400000000001</v>
      </c>
      <c r="M5" s="129">
        <f t="shared" si="2"/>
        <v>4519.8209790209712</v>
      </c>
      <c r="N5" s="158">
        <f>Occ!G12</f>
        <v>332</v>
      </c>
      <c r="O5" s="101">
        <f>Occ!H12</f>
        <v>775</v>
      </c>
      <c r="P5" s="157">
        <v>918</v>
      </c>
      <c r="Q5" s="166"/>
    </row>
    <row r="6" spans="1:17" ht="15.75">
      <c r="A6" s="7" t="s">
        <v>14</v>
      </c>
      <c r="B6" s="7">
        <v>4</v>
      </c>
      <c r="C6" s="7">
        <v>3</v>
      </c>
      <c r="D6" s="118">
        <v>2020</v>
      </c>
      <c r="E6" s="149">
        <f>'Athens Daily - EL'!AK11</f>
        <v>213973.5</v>
      </c>
      <c r="F6" s="151">
        <f>'Athens Daily - EL'!AL11</f>
        <v>18498.5</v>
      </c>
      <c r="G6" s="129">
        <f t="shared" si="1"/>
        <v>232472</v>
      </c>
      <c r="H6" s="149">
        <f>'Athens Daily - Water'!R10</f>
        <v>202.34949999999935</v>
      </c>
      <c r="I6" s="119">
        <f>'Athens Daily - Water'!S10</f>
        <v>83.7</v>
      </c>
      <c r="J6" s="125">
        <f t="shared" si="0"/>
        <v>286.04949999999934</v>
      </c>
      <c r="K6" s="149">
        <f>'Athens Daily - Gas'!BH12</f>
        <v>86386.848000000187</v>
      </c>
      <c r="L6" s="119">
        <f>'Athens Daily - Gas'!BI12</f>
        <v>43747.199999999997</v>
      </c>
      <c r="M6" s="129">
        <f t="shared" si="2"/>
        <v>3370.4752136752186</v>
      </c>
      <c r="N6" s="158">
        <f>Occ!G13</f>
        <v>332</v>
      </c>
      <c r="O6" s="101">
        <f>Occ!H13</f>
        <v>777</v>
      </c>
      <c r="P6" s="157">
        <v>918</v>
      </c>
      <c r="Q6" s="166"/>
    </row>
    <row r="7" spans="1:17" ht="15.75">
      <c r="A7" s="7" t="s">
        <v>14</v>
      </c>
      <c r="B7" s="7">
        <v>5</v>
      </c>
      <c r="C7" s="7">
        <v>3</v>
      </c>
      <c r="D7" s="118">
        <v>2020</v>
      </c>
      <c r="E7" s="149">
        <f>'Athens Daily - EL'!AK12</f>
        <v>213929</v>
      </c>
      <c r="F7" s="151">
        <f>'Athens Daily - EL'!AL12</f>
        <v>17737</v>
      </c>
      <c r="G7" s="129">
        <f t="shared" si="1"/>
        <v>231666</v>
      </c>
      <c r="H7" s="149">
        <f>'Athens Daily - Water'!R11</f>
        <v>222.04619999999977</v>
      </c>
      <c r="I7" s="119">
        <f>'Athens Daily - Water'!S11</f>
        <v>126.55000000000001</v>
      </c>
      <c r="J7" s="125">
        <f t="shared" si="0"/>
        <v>348.59619999999978</v>
      </c>
      <c r="K7" s="149">
        <f>'Athens Daily - Gas'!BH13</f>
        <v>101882.64000000051</v>
      </c>
      <c r="L7" s="119">
        <f>'Athens Daily - Gas'!BI13</f>
        <v>52358.400000000001</v>
      </c>
      <c r="M7" s="129">
        <f t="shared" si="2"/>
        <v>3994.8469308469439</v>
      </c>
      <c r="N7" s="158">
        <f>Occ!G14</f>
        <v>343</v>
      </c>
      <c r="O7" s="101">
        <f>Occ!H14</f>
        <v>783</v>
      </c>
      <c r="P7" s="157">
        <v>918</v>
      </c>
      <c r="Q7" s="166"/>
    </row>
    <row r="8" spans="1:17" ht="15.75">
      <c r="A8" s="7" t="s">
        <v>14</v>
      </c>
      <c r="B8" s="7">
        <v>6</v>
      </c>
      <c r="C8" s="7">
        <v>3</v>
      </c>
      <c r="D8" s="118">
        <v>2020</v>
      </c>
      <c r="E8" s="149">
        <f>'Athens Daily - EL'!AK13</f>
        <v>210954</v>
      </c>
      <c r="F8" s="151">
        <f>'Athens Daily - EL'!AL13</f>
        <v>17988</v>
      </c>
      <c r="G8" s="129">
        <f t="shared" si="1"/>
        <v>228942</v>
      </c>
      <c r="H8" s="149">
        <f>'Athens Daily - Water'!R12</f>
        <v>221.65630000000056</v>
      </c>
      <c r="I8" s="119">
        <f>'Athens Daily - Water'!S12</f>
        <v>89.9</v>
      </c>
      <c r="J8" s="125">
        <f t="shared" si="0"/>
        <v>311.55630000000053</v>
      </c>
      <c r="K8" s="149">
        <f>'Athens Daily - Gas'!BH14</f>
        <v>74397.983999999793</v>
      </c>
      <c r="L8" s="119">
        <f>'Athens Daily - Gas'!BI14</f>
        <v>49641.600000000006</v>
      </c>
      <c r="M8" s="129">
        <f t="shared" si="2"/>
        <v>3212.628438228433</v>
      </c>
      <c r="N8" s="158">
        <f>Occ!G15</f>
        <v>335</v>
      </c>
      <c r="O8" s="101">
        <f>Occ!H15</f>
        <v>787</v>
      </c>
      <c r="P8" s="157">
        <v>918</v>
      </c>
      <c r="Q8" s="166"/>
    </row>
    <row r="9" spans="1:17" ht="15.75">
      <c r="A9" s="7" t="s">
        <v>14</v>
      </c>
      <c r="B9" s="7">
        <v>7</v>
      </c>
      <c r="C9" s="7">
        <v>3</v>
      </c>
      <c r="D9" s="118">
        <v>2020</v>
      </c>
      <c r="E9" s="149">
        <f>'Athens Daily - EL'!AK14</f>
        <v>214033.5</v>
      </c>
      <c r="F9" s="151">
        <f>'Athens Daily - EL'!AL14</f>
        <v>18219.5</v>
      </c>
      <c r="G9" s="129">
        <f t="shared" si="1"/>
        <v>232253</v>
      </c>
      <c r="H9" s="149">
        <f>'Athens Daily - Water'!R13</f>
        <v>226.84770000000026</v>
      </c>
      <c r="I9" s="119">
        <f>'Athens Daily - Water'!S13</f>
        <v>217.55</v>
      </c>
      <c r="J9" s="125">
        <f t="shared" si="0"/>
        <v>444.39770000000027</v>
      </c>
      <c r="K9" s="149">
        <f>'Athens Daily - Gas'!BH15</f>
        <v>126260.54399999985</v>
      </c>
      <c r="L9" s="119">
        <f>'Athens Daily - Gas'!BI15</f>
        <v>56937.599999999999</v>
      </c>
      <c r="M9" s="129">
        <f t="shared" si="2"/>
        <v>4744.8366744366704</v>
      </c>
      <c r="N9" s="158">
        <f>Occ!G16</f>
        <v>333</v>
      </c>
      <c r="O9" s="101">
        <f>Occ!H16</f>
        <v>784</v>
      </c>
      <c r="P9" s="157">
        <v>918</v>
      </c>
      <c r="Q9" s="166"/>
    </row>
    <row r="10" spans="1:17">
      <c r="A10" s="7" t="s">
        <v>14</v>
      </c>
      <c r="B10" s="7">
        <v>8</v>
      </c>
      <c r="C10" s="7">
        <v>3</v>
      </c>
      <c r="D10" s="118">
        <v>2020</v>
      </c>
      <c r="E10" s="149">
        <f>'Athens Daily - EL'!AK15</f>
        <v>215474</v>
      </c>
      <c r="F10" s="151">
        <f>'Athens Daily - EL'!AL15</f>
        <v>18907</v>
      </c>
      <c r="G10" s="129">
        <f t="shared" si="1"/>
        <v>234381</v>
      </c>
      <c r="H10" s="149">
        <f>'Athens Daily - Water'!R14</f>
        <v>270.66159999999945</v>
      </c>
      <c r="I10" s="119">
        <f>'Athens Daily - Water'!S14</f>
        <v>202.2</v>
      </c>
      <c r="J10" s="125">
        <f t="shared" si="0"/>
        <v>472.86159999999944</v>
      </c>
      <c r="K10" s="149">
        <f>'Athens Daily - Gas'!BH16</f>
        <v>90157.151999999682</v>
      </c>
      <c r="L10" s="119">
        <f>'Athens Daily - Gas'!BI16</f>
        <v>47606.400000000001</v>
      </c>
      <c r="M10" s="129">
        <f t="shared" si="2"/>
        <v>3568.0795648795565</v>
      </c>
      <c r="N10" s="158">
        <f>Occ!G17</f>
        <v>331</v>
      </c>
      <c r="O10" s="101">
        <f>Occ!H17</f>
        <v>773</v>
      </c>
      <c r="P10" s="157">
        <v>918</v>
      </c>
      <c r="Q10" s="99"/>
    </row>
    <row r="11" spans="1:17">
      <c r="A11" s="7" t="s">
        <v>14</v>
      </c>
      <c r="B11" s="7">
        <v>9</v>
      </c>
      <c r="C11" s="7">
        <v>3</v>
      </c>
      <c r="D11" s="118">
        <v>2020</v>
      </c>
      <c r="E11" s="149">
        <f>'Athens Daily - EL'!AK16</f>
        <v>215043.5</v>
      </c>
      <c r="F11" s="151">
        <f>'Athens Daily - EL'!AL16</f>
        <v>20772.5</v>
      </c>
      <c r="G11" s="129">
        <f t="shared" si="1"/>
        <v>235816</v>
      </c>
      <c r="H11" s="149">
        <f>'Athens Daily - Water'!R15</f>
        <v>245.47630000000026</v>
      </c>
      <c r="I11" s="119">
        <f>'Athens Daily - Water'!S15</f>
        <v>272.3</v>
      </c>
      <c r="J11" s="125">
        <f t="shared" si="0"/>
        <v>517.77630000000022</v>
      </c>
      <c r="K11" s="149">
        <f>'Athens Daily - Gas'!BH17</f>
        <v>80069.952000000369</v>
      </c>
      <c r="L11" s="119">
        <f>'Athens Daily - Gas'!BI17</f>
        <v>51129.600000000006</v>
      </c>
      <c r="M11" s="129">
        <f t="shared" si="2"/>
        <v>3398.0717948718047</v>
      </c>
      <c r="N11" s="158">
        <f>Occ!G18</f>
        <v>335</v>
      </c>
      <c r="O11" s="101">
        <f>Occ!H18</f>
        <v>779</v>
      </c>
      <c r="P11" s="157">
        <v>918</v>
      </c>
      <c r="Q11" s="99"/>
    </row>
    <row r="12" spans="1:17" ht="15.75">
      <c r="A12" s="7" t="s">
        <v>14</v>
      </c>
      <c r="B12" s="7">
        <v>10</v>
      </c>
      <c r="C12" s="7">
        <v>3</v>
      </c>
      <c r="D12" s="118">
        <v>2020</v>
      </c>
      <c r="E12" s="149">
        <f>'Athens Daily - EL'!AK17</f>
        <v>219554</v>
      </c>
      <c r="F12" s="151">
        <f>'Athens Daily - EL'!AL17</f>
        <v>20902</v>
      </c>
      <c r="G12" s="129">
        <f t="shared" si="1"/>
        <v>240456</v>
      </c>
      <c r="H12" s="149">
        <f>'Athens Daily - Water'!R16</f>
        <v>239.3778999999995</v>
      </c>
      <c r="I12" s="119">
        <f>'Athens Daily - Water'!S16</f>
        <v>156.69999999999999</v>
      </c>
      <c r="J12" s="125">
        <f t="shared" si="0"/>
        <v>396.07789999999949</v>
      </c>
      <c r="K12" s="149">
        <f>'Athens Daily - Gas'!BH18</f>
        <v>102854.0640000001</v>
      </c>
      <c r="L12" s="119">
        <f>'Athens Daily - Gas'!BI18</f>
        <v>76425.600000000006</v>
      </c>
      <c r="M12" s="129">
        <f t="shared" si="2"/>
        <v>4643.3479409479442</v>
      </c>
      <c r="N12" s="158">
        <f>Occ!G19</f>
        <v>334</v>
      </c>
      <c r="O12" s="101">
        <f>Occ!H19</f>
        <v>776</v>
      </c>
      <c r="P12" s="157">
        <v>918</v>
      </c>
      <c r="Q12" s="166"/>
    </row>
    <row r="13" spans="1:17" ht="15.75">
      <c r="A13" s="7" t="s">
        <v>14</v>
      </c>
      <c r="B13" s="7">
        <v>11</v>
      </c>
      <c r="C13" s="7">
        <v>3</v>
      </c>
      <c r="D13" s="118">
        <v>2020</v>
      </c>
      <c r="E13" s="149">
        <f>'Athens Daily - EL'!AK18</f>
        <v>221504</v>
      </c>
      <c r="F13" s="151">
        <f>'Athens Daily - EL'!AL18</f>
        <v>21348</v>
      </c>
      <c r="G13" s="129">
        <f t="shared" si="1"/>
        <v>242852</v>
      </c>
      <c r="H13" s="149">
        <f>'Athens Daily - Water'!R17</f>
        <v>235.44230000000061</v>
      </c>
      <c r="I13" s="119">
        <f>'Athens Daily - Water'!S17</f>
        <v>95.2</v>
      </c>
      <c r="J13" s="125">
        <f t="shared" si="0"/>
        <v>330.6423000000006</v>
      </c>
      <c r="K13" s="149">
        <f>'Athens Daily - Gas'!BH19</f>
        <v>75039.455999999715</v>
      </c>
      <c r="L13" s="119">
        <f>'Athens Daily - Gas'!BI19</f>
        <v>48547.199999999997</v>
      </c>
      <c r="M13" s="129">
        <f t="shared" si="2"/>
        <v>3200.8975912975839</v>
      </c>
      <c r="N13" s="158">
        <f>Occ!G20</f>
        <v>333</v>
      </c>
      <c r="O13" s="101">
        <f>Occ!H20</f>
        <v>774</v>
      </c>
      <c r="P13" s="157">
        <v>918</v>
      </c>
      <c r="Q13" s="166"/>
    </row>
    <row r="14" spans="1:17" ht="15.75">
      <c r="A14" s="7" t="s">
        <v>14</v>
      </c>
      <c r="B14" s="7">
        <v>12</v>
      </c>
      <c r="C14" s="7">
        <v>3</v>
      </c>
      <c r="D14" s="118">
        <v>2020</v>
      </c>
      <c r="E14" s="149">
        <f>'Athens Daily - EL'!AK19</f>
        <v>227699</v>
      </c>
      <c r="F14" s="151">
        <f>'Athens Daily - EL'!AL19</f>
        <v>21726</v>
      </c>
      <c r="G14" s="129">
        <f t="shared" si="1"/>
        <v>249425</v>
      </c>
      <c r="H14" s="149">
        <f>'Athens Daily - Water'!R18</f>
        <v>248.69120000000021</v>
      </c>
      <c r="I14" s="119">
        <f>'Athens Daily - Water'!S18</f>
        <v>309.2</v>
      </c>
      <c r="J14" s="125">
        <f t="shared" si="0"/>
        <v>557.89120000000025</v>
      </c>
      <c r="K14" s="149">
        <f>'Athens Daily - Gas'!BH20</f>
        <v>108914.59200000032</v>
      </c>
      <c r="L14" s="119">
        <f>'Athens Daily - Gas'!BI20</f>
        <v>64166.400000000001</v>
      </c>
      <c r="M14" s="129">
        <f t="shared" si="2"/>
        <v>4482.8021756021835</v>
      </c>
      <c r="N14" s="158">
        <f>Occ!G21</f>
        <v>337</v>
      </c>
      <c r="O14" s="101">
        <f>Occ!H21</f>
        <v>777</v>
      </c>
      <c r="P14" s="157">
        <v>918</v>
      </c>
      <c r="Q14" s="166"/>
    </row>
    <row r="15" spans="1:17">
      <c r="A15" s="7" t="s">
        <v>14</v>
      </c>
      <c r="B15" s="7">
        <v>13</v>
      </c>
      <c r="C15" s="7">
        <v>3</v>
      </c>
      <c r="D15" s="118">
        <v>2020</v>
      </c>
      <c r="E15" s="149">
        <f>'Athens Daily - EL'!AK20</f>
        <v>223789</v>
      </c>
      <c r="F15" s="167">
        <f>'Athens Daily - EL'!AL20</f>
        <v>22851</v>
      </c>
      <c r="G15" s="129">
        <f t="shared" si="1"/>
        <v>246640</v>
      </c>
      <c r="H15" s="149">
        <f>'Athens Daily - Water'!R19</f>
        <v>259.12149999999929</v>
      </c>
      <c r="I15" s="119">
        <f>'Athens Daily - Water'!S19</f>
        <v>208.4</v>
      </c>
      <c r="J15" s="125">
        <f t="shared" si="0"/>
        <v>467.52149999999926</v>
      </c>
      <c r="K15" s="149">
        <f>'Athens Daily - Gas'!BH21</f>
        <v>87059.183999999805</v>
      </c>
      <c r="L15" s="119">
        <f>'Athens Daily - Gas'!BI21</f>
        <v>62918.400000000001</v>
      </c>
      <c r="M15" s="129">
        <f t="shared" si="2"/>
        <v>3884.423310023305</v>
      </c>
      <c r="N15" s="158">
        <f>Occ!G22</f>
        <v>333</v>
      </c>
      <c r="O15" s="101">
        <f>Occ!H22</f>
        <v>780</v>
      </c>
      <c r="P15" s="157">
        <v>918</v>
      </c>
      <c r="Q15" s="163"/>
    </row>
    <row r="16" spans="1:17">
      <c r="A16" s="7" t="s">
        <v>14</v>
      </c>
      <c r="B16" s="7">
        <v>14</v>
      </c>
      <c r="C16" s="7">
        <v>3</v>
      </c>
      <c r="D16" s="118">
        <v>2020</v>
      </c>
      <c r="E16" s="149">
        <f>'Athens Daily - EL'!AK21</f>
        <v>218584</v>
      </c>
      <c r="F16" s="151">
        <f>'Athens Daily - EL'!AL21</f>
        <v>19974</v>
      </c>
      <c r="G16" s="129">
        <f t="shared" si="1"/>
        <v>238558</v>
      </c>
      <c r="H16" s="149">
        <f>'Athens Daily - Water'!R20</f>
        <v>253.97690000000057</v>
      </c>
      <c r="I16" s="119">
        <f>'Athens Daily - Water'!S20</f>
        <v>109.15</v>
      </c>
      <c r="J16" s="125">
        <f t="shared" si="0"/>
        <v>363.12690000000055</v>
      </c>
      <c r="K16" s="149">
        <f>'Athens Daily - Gas'!BH22</f>
        <v>103268.6879999997</v>
      </c>
      <c r="L16" s="119">
        <f>'Athens Daily - Gas'!BI22</f>
        <v>67689.600000000006</v>
      </c>
      <c r="M16" s="129">
        <f t="shared" si="2"/>
        <v>4427.8240870240797</v>
      </c>
      <c r="N16" s="158">
        <f>Occ!G23</f>
        <v>346</v>
      </c>
      <c r="O16" s="101">
        <f>Occ!H23</f>
        <v>806</v>
      </c>
      <c r="P16" s="157">
        <v>918</v>
      </c>
      <c r="Q16" s="163"/>
    </row>
    <row r="17" spans="1:17">
      <c r="A17" s="7" t="s">
        <v>14</v>
      </c>
      <c r="B17" s="7">
        <v>15</v>
      </c>
      <c r="C17" s="7">
        <v>3</v>
      </c>
      <c r="D17" s="118">
        <v>2020</v>
      </c>
      <c r="E17" s="149">
        <f>'Athens Daily - EL'!AK22</f>
        <v>207929</v>
      </c>
      <c r="F17" s="151">
        <f>'Athens Daily - EL'!AL22</f>
        <v>20185</v>
      </c>
      <c r="G17" s="129">
        <f t="shared" si="1"/>
        <v>228114</v>
      </c>
      <c r="H17" s="149">
        <f>'Athens Daily - Water'!R21</f>
        <v>275.06739999999991</v>
      </c>
      <c r="I17" s="119">
        <f>'Athens Daily - Water'!S21</f>
        <v>88.3</v>
      </c>
      <c r="J17" s="125">
        <f t="shared" si="0"/>
        <v>363.36739999999992</v>
      </c>
      <c r="K17" s="149">
        <f>'Athens Daily - Gas'!BH23</f>
        <v>77683.344000000419</v>
      </c>
      <c r="L17" s="119">
        <f>'Athens Daily - Gas'!BI23</f>
        <v>51590.400000000001</v>
      </c>
      <c r="M17" s="129">
        <f t="shared" si="2"/>
        <v>3348.1933177933283</v>
      </c>
      <c r="N17" s="158">
        <f>Occ!G24</f>
        <v>340</v>
      </c>
      <c r="O17" s="101">
        <f>Occ!H24</f>
        <v>790</v>
      </c>
      <c r="P17" s="157">
        <v>918</v>
      </c>
      <c r="Q17" s="163"/>
    </row>
    <row r="18" spans="1:17">
      <c r="A18" s="7" t="s">
        <v>14</v>
      </c>
      <c r="B18" s="7">
        <v>16</v>
      </c>
      <c r="C18" s="7">
        <v>3</v>
      </c>
      <c r="D18" s="118">
        <v>2020</v>
      </c>
      <c r="E18" s="149">
        <f>'Athens Daily - EL'!AK23</f>
        <v>206998.5</v>
      </c>
      <c r="F18" s="151">
        <f>'Athens Daily - EL'!AL23</f>
        <v>20675.5</v>
      </c>
      <c r="G18" s="129">
        <f t="shared" si="1"/>
        <v>227674</v>
      </c>
      <c r="H18" s="149">
        <f>'Athens Daily - Water'!R22</f>
        <v>210.51670000000013</v>
      </c>
      <c r="I18" s="119">
        <f>'Athens Daily - Water'!S22</f>
        <v>82.2</v>
      </c>
      <c r="J18" s="125">
        <f t="shared" si="0"/>
        <v>292.71670000000012</v>
      </c>
      <c r="K18" s="149">
        <f>'Athens Daily - Gas'!BH24</f>
        <v>78560.112000000154</v>
      </c>
      <c r="L18" s="119">
        <f>'Athens Daily - Gas'!BI24</f>
        <v>48403.199999999997</v>
      </c>
      <c r="M18" s="129">
        <f t="shared" si="2"/>
        <v>3288.3530691530732</v>
      </c>
      <c r="N18" s="158">
        <f>Occ!G25</f>
        <v>342</v>
      </c>
      <c r="O18" s="101">
        <f>Occ!H25</f>
        <v>784</v>
      </c>
      <c r="P18" s="157">
        <v>918</v>
      </c>
      <c r="Q18" s="162"/>
    </row>
    <row r="19" spans="1:17">
      <c r="A19" s="7" t="s">
        <v>14</v>
      </c>
      <c r="B19" s="7">
        <v>17</v>
      </c>
      <c r="C19" s="7">
        <v>3</v>
      </c>
      <c r="D19" s="118">
        <v>2020</v>
      </c>
      <c r="E19" s="149">
        <f>'Athens Daily - EL'!AK24</f>
        <v>219269</v>
      </c>
      <c r="F19" s="151">
        <f>'Athens Daily - EL'!AL24</f>
        <v>20936</v>
      </c>
      <c r="G19" s="129">
        <f t="shared" si="1"/>
        <v>240205</v>
      </c>
      <c r="H19" s="149">
        <f>'Athens Daily - Water'!R23</f>
        <v>234.94499999999971</v>
      </c>
      <c r="I19" s="119">
        <f>'Athens Daily - Water'!S23</f>
        <v>129.80000000000001</v>
      </c>
      <c r="J19" s="125">
        <f t="shared" si="0"/>
        <v>364.74499999999972</v>
      </c>
      <c r="K19" s="149">
        <f>'Athens Daily - Gas'!BH25</f>
        <v>101637.74399999942</v>
      </c>
      <c r="L19" s="119">
        <f>'Athens Daily - Gas'!BI25</f>
        <v>66787.200000000012</v>
      </c>
      <c r="M19" s="129">
        <f t="shared" si="2"/>
        <v>4362.2104118103971</v>
      </c>
      <c r="N19" s="158">
        <f>Occ!G26</f>
        <v>349</v>
      </c>
      <c r="O19" s="101">
        <f>Occ!H26</f>
        <v>798</v>
      </c>
      <c r="P19" s="157">
        <v>918</v>
      </c>
      <c r="Q19" s="162"/>
    </row>
    <row r="20" spans="1:17">
      <c r="A20" s="7" t="s">
        <v>14</v>
      </c>
      <c r="B20" s="7">
        <v>18</v>
      </c>
      <c r="C20" s="7">
        <v>3</v>
      </c>
      <c r="D20" s="118">
        <v>2020</v>
      </c>
      <c r="E20" s="149">
        <f>'Athens Daily - EL'!AK25</f>
        <v>221024</v>
      </c>
      <c r="F20" s="151">
        <f>'Athens Daily - EL'!AL25</f>
        <v>21909</v>
      </c>
      <c r="G20" s="129">
        <f t="shared" si="1"/>
        <v>242933</v>
      </c>
      <c r="H20" s="149">
        <f>'Athens Daily - Water'!R24</f>
        <v>250.75669999999991</v>
      </c>
      <c r="I20" s="119">
        <f>'Athens Daily - Water'!S24</f>
        <v>94.35</v>
      </c>
      <c r="J20" s="125">
        <f t="shared" si="0"/>
        <v>345.10669999999993</v>
      </c>
      <c r="K20" s="149">
        <f>'Athens Daily - Gas'!BH26</f>
        <v>84656.832000000111</v>
      </c>
      <c r="L20" s="119">
        <f>'Athens Daily - Gas'!BI26</f>
        <v>56851.199999999997</v>
      </c>
      <c r="M20" s="129">
        <f t="shared" si="2"/>
        <v>3665.0616938616972</v>
      </c>
      <c r="N20" s="158">
        <f>Occ!G27</f>
        <v>349</v>
      </c>
      <c r="O20" s="101">
        <f>Occ!H27</f>
        <v>801</v>
      </c>
      <c r="P20" s="157">
        <v>918</v>
      </c>
      <c r="Q20" s="162"/>
    </row>
    <row r="21" spans="1:17">
      <c r="A21" s="7" t="s">
        <v>14</v>
      </c>
      <c r="B21" s="7">
        <v>19</v>
      </c>
      <c r="C21" s="7">
        <v>3</v>
      </c>
      <c r="D21" s="118">
        <v>2020</v>
      </c>
      <c r="E21" s="149">
        <f>'Athens Daily - EL'!AK26</f>
        <v>222348.5</v>
      </c>
      <c r="F21" s="151">
        <f>'Athens Daily - EL'!AL26</f>
        <v>22947.5</v>
      </c>
      <c r="G21" s="129">
        <f t="shared" si="1"/>
        <v>245296</v>
      </c>
      <c r="H21" s="149">
        <f>'Athens Daily - Water'!R25</f>
        <v>249.76109999999971</v>
      </c>
      <c r="I21" s="119">
        <f>'Athens Daily - Water'!S25</f>
        <v>131.94999999999999</v>
      </c>
      <c r="J21" s="125">
        <f t="shared" si="0"/>
        <v>381.7110999999997</v>
      </c>
      <c r="K21" s="149">
        <f>'Athens Daily - Gas'!BH27</f>
        <v>104316.8640000001</v>
      </c>
      <c r="L21" s="171">
        <f>'Athens Daily - Gas'!BI27</f>
        <v>69100.800000000003</v>
      </c>
      <c r="M21" s="129">
        <f t="shared" si="2"/>
        <v>4491.5219891219922</v>
      </c>
      <c r="N21" s="158">
        <f>Occ!G28</f>
        <v>346</v>
      </c>
      <c r="O21" s="101">
        <f>Occ!H28</f>
        <v>803</v>
      </c>
      <c r="P21" s="157">
        <v>918</v>
      </c>
      <c r="Q21" s="162"/>
    </row>
    <row r="22" spans="1:17">
      <c r="A22" s="7" t="s">
        <v>14</v>
      </c>
      <c r="B22" s="7">
        <v>20</v>
      </c>
      <c r="C22" s="7">
        <v>3</v>
      </c>
      <c r="D22" s="118">
        <v>2020</v>
      </c>
      <c r="E22" s="149">
        <f>'Athens Daily - EL'!AK27</f>
        <v>223954</v>
      </c>
      <c r="F22" s="151">
        <f>'Athens Daily - EL'!AL27</f>
        <v>22327</v>
      </c>
      <c r="G22" s="129">
        <f t="shared" si="1"/>
        <v>246281</v>
      </c>
      <c r="H22" s="149">
        <f>'Athens Daily - Water'!R26</f>
        <v>263.28909999999996</v>
      </c>
      <c r="I22" s="119">
        <f>'Athens Daily - Water'!S26</f>
        <v>95.7</v>
      </c>
      <c r="J22" s="125">
        <f t="shared" si="0"/>
        <v>358.98909999999995</v>
      </c>
      <c r="K22" s="149">
        <f>'Athens Daily - Gas'!BH28</f>
        <v>81855.744000000122</v>
      </c>
      <c r="L22" s="119">
        <f>'Athens Daily - Gas'!BI28</f>
        <v>55651.199999999997</v>
      </c>
      <c r="M22" s="129">
        <f t="shared" si="2"/>
        <v>3561.4334110334144</v>
      </c>
      <c r="N22" s="158">
        <f>Occ!G29</f>
        <v>352</v>
      </c>
      <c r="O22" s="101">
        <f>Occ!H29</f>
        <v>816</v>
      </c>
      <c r="P22" s="157">
        <v>918</v>
      </c>
      <c r="Q22" s="163"/>
    </row>
    <row r="23" spans="1:17">
      <c r="A23" s="7" t="s">
        <v>14</v>
      </c>
      <c r="B23" s="7">
        <v>21</v>
      </c>
      <c r="C23" s="7">
        <v>3</v>
      </c>
      <c r="D23" s="118">
        <v>2020</v>
      </c>
      <c r="E23" s="149">
        <f>'Athens Daily - EL'!AK28</f>
        <v>220239</v>
      </c>
      <c r="F23" s="151">
        <f>'Athens Daily - EL'!AL28</f>
        <v>22862</v>
      </c>
      <c r="G23" s="129">
        <f t="shared" si="1"/>
        <v>243101</v>
      </c>
      <c r="H23" s="170">
        <f>'Athens Daily - Water'!R27</f>
        <v>266.78909999999996</v>
      </c>
      <c r="I23" s="171">
        <f>'Athens Daily - Water'!S27</f>
        <v>108.575</v>
      </c>
      <c r="J23" s="125">
        <f t="shared" si="0"/>
        <v>375.36409999999995</v>
      </c>
      <c r="K23" s="149">
        <f>'Athens Daily - Gas'!BH29</f>
        <v>91711.920000000246</v>
      </c>
      <c r="L23" s="119">
        <f>'Athens Daily - Gas'!BI29</f>
        <v>61593.600000000006</v>
      </c>
      <c r="M23" s="129">
        <f t="shared" si="2"/>
        <v>3970.6169386169454</v>
      </c>
      <c r="N23" s="158">
        <f>Occ!G30</f>
        <v>352</v>
      </c>
      <c r="O23" s="101">
        <f>Occ!H30</f>
        <v>817</v>
      </c>
      <c r="P23" s="157">
        <v>918</v>
      </c>
      <c r="Q23" s="163"/>
    </row>
    <row r="24" spans="1:17">
      <c r="A24" s="7" t="s">
        <v>14</v>
      </c>
      <c r="B24" s="7">
        <v>22</v>
      </c>
      <c r="C24" s="7">
        <v>3</v>
      </c>
      <c r="D24" s="118">
        <v>2020</v>
      </c>
      <c r="E24" s="149">
        <f>'Athens Daily - EL'!AK29</f>
        <v>214608.5</v>
      </c>
      <c r="F24" s="151">
        <f>'Athens Daily - EL'!AL29</f>
        <v>22922.5</v>
      </c>
      <c r="G24" s="129">
        <f t="shared" si="1"/>
        <v>237531</v>
      </c>
      <c r="H24" s="170">
        <f>'Athens Daily - Water'!R28</f>
        <v>268.04500000000007</v>
      </c>
      <c r="I24" s="171">
        <f>'Athens Daily - Water'!S28</f>
        <v>108.575</v>
      </c>
      <c r="J24" s="125">
        <f t="shared" si="0"/>
        <v>376.62000000000006</v>
      </c>
      <c r="K24" s="149">
        <f>'Athens Daily - Gas'!BH30</f>
        <v>92748.767999999734</v>
      </c>
      <c r="L24" s="119">
        <f>'Athens Daily - Gas'!BI30</f>
        <v>61468.800000000003</v>
      </c>
      <c r="M24" s="129">
        <f t="shared" si="2"/>
        <v>3994.2390054389989</v>
      </c>
      <c r="N24" s="158">
        <f>Occ!G31</f>
        <v>349</v>
      </c>
      <c r="O24" s="101">
        <f>Occ!H31</f>
        <v>814</v>
      </c>
      <c r="P24" s="157">
        <v>918</v>
      </c>
      <c r="Q24" s="163"/>
    </row>
    <row r="25" spans="1:17">
      <c r="A25" s="7" t="s">
        <v>14</v>
      </c>
      <c r="B25" s="7">
        <v>23</v>
      </c>
      <c r="C25" s="7">
        <v>3</v>
      </c>
      <c r="D25" s="118">
        <v>2020</v>
      </c>
      <c r="E25" s="149">
        <f>'Athens Daily - EL'!AK30</f>
        <v>199709</v>
      </c>
      <c r="F25" s="151">
        <f>'Athens Daily - EL'!AL30</f>
        <v>23879</v>
      </c>
      <c r="G25" s="129">
        <f t="shared" si="1"/>
        <v>223588</v>
      </c>
      <c r="H25" s="170">
        <f>'Athens Daily - Water'!R29</f>
        <v>269.2470000000003</v>
      </c>
      <c r="I25" s="171">
        <f>'Athens Daily - Water'!S29</f>
        <v>79.7</v>
      </c>
      <c r="J25" s="125">
        <f t="shared" si="0"/>
        <v>348.94700000000029</v>
      </c>
      <c r="K25" s="170">
        <f>'Athens Daily - Gas'!BH31</f>
        <v>77455.008000000234</v>
      </c>
      <c r="L25" s="119">
        <f>'Athens Daily - Gas'!BI31</f>
        <v>50169.600000000006</v>
      </c>
      <c r="M25" s="129">
        <f t="shared" si="2"/>
        <v>3305.4806526806587</v>
      </c>
      <c r="N25" s="158">
        <f>Occ!G32</f>
        <v>344</v>
      </c>
      <c r="O25" s="101">
        <f>Occ!H32</f>
        <v>803</v>
      </c>
      <c r="P25" s="157">
        <v>918</v>
      </c>
      <c r="Q25" s="163"/>
    </row>
    <row r="26" spans="1:17">
      <c r="A26" s="7" t="s">
        <v>14</v>
      </c>
      <c r="B26" s="7">
        <v>24</v>
      </c>
      <c r="C26" s="7">
        <v>3</v>
      </c>
      <c r="D26" s="118">
        <v>2020</v>
      </c>
      <c r="E26" s="149">
        <f>'Athens Daily - EL'!AK31</f>
        <v>230709</v>
      </c>
      <c r="F26" s="151">
        <f>'Athens Daily - EL'!AL31</f>
        <v>19947</v>
      </c>
      <c r="G26" s="129">
        <f t="shared" si="1"/>
        <v>250656</v>
      </c>
      <c r="H26" s="170">
        <f>'Athens Daily - Water'!R30</f>
        <v>256.64599999999973</v>
      </c>
      <c r="I26" s="171">
        <f>'Athens Daily - Water'!S30</f>
        <v>133.6</v>
      </c>
      <c r="J26" s="125">
        <f t="shared" si="0"/>
        <v>390.24599999999975</v>
      </c>
      <c r="K26" s="149">
        <f>'Athens Daily - Gas'!BH32</f>
        <v>92835.215999999928</v>
      </c>
      <c r="L26" s="119">
        <f>'Athens Daily - Gas'!BI32</f>
        <v>62294.400000000001</v>
      </c>
      <c r="M26" s="129">
        <f t="shared" si="2"/>
        <v>4017.8610722610701</v>
      </c>
      <c r="N26" s="158">
        <f>Occ!G33</f>
        <v>347</v>
      </c>
      <c r="O26" s="101">
        <f>Occ!H33</f>
        <v>808</v>
      </c>
      <c r="P26" s="157">
        <v>918</v>
      </c>
      <c r="Q26" s="163"/>
    </row>
    <row r="27" spans="1:17">
      <c r="A27" s="7" t="s">
        <v>14</v>
      </c>
      <c r="B27" s="7">
        <v>25</v>
      </c>
      <c r="C27" s="7">
        <v>3</v>
      </c>
      <c r="D27" s="118">
        <v>2020</v>
      </c>
      <c r="E27" s="149">
        <f>'Athens Daily - EL'!AK32</f>
        <v>216779</v>
      </c>
      <c r="F27" s="151">
        <f>'Athens Daily - EL'!AL32</f>
        <v>18342</v>
      </c>
      <c r="G27" s="129">
        <f t="shared" si="1"/>
        <v>235121</v>
      </c>
      <c r="H27" s="170">
        <f>'Athens Daily - Water'!R31</f>
        <v>278.95000000000073</v>
      </c>
      <c r="I27" s="171">
        <f>'Athens Daily - Water'!S31</f>
        <v>101.3</v>
      </c>
      <c r="J27" s="125">
        <f t="shared" si="0"/>
        <v>380.25000000000074</v>
      </c>
      <c r="K27" s="149">
        <f>'Athens Daily - Gas'!BH33</f>
        <v>83758.368000000017</v>
      </c>
      <c r="L27" s="119">
        <f>'Athens Daily - Gas'!BI33</f>
        <v>57888</v>
      </c>
      <c r="M27" s="129">
        <f t="shared" si="2"/>
        <v>3668.6445998446002</v>
      </c>
      <c r="N27" s="158">
        <f>Occ!G34</f>
        <v>344</v>
      </c>
      <c r="O27" s="101">
        <f>Occ!H34</f>
        <v>802</v>
      </c>
      <c r="P27" s="157">
        <v>918</v>
      </c>
      <c r="Q27" s="161"/>
    </row>
    <row r="28" spans="1:17">
      <c r="A28" s="7" t="s">
        <v>14</v>
      </c>
      <c r="B28" s="7">
        <v>26</v>
      </c>
      <c r="C28" s="7">
        <v>3</v>
      </c>
      <c r="D28" s="118">
        <v>2020</v>
      </c>
      <c r="E28" s="149">
        <f>'Athens Daily - EL'!AK33</f>
        <v>223489.5</v>
      </c>
      <c r="F28" s="151">
        <f>'Athens Daily - EL'!AL33</f>
        <v>21714.5</v>
      </c>
      <c r="G28" s="129">
        <f t="shared" si="1"/>
        <v>245204</v>
      </c>
      <c r="H28" s="149">
        <f>'Athens Daily - Water'!R32</f>
        <v>268.79559999999947</v>
      </c>
      <c r="I28" s="119">
        <f>'Athens Daily - Water'!S32</f>
        <v>136.05000000000001</v>
      </c>
      <c r="J28" s="125">
        <f t="shared" si="0"/>
        <v>404.84559999999948</v>
      </c>
      <c r="K28" s="149">
        <f>'Athens Daily - Gas'!BH34</f>
        <v>94251.647999999754</v>
      </c>
      <c r="L28" s="119">
        <f>'Athens Daily - Gas'!BI34</f>
        <v>63667.200000000004</v>
      </c>
      <c r="M28" s="129">
        <f t="shared" si="2"/>
        <v>4090.1022533022474</v>
      </c>
      <c r="N28" s="158">
        <f>Occ!G35</f>
        <v>344</v>
      </c>
      <c r="O28" s="101">
        <f>Occ!H35</f>
        <v>800</v>
      </c>
      <c r="P28" s="157">
        <v>918</v>
      </c>
      <c r="Q28" s="161"/>
    </row>
    <row r="29" spans="1:17">
      <c r="A29" s="7" t="s">
        <v>14</v>
      </c>
      <c r="B29" s="7">
        <v>27</v>
      </c>
      <c r="C29" s="7">
        <v>3</v>
      </c>
      <c r="D29" s="118">
        <v>2020</v>
      </c>
      <c r="E29" s="149">
        <f>'Athens Daily - EL'!AK34</f>
        <v>218609</v>
      </c>
      <c r="F29" s="151">
        <f>'Athens Daily - EL'!AL34</f>
        <v>23251</v>
      </c>
      <c r="G29" s="129">
        <f t="shared" si="1"/>
        <v>241860</v>
      </c>
      <c r="H29" s="149">
        <f>'Athens Daily - Water'!R33</f>
        <v>241.88116666666701</v>
      </c>
      <c r="I29" s="119">
        <f>'Athens Daily - Water'!S33</f>
        <v>98.05</v>
      </c>
      <c r="J29" s="125">
        <f t="shared" si="0"/>
        <v>339.93116666666702</v>
      </c>
      <c r="K29" s="149">
        <f>'Athens Daily - Gas'!BH35</f>
        <v>80371.439999998751</v>
      </c>
      <c r="L29" s="119">
        <f>'Athens Daily - Gas'!BI35</f>
        <v>53769.600000000006</v>
      </c>
      <c r="M29" s="129">
        <f t="shared" si="2"/>
        <v>3474.2564102563783</v>
      </c>
      <c r="N29" s="158">
        <f>Occ!G36</f>
        <v>344</v>
      </c>
      <c r="O29" s="101">
        <f>Occ!H36</f>
        <v>801</v>
      </c>
      <c r="P29" s="157">
        <v>918</v>
      </c>
      <c r="Q29" s="161"/>
    </row>
    <row r="30" spans="1:17">
      <c r="A30" s="7" t="s">
        <v>14</v>
      </c>
      <c r="B30" s="7">
        <v>28</v>
      </c>
      <c r="C30" s="7">
        <v>3</v>
      </c>
      <c r="D30" s="118">
        <v>2020</v>
      </c>
      <c r="E30" s="149">
        <f>'Athens Daily - EL'!AK35</f>
        <v>219779</v>
      </c>
      <c r="F30" s="151">
        <f>'Athens Daily - EL'!AL35</f>
        <v>22245</v>
      </c>
      <c r="G30" s="129">
        <f t="shared" si="1"/>
        <v>242024</v>
      </c>
      <c r="H30" s="149">
        <f>'Athens Daily - Water'!R34</f>
        <v>389.54783333332398</v>
      </c>
      <c r="I30" s="119">
        <f>'Athens Daily - Water'!S34</f>
        <v>101.2</v>
      </c>
      <c r="J30" s="125">
        <f t="shared" si="0"/>
        <v>490.74783333332397</v>
      </c>
      <c r="K30" s="149">
        <f>'Athens Daily - Gas'!BH36</f>
        <v>81903.424000006635</v>
      </c>
      <c r="L30" s="119">
        <f>'Athens Daily - Gas'!BI36</f>
        <v>56886.400000005146</v>
      </c>
      <c r="M30" s="129">
        <f t="shared" si="2"/>
        <v>3594.6600362603413</v>
      </c>
      <c r="N30" s="158">
        <f>Occ!G37</f>
        <v>347</v>
      </c>
      <c r="O30" s="101">
        <f>Occ!H37</f>
        <v>809</v>
      </c>
      <c r="P30" s="157">
        <v>918</v>
      </c>
      <c r="Q30" s="161"/>
    </row>
    <row r="31" spans="1:17">
      <c r="A31" s="7" t="s">
        <v>14</v>
      </c>
      <c r="B31" s="7">
        <v>29</v>
      </c>
      <c r="C31" s="7">
        <v>3</v>
      </c>
      <c r="D31" s="118">
        <v>2020</v>
      </c>
      <c r="E31" s="149">
        <f>'Athens Daily - EL'!AK36</f>
        <v>204789</v>
      </c>
      <c r="F31" s="151">
        <f>'Athens Daily - EL'!AL36</f>
        <v>21413</v>
      </c>
      <c r="G31" s="129">
        <f t="shared" si="1"/>
        <v>226202</v>
      </c>
      <c r="H31" s="149">
        <f>'Athens Daily - Water'!R35</f>
        <v>205.04783333332307</v>
      </c>
      <c r="I31" s="119">
        <f>'Athens Daily - Water'!S35</f>
        <v>101.2</v>
      </c>
      <c r="J31" s="125">
        <f t="shared" si="0"/>
        <v>306.24783333332306</v>
      </c>
      <c r="K31" s="149">
        <f>'Athens Daily - Gas'!BH37</f>
        <v>81903.424000009778</v>
      </c>
      <c r="L31" s="119">
        <f>'Athens Daily - Gas'!BI37</f>
        <v>56886.400000005146</v>
      </c>
      <c r="M31" s="129">
        <f t="shared" si="2"/>
        <v>3594.6600362604227</v>
      </c>
      <c r="N31" s="158">
        <f>Occ!G38</f>
        <v>339</v>
      </c>
      <c r="O31" s="101">
        <f>Occ!H38</f>
        <v>794</v>
      </c>
      <c r="P31" s="157">
        <v>918</v>
      </c>
      <c r="Q31" s="161"/>
    </row>
    <row r="32" spans="1:17">
      <c r="A32" s="7" t="s">
        <v>14</v>
      </c>
      <c r="B32" s="7">
        <v>30</v>
      </c>
      <c r="C32" s="7">
        <v>3</v>
      </c>
      <c r="D32" s="118">
        <v>2020</v>
      </c>
      <c r="E32" s="149">
        <f>'Athens Daily - EL'!AK37</f>
        <v>208049</v>
      </c>
      <c r="F32" s="151">
        <f>'Athens Daily - EL'!AL37</f>
        <v>22206</v>
      </c>
      <c r="G32" s="129">
        <f t="shared" si="1"/>
        <v>230255</v>
      </c>
      <c r="H32" s="149">
        <f>'Athens Daily - Water'!R36</f>
        <v>201.40966666668646</v>
      </c>
      <c r="I32" s="119">
        <f>'Athens Daily - Water'!S36</f>
        <v>101.2</v>
      </c>
      <c r="J32" s="125">
        <f t="shared" si="0"/>
        <v>302.60966666668645</v>
      </c>
      <c r="K32" s="149">
        <f>'Athens Daily - Gas'!BH38</f>
        <v>81615.42399998469</v>
      </c>
      <c r="L32" s="119">
        <f>'Athens Daily - Gas'!BI38</f>
        <v>57174.399999989706</v>
      </c>
      <c r="M32" s="129">
        <f t="shared" si="2"/>
        <v>3594.6600362593736</v>
      </c>
      <c r="N32" s="158">
        <f>Occ!G39</f>
        <v>339</v>
      </c>
      <c r="O32" s="101">
        <f>Occ!H39</f>
        <v>793</v>
      </c>
      <c r="P32" s="157">
        <v>918</v>
      </c>
      <c r="Q32" s="161"/>
    </row>
    <row r="33" spans="1:17" ht="15.75" thickBot="1">
      <c r="A33" s="7" t="s">
        <v>14</v>
      </c>
      <c r="B33" s="7">
        <v>31</v>
      </c>
      <c r="C33" s="7">
        <v>3</v>
      </c>
      <c r="D33" s="118">
        <v>2020</v>
      </c>
      <c r="E33" s="150">
        <f>'Athens Daily - EL'!AK38</f>
        <v>216369</v>
      </c>
      <c r="F33" s="152">
        <f>'Athens Daily - EL'!AL38</f>
        <v>21985</v>
      </c>
      <c r="G33" s="130">
        <f t="shared" si="1"/>
        <v>238354</v>
      </c>
      <c r="H33" s="150">
        <f>'Athens Daily - Water'!R37</f>
        <v>0</v>
      </c>
      <c r="I33" s="123">
        <f>'Athens Daily - Water'!S37</f>
        <v>0</v>
      </c>
      <c r="J33" s="126">
        <f t="shared" si="0"/>
        <v>0</v>
      </c>
      <c r="K33" s="150">
        <f>'Athens Daily - Gas'!BH39</f>
        <v>101703.88800000041</v>
      </c>
      <c r="L33" s="123">
        <f>'Athens Daily - Gas'!BI39</f>
        <v>74198.399999999994</v>
      </c>
      <c r="M33" s="130">
        <f t="shared" si="2"/>
        <v>4555.8738150738254</v>
      </c>
      <c r="N33" s="165">
        <f>Occ!G40</f>
        <v>333</v>
      </c>
      <c r="O33" s="156">
        <f>Occ!H40</f>
        <v>777</v>
      </c>
      <c r="P33" s="155">
        <v>918</v>
      </c>
      <c r="Q33" s="161"/>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40" activePane="bottomRight" state="frozen"/>
      <selection activeCell="A4" sqref="A4"/>
      <selection pane="topRight" activeCell="C4" sqref="C4"/>
      <selection pane="bottomLeft" activeCell="A10" sqref="A10"/>
      <selection pane="bottomRight" activeCell="C42" sqref="C4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197" t="s">
        <v>22</v>
      </c>
      <c r="H8" s="198"/>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16</v>
      </c>
      <c r="D10" s="142">
        <v>23</v>
      </c>
      <c r="E10" s="141">
        <v>320</v>
      </c>
      <c r="F10" s="142">
        <v>764</v>
      </c>
      <c r="G10" s="164">
        <f>SUM(C10+E10)</f>
        <v>336</v>
      </c>
      <c r="H10" s="142">
        <f>D10+F10</f>
        <v>787</v>
      </c>
      <c r="I10" s="139">
        <v>918</v>
      </c>
      <c r="J10" s="131"/>
      <c r="K10" s="131"/>
      <c r="L10" s="131"/>
      <c r="M10" s="131"/>
      <c r="N10" s="131"/>
    </row>
    <row r="11" spans="1:14">
      <c r="A11" s="131"/>
      <c r="B11" s="140" t="s">
        <v>29</v>
      </c>
      <c r="C11" s="141">
        <v>13</v>
      </c>
      <c r="D11" s="142">
        <v>19</v>
      </c>
      <c r="E11" s="141">
        <v>318</v>
      </c>
      <c r="F11" s="142">
        <v>755</v>
      </c>
      <c r="G11" s="164">
        <f t="shared" ref="G11:G40" si="0">SUM(C11+E11)</f>
        <v>331</v>
      </c>
      <c r="H11" s="142">
        <f t="shared" ref="H11:H14" si="1">D11+F11</f>
        <v>774</v>
      </c>
      <c r="I11" s="139">
        <v>918</v>
      </c>
      <c r="J11" s="131"/>
      <c r="K11" s="131"/>
      <c r="L11" s="131"/>
      <c r="M11" s="131"/>
      <c r="N11" s="131"/>
    </row>
    <row r="12" spans="1:14">
      <c r="A12" s="131"/>
      <c r="B12" s="140" t="s">
        <v>30</v>
      </c>
      <c r="C12" s="141">
        <v>15</v>
      </c>
      <c r="D12" s="142">
        <v>20</v>
      </c>
      <c r="E12" s="141">
        <v>317</v>
      </c>
      <c r="F12" s="142">
        <v>755</v>
      </c>
      <c r="G12" s="164">
        <f t="shared" si="0"/>
        <v>332</v>
      </c>
      <c r="H12" s="142">
        <f t="shared" si="1"/>
        <v>775</v>
      </c>
      <c r="I12" s="139">
        <v>918</v>
      </c>
      <c r="J12" s="131"/>
      <c r="K12" s="131"/>
      <c r="L12" s="131"/>
      <c r="M12" s="131"/>
      <c r="N12" s="131"/>
    </row>
    <row r="13" spans="1:14">
      <c r="A13" s="131"/>
      <c r="B13" s="140" t="s">
        <v>31</v>
      </c>
      <c r="C13" s="141">
        <v>16</v>
      </c>
      <c r="D13" s="142">
        <v>23</v>
      </c>
      <c r="E13" s="141">
        <v>316</v>
      </c>
      <c r="F13" s="142">
        <v>754</v>
      </c>
      <c r="G13" s="164">
        <f t="shared" si="0"/>
        <v>332</v>
      </c>
      <c r="H13" s="142">
        <f t="shared" si="1"/>
        <v>777</v>
      </c>
      <c r="I13" s="139">
        <v>918</v>
      </c>
      <c r="J13" s="131"/>
      <c r="K13" s="131"/>
      <c r="L13" s="131"/>
      <c r="M13" s="131"/>
      <c r="N13" s="131"/>
    </row>
    <row r="14" spans="1:14">
      <c r="A14" s="131"/>
      <c r="B14" s="140" t="s">
        <v>32</v>
      </c>
      <c r="C14" s="141">
        <v>27</v>
      </c>
      <c r="D14" s="142">
        <v>26</v>
      </c>
      <c r="E14" s="141">
        <v>316</v>
      </c>
      <c r="F14" s="142">
        <v>757</v>
      </c>
      <c r="G14" s="164">
        <f t="shared" si="0"/>
        <v>343</v>
      </c>
      <c r="H14" s="142">
        <f t="shared" si="1"/>
        <v>783</v>
      </c>
      <c r="I14" s="139">
        <v>918</v>
      </c>
      <c r="J14" s="131"/>
      <c r="K14" s="131"/>
      <c r="L14" s="131"/>
      <c r="M14" s="131"/>
      <c r="N14" s="131"/>
    </row>
    <row r="15" spans="1:14">
      <c r="A15" s="131"/>
      <c r="B15" s="140" t="s">
        <v>33</v>
      </c>
      <c r="C15" s="141">
        <v>19</v>
      </c>
      <c r="D15" s="142">
        <v>30</v>
      </c>
      <c r="E15" s="141">
        <v>316</v>
      </c>
      <c r="F15" s="142">
        <v>757</v>
      </c>
      <c r="G15" s="164">
        <f t="shared" si="0"/>
        <v>335</v>
      </c>
      <c r="H15" s="142">
        <f t="shared" ref="H15:H40" si="2">D15+F15</f>
        <v>787</v>
      </c>
      <c r="I15" s="139">
        <v>918</v>
      </c>
      <c r="J15" s="131"/>
      <c r="K15" s="131"/>
      <c r="L15" s="131"/>
      <c r="M15" s="131"/>
      <c r="N15" s="131"/>
    </row>
    <row r="16" spans="1:14">
      <c r="A16" s="131"/>
      <c r="B16" s="140" t="s">
        <v>34</v>
      </c>
      <c r="C16" s="141">
        <v>17</v>
      </c>
      <c r="D16" s="142">
        <v>27</v>
      </c>
      <c r="E16" s="141">
        <v>316</v>
      </c>
      <c r="F16" s="142">
        <v>757</v>
      </c>
      <c r="G16" s="164">
        <f t="shared" si="0"/>
        <v>333</v>
      </c>
      <c r="H16" s="142">
        <f t="shared" si="2"/>
        <v>784</v>
      </c>
      <c r="I16" s="139">
        <v>918</v>
      </c>
      <c r="J16" s="131"/>
      <c r="K16" s="131"/>
      <c r="L16" s="131"/>
      <c r="M16" s="131"/>
      <c r="N16" s="131"/>
    </row>
    <row r="17" spans="1:14">
      <c r="A17" s="131"/>
      <c r="B17" s="140" t="s">
        <v>35</v>
      </c>
      <c r="C17" s="141">
        <v>15</v>
      </c>
      <c r="D17" s="142">
        <v>19</v>
      </c>
      <c r="E17" s="141">
        <v>316</v>
      </c>
      <c r="F17" s="142">
        <v>754</v>
      </c>
      <c r="G17" s="164">
        <f t="shared" si="0"/>
        <v>331</v>
      </c>
      <c r="H17" s="142">
        <f t="shared" si="2"/>
        <v>773</v>
      </c>
      <c r="I17" s="139">
        <v>918</v>
      </c>
      <c r="J17" s="131"/>
      <c r="K17" s="131"/>
      <c r="L17" s="131"/>
      <c r="M17" s="131"/>
      <c r="N17" s="131"/>
    </row>
    <row r="18" spans="1:14">
      <c r="A18" s="131"/>
      <c r="B18" s="140" t="s">
        <v>36</v>
      </c>
      <c r="C18" s="141">
        <v>22</v>
      </c>
      <c r="D18" s="142">
        <v>32</v>
      </c>
      <c r="E18" s="141">
        <v>313</v>
      </c>
      <c r="F18" s="142">
        <v>747</v>
      </c>
      <c r="G18" s="164">
        <f t="shared" si="0"/>
        <v>335</v>
      </c>
      <c r="H18" s="142">
        <f t="shared" si="2"/>
        <v>779</v>
      </c>
      <c r="I18" s="139">
        <v>918</v>
      </c>
      <c r="J18" s="131"/>
      <c r="K18" s="131"/>
      <c r="L18" s="131"/>
      <c r="M18" s="131"/>
      <c r="N18" s="131"/>
    </row>
    <row r="19" spans="1:14">
      <c r="A19" s="131"/>
      <c r="B19" s="140" t="s">
        <v>37</v>
      </c>
      <c r="C19" s="141">
        <v>22</v>
      </c>
      <c r="D19" s="142">
        <v>32</v>
      </c>
      <c r="E19" s="141">
        <v>312</v>
      </c>
      <c r="F19" s="142">
        <v>744</v>
      </c>
      <c r="G19" s="164">
        <f t="shared" si="0"/>
        <v>334</v>
      </c>
      <c r="H19" s="142">
        <f t="shared" si="2"/>
        <v>776</v>
      </c>
      <c r="I19" s="139">
        <v>918</v>
      </c>
      <c r="J19" s="131"/>
      <c r="K19" s="131"/>
      <c r="L19" s="131"/>
      <c r="M19" s="131"/>
      <c r="N19" s="131"/>
    </row>
    <row r="20" spans="1:14">
      <c r="A20" s="131"/>
      <c r="B20" s="140" t="s">
        <v>38</v>
      </c>
      <c r="C20" s="141">
        <v>22</v>
      </c>
      <c r="D20" s="142">
        <v>33</v>
      </c>
      <c r="E20" s="141">
        <v>311</v>
      </c>
      <c r="F20" s="142">
        <v>741</v>
      </c>
      <c r="G20" s="164">
        <f t="shared" si="0"/>
        <v>333</v>
      </c>
      <c r="H20" s="142">
        <f t="shared" si="2"/>
        <v>774</v>
      </c>
      <c r="I20" s="139">
        <v>918</v>
      </c>
      <c r="J20" s="131"/>
      <c r="K20" s="131"/>
      <c r="L20" s="131"/>
      <c r="M20" s="131"/>
      <c r="N20" s="131"/>
    </row>
    <row r="21" spans="1:14">
      <c r="A21" s="131"/>
      <c r="B21" s="140" t="s">
        <v>39</v>
      </c>
      <c r="C21" s="141">
        <v>27</v>
      </c>
      <c r="D21" s="142">
        <v>41</v>
      </c>
      <c r="E21" s="164">
        <v>310</v>
      </c>
      <c r="F21" s="142">
        <v>736</v>
      </c>
      <c r="G21" s="164">
        <f t="shared" ref="G21:G34" si="3">SUM(C21+E21)</f>
        <v>337</v>
      </c>
      <c r="H21" s="142">
        <f t="shared" ref="H21:H34" si="4">D21+F21</f>
        <v>777</v>
      </c>
      <c r="I21" s="139">
        <v>918</v>
      </c>
      <c r="J21" s="131"/>
      <c r="K21" s="131"/>
      <c r="L21" s="131"/>
      <c r="M21" s="131"/>
      <c r="N21" s="131"/>
    </row>
    <row r="22" spans="1:14">
      <c r="A22" s="131"/>
      <c r="B22" s="140" t="s">
        <v>40</v>
      </c>
      <c r="C22" s="141">
        <v>22</v>
      </c>
      <c r="D22" s="142">
        <v>41</v>
      </c>
      <c r="E22" s="164">
        <v>311</v>
      </c>
      <c r="F22" s="142">
        <v>739</v>
      </c>
      <c r="G22" s="164">
        <f t="shared" si="3"/>
        <v>333</v>
      </c>
      <c r="H22" s="142">
        <f t="shared" si="4"/>
        <v>780</v>
      </c>
      <c r="I22" s="139">
        <v>918</v>
      </c>
      <c r="J22" s="131"/>
      <c r="K22" s="131"/>
      <c r="L22" s="131"/>
      <c r="M22" s="131"/>
      <c r="N22" s="131"/>
    </row>
    <row r="23" spans="1:14">
      <c r="A23" s="131"/>
      <c r="B23" s="140" t="s">
        <v>41</v>
      </c>
      <c r="C23" s="141">
        <v>33</v>
      </c>
      <c r="D23" s="142">
        <v>64</v>
      </c>
      <c r="E23" s="164">
        <v>313</v>
      </c>
      <c r="F23" s="142">
        <v>742</v>
      </c>
      <c r="G23" s="164">
        <f t="shared" si="3"/>
        <v>346</v>
      </c>
      <c r="H23" s="142">
        <f t="shared" si="4"/>
        <v>806</v>
      </c>
      <c r="I23" s="139">
        <v>918</v>
      </c>
      <c r="J23" s="131"/>
      <c r="K23" s="131"/>
      <c r="L23" s="131"/>
      <c r="M23" s="131"/>
      <c r="N23" s="131"/>
    </row>
    <row r="24" spans="1:14">
      <c r="A24" s="131"/>
      <c r="B24" s="140" t="s">
        <v>42</v>
      </c>
      <c r="C24" s="141">
        <v>25</v>
      </c>
      <c r="D24" s="142">
        <v>45</v>
      </c>
      <c r="E24" s="164">
        <v>315</v>
      </c>
      <c r="F24" s="142">
        <v>745</v>
      </c>
      <c r="G24" s="164">
        <f t="shared" si="3"/>
        <v>340</v>
      </c>
      <c r="H24" s="142">
        <f t="shared" si="4"/>
        <v>790</v>
      </c>
      <c r="I24" s="139">
        <v>918</v>
      </c>
      <c r="J24" s="131"/>
      <c r="K24" s="131"/>
      <c r="L24" s="131"/>
      <c r="M24" s="131"/>
      <c r="N24" s="131"/>
    </row>
    <row r="25" spans="1:14">
      <c r="A25" s="131"/>
      <c r="B25" s="140" t="s">
        <v>43</v>
      </c>
      <c r="C25" s="141">
        <v>28</v>
      </c>
      <c r="D25" s="142">
        <v>40</v>
      </c>
      <c r="E25" s="164">
        <v>314</v>
      </c>
      <c r="F25" s="142">
        <v>744</v>
      </c>
      <c r="G25" s="164">
        <f t="shared" si="3"/>
        <v>342</v>
      </c>
      <c r="H25" s="142">
        <f t="shared" si="4"/>
        <v>784</v>
      </c>
      <c r="I25" s="139">
        <v>918</v>
      </c>
      <c r="J25" s="131"/>
      <c r="K25" s="131"/>
      <c r="L25" s="131"/>
      <c r="M25" s="131"/>
      <c r="N25" s="131"/>
    </row>
    <row r="26" spans="1:14">
      <c r="A26" s="131"/>
      <c r="B26" s="140" t="s">
        <v>44</v>
      </c>
      <c r="C26" s="141">
        <v>33</v>
      </c>
      <c r="D26" s="142">
        <v>47</v>
      </c>
      <c r="E26" s="164">
        <v>316</v>
      </c>
      <c r="F26" s="142">
        <v>751</v>
      </c>
      <c r="G26" s="164">
        <f t="shared" si="3"/>
        <v>349</v>
      </c>
      <c r="H26" s="142">
        <f t="shared" si="4"/>
        <v>798</v>
      </c>
      <c r="I26" s="139">
        <v>918</v>
      </c>
      <c r="J26" s="131"/>
      <c r="K26" s="131"/>
      <c r="L26" s="131"/>
      <c r="M26" s="131"/>
      <c r="N26" s="131"/>
    </row>
    <row r="27" spans="1:14">
      <c r="A27" s="131"/>
      <c r="B27" s="140" t="s">
        <v>45</v>
      </c>
      <c r="C27" s="141">
        <v>30</v>
      </c>
      <c r="D27" s="142">
        <v>43</v>
      </c>
      <c r="E27" s="164">
        <v>319</v>
      </c>
      <c r="F27" s="142">
        <v>758</v>
      </c>
      <c r="G27" s="164">
        <f t="shared" si="3"/>
        <v>349</v>
      </c>
      <c r="H27" s="142">
        <f t="shared" si="4"/>
        <v>801</v>
      </c>
      <c r="I27" s="139">
        <v>918</v>
      </c>
      <c r="J27" s="131"/>
      <c r="K27" s="131"/>
      <c r="L27" s="131"/>
      <c r="M27" s="131"/>
      <c r="N27" s="131"/>
    </row>
    <row r="28" spans="1:14">
      <c r="A28" s="131"/>
      <c r="B28" s="140" t="s">
        <v>46</v>
      </c>
      <c r="C28" s="141">
        <v>26</v>
      </c>
      <c r="D28" s="142">
        <v>37</v>
      </c>
      <c r="E28" s="164">
        <v>320</v>
      </c>
      <c r="F28" s="142">
        <v>766</v>
      </c>
      <c r="G28" s="164">
        <f t="shared" si="3"/>
        <v>346</v>
      </c>
      <c r="H28" s="142">
        <f t="shared" si="4"/>
        <v>803</v>
      </c>
      <c r="I28" s="139">
        <v>918</v>
      </c>
      <c r="J28" s="131"/>
      <c r="K28" s="131"/>
      <c r="L28" s="131"/>
      <c r="M28" s="131"/>
      <c r="N28" s="131"/>
    </row>
    <row r="29" spans="1:14">
      <c r="A29" s="131"/>
      <c r="B29" s="140" t="s">
        <v>47</v>
      </c>
      <c r="C29" s="141">
        <v>31</v>
      </c>
      <c r="D29" s="142">
        <v>49</v>
      </c>
      <c r="E29" s="164">
        <v>321</v>
      </c>
      <c r="F29" s="142">
        <v>767</v>
      </c>
      <c r="G29" s="164">
        <f t="shared" si="3"/>
        <v>352</v>
      </c>
      <c r="H29" s="142">
        <f t="shared" si="4"/>
        <v>816</v>
      </c>
      <c r="I29" s="139">
        <v>918</v>
      </c>
      <c r="J29" s="131"/>
      <c r="K29" s="131"/>
      <c r="L29" s="131"/>
      <c r="M29" s="131"/>
      <c r="N29" s="131"/>
    </row>
    <row r="30" spans="1:14">
      <c r="A30" s="131"/>
      <c r="B30" s="140" t="s">
        <v>48</v>
      </c>
      <c r="C30" s="141">
        <v>30</v>
      </c>
      <c r="D30" s="142">
        <v>49</v>
      </c>
      <c r="E30" s="164">
        <v>322</v>
      </c>
      <c r="F30" s="142">
        <v>768</v>
      </c>
      <c r="G30" s="164">
        <f t="shared" si="3"/>
        <v>352</v>
      </c>
      <c r="H30" s="142">
        <f t="shared" si="4"/>
        <v>817</v>
      </c>
      <c r="I30" s="139">
        <v>918</v>
      </c>
      <c r="J30" s="131"/>
      <c r="K30" s="131"/>
      <c r="L30" s="131"/>
      <c r="M30" s="131"/>
      <c r="N30" s="131"/>
    </row>
    <row r="31" spans="1:14">
      <c r="A31" s="131"/>
      <c r="B31" s="140" t="s">
        <v>49</v>
      </c>
      <c r="C31" s="141">
        <v>26</v>
      </c>
      <c r="D31" s="142">
        <v>44</v>
      </c>
      <c r="E31" s="164">
        <v>323</v>
      </c>
      <c r="F31" s="142">
        <v>770</v>
      </c>
      <c r="G31" s="164">
        <f t="shared" si="3"/>
        <v>349</v>
      </c>
      <c r="H31" s="142">
        <f t="shared" si="4"/>
        <v>814</v>
      </c>
      <c r="I31" s="139">
        <v>918</v>
      </c>
      <c r="J31" s="131"/>
      <c r="K31" s="131"/>
      <c r="L31" s="131"/>
      <c r="M31" s="131"/>
      <c r="N31" s="131"/>
    </row>
    <row r="32" spans="1:14">
      <c r="A32" s="131"/>
      <c r="B32" s="140" t="s">
        <v>50</v>
      </c>
      <c r="C32" s="141">
        <v>21</v>
      </c>
      <c r="D32" s="142">
        <v>33</v>
      </c>
      <c r="E32" s="164">
        <v>323</v>
      </c>
      <c r="F32" s="142">
        <v>770</v>
      </c>
      <c r="G32" s="164">
        <f t="shared" si="3"/>
        <v>344</v>
      </c>
      <c r="H32" s="142">
        <f t="shared" si="4"/>
        <v>803</v>
      </c>
      <c r="I32" s="139">
        <v>918</v>
      </c>
      <c r="J32" s="131"/>
      <c r="K32" s="131"/>
      <c r="L32" s="131"/>
      <c r="M32" s="131"/>
      <c r="N32" s="131"/>
    </row>
    <row r="33" spans="1:14">
      <c r="A33" s="131"/>
      <c r="B33" s="140" t="s">
        <v>51</v>
      </c>
      <c r="C33" s="141">
        <v>21</v>
      </c>
      <c r="D33" s="142">
        <v>33</v>
      </c>
      <c r="E33" s="164">
        <v>326</v>
      </c>
      <c r="F33" s="142">
        <v>775</v>
      </c>
      <c r="G33" s="164">
        <f t="shared" si="3"/>
        <v>347</v>
      </c>
      <c r="H33" s="142">
        <f t="shared" si="4"/>
        <v>808</v>
      </c>
      <c r="I33" s="139">
        <v>918</v>
      </c>
      <c r="J33" s="131"/>
      <c r="K33" s="131"/>
      <c r="L33" s="131"/>
      <c r="M33" s="131"/>
      <c r="N33" s="131"/>
    </row>
    <row r="34" spans="1:14">
      <c r="A34" s="131"/>
      <c r="B34" s="140" t="s">
        <v>52</v>
      </c>
      <c r="C34" s="141">
        <v>18</v>
      </c>
      <c r="D34" s="142">
        <v>27</v>
      </c>
      <c r="E34" s="164">
        <v>326</v>
      </c>
      <c r="F34" s="142">
        <v>775</v>
      </c>
      <c r="G34" s="164">
        <f t="shared" si="3"/>
        <v>344</v>
      </c>
      <c r="H34" s="142">
        <f t="shared" si="4"/>
        <v>802</v>
      </c>
      <c r="I34" s="139">
        <v>918</v>
      </c>
      <c r="J34" s="131"/>
      <c r="K34" s="131"/>
      <c r="L34" s="131"/>
      <c r="M34" s="131"/>
      <c r="N34" s="131"/>
    </row>
    <row r="35" spans="1:14">
      <c r="A35" s="131"/>
      <c r="B35" s="140" t="s">
        <v>53</v>
      </c>
      <c r="C35" s="141">
        <v>15</v>
      </c>
      <c r="D35" s="142">
        <v>20</v>
      </c>
      <c r="E35" s="141">
        <v>329</v>
      </c>
      <c r="F35" s="142">
        <v>780</v>
      </c>
      <c r="G35" s="164">
        <f t="shared" si="0"/>
        <v>344</v>
      </c>
      <c r="H35" s="142">
        <f t="shared" si="2"/>
        <v>800</v>
      </c>
      <c r="I35" s="139">
        <v>918</v>
      </c>
      <c r="J35" s="131"/>
      <c r="K35" s="131"/>
      <c r="L35" s="131"/>
      <c r="M35" s="131"/>
      <c r="N35" s="131"/>
    </row>
    <row r="36" spans="1:14">
      <c r="A36" s="131"/>
      <c r="B36" s="140" t="s">
        <v>54</v>
      </c>
      <c r="C36" s="141">
        <v>16</v>
      </c>
      <c r="D36" s="142">
        <v>23</v>
      </c>
      <c r="E36" s="141">
        <v>328</v>
      </c>
      <c r="F36" s="142">
        <v>778</v>
      </c>
      <c r="G36" s="164">
        <f t="shared" si="0"/>
        <v>344</v>
      </c>
      <c r="H36" s="142">
        <f t="shared" si="2"/>
        <v>801</v>
      </c>
      <c r="I36" s="139">
        <v>918</v>
      </c>
      <c r="J36" s="131"/>
      <c r="K36" s="131"/>
      <c r="L36" s="131"/>
      <c r="M36" s="131"/>
      <c r="N36" s="131"/>
    </row>
    <row r="37" spans="1:14">
      <c r="A37" s="131"/>
      <c r="B37" s="140" t="s">
        <v>55</v>
      </c>
      <c r="C37" s="141">
        <v>18</v>
      </c>
      <c r="D37" s="142">
        <v>29</v>
      </c>
      <c r="E37" s="141">
        <v>329</v>
      </c>
      <c r="F37" s="142">
        <v>780</v>
      </c>
      <c r="G37" s="164">
        <f t="shared" si="0"/>
        <v>347</v>
      </c>
      <c r="H37" s="142">
        <f t="shared" si="2"/>
        <v>809</v>
      </c>
      <c r="I37" s="139">
        <v>918</v>
      </c>
      <c r="J37" s="131"/>
      <c r="K37" s="131"/>
      <c r="L37" s="131"/>
      <c r="M37" s="131"/>
      <c r="N37" s="131"/>
    </row>
    <row r="38" spans="1:14" s="178" customFormat="1">
      <c r="A38" s="172"/>
      <c r="B38" s="173" t="s">
        <v>56</v>
      </c>
      <c r="C38" s="174">
        <v>11</v>
      </c>
      <c r="D38" s="175">
        <v>16</v>
      </c>
      <c r="E38" s="174">
        <v>328</v>
      </c>
      <c r="F38" s="175">
        <v>778</v>
      </c>
      <c r="G38" s="176">
        <f t="shared" si="0"/>
        <v>339</v>
      </c>
      <c r="H38" s="175">
        <f t="shared" si="2"/>
        <v>794</v>
      </c>
      <c r="I38" s="177">
        <v>918</v>
      </c>
      <c r="J38" s="172"/>
      <c r="K38" s="172"/>
      <c r="L38" s="172"/>
      <c r="M38" s="172"/>
      <c r="N38" s="172"/>
    </row>
    <row r="39" spans="1:14" s="178" customFormat="1">
      <c r="A39" s="172"/>
      <c r="B39" s="173" t="s">
        <v>57</v>
      </c>
      <c r="C39" s="174">
        <v>11</v>
      </c>
      <c r="D39" s="175">
        <v>15</v>
      </c>
      <c r="E39" s="174">
        <v>328</v>
      </c>
      <c r="F39" s="175">
        <v>778</v>
      </c>
      <c r="G39" s="176">
        <f t="shared" si="0"/>
        <v>339</v>
      </c>
      <c r="H39" s="175">
        <f t="shared" si="2"/>
        <v>793</v>
      </c>
      <c r="I39" s="177">
        <v>918</v>
      </c>
      <c r="J39" s="172"/>
      <c r="K39" s="172"/>
      <c r="L39" s="172"/>
      <c r="M39" s="172"/>
      <c r="N39" s="172"/>
    </row>
    <row r="40" spans="1:14" s="178" customFormat="1" ht="15.75" thickBot="1">
      <c r="A40" s="172"/>
      <c r="B40" s="173" t="s">
        <v>402</v>
      </c>
      <c r="C40" s="179">
        <v>12</v>
      </c>
      <c r="D40" s="180">
        <v>17</v>
      </c>
      <c r="E40" s="179">
        <v>321</v>
      </c>
      <c r="F40" s="180">
        <v>760</v>
      </c>
      <c r="G40" s="181">
        <f t="shared" si="0"/>
        <v>333</v>
      </c>
      <c r="H40" s="180">
        <f t="shared" si="2"/>
        <v>777</v>
      </c>
      <c r="I40" s="177">
        <v>918</v>
      </c>
      <c r="J40" s="172"/>
      <c r="K40" s="172"/>
      <c r="L40" s="172"/>
      <c r="M40" s="172"/>
      <c r="N40" s="172"/>
    </row>
    <row r="41" spans="1:14">
      <c r="C41" s="3">
        <f>SUM(C10:C40)</f>
        <v>658</v>
      </c>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1">
        <f>'Athens Daily - EL'!AK8</f>
        <v>203735</v>
      </c>
      <c r="F2" s="101"/>
      <c r="G2" s="101">
        <f>'Athens Daily - Gas'!BH9</f>
        <v>90459.9359999999</v>
      </c>
      <c r="H2" s="101">
        <f>G2/38.3</f>
        <v>2361.8782245430784</v>
      </c>
      <c r="I2" s="101"/>
      <c r="J2" s="101">
        <f>'Athens Daily - Water'!R7</f>
        <v>275.48769999999968</v>
      </c>
      <c r="K2" s="101"/>
      <c r="L2" s="102">
        <v>142</v>
      </c>
      <c r="M2" s="101">
        <f>L2*2</f>
        <v>284</v>
      </c>
      <c r="N2" s="99">
        <v>10</v>
      </c>
    </row>
    <row r="3" spans="1:14">
      <c r="A3" s="7" t="s">
        <v>14</v>
      </c>
      <c r="B3" s="7">
        <v>2</v>
      </c>
      <c r="C3" s="7">
        <v>1</v>
      </c>
      <c r="D3" s="7">
        <v>2021</v>
      </c>
      <c r="E3" s="101">
        <f>'Athens Daily - EL'!AK9</f>
        <v>210754</v>
      </c>
      <c r="F3" s="101"/>
      <c r="G3" s="101">
        <f>'Athens Daily - Gas'!BH10</f>
        <v>81175.728000000076</v>
      </c>
      <c r="H3" s="101">
        <f t="shared" ref="H3:H32" si="0">G3/38.3</f>
        <v>2119.4707049608378</v>
      </c>
      <c r="I3" s="101"/>
      <c r="J3" s="101">
        <f>'Athens Daily - Water'!R8</f>
        <v>223.46730000000025</v>
      </c>
      <c r="K3" s="101"/>
      <c r="L3" s="102">
        <v>102</v>
      </c>
      <c r="M3" s="101">
        <f t="shared" ref="M3:M32" si="1">L3*2</f>
        <v>204</v>
      </c>
      <c r="N3" s="99">
        <v>12</v>
      </c>
    </row>
    <row r="4" spans="1:14">
      <c r="A4" s="7" t="s">
        <v>14</v>
      </c>
      <c r="B4" s="7">
        <v>3</v>
      </c>
      <c r="C4" s="7">
        <v>1</v>
      </c>
      <c r="D4" s="7">
        <v>2021</v>
      </c>
      <c r="E4" s="101">
        <f>'Athens Daily - EL'!AK10</f>
        <v>209779</v>
      </c>
      <c r="F4" s="101"/>
      <c r="G4" s="101">
        <f>'Athens Daily - Gas'!BH11</f>
        <v>109911.88799999972</v>
      </c>
      <c r="H4" s="101">
        <f t="shared" si="0"/>
        <v>2869.7620887728385</v>
      </c>
      <c r="I4" s="101"/>
      <c r="J4" s="101">
        <f>'Athens Daily - Water'!R9</f>
        <v>193.34950000000026</v>
      </c>
      <c r="K4" s="101"/>
      <c r="L4" s="102">
        <v>55</v>
      </c>
      <c r="M4" s="101">
        <f t="shared" si="1"/>
        <v>110</v>
      </c>
      <c r="N4" s="99">
        <v>15</v>
      </c>
    </row>
    <row r="5" spans="1:14">
      <c r="A5" s="7" t="s">
        <v>14</v>
      </c>
      <c r="B5" s="7">
        <v>4</v>
      </c>
      <c r="C5" s="7">
        <v>1</v>
      </c>
      <c r="D5" s="7">
        <v>2021</v>
      </c>
      <c r="E5" s="101">
        <f>'Athens Daily - EL'!AK11</f>
        <v>213973.5</v>
      </c>
      <c r="F5" s="101"/>
      <c r="G5" s="101">
        <f>'Athens Daily - Gas'!BH12</f>
        <v>86386.848000000187</v>
      </c>
      <c r="H5" s="101">
        <f t="shared" si="0"/>
        <v>2255.5312793733733</v>
      </c>
      <c r="I5" s="101"/>
      <c r="J5" s="101">
        <f>'Athens Daily - Water'!R10</f>
        <v>202.34949999999935</v>
      </c>
      <c r="K5" s="101"/>
      <c r="L5" s="102">
        <v>45</v>
      </c>
      <c r="M5" s="101">
        <f t="shared" si="1"/>
        <v>90</v>
      </c>
      <c r="N5" s="99">
        <v>17</v>
      </c>
    </row>
    <row r="6" spans="1:14">
      <c r="A6" s="7" t="s">
        <v>14</v>
      </c>
      <c r="B6" s="7">
        <v>5</v>
      </c>
      <c r="C6" s="7">
        <v>1</v>
      </c>
      <c r="D6" s="7">
        <v>2021</v>
      </c>
      <c r="E6" s="101">
        <f>'Athens Daily - EL'!AK12</f>
        <v>213929</v>
      </c>
      <c r="F6" s="101"/>
      <c r="G6" s="101">
        <f>'Athens Daily - Gas'!BH13</f>
        <v>101882.64000000051</v>
      </c>
      <c r="H6" s="101">
        <f t="shared" si="0"/>
        <v>2660.1211488250788</v>
      </c>
      <c r="I6" s="101"/>
      <c r="J6" s="101">
        <f>'Athens Daily - Water'!R11</f>
        <v>222.04619999999977</v>
      </c>
      <c r="K6" s="101"/>
      <c r="L6" s="102">
        <v>34</v>
      </c>
      <c r="M6" s="101">
        <f t="shared" si="1"/>
        <v>68</v>
      </c>
      <c r="N6" s="99">
        <v>15</v>
      </c>
    </row>
    <row r="7" spans="1:14">
      <c r="A7" s="7" t="s">
        <v>14</v>
      </c>
      <c r="B7" s="7">
        <v>6</v>
      </c>
      <c r="C7" s="7">
        <v>1</v>
      </c>
      <c r="D7" s="7">
        <v>2021</v>
      </c>
      <c r="E7" s="101">
        <f>'Athens Daily - EL'!AK13</f>
        <v>210954</v>
      </c>
      <c r="F7" s="101"/>
      <c r="G7" s="101">
        <f>'Athens Daily - Gas'!BH14</f>
        <v>74397.983999999793</v>
      </c>
      <c r="H7" s="101">
        <f t="shared" si="0"/>
        <v>1942.5061096605691</v>
      </c>
      <c r="I7" s="101"/>
      <c r="J7" s="101">
        <f>'Athens Daily - Water'!R12</f>
        <v>221.65630000000056</v>
      </c>
      <c r="K7" s="101"/>
      <c r="L7" s="102">
        <v>36</v>
      </c>
      <c r="M7" s="101">
        <f t="shared" si="1"/>
        <v>72</v>
      </c>
      <c r="N7" s="99"/>
    </row>
    <row r="8" spans="1:14">
      <c r="A8" s="7" t="s">
        <v>14</v>
      </c>
      <c r="B8" s="7">
        <v>7</v>
      </c>
      <c r="C8" s="7">
        <v>1</v>
      </c>
      <c r="D8" s="7">
        <v>2021</v>
      </c>
      <c r="E8" s="101">
        <f>'Athens Daily - EL'!AK14</f>
        <v>214033.5</v>
      </c>
      <c r="F8" s="101"/>
      <c r="G8" s="101">
        <f>'Athens Daily - Gas'!BH15</f>
        <v>126260.54399999985</v>
      </c>
      <c r="H8" s="101">
        <f t="shared" si="0"/>
        <v>3296.6199477806754</v>
      </c>
      <c r="I8" s="101"/>
      <c r="J8" s="101">
        <f>'Athens Daily - Water'!R13</f>
        <v>226.84770000000026</v>
      </c>
      <c r="K8" s="101"/>
      <c r="L8" s="102">
        <v>60</v>
      </c>
      <c r="M8" s="101">
        <f t="shared" si="1"/>
        <v>120</v>
      </c>
      <c r="N8" s="99"/>
    </row>
    <row r="9" spans="1:14">
      <c r="A9" s="7" t="s">
        <v>14</v>
      </c>
      <c r="B9" s="7">
        <v>8</v>
      </c>
      <c r="C9" s="7">
        <v>1</v>
      </c>
      <c r="D9" s="7">
        <v>2021</v>
      </c>
      <c r="E9" s="101">
        <f>'Athens Daily - EL'!AK15</f>
        <v>215474</v>
      </c>
      <c r="F9" s="101"/>
      <c r="G9" s="101">
        <f>'Athens Daily - Gas'!BH16</f>
        <v>90157.151999999682</v>
      </c>
      <c r="H9" s="101">
        <f t="shared" si="0"/>
        <v>2353.9726370757098</v>
      </c>
      <c r="I9" s="101"/>
      <c r="J9" s="101">
        <f>'Athens Daily - Water'!R14</f>
        <v>270.66159999999945</v>
      </c>
      <c r="K9" s="101"/>
      <c r="L9" s="102">
        <v>64</v>
      </c>
      <c r="M9" s="101">
        <f t="shared" si="1"/>
        <v>128</v>
      </c>
      <c r="N9" s="99"/>
    </row>
    <row r="10" spans="1:14">
      <c r="A10" s="7" t="s">
        <v>14</v>
      </c>
      <c r="B10" s="7">
        <v>9</v>
      </c>
      <c r="C10" s="7">
        <v>1</v>
      </c>
      <c r="D10" s="7">
        <v>2021</v>
      </c>
      <c r="E10" s="101">
        <f>'Athens Daily - EL'!AK16</f>
        <v>215043.5</v>
      </c>
      <c r="F10" s="101"/>
      <c r="G10" s="101">
        <f>'Athens Daily - Gas'!BH17</f>
        <v>80069.952000000369</v>
      </c>
      <c r="H10" s="101">
        <f t="shared" si="0"/>
        <v>2090.5992689295135</v>
      </c>
      <c r="I10" s="101"/>
      <c r="J10" s="101">
        <f>'Athens Daily - Water'!R15</f>
        <v>245.47630000000026</v>
      </c>
      <c r="K10" s="101"/>
      <c r="L10" s="102">
        <v>100</v>
      </c>
      <c r="M10" s="101">
        <f t="shared" si="1"/>
        <v>200</v>
      </c>
      <c r="N10" s="99">
        <v>9</v>
      </c>
    </row>
    <row r="11" spans="1:14">
      <c r="A11" s="7" t="s">
        <v>14</v>
      </c>
      <c r="B11" s="7">
        <v>10</v>
      </c>
      <c r="C11" s="7">
        <v>1</v>
      </c>
      <c r="D11" s="7">
        <v>2021</v>
      </c>
      <c r="E11" s="101">
        <f>'Athens Daily - EL'!AK17</f>
        <v>219554</v>
      </c>
      <c r="F11" s="101"/>
      <c r="G11" s="101">
        <f>'Athens Daily - Gas'!BH18</f>
        <v>102854.0640000001</v>
      </c>
      <c r="H11" s="101">
        <f t="shared" si="0"/>
        <v>2685.4846997389063</v>
      </c>
      <c r="I11" s="101"/>
      <c r="J11" s="101">
        <f>'Athens Daily - Water'!R16</f>
        <v>239.3778999999995</v>
      </c>
      <c r="K11" s="101"/>
      <c r="L11" s="102">
        <v>63</v>
      </c>
      <c r="M11" s="101">
        <f t="shared" si="1"/>
        <v>126</v>
      </c>
      <c r="N11" s="99">
        <v>12</v>
      </c>
    </row>
    <row r="12" spans="1:14">
      <c r="A12" s="7" t="s">
        <v>14</v>
      </c>
      <c r="B12" s="7">
        <v>11</v>
      </c>
      <c r="C12" s="7">
        <v>1</v>
      </c>
      <c r="D12" s="7">
        <v>2021</v>
      </c>
      <c r="E12" s="101">
        <f>'Athens Daily - EL'!AK18</f>
        <v>221504</v>
      </c>
      <c r="F12" s="101"/>
      <c r="G12" s="101">
        <f>'Athens Daily - Gas'!BH19</f>
        <v>75039.455999999715</v>
      </c>
      <c r="H12" s="101">
        <f t="shared" si="0"/>
        <v>1959.2547258485567</v>
      </c>
      <c r="I12" s="101"/>
      <c r="J12" s="101">
        <f>'Athens Daily - Water'!R17</f>
        <v>235.44230000000061</v>
      </c>
      <c r="K12" s="101"/>
      <c r="L12" s="102">
        <v>39</v>
      </c>
      <c r="M12" s="101">
        <f t="shared" si="1"/>
        <v>78</v>
      </c>
      <c r="N12" s="99">
        <v>12</v>
      </c>
    </row>
    <row r="13" spans="1:14">
      <c r="A13" s="7" t="s">
        <v>14</v>
      </c>
      <c r="B13" s="7">
        <v>12</v>
      </c>
      <c r="C13" s="7">
        <v>1</v>
      </c>
      <c r="D13" s="7">
        <v>2021</v>
      </c>
      <c r="E13" s="101">
        <f>'Athens Daily - EL'!AK19</f>
        <v>227699</v>
      </c>
      <c r="F13" s="101"/>
      <c r="G13" s="101">
        <f>'Athens Daily - Gas'!BH20</f>
        <v>108914.59200000032</v>
      </c>
      <c r="H13" s="101">
        <f t="shared" si="0"/>
        <v>2843.7230287206353</v>
      </c>
      <c r="I13" s="101"/>
      <c r="J13" s="101">
        <f>'Athens Daily - Water'!R18</f>
        <v>248.69120000000021</v>
      </c>
      <c r="K13" s="101"/>
      <c r="L13" s="102">
        <v>43</v>
      </c>
      <c r="M13" s="101">
        <f t="shared" si="1"/>
        <v>86</v>
      </c>
      <c r="N13" s="99">
        <v>10</v>
      </c>
    </row>
    <row r="14" spans="1:14">
      <c r="A14" s="7" t="s">
        <v>14</v>
      </c>
      <c r="B14" s="7">
        <v>13</v>
      </c>
      <c r="C14" s="7">
        <v>1</v>
      </c>
      <c r="D14" s="7">
        <v>2021</v>
      </c>
      <c r="E14" s="101">
        <f>'Athens Daily - EL'!AK20</f>
        <v>223789</v>
      </c>
      <c r="F14" s="101"/>
      <c r="G14" s="101">
        <f>'Athens Daily - Gas'!BH21</f>
        <v>87059.183999999805</v>
      </c>
      <c r="H14" s="101">
        <f t="shared" si="0"/>
        <v>2273.0857441253215</v>
      </c>
      <c r="I14" s="101"/>
      <c r="J14" s="101">
        <f>'Athens Daily - Water'!R19</f>
        <v>259.12149999999929</v>
      </c>
      <c r="K14" s="101"/>
      <c r="L14" s="102">
        <v>46</v>
      </c>
      <c r="M14" s="101">
        <f t="shared" si="1"/>
        <v>92</v>
      </c>
      <c r="N14" s="99">
        <v>12</v>
      </c>
    </row>
    <row r="15" spans="1:14">
      <c r="A15" s="7" t="s">
        <v>14</v>
      </c>
      <c r="B15" s="7">
        <v>14</v>
      </c>
      <c r="C15" s="7">
        <v>1</v>
      </c>
      <c r="D15" s="7">
        <v>2021</v>
      </c>
      <c r="E15" s="101">
        <f>'Athens Daily - EL'!AK21</f>
        <v>218584</v>
      </c>
      <c r="F15" s="101"/>
      <c r="G15" s="101">
        <f>'Athens Daily - Gas'!BH22</f>
        <v>103268.6879999997</v>
      </c>
      <c r="H15" s="101">
        <f t="shared" si="0"/>
        <v>2696.3103916449013</v>
      </c>
      <c r="I15" s="101"/>
      <c r="J15" s="101">
        <f>'Athens Daily - Water'!R20</f>
        <v>253.97690000000057</v>
      </c>
      <c r="K15" s="101"/>
      <c r="L15" s="102">
        <v>55</v>
      </c>
      <c r="M15" s="101">
        <f t="shared" si="1"/>
        <v>110</v>
      </c>
      <c r="N15" s="99">
        <v>13</v>
      </c>
    </row>
    <row r="16" spans="1:14">
      <c r="A16" s="7" t="s">
        <v>14</v>
      </c>
      <c r="B16" s="7">
        <v>15</v>
      </c>
      <c r="C16" s="7">
        <v>1</v>
      </c>
      <c r="D16" s="7">
        <v>2021</v>
      </c>
      <c r="E16" s="101">
        <f>'Athens Daily - EL'!AK22</f>
        <v>207929</v>
      </c>
      <c r="F16" s="101"/>
      <c r="G16" s="101">
        <f>'Athens Daily - Gas'!BH23</f>
        <v>77683.344000000419</v>
      </c>
      <c r="H16" s="101">
        <f t="shared" si="0"/>
        <v>2028.2857441253375</v>
      </c>
      <c r="I16" s="101"/>
      <c r="J16" s="101">
        <f>'Athens Daily - Water'!R21</f>
        <v>275.06739999999991</v>
      </c>
      <c r="K16" s="101"/>
      <c r="L16" s="102">
        <v>74</v>
      </c>
      <c r="M16" s="101">
        <f t="shared" si="1"/>
        <v>148</v>
      </c>
      <c r="N16" s="99">
        <v>13</v>
      </c>
    </row>
    <row r="17" spans="1:14">
      <c r="A17" s="7" t="s">
        <v>14</v>
      </c>
      <c r="B17" s="7">
        <v>16</v>
      </c>
      <c r="C17" s="7">
        <v>1</v>
      </c>
      <c r="D17" s="7">
        <v>2021</v>
      </c>
      <c r="E17" s="101">
        <f>'Athens Daily - EL'!AK23</f>
        <v>206998.5</v>
      </c>
      <c r="F17" s="101"/>
      <c r="G17" s="101">
        <f>'Athens Daily - Gas'!BH24</f>
        <v>78560.112000000154</v>
      </c>
      <c r="H17" s="101">
        <f t="shared" si="0"/>
        <v>2051.177859007837</v>
      </c>
      <c r="I17" s="101"/>
      <c r="J17" s="101">
        <f>'Athens Daily - Water'!R22</f>
        <v>210.51670000000013</v>
      </c>
      <c r="K17" s="101"/>
      <c r="L17" s="102">
        <v>149</v>
      </c>
      <c r="M17" s="101">
        <f t="shared" si="1"/>
        <v>298</v>
      </c>
      <c r="N17" s="103"/>
    </row>
    <row r="18" spans="1:14">
      <c r="A18" s="7" t="s">
        <v>14</v>
      </c>
      <c r="B18" s="7">
        <v>17</v>
      </c>
      <c r="C18" s="7">
        <v>1</v>
      </c>
      <c r="D18" s="7">
        <v>2021</v>
      </c>
      <c r="E18" s="101">
        <f>'Athens Daily - EL'!AK24</f>
        <v>219269</v>
      </c>
      <c r="F18" s="101"/>
      <c r="G18" s="101">
        <f>'Athens Daily - Gas'!BH25</f>
        <v>101637.74399999942</v>
      </c>
      <c r="H18" s="101">
        <f t="shared" si="0"/>
        <v>2653.7269973890193</v>
      </c>
      <c r="I18" s="101"/>
      <c r="J18" s="101">
        <f>'Athens Daily - Water'!R23</f>
        <v>234.94499999999971</v>
      </c>
      <c r="K18" s="101"/>
      <c r="L18" s="102">
        <v>64</v>
      </c>
      <c r="M18" s="101">
        <f t="shared" si="1"/>
        <v>128</v>
      </c>
      <c r="N18" s="103"/>
    </row>
    <row r="19" spans="1:14">
      <c r="A19" s="7" t="s">
        <v>14</v>
      </c>
      <c r="B19" s="7">
        <v>18</v>
      </c>
      <c r="C19" s="7">
        <v>1</v>
      </c>
      <c r="D19" s="7">
        <v>2021</v>
      </c>
      <c r="E19" s="101">
        <f>'Athens Daily - EL'!AK25</f>
        <v>221024</v>
      </c>
      <c r="F19" s="101"/>
      <c r="G19" s="101">
        <f>'Athens Daily - Gas'!BH26</f>
        <v>84656.832000000111</v>
      </c>
      <c r="H19" s="101">
        <f t="shared" si="0"/>
        <v>2210.3611488250685</v>
      </c>
      <c r="I19" s="101"/>
      <c r="J19" s="101">
        <f>'Athens Daily - Water'!R24</f>
        <v>250.75669999999991</v>
      </c>
      <c r="K19" s="101"/>
      <c r="L19" s="102">
        <v>58</v>
      </c>
      <c r="M19" s="101">
        <f t="shared" si="1"/>
        <v>116</v>
      </c>
      <c r="N19" s="103"/>
    </row>
    <row r="20" spans="1:14">
      <c r="A20" s="7" t="s">
        <v>14</v>
      </c>
      <c r="B20" s="7">
        <v>19</v>
      </c>
      <c r="C20" s="7">
        <v>1</v>
      </c>
      <c r="D20" s="7">
        <v>2021</v>
      </c>
      <c r="E20" s="101">
        <f>'Athens Daily - EL'!AK26</f>
        <v>222348.5</v>
      </c>
      <c r="F20" s="101"/>
      <c r="G20" s="101">
        <f>'Athens Daily - Gas'!BH27</f>
        <v>104316.8640000001</v>
      </c>
      <c r="H20" s="101">
        <f t="shared" si="0"/>
        <v>2723.677911227157</v>
      </c>
      <c r="I20" s="101"/>
      <c r="J20" s="101">
        <f>'Athens Daily - Water'!R25</f>
        <v>249.76109999999971</v>
      </c>
      <c r="K20" s="101"/>
      <c r="L20" s="102">
        <v>69</v>
      </c>
      <c r="M20" s="101">
        <f t="shared" si="1"/>
        <v>138</v>
      </c>
      <c r="N20" s="103"/>
    </row>
    <row r="21" spans="1:14">
      <c r="A21" s="7" t="s">
        <v>14</v>
      </c>
      <c r="B21" s="7">
        <v>20</v>
      </c>
      <c r="C21" s="7">
        <v>1</v>
      </c>
      <c r="D21" s="7">
        <v>2021</v>
      </c>
      <c r="E21" s="101">
        <f>'Athens Daily - EL'!AK27</f>
        <v>223954</v>
      </c>
      <c r="F21" s="101"/>
      <c r="G21" s="101">
        <f>'Athens Daily - Gas'!BH28</f>
        <v>81855.744000000122</v>
      </c>
      <c r="H21" s="101">
        <f t="shared" si="0"/>
        <v>2137.2256919060087</v>
      </c>
      <c r="I21" s="101"/>
      <c r="J21" s="101">
        <f>'Athens Daily - Water'!R26</f>
        <v>263.28909999999996</v>
      </c>
      <c r="K21" s="101"/>
      <c r="L21" s="102">
        <v>42</v>
      </c>
      <c r="M21" s="101">
        <f t="shared" si="1"/>
        <v>84</v>
      </c>
      <c r="N21" s="99"/>
    </row>
    <row r="22" spans="1:14">
      <c r="A22" s="7" t="s">
        <v>14</v>
      </c>
      <c r="B22" s="7">
        <v>21</v>
      </c>
      <c r="C22" s="7">
        <v>1</v>
      </c>
      <c r="D22" s="7">
        <v>2021</v>
      </c>
      <c r="E22" s="101">
        <f>'Athens Daily - EL'!AK28</f>
        <v>220239</v>
      </c>
      <c r="F22" s="101"/>
      <c r="G22" s="101">
        <f>'Athens Daily - Gas'!BH29</f>
        <v>91711.920000000246</v>
      </c>
      <c r="H22" s="101">
        <f t="shared" si="0"/>
        <v>2394.567101827683</v>
      </c>
      <c r="I22" s="101"/>
      <c r="J22" s="101">
        <f>'Athens Daily - Water'!R27</f>
        <v>266.78909999999996</v>
      </c>
      <c r="K22" s="101"/>
      <c r="L22" s="102">
        <v>45</v>
      </c>
      <c r="M22" s="101">
        <f t="shared" si="1"/>
        <v>90</v>
      </c>
      <c r="N22" s="99"/>
    </row>
    <row r="23" spans="1:14">
      <c r="A23" s="7" t="s">
        <v>14</v>
      </c>
      <c r="B23" s="7">
        <v>22</v>
      </c>
      <c r="C23" s="7">
        <v>1</v>
      </c>
      <c r="D23" s="7">
        <v>2021</v>
      </c>
      <c r="E23" s="101">
        <f>'Athens Daily - EL'!AK29</f>
        <v>214608.5</v>
      </c>
      <c r="F23" s="101"/>
      <c r="G23" s="101">
        <f>'Athens Daily - Gas'!BH30</f>
        <v>92748.767999999734</v>
      </c>
      <c r="H23" s="101">
        <f t="shared" si="0"/>
        <v>2421.6388511749278</v>
      </c>
      <c r="I23" s="101"/>
      <c r="J23" s="101">
        <f>'Athens Daily - Water'!R28</f>
        <v>268.04500000000007</v>
      </c>
      <c r="K23" s="101"/>
      <c r="L23" s="102">
        <v>82</v>
      </c>
      <c r="M23" s="101">
        <f t="shared" si="1"/>
        <v>164</v>
      </c>
      <c r="N23" s="99">
        <v>19</v>
      </c>
    </row>
    <row r="24" spans="1:14">
      <c r="A24" s="7" t="s">
        <v>14</v>
      </c>
      <c r="B24" s="7">
        <v>23</v>
      </c>
      <c r="C24" s="7">
        <v>1</v>
      </c>
      <c r="D24" s="7">
        <v>2021</v>
      </c>
      <c r="E24" s="101">
        <f>'Athens Daily - EL'!AK30</f>
        <v>199709</v>
      </c>
      <c r="F24" s="101"/>
      <c r="G24" s="101">
        <f>'Athens Daily - Gas'!BH31</f>
        <v>77455.008000000234</v>
      </c>
      <c r="H24" s="101">
        <f t="shared" si="0"/>
        <v>2022.3239686684135</v>
      </c>
      <c r="I24" s="101"/>
      <c r="J24" s="101">
        <f>'Athens Daily - Water'!R29</f>
        <v>269.2470000000003</v>
      </c>
      <c r="K24" s="101"/>
      <c r="L24" s="102">
        <v>170</v>
      </c>
      <c r="M24" s="101">
        <f t="shared" si="1"/>
        <v>340</v>
      </c>
      <c r="N24" s="99">
        <v>20</v>
      </c>
    </row>
    <row r="25" spans="1:14">
      <c r="A25" s="7" t="s">
        <v>14</v>
      </c>
      <c r="B25" s="7">
        <v>24</v>
      </c>
      <c r="C25" s="7">
        <v>1</v>
      </c>
      <c r="D25" s="7">
        <v>2021</v>
      </c>
      <c r="E25" s="101">
        <f>'Athens Daily - EL'!AK31</f>
        <v>230709</v>
      </c>
      <c r="F25" s="101"/>
      <c r="G25" s="101">
        <f>'Athens Daily - Gas'!BH32</f>
        <v>92835.215999999928</v>
      </c>
      <c r="H25" s="101">
        <f t="shared" si="0"/>
        <v>2423.8959791122697</v>
      </c>
      <c r="I25" s="101"/>
      <c r="J25" s="101">
        <f>'Athens Daily - Water'!R30</f>
        <v>256.64599999999973</v>
      </c>
      <c r="K25" s="101"/>
      <c r="L25" s="102">
        <v>91</v>
      </c>
      <c r="M25" s="101">
        <f t="shared" si="1"/>
        <v>182</v>
      </c>
      <c r="N25" s="99">
        <v>19</v>
      </c>
    </row>
    <row r="26" spans="1:14">
      <c r="A26" s="7" t="s">
        <v>14</v>
      </c>
      <c r="B26" s="7">
        <v>25</v>
      </c>
      <c r="C26" s="7">
        <v>1</v>
      </c>
      <c r="D26" s="7">
        <v>2021</v>
      </c>
      <c r="E26" s="101">
        <f>'Athens Daily - EL'!AK32</f>
        <v>216779</v>
      </c>
      <c r="F26" s="101"/>
      <c r="G26" s="101">
        <f>'Athens Daily - Gas'!BH33</f>
        <v>83758.368000000017</v>
      </c>
      <c r="H26" s="101">
        <f t="shared" si="0"/>
        <v>2186.9025587467368</v>
      </c>
      <c r="I26" s="101"/>
      <c r="J26" s="101">
        <f>'Athens Daily - Water'!R31</f>
        <v>278.95000000000073</v>
      </c>
      <c r="K26" s="101"/>
      <c r="L26" s="102">
        <v>56</v>
      </c>
      <c r="M26" s="101">
        <f t="shared" si="1"/>
        <v>112</v>
      </c>
      <c r="N26" s="100"/>
    </row>
    <row r="27" spans="1:14">
      <c r="A27" s="7" t="s">
        <v>14</v>
      </c>
      <c r="B27" s="7">
        <v>26</v>
      </c>
      <c r="C27" s="7">
        <v>1</v>
      </c>
      <c r="D27" s="7">
        <v>2021</v>
      </c>
      <c r="E27" s="101">
        <f>'Athens Daily - EL'!AK33</f>
        <v>223489.5</v>
      </c>
      <c r="F27" s="101"/>
      <c r="G27" s="101">
        <f>'Athens Daily - Gas'!BH34</f>
        <v>94251.647999999754</v>
      </c>
      <c r="H27" s="101">
        <f t="shared" si="0"/>
        <v>2460.8785378590014</v>
      </c>
      <c r="I27" s="101"/>
      <c r="J27" s="101">
        <f>'Athens Daily - Water'!R32</f>
        <v>268.79559999999947</v>
      </c>
      <c r="K27" s="101"/>
      <c r="L27" s="101"/>
      <c r="M27" s="101">
        <f t="shared" si="1"/>
        <v>0</v>
      </c>
      <c r="N27" s="100"/>
    </row>
    <row r="28" spans="1:14">
      <c r="A28" s="7" t="s">
        <v>14</v>
      </c>
      <c r="B28" s="7">
        <v>27</v>
      </c>
      <c r="C28" s="7">
        <v>1</v>
      </c>
      <c r="D28" s="7">
        <v>2021</v>
      </c>
      <c r="E28" s="101">
        <f>'Athens Daily - EL'!AK34</f>
        <v>218609</v>
      </c>
      <c r="F28" s="101"/>
      <c r="G28" s="101">
        <f>'Athens Daily - Gas'!BH35</f>
        <v>80371.439999998751</v>
      </c>
      <c r="H28" s="101">
        <f t="shared" si="0"/>
        <v>2098.4710182767299</v>
      </c>
      <c r="I28" s="101"/>
      <c r="J28" s="101">
        <f>'Athens Daily - Water'!R33</f>
        <v>241.88116666666701</v>
      </c>
      <c r="K28" s="101"/>
      <c r="L28" s="101"/>
      <c r="M28" s="101">
        <f t="shared" si="1"/>
        <v>0</v>
      </c>
      <c r="N28" s="100"/>
    </row>
    <row r="29" spans="1:14">
      <c r="A29" s="7" t="s">
        <v>14</v>
      </c>
      <c r="B29" s="7">
        <v>28</v>
      </c>
      <c r="C29" s="7">
        <v>1</v>
      </c>
      <c r="D29" s="7">
        <v>2021</v>
      </c>
      <c r="E29" s="101">
        <f>'Athens Daily - EL'!AK35</f>
        <v>219779</v>
      </c>
      <c r="F29" s="101"/>
      <c r="G29" s="101">
        <f>'Athens Daily - Gas'!BH36</f>
        <v>81903.424000006635</v>
      </c>
      <c r="H29" s="101">
        <f t="shared" si="0"/>
        <v>2138.4706005223666</v>
      </c>
      <c r="I29" s="101"/>
      <c r="J29" s="101">
        <f>'Athens Daily - Water'!R34</f>
        <v>389.54783333332398</v>
      </c>
      <c r="K29" s="101"/>
      <c r="L29" s="101"/>
      <c r="M29" s="101">
        <f t="shared" si="1"/>
        <v>0</v>
      </c>
      <c r="N29" s="100"/>
    </row>
    <row r="30" spans="1:14">
      <c r="A30" s="7" t="s">
        <v>14</v>
      </c>
      <c r="B30" s="7">
        <v>29</v>
      </c>
      <c r="C30" s="7">
        <v>1</v>
      </c>
      <c r="D30" s="7">
        <v>2021</v>
      </c>
      <c r="E30" s="101">
        <f>'Athens Daily - EL'!AK36</f>
        <v>204789</v>
      </c>
      <c r="F30" s="101"/>
      <c r="G30" s="101">
        <f>'Athens Daily - Gas'!BH37</f>
        <v>81903.424000009778</v>
      </c>
      <c r="H30" s="101">
        <f t="shared" si="0"/>
        <v>2138.4706005224489</v>
      </c>
      <c r="I30" s="101"/>
      <c r="J30" s="101">
        <f>'Athens Daily - Water'!R35</f>
        <v>205.04783333332307</v>
      </c>
      <c r="K30" s="101"/>
      <c r="L30" s="101"/>
      <c r="M30" s="101">
        <f t="shared" si="1"/>
        <v>0</v>
      </c>
      <c r="N30" s="100"/>
    </row>
    <row r="31" spans="1:14">
      <c r="A31" s="7" t="s">
        <v>14</v>
      </c>
      <c r="B31" s="7">
        <v>30</v>
      </c>
      <c r="C31" s="7">
        <v>1</v>
      </c>
      <c r="D31" s="7">
        <v>2021</v>
      </c>
      <c r="E31" s="101">
        <f>'Athens Daily - EL'!AK37</f>
        <v>208049</v>
      </c>
      <c r="F31" s="101"/>
      <c r="G31" s="101">
        <f>'Athens Daily - Gas'!BH38</f>
        <v>81615.42399998469</v>
      </c>
      <c r="H31" s="101">
        <f t="shared" si="0"/>
        <v>2130.9510182763629</v>
      </c>
      <c r="I31" s="101"/>
      <c r="J31" s="101">
        <f>'Athens Daily - Water'!R37</f>
        <v>0</v>
      </c>
      <c r="K31" s="101"/>
      <c r="L31" s="101"/>
      <c r="M31" s="101">
        <f t="shared" si="1"/>
        <v>0</v>
      </c>
      <c r="N31" s="100"/>
    </row>
    <row r="32" spans="1:14">
      <c r="A32" s="7" t="s">
        <v>14</v>
      </c>
      <c r="B32" s="7">
        <v>31</v>
      </c>
      <c r="C32" s="7">
        <v>1</v>
      </c>
      <c r="D32" s="7">
        <v>2021</v>
      </c>
      <c r="E32" s="101">
        <f>'Athens Daily - EL'!AK38</f>
        <v>216369</v>
      </c>
      <c r="F32" s="101"/>
      <c r="G32" s="101">
        <f>'Athens Daily - Gas'!BH39</f>
        <v>101703.88800000041</v>
      </c>
      <c r="H32" s="101">
        <f t="shared" si="0"/>
        <v>2655.453994778079</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18087</v>
      </c>
      <c r="F2" s="7"/>
      <c r="G2" s="39">
        <f>'Athens Daily - Gas'!BI9</f>
        <v>45446.400000000001</v>
      </c>
      <c r="H2" s="7"/>
      <c r="I2" s="40">
        <f>'Athens Daily - Water'!S7</f>
        <v>84</v>
      </c>
      <c r="J2" s="7"/>
      <c r="K2" s="7">
        <v>286</v>
      </c>
      <c r="L2" s="7">
        <v>2</v>
      </c>
    </row>
    <row r="3" spans="1:12">
      <c r="A3" s="7" t="s">
        <v>14</v>
      </c>
      <c r="B3" s="7">
        <v>2</v>
      </c>
      <c r="C3" s="7">
        <v>1</v>
      </c>
      <c r="D3" s="7">
        <v>2021</v>
      </c>
      <c r="E3" s="7">
        <f>'Athens Daily - EL'!AL9</f>
        <v>18428</v>
      </c>
      <c r="F3" s="7"/>
      <c r="G3" s="39">
        <f>'Athens Daily - Gas'!BI10</f>
        <v>45427.199999999997</v>
      </c>
      <c r="H3" s="7"/>
      <c r="I3" s="40">
        <f>'Athens Daily - Water'!S8</f>
        <v>92.5</v>
      </c>
      <c r="J3" s="7"/>
      <c r="K3" s="7">
        <v>285</v>
      </c>
      <c r="L3" s="7">
        <v>2</v>
      </c>
    </row>
    <row r="4" spans="1:12">
      <c r="A4" s="7" t="s">
        <v>14</v>
      </c>
      <c r="B4" s="7">
        <v>3</v>
      </c>
      <c r="C4" s="7">
        <v>1</v>
      </c>
      <c r="D4" s="7">
        <v>2021</v>
      </c>
      <c r="E4" s="7">
        <f>'Athens Daily - EL'!AL10</f>
        <v>17823</v>
      </c>
      <c r="F4" s="7"/>
      <c r="G4" s="39">
        <f>'Athens Daily - Gas'!BI11</f>
        <v>64598.400000000001</v>
      </c>
      <c r="H4" s="7"/>
      <c r="I4" s="40">
        <f>'Athens Daily - Water'!S9</f>
        <v>131.65</v>
      </c>
      <c r="J4" s="7"/>
      <c r="K4" s="7">
        <v>282</v>
      </c>
      <c r="L4" s="7">
        <v>2</v>
      </c>
    </row>
    <row r="5" spans="1:12">
      <c r="A5" s="7" t="s">
        <v>14</v>
      </c>
      <c r="B5" s="7">
        <v>4</v>
      </c>
      <c r="C5" s="7">
        <v>1</v>
      </c>
      <c r="D5" s="7">
        <v>2021</v>
      </c>
      <c r="E5" s="7">
        <f>'Athens Daily - EL'!AL11</f>
        <v>18498.5</v>
      </c>
      <c r="F5" s="7"/>
      <c r="G5" s="39">
        <f>'Athens Daily - Gas'!BI12</f>
        <v>43747.199999999997</v>
      </c>
      <c r="H5" s="7"/>
      <c r="I5" s="40">
        <f>'Athens Daily - Water'!S10</f>
        <v>83.7</v>
      </c>
      <c r="J5" s="7"/>
      <c r="K5" s="7">
        <v>284</v>
      </c>
      <c r="L5" s="7">
        <v>2</v>
      </c>
    </row>
    <row r="6" spans="1:12">
      <c r="A6" s="7" t="s">
        <v>14</v>
      </c>
      <c r="B6" s="7">
        <v>5</v>
      </c>
      <c r="C6" s="7">
        <v>1</v>
      </c>
      <c r="D6" s="7">
        <v>2021</v>
      </c>
      <c r="E6" s="7">
        <f>'Athens Daily - EL'!AL12</f>
        <v>17737</v>
      </c>
      <c r="F6" s="7"/>
      <c r="G6" s="39">
        <f>'Athens Daily - Gas'!BI13</f>
        <v>52358.400000000001</v>
      </c>
      <c r="H6" s="7"/>
      <c r="I6" s="40">
        <f>'Athens Daily - Water'!S11</f>
        <v>126.55000000000001</v>
      </c>
      <c r="J6" s="7"/>
      <c r="K6" s="7">
        <v>286</v>
      </c>
      <c r="L6" s="7">
        <v>2</v>
      </c>
    </row>
    <row r="7" spans="1:12">
      <c r="A7" s="7" t="s">
        <v>14</v>
      </c>
      <c r="B7" s="7">
        <v>6</v>
      </c>
      <c r="C7" s="7">
        <v>1</v>
      </c>
      <c r="D7" s="7">
        <v>2021</v>
      </c>
      <c r="E7" s="7">
        <f>'Athens Daily - EL'!AL13</f>
        <v>17988</v>
      </c>
      <c r="F7" s="7"/>
      <c r="G7" s="39">
        <f>'Athens Daily - Gas'!BI14</f>
        <v>49641.600000000006</v>
      </c>
      <c r="H7" s="7"/>
      <c r="I7" s="40">
        <f>'Athens Daily - Water'!S12</f>
        <v>89.9</v>
      </c>
      <c r="J7" s="7"/>
      <c r="K7" s="7">
        <v>288</v>
      </c>
      <c r="L7" s="7">
        <v>2</v>
      </c>
    </row>
    <row r="8" spans="1:12">
      <c r="A8" s="7" t="s">
        <v>14</v>
      </c>
      <c r="B8" s="7">
        <v>7</v>
      </c>
      <c r="C8" s="7">
        <v>1</v>
      </c>
      <c r="D8" s="7">
        <v>2021</v>
      </c>
      <c r="E8" s="7">
        <f>'Athens Daily - EL'!AL14</f>
        <v>18219.5</v>
      </c>
      <c r="F8" s="7"/>
      <c r="G8" s="39">
        <f>'Athens Daily - Gas'!BI15</f>
        <v>56937.599999999999</v>
      </c>
      <c r="H8" s="7"/>
      <c r="I8" s="40">
        <f>'Athens Daily - Water'!S13</f>
        <v>217.55</v>
      </c>
      <c r="J8" s="7"/>
      <c r="K8" s="7">
        <v>286</v>
      </c>
      <c r="L8" s="7">
        <v>2</v>
      </c>
    </row>
    <row r="9" spans="1:12">
      <c r="A9" s="7" t="s">
        <v>14</v>
      </c>
      <c r="B9" s="7">
        <v>8</v>
      </c>
      <c r="C9" s="7">
        <v>1</v>
      </c>
      <c r="D9" s="7">
        <v>2021</v>
      </c>
      <c r="E9" s="7">
        <f>'Athens Daily - EL'!AL15</f>
        <v>18907</v>
      </c>
      <c r="F9" s="7"/>
      <c r="G9" s="39">
        <f>'Athens Daily - Gas'!BI16</f>
        <v>47606.400000000001</v>
      </c>
      <c r="H9" s="7"/>
      <c r="I9" s="40">
        <f>'Athens Daily - Water'!S14</f>
        <v>202.2</v>
      </c>
      <c r="J9" s="7"/>
      <c r="K9" s="7">
        <v>287</v>
      </c>
      <c r="L9" s="7">
        <v>2</v>
      </c>
    </row>
    <row r="10" spans="1:12">
      <c r="A10" s="7" t="s">
        <v>14</v>
      </c>
      <c r="B10" s="7">
        <v>9</v>
      </c>
      <c r="C10" s="7">
        <v>1</v>
      </c>
      <c r="D10" s="7">
        <v>2021</v>
      </c>
      <c r="E10" s="7">
        <f>'Athens Daily - EL'!AL16</f>
        <v>20772.5</v>
      </c>
      <c r="F10" s="7"/>
      <c r="G10" s="39">
        <f>'Athens Daily - Gas'!BI17</f>
        <v>51129.600000000006</v>
      </c>
      <c r="H10" s="7"/>
      <c r="I10" s="40">
        <f>'Athens Daily - Water'!S15</f>
        <v>272.3</v>
      </c>
      <c r="J10" s="7"/>
      <c r="K10" s="7">
        <v>284</v>
      </c>
      <c r="L10" s="7">
        <v>2</v>
      </c>
    </row>
    <row r="11" spans="1:12">
      <c r="A11" s="7" t="s">
        <v>14</v>
      </c>
      <c r="B11" s="7">
        <v>10</v>
      </c>
      <c r="C11" s="7">
        <v>1</v>
      </c>
      <c r="D11" s="7">
        <v>2021</v>
      </c>
      <c r="E11" s="7">
        <f>'Athens Daily - EL'!AL17</f>
        <v>20902</v>
      </c>
      <c r="F11" s="7"/>
      <c r="G11" s="39">
        <f>'Athens Daily - Gas'!BI18</f>
        <v>76425.600000000006</v>
      </c>
      <c r="H11" s="7"/>
      <c r="I11" s="40">
        <f>'Athens Daily - Water'!S16</f>
        <v>156.69999999999999</v>
      </c>
      <c r="J11" s="7"/>
      <c r="K11" s="7">
        <v>284</v>
      </c>
      <c r="L11" s="7">
        <v>2</v>
      </c>
    </row>
    <row r="12" spans="1:12">
      <c r="A12" s="7" t="s">
        <v>14</v>
      </c>
      <c r="B12" s="7">
        <v>11</v>
      </c>
      <c r="C12" s="7">
        <v>1</v>
      </c>
      <c r="D12" s="7">
        <v>2021</v>
      </c>
      <c r="E12" s="7">
        <f>'Athens Daily - EL'!AL18</f>
        <v>21348</v>
      </c>
      <c r="F12" s="7"/>
      <c r="G12" s="39">
        <f>'Athens Daily - Gas'!BI19</f>
        <v>48547.199999999997</v>
      </c>
      <c r="H12" s="7"/>
      <c r="I12" s="40">
        <f>'Athens Daily - Water'!S17</f>
        <v>95.2</v>
      </c>
      <c r="J12" s="7"/>
      <c r="K12" s="7">
        <v>284</v>
      </c>
      <c r="L12" s="7">
        <v>2</v>
      </c>
    </row>
    <row r="13" spans="1:12">
      <c r="A13" s="7" t="s">
        <v>14</v>
      </c>
      <c r="B13" s="7">
        <v>12</v>
      </c>
      <c r="C13" s="7">
        <v>1</v>
      </c>
      <c r="D13" s="7">
        <v>2021</v>
      </c>
      <c r="E13" s="7">
        <f>'Athens Daily - EL'!AL19</f>
        <v>21726</v>
      </c>
      <c r="F13" s="7"/>
      <c r="G13" s="39">
        <f>'Athens Daily - Gas'!BI20</f>
        <v>64166.400000000001</v>
      </c>
      <c r="H13" s="7"/>
      <c r="I13" s="40">
        <f>'Athens Daily - Water'!S18</f>
        <v>309.2</v>
      </c>
      <c r="J13" s="7"/>
      <c r="K13" s="7">
        <v>286</v>
      </c>
      <c r="L13" s="7">
        <v>2</v>
      </c>
    </row>
    <row r="14" spans="1:12">
      <c r="A14" s="7" t="s">
        <v>14</v>
      </c>
      <c r="B14" s="7">
        <v>13</v>
      </c>
      <c r="C14" s="7">
        <v>1</v>
      </c>
      <c r="D14" s="7">
        <v>2021</v>
      </c>
      <c r="E14" s="7">
        <f>'Athens Daily - EL'!AL20</f>
        <v>22851</v>
      </c>
      <c r="F14" s="7"/>
      <c r="G14" s="39">
        <f>'Athens Daily - Gas'!BI21</f>
        <v>62918.400000000001</v>
      </c>
      <c r="H14" s="7"/>
      <c r="I14" s="40">
        <f>'Athens Daily - Water'!S19</f>
        <v>208.4</v>
      </c>
      <c r="J14" s="7"/>
      <c r="K14" s="7">
        <v>287</v>
      </c>
      <c r="L14" s="7">
        <v>2</v>
      </c>
    </row>
    <row r="15" spans="1:12">
      <c r="A15" s="7" t="s">
        <v>14</v>
      </c>
      <c r="B15" s="7">
        <v>14</v>
      </c>
      <c r="C15" s="7">
        <v>1</v>
      </c>
      <c r="D15" s="7">
        <v>2021</v>
      </c>
      <c r="E15" s="7">
        <f>'Athens Daily - EL'!AL21</f>
        <v>19974</v>
      </c>
      <c r="F15" s="7"/>
      <c r="G15" s="39">
        <f>'Athens Daily - Gas'!BI22</f>
        <v>67689.600000000006</v>
      </c>
      <c r="H15" s="7"/>
      <c r="I15" s="40">
        <f>'Athens Daily - Water'!S20</f>
        <v>109.15</v>
      </c>
      <c r="J15" s="7"/>
      <c r="K15" s="7">
        <v>287</v>
      </c>
      <c r="L15" s="7">
        <v>2</v>
      </c>
    </row>
    <row r="16" spans="1:12">
      <c r="A16" s="7" t="s">
        <v>14</v>
      </c>
      <c r="B16" s="7">
        <v>15</v>
      </c>
      <c r="C16" s="7">
        <v>1</v>
      </c>
      <c r="D16" s="7">
        <v>2021</v>
      </c>
      <c r="E16" s="7">
        <f>'Athens Daily - EL'!AL22</f>
        <v>20185</v>
      </c>
      <c r="F16" s="7"/>
      <c r="G16" s="39">
        <f>'Athens Daily - Gas'!BI23</f>
        <v>51590.400000000001</v>
      </c>
      <c r="H16" s="7"/>
      <c r="I16" s="40">
        <f>'Athens Daily - Water'!S21</f>
        <v>88.3</v>
      </c>
      <c r="J16" s="7"/>
      <c r="K16" s="7">
        <v>288</v>
      </c>
      <c r="L16" s="7">
        <v>2</v>
      </c>
    </row>
    <row r="17" spans="1:12">
      <c r="A17" s="7" t="s">
        <v>14</v>
      </c>
      <c r="B17" s="7">
        <v>16</v>
      </c>
      <c r="C17" s="7">
        <v>1</v>
      </c>
      <c r="D17" s="7">
        <v>2021</v>
      </c>
      <c r="E17" s="7">
        <f>'Athens Daily - EL'!AL23</f>
        <v>20675.5</v>
      </c>
      <c r="F17" s="7"/>
      <c r="G17" s="39">
        <f>'Athens Daily - Gas'!BI24</f>
        <v>48403.199999999997</v>
      </c>
      <c r="H17" s="7"/>
      <c r="I17" s="40">
        <f>'Athens Daily - Water'!S22</f>
        <v>82.2</v>
      </c>
      <c r="J17" s="7"/>
      <c r="K17" s="7">
        <v>288</v>
      </c>
      <c r="L17" s="7">
        <v>2</v>
      </c>
    </row>
    <row r="18" spans="1:12">
      <c r="A18" s="7" t="s">
        <v>14</v>
      </c>
      <c r="B18" s="7">
        <v>17</v>
      </c>
      <c r="C18" s="7">
        <v>1</v>
      </c>
      <c r="D18" s="7">
        <v>2021</v>
      </c>
      <c r="E18" s="7">
        <f>'Athens Daily - EL'!AL24</f>
        <v>20936</v>
      </c>
      <c r="F18" s="7"/>
      <c r="G18" s="39">
        <f>'Athens Daily - Gas'!BI25</f>
        <v>66787.200000000012</v>
      </c>
      <c r="H18" s="7"/>
      <c r="I18" s="40">
        <f>'Athens Daily - Water'!S23</f>
        <v>129.80000000000001</v>
      </c>
      <c r="J18" s="7"/>
      <c r="K18" s="7">
        <v>288</v>
      </c>
      <c r="L18" s="7">
        <v>2</v>
      </c>
    </row>
    <row r="19" spans="1:12">
      <c r="A19" s="7" t="s">
        <v>14</v>
      </c>
      <c r="B19" s="7">
        <v>18</v>
      </c>
      <c r="C19" s="7">
        <v>1</v>
      </c>
      <c r="D19" s="7">
        <v>2021</v>
      </c>
      <c r="E19" s="7">
        <f>'Athens Daily - EL'!AL25</f>
        <v>21909</v>
      </c>
      <c r="F19" s="7"/>
      <c r="G19" s="39">
        <f>'Athens Daily - Gas'!BI26</f>
        <v>56851.199999999997</v>
      </c>
      <c r="H19" s="7"/>
      <c r="I19" s="40">
        <f>'Athens Daily - Water'!S24</f>
        <v>94.35</v>
      </c>
      <c r="J19" s="7"/>
      <c r="K19" s="7">
        <v>291</v>
      </c>
      <c r="L19" s="7">
        <v>2</v>
      </c>
    </row>
    <row r="20" spans="1:12">
      <c r="A20" s="7" t="s">
        <v>14</v>
      </c>
      <c r="B20" s="7">
        <v>19</v>
      </c>
      <c r="C20" s="7">
        <v>1</v>
      </c>
      <c r="D20" s="7">
        <v>2021</v>
      </c>
      <c r="E20" s="7">
        <f>'Athens Daily - EL'!AL26</f>
        <v>22947.5</v>
      </c>
      <c r="F20" s="7"/>
      <c r="G20" s="39">
        <f>'Athens Daily - Gas'!BI27</f>
        <v>69100.800000000003</v>
      </c>
      <c r="H20" s="7"/>
      <c r="I20" s="40">
        <f>'Athens Daily - Water'!S25</f>
        <v>131.94999999999999</v>
      </c>
      <c r="J20" s="7"/>
      <c r="K20" s="7">
        <v>290</v>
      </c>
      <c r="L20" s="7">
        <v>2</v>
      </c>
    </row>
    <row r="21" spans="1:12">
      <c r="A21" s="7" t="s">
        <v>14</v>
      </c>
      <c r="B21" s="7">
        <v>20</v>
      </c>
      <c r="C21" s="7">
        <v>1</v>
      </c>
      <c r="D21" s="7">
        <v>2021</v>
      </c>
      <c r="E21" s="7">
        <f>'Athens Daily - EL'!AL27</f>
        <v>22327</v>
      </c>
      <c r="F21" s="7"/>
      <c r="G21" s="39">
        <f>'Athens Daily - Gas'!BI28</f>
        <v>55651.199999999997</v>
      </c>
      <c r="H21" s="7"/>
      <c r="I21" s="40">
        <f>'Athens Daily - Water'!S26</f>
        <v>95.7</v>
      </c>
      <c r="J21" s="7"/>
      <c r="K21" s="7">
        <v>292</v>
      </c>
      <c r="L21" s="7">
        <v>2</v>
      </c>
    </row>
    <row r="22" spans="1:12">
      <c r="A22" s="7" t="s">
        <v>14</v>
      </c>
      <c r="B22" s="7">
        <v>21</v>
      </c>
      <c r="C22" s="7">
        <v>1</v>
      </c>
      <c r="D22" s="7">
        <v>2021</v>
      </c>
      <c r="E22" s="7">
        <f>'Athens Daily - EL'!AL28</f>
        <v>22862</v>
      </c>
      <c r="F22" s="7"/>
      <c r="G22" s="39">
        <f>'Athens Daily - Gas'!BI29</f>
        <v>61593.600000000006</v>
      </c>
      <c r="H22" s="7"/>
      <c r="I22" s="40">
        <f>'Athens Daily - Water'!S27</f>
        <v>108.575</v>
      </c>
      <c r="J22" s="7"/>
      <c r="K22" s="7">
        <v>293</v>
      </c>
      <c r="L22" s="7">
        <v>2</v>
      </c>
    </row>
    <row r="23" spans="1:12">
      <c r="A23" s="7" t="s">
        <v>14</v>
      </c>
      <c r="B23" s="7">
        <v>22</v>
      </c>
      <c r="C23" s="7">
        <v>1</v>
      </c>
      <c r="D23" s="7">
        <v>2021</v>
      </c>
      <c r="E23" s="7">
        <f>'Athens Daily - EL'!AL29</f>
        <v>22922.5</v>
      </c>
      <c r="F23" s="7"/>
      <c r="G23" s="39">
        <f>'Athens Daily - Gas'!BI30</f>
        <v>61468.800000000003</v>
      </c>
      <c r="H23" s="7"/>
      <c r="I23" s="40">
        <f>'Athens Daily - Water'!S28</f>
        <v>108.575</v>
      </c>
      <c r="J23" s="7"/>
      <c r="K23" s="7">
        <v>293</v>
      </c>
      <c r="L23" s="7">
        <v>2</v>
      </c>
    </row>
    <row r="24" spans="1:12">
      <c r="A24" s="7" t="s">
        <v>14</v>
      </c>
      <c r="B24" s="7">
        <v>23</v>
      </c>
      <c r="C24" s="7">
        <v>1</v>
      </c>
      <c r="D24" s="7">
        <v>2021</v>
      </c>
      <c r="E24" s="7">
        <f>'Athens Daily - EL'!AL30</f>
        <v>23879</v>
      </c>
      <c r="F24" s="7"/>
      <c r="G24" s="39">
        <f>'Athens Daily - Gas'!BI31</f>
        <v>50169.600000000006</v>
      </c>
      <c r="H24" s="7"/>
      <c r="I24" s="40">
        <f>'Athens Daily - Water'!S29</f>
        <v>79.7</v>
      </c>
      <c r="J24" s="7"/>
      <c r="K24" s="7">
        <v>294</v>
      </c>
      <c r="L24" s="7">
        <v>2</v>
      </c>
    </row>
    <row r="25" spans="1:12">
      <c r="A25" s="7" t="s">
        <v>14</v>
      </c>
      <c r="B25" s="7">
        <v>24</v>
      </c>
      <c r="C25" s="7">
        <v>1</v>
      </c>
      <c r="D25" s="7">
        <v>2021</v>
      </c>
      <c r="E25" s="7">
        <f>'Athens Daily - EL'!AL31</f>
        <v>19947</v>
      </c>
      <c r="F25" s="7"/>
      <c r="G25" s="39">
        <f>'Athens Daily - Gas'!BI32</f>
        <v>62294.400000000001</v>
      </c>
      <c r="H25" s="7"/>
      <c r="I25" s="40">
        <f>'Athens Daily - Water'!S30</f>
        <v>133.6</v>
      </c>
      <c r="J25" s="7"/>
      <c r="K25" s="7">
        <v>294</v>
      </c>
      <c r="L25" s="7">
        <v>2</v>
      </c>
    </row>
    <row r="26" spans="1:12">
      <c r="A26" s="7" t="s">
        <v>14</v>
      </c>
      <c r="B26" s="7">
        <v>25</v>
      </c>
      <c r="C26" s="7">
        <v>1</v>
      </c>
      <c r="D26" s="7">
        <v>2021</v>
      </c>
      <c r="E26" s="7">
        <f>'Athens Daily - EL'!AL32</f>
        <v>18342</v>
      </c>
      <c r="F26" s="7"/>
      <c r="G26" s="39">
        <f>'Athens Daily - Gas'!BI33</f>
        <v>57888</v>
      </c>
      <c r="H26" s="7"/>
      <c r="I26" s="40">
        <f>'Athens Daily - Water'!S31</f>
        <v>101.3</v>
      </c>
      <c r="J26" s="7"/>
      <c r="K26" s="7">
        <v>291</v>
      </c>
      <c r="L26" s="7">
        <v>2</v>
      </c>
    </row>
    <row r="27" spans="1:12">
      <c r="A27" s="7" t="s">
        <v>14</v>
      </c>
      <c r="B27" s="7">
        <v>26</v>
      </c>
      <c r="C27" s="7">
        <v>1</v>
      </c>
      <c r="D27" s="7">
        <v>2021</v>
      </c>
      <c r="E27" s="7">
        <f>'Athens Daily - EL'!AL33</f>
        <v>21714.5</v>
      </c>
      <c r="F27" s="7"/>
      <c r="G27" s="39">
        <f>'Athens Daily - Gas'!BI34</f>
        <v>63667.200000000004</v>
      </c>
      <c r="H27" s="7"/>
      <c r="I27" s="40">
        <f>'Athens Daily - Water'!S32</f>
        <v>136.05000000000001</v>
      </c>
      <c r="J27" s="7"/>
      <c r="K27" s="7">
        <v>291</v>
      </c>
      <c r="L27" s="7">
        <v>2</v>
      </c>
    </row>
    <row r="28" spans="1:12">
      <c r="A28" s="7" t="s">
        <v>14</v>
      </c>
      <c r="B28" s="7">
        <v>27</v>
      </c>
      <c r="C28" s="7">
        <v>1</v>
      </c>
      <c r="D28" s="7">
        <v>2021</v>
      </c>
      <c r="E28" s="7">
        <f>'Athens Daily - EL'!AL34</f>
        <v>23251</v>
      </c>
      <c r="F28" s="7"/>
      <c r="G28" s="39">
        <f>'Athens Daily - Gas'!BI35</f>
        <v>53769.600000000006</v>
      </c>
      <c r="H28" s="7"/>
      <c r="I28" s="40">
        <f>'Athens Daily - Water'!S33</f>
        <v>98.05</v>
      </c>
      <c r="J28" s="7"/>
      <c r="K28" s="7">
        <v>288</v>
      </c>
      <c r="L28" s="7">
        <v>2</v>
      </c>
    </row>
    <row r="29" spans="1:12">
      <c r="A29" s="7" t="s">
        <v>14</v>
      </c>
      <c r="B29" s="7">
        <v>28</v>
      </c>
      <c r="C29" s="7">
        <v>1</v>
      </c>
      <c r="D29" s="7">
        <v>2021</v>
      </c>
      <c r="E29" s="7">
        <f>'Athens Daily - EL'!AL35</f>
        <v>22245</v>
      </c>
      <c r="F29" s="7"/>
      <c r="G29" s="39">
        <f>'Athens Daily - Gas'!BI36</f>
        <v>56886.400000005146</v>
      </c>
      <c r="H29" s="7"/>
      <c r="I29" s="40">
        <f>'Athens Daily - Water'!S34</f>
        <v>101.2</v>
      </c>
      <c r="J29" s="7"/>
      <c r="K29" s="7">
        <v>290</v>
      </c>
      <c r="L29" s="7">
        <v>2</v>
      </c>
    </row>
    <row r="30" spans="1:12">
      <c r="A30" s="7" t="s">
        <v>14</v>
      </c>
      <c r="B30" s="7">
        <v>29</v>
      </c>
      <c r="C30" s="7">
        <v>1</v>
      </c>
      <c r="D30" s="7">
        <v>2021</v>
      </c>
      <c r="E30" s="7">
        <f>'Athens Daily - EL'!AL36</f>
        <v>21413</v>
      </c>
      <c r="F30" s="7"/>
      <c r="G30" s="39">
        <f>'Athens Daily - Gas'!BI37</f>
        <v>56886.400000005146</v>
      </c>
      <c r="H30" s="7"/>
      <c r="I30" s="40">
        <f>'Athens Daily - Water'!S35</f>
        <v>101.2</v>
      </c>
      <c r="J30" s="7"/>
      <c r="K30" s="7">
        <v>291</v>
      </c>
      <c r="L30" s="7">
        <v>2</v>
      </c>
    </row>
    <row r="31" spans="1:12">
      <c r="A31" s="7" t="s">
        <v>14</v>
      </c>
      <c r="B31" s="7">
        <v>30</v>
      </c>
      <c r="C31" s="7">
        <v>1</v>
      </c>
      <c r="D31" s="7">
        <v>2021</v>
      </c>
      <c r="E31" s="7">
        <f>'Athens Daily - EL'!AL37</f>
        <v>22206</v>
      </c>
      <c r="F31" s="7"/>
      <c r="G31" s="39">
        <f>'Athens Daily - Gas'!BI38</f>
        <v>57174.399999989706</v>
      </c>
      <c r="H31" s="7"/>
      <c r="I31" s="40">
        <f>'Athens Daily - Water'!S37</f>
        <v>0</v>
      </c>
      <c r="J31" s="7"/>
      <c r="K31" s="7">
        <v>290</v>
      </c>
      <c r="L31" s="7">
        <v>2</v>
      </c>
    </row>
    <row r="32" spans="1:12">
      <c r="A32" s="7" t="s">
        <v>14</v>
      </c>
      <c r="B32" s="7">
        <v>31</v>
      </c>
      <c r="C32" s="7">
        <v>1</v>
      </c>
      <c r="D32" s="7">
        <v>2021</v>
      </c>
      <c r="E32" s="7">
        <f>'Athens Daily - EL'!AL38</f>
        <v>21985</v>
      </c>
      <c r="F32" s="7"/>
      <c r="G32" s="39">
        <f>'Athens Daily - Gas'!BI39</f>
        <v>74198.399999999994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16" activePane="bottomRight" state="frozen"/>
      <selection pane="topRight" activeCell="C2" sqref="C2"/>
      <selection pane="bottomLeft" activeCell="A7" sqref="A7"/>
      <selection pane="bottomRight" activeCell="AL30" sqref="AL3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5" t="s">
        <v>64</v>
      </c>
      <c r="D1" s="215"/>
      <c r="E1" s="215" t="s">
        <v>64</v>
      </c>
      <c r="F1" s="215"/>
      <c r="G1" s="215" t="s">
        <v>64</v>
      </c>
      <c r="H1" s="215"/>
      <c r="I1" s="109"/>
      <c r="J1" s="215" t="s">
        <v>64</v>
      </c>
      <c r="K1" s="215"/>
      <c r="L1" s="215" t="s">
        <v>64</v>
      </c>
      <c r="M1" s="215"/>
      <c r="N1" s="201" t="s">
        <v>65</v>
      </c>
      <c r="O1" s="202"/>
      <c r="P1" s="203"/>
      <c r="Q1" s="201" t="s">
        <v>65</v>
      </c>
      <c r="R1" s="202"/>
      <c r="S1" s="203"/>
      <c r="T1" s="201" t="s">
        <v>65</v>
      </c>
      <c r="U1" s="202"/>
      <c r="V1" s="203"/>
      <c r="W1" s="201" t="s">
        <v>65</v>
      </c>
      <c r="X1" s="202"/>
      <c r="Y1" s="203"/>
      <c r="Z1" s="215" t="s">
        <v>66</v>
      </c>
      <c r="AA1" s="215"/>
      <c r="AB1" s="215" t="s">
        <v>66</v>
      </c>
      <c r="AC1" s="215"/>
      <c r="AD1" s="215" t="s">
        <v>66</v>
      </c>
      <c r="AE1" s="215"/>
      <c r="AF1" s="215" t="s">
        <v>66</v>
      </c>
      <c r="AG1" s="215"/>
      <c r="AH1" s="215" t="s">
        <v>66</v>
      </c>
      <c r="AI1" s="215"/>
    </row>
    <row r="2" spans="1:38" s="3" customFormat="1" ht="113.25" customHeight="1">
      <c r="A2" s="13"/>
      <c r="B2" s="14"/>
      <c r="C2" s="214" t="s">
        <v>67</v>
      </c>
      <c r="D2" s="214"/>
      <c r="E2" s="214" t="s">
        <v>68</v>
      </c>
      <c r="F2" s="214"/>
      <c r="G2" s="204" t="s">
        <v>69</v>
      </c>
      <c r="H2" s="205"/>
      <c r="I2" s="206"/>
      <c r="J2" s="214" t="s">
        <v>70</v>
      </c>
      <c r="K2" s="214"/>
      <c r="L2" s="214" t="s">
        <v>71</v>
      </c>
      <c r="M2" s="214"/>
      <c r="N2" s="204" t="s">
        <v>72</v>
      </c>
      <c r="O2" s="205"/>
      <c r="P2" s="206"/>
      <c r="Q2" s="204" t="s">
        <v>73</v>
      </c>
      <c r="R2" s="205"/>
      <c r="S2" s="206"/>
      <c r="T2" s="204" t="s">
        <v>74</v>
      </c>
      <c r="U2" s="205"/>
      <c r="V2" s="206"/>
      <c r="W2" s="204" t="s">
        <v>75</v>
      </c>
      <c r="X2" s="205"/>
      <c r="Y2" s="206"/>
      <c r="Z2" s="214" t="s">
        <v>76</v>
      </c>
      <c r="AA2" s="214"/>
      <c r="AB2" s="214" t="s">
        <v>77</v>
      </c>
      <c r="AC2" s="214"/>
      <c r="AD2" s="214" t="s">
        <v>78</v>
      </c>
      <c r="AE2" s="214"/>
      <c r="AF2" s="214" t="s">
        <v>77</v>
      </c>
      <c r="AG2" s="214"/>
      <c r="AH2" s="214" t="s">
        <v>79</v>
      </c>
      <c r="AI2" s="214"/>
      <c r="AJ2" s="116"/>
      <c r="AK2" s="116"/>
      <c r="AL2" s="116"/>
    </row>
    <row r="3" spans="1:38" s="25" customFormat="1" ht="30" customHeight="1">
      <c r="A3" s="107"/>
      <c r="B3" s="50"/>
      <c r="C3" s="207">
        <v>5003566</v>
      </c>
      <c r="D3" s="209"/>
      <c r="E3" s="207">
        <v>5003596</v>
      </c>
      <c r="F3" s="209"/>
      <c r="G3" s="207">
        <v>507329</v>
      </c>
      <c r="H3" s="208"/>
      <c r="I3" s="209"/>
      <c r="J3" s="207">
        <v>5003563</v>
      </c>
      <c r="K3" s="209"/>
      <c r="L3" s="207">
        <v>5003562</v>
      </c>
      <c r="M3" s="209"/>
      <c r="N3" s="207">
        <v>507155</v>
      </c>
      <c r="O3" s="208"/>
      <c r="P3" s="209"/>
      <c r="Q3" s="207">
        <v>5003077</v>
      </c>
      <c r="R3" s="208"/>
      <c r="S3" s="209"/>
      <c r="T3" s="207">
        <v>5003079</v>
      </c>
      <c r="U3" s="208"/>
      <c r="V3" s="209"/>
      <c r="W3" s="207">
        <v>5003078</v>
      </c>
      <c r="X3" s="208"/>
      <c r="Y3" s="209"/>
      <c r="Z3" s="207">
        <v>5003565</v>
      </c>
      <c r="AA3" s="209"/>
      <c r="AB3" s="207">
        <v>5003564</v>
      </c>
      <c r="AC3" s="209"/>
      <c r="AD3" s="207">
        <v>5003597</v>
      </c>
      <c r="AE3" s="209"/>
      <c r="AF3" s="207">
        <v>5003598</v>
      </c>
      <c r="AG3" s="209"/>
      <c r="AH3" s="207">
        <v>5003599</v>
      </c>
      <c r="AI3" s="209"/>
      <c r="AK3" s="216" t="s">
        <v>80</v>
      </c>
      <c r="AL3" s="216"/>
    </row>
    <row r="4" spans="1:38" s="24" customFormat="1" ht="30" customHeight="1">
      <c r="A4" s="107"/>
      <c r="B4" s="113"/>
      <c r="C4" s="210" t="s">
        <v>81</v>
      </c>
      <c r="D4" s="212"/>
      <c r="E4" s="210" t="s">
        <v>82</v>
      </c>
      <c r="F4" s="212"/>
      <c r="G4" s="210" t="s">
        <v>83</v>
      </c>
      <c r="H4" s="211"/>
      <c r="I4" s="212"/>
      <c r="J4" s="210" t="s">
        <v>84</v>
      </c>
      <c r="K4" s="212"/>
      <c r="L4" s="210" t="s">
        <v>85</v>
      </c>
      <c r="M4" s="212"/>
      <c r="N4" s="210" t="s">
        <v>86</v>
      </c>
      <c r="O4" s="211"/>
      <c r="P4" s="212"/>
      <c r="Q4" s="210" t="s">
        <v>87</v>
      </c>
      <c r="R4" s="211"/>
      <c r="S4" s="212"/>
      <c r="T4" s="210" t="s">
        <v>88</v>
      </c>
      <c r="U4" s="211"/>
      <c r="V4" s="212"/>
      <c r="W4" s="210" t="s">
        <v>89</v>
      </c>
      <c r="X4" s="211"/>
      <c r="Y4" s="212"/>
      <c r="Z4" s="210" t="s">
        <v>90</v>
      </c>
      <c r="AA4" s="212"/>
      <c r="AB4" s="210" t="s">
        <v>91</v>
      </c>
      <c r="AC4" s="212"/>
      <c r="AD4" s="210" t="s">
        <v>92</v>
      </c>
      <c r="AE4" s="212"/>
      <c r="AF4" s="210" t="s">
        <v>93</v>
      </c>
      <c r="AG4" s="212"/>
      <c r="AH4" s="210" t="s">
        <v>94</v>
      </c>
      <c r="AI4" s="212"/>
      <c r="AK4" s="216"/>
      <c r="AL4" s="216"/>
    </row>
    <row r="5" spans="1:38" s="8" customFormat="1" ht="30" customHeight="1">
      <c r="A5" s="107" t="s">
        <v>95</v>
      </c>
      <c r="B5" s="51"/>
      <c r="C5" s="199" t="s">
        <v>96</v>
      </c>
      <c r="D5" s="200"/>
      <c r="E5" s="199" t="s">
        <v>96</v>
      </c>
      <c r="F5" s="200"/>
      <c r="G5" s="199" t="s">
        <v>96</v>
      </c>
      <c r="H5" s="213"/>
      <c r="I5" s="200"/>
      <c r="J5" s="51" t="s">
        <v>96</v>
      </c>
      <c r="K5" s="51"/>
      <c r="L5" s="199" t="s">
        <v>96</v>
      </c>
      <c r="M5" s="200"/>
      <c r="N5" s="199" t="s">
        <v>96</v>
      </c>
      <c r="O5" s="213"/>
      <c r="P5" s="200"/>
      <c r="Q5" s="199" t="s">
        <v>97</v>
      </c>
      <c r="R5" s="213"/>
      <c r="S5" s="200"/>
      <c r="T5" s="199" t="s">
        <v>97</v>
      </c>
      <c r="U5" s="213"/>
      <c r="V5" s="200"/>
      <c r="W5" s="199" t="s">
        <v>97</v>
      </c>
      <c r="X5" s="213"/>
      <c r="Y5" s="200"/>
      <c r="Z5" s="199" t="s">
        <v>96</v>
      </c>
      <c r="AA5" s="200"/>
      <c r="AB5" s="199" t="s">
        <v>96</v>
      </c>
      <c r="AC5" s="200"/>
      <c r="AD5" s="199" t="s">
        <v>96</v>
      </c>
      <c r="AE5" s="200"/>
      <c r="AF5" s="199" t="s">
        <v>96</v>
      </c>
      <c r="AG5" s="200"/>
      <c r="AH5" s="199" t="s">
        <v>96</v>
      </c>
      <c r="AI5" s="200"/>
    </row>
    <row r="6" spans="1:38" s="10" customFormat="1" ht="50.1" hidden="1" customHeight="1">
      <c r="A6" s="107" t="s">
        <v>98</v>
      </c>
      <c r="B6" s="107"/>
      <c r="C6" s="107" t="s">
        <v>99</v>
      </c>
      <c r="D6" s="107" t="s">
        <v>100</v>
      </c>
      <c r="E6" s="107" t="s">
        <v>99</v>
      </c>
      <c r="F6" s="107" t="s">
        <v>100</v>
      </c>
      <c r="G6" s="107" t="s">
        <v>99</v>
      </c>
      <c r="H6" s="107" t="s">
        <v>100</v>
      </c>
      <c r="I6" s="107" t="s">
        <v>101</v>
      </c>
      <c r="J6" s="107" t="s">
        <v>99</v>
      </c>
      <c r="K6" s="107" t="s">
        <v>100</v>
      </c>
      <c r="L6" s="107" t="s">
        <v>99</v>
      </c>
      <c r="M6" s="107" t="s">
        <v>100</v>
      </c>
      <c r="N6" s="107" t="s">
        <v>99</v>
      </c>
      <c r="O6" s="107" t="s">
        <v>100</v>
      </c>
      <c r="P6" s="107" t="s">
        <v>101</v>
      </c>
      <c r="Q6" s="107" t="s">
        <v>99</v>
      </c>
      <c r="R6" s="107" t="s">
        <v>100</v>
      </c>
      <c r="S6" s="107" t="s">
        <v>101</v>
      </c>
      <c r="T6" s="107" t="s">
        <v>99</v>
      </c>
      <c r="U6" s="107" t="s">
        <v>100</v>
      </c>
      <c r="V6" s="107" t="s">
        <v>101</v>
      </c>
      <c r="W6" s="107" t="s">
        <v>99</v>
      </c>
      <c r="X6" s="107" t="s">
        <v>100</v>
      </c>
      <c r="Y6" s="107" t="s">
        <v>101</v>
      </c>
      <c r="Z6" s="107" t="s">
        <v>99</v>
      </c>
      <c r="AA6" s="107" t="s">
        <v>100</v>
      </c>
      <c r="AB6" s="107" t="s">
        <v>99</v>
      </c>
      <c r="AC6" s="107" t="s">
        <v>100</v>
      </c>
      <c r="AD6" s="107" t="s">
        <v>99</v>
      </c>
      <c r="AE6" s="107" t="s">
        <v>100</v>
      </c>
      <c r="AF6" s="107" t="s">
        <v>99</v>
      </c>
      <c r="AG6" s="107" t="s">
        <v>100</v>
      </c>
      <c r="AH6" s="107" t="s">
        <v>99</v>
      </c>
      <c r="AI6" s="107" t="s">
        <v>100</v>
      </c>
      <c r="AK6" s="107" t="s">
        <v>64</v>
      </c>
      <c r="AL6" s="107" t="s">
        <v>66</v>
      </c>
    </row>
    <row r="7" spans="1:38" ht="39.950000000000003" customHeight="1">
      <c r="A7" s="145">
        <v>43890</v>
      </c>
      <c r="B7" s="16"/>
      <c r="C7" s="74">
        <v>885018</v>
      </c>
      <c r="D7" s="17"/>
      <c r="E7" s="74">
        <v>268940</v>
      </c>
      <c r="F7" s="17"/>
      <c r="G7" s="74">
        <v>586467</v>
      </c>
      <c r="H7" s="17"/>
      <c r="I7" s="17"/>
      <c r="J7" s="74">
        <v>854765</v>
      </c>
      <c r="K7" s="17"/>
      <c r="L7" s="74">
        <v>900166</v>
      </c>
      <c r="M7" s="17"/>
      <c r="N7" s="74">
        <v>517814</v>
      </c>
      <c r="O7" s="17"/>
      <c r="P7" s="17"/>
      <c r="Q7" s="74">
        <v>30388</v>
      </c>
      <c r="R7" s="17"/>
      <c r="S7" s="17"/>
      <c r="T7" s="74">
        <v>602</v>
      </c>
      <c r="U7" s="17"/>
      <c r="V7" s="17"/>
      <c r="W7" s="74">
        <v>26109</v>
      </c>
      <c r="X7" s="17"/>
      <c r="Y7" s="17"/>
      <c r="Z7" s="74">
        <v>762452</v>
      </c>
      <c r="AA7" s="17"/>
      <c r="AB7" s="74">
        <v>70729</v>
      </c>
      <c r="AC7" s="17"/>
      <c r="AD7" s="74">
        <v>623606</v>
      </c>
      <c r="AE7" s="17"/>
      <c r="AF7" s="74">
        <v>962258</v>
      </c>
      <c r="AG7" s="17"/>
      <c r="AH7" s="74">
        <v>879201</v>
      </c>
      <c r="AI7" s="17"/>
      <c r="AK7" s="97"/>
      <c r="AL7" s="98"/>
    </row>
    <row r="8" spans="1:38" s="2" customFormat="1" ht="39.950000000000003" customHeight="1">
      <c r="A8" s="145">
        <v>43891</v>
      </c>
      <c r="B8" s="15"/>
      <c r="C8" s="49">
        <v>887812</v>
      </c>
      <c r="D8" s="17">
        <f>(C8-C7)*10</f>
        <v>27940</v>
      </c>
      <c r="E8" s="49">
        <v>273729</v>
      </c>
      <c r="F8" s="17">
        <f>(E8-E7)*10</f>
        <v>47890</v>
      </c>
      <c r="G8" s="49">
        <v>587530</v>
      </c>
      <c r="H8" s="17">
        <f>(G8-G7)*10</f>
        <v>10630</v>
      </c>
      <c r="I8" s="17">
        <f>H8*50%</f>
        <v>5315</v>
      </c>
      <c r="J8" s="49">
        <v>859788</v>
      </c>
      <c r="K8" s="17">
        <f>(J8-J7)*10</f>
        <v>50230</v>
      </c>
      <c r="L8" s="49">
        <v>907238</v>
      </c>
      <c r="M8" s="17">
        <f>(L8-L7)*10</f>
        <v>70720</v>
      </c>
      <c r="N8" s="49">
        <v>518131</v>
      </c>
      <c r="O8" s="17">
        <f t="shared" ref="O8:O24" si="0">(N8-N7)*10</f>
        <v>3170</v>
      </c>
      <c r="P8" s="17">
        <f>O8*50%</f>
        <v>1585</v>
      </c>
      <c r="Q8" s="49">
        <v>30390</v>
      </c>
      <c r="R8" s="17">
        <f t="shared" ref="R8:R24" si="1">(Q8-Q7)*10</f>
        <v>20</v>
      </c>
      <c r="S8" s="17">
        <f>R8*50%</f>
        <v>10</v>
      </c>
      <c r="T8" s="49">
        <v>604</v>
      </c>
      <c r="U8" s="17">
        <f>(T8-T7)*10</f>
        <v>20</v>
      </c>
      <c r="V8" s="17">
        <f>U8*50%</f>
        <v>10</v>
      </c>
      <c r="W8" s="49">
        <v>26116</v>
      </c>
      <c r="X8" s="17">
        <f>(W8-W7)*10</f>
        <v>70</v>
      </c>
      <c r="Y8" s="17">
        <f>X8*50%</f>
        <v>35</v>
      </c>
      <c r="Z8" s="49">
        <v>763179</v>
      </c>
      <c r="AA8" s="17">
        <f>Z8-Z7</f>
        <v>727</v>
      </c>
      <c r="AB8" s="49">
        <v>72709</v>
      </c>
      <c r="AC8" s="17">
        <f>AB8-AB7</f>
        <v>1980</v>
      </c>
      <c r="AD8" s="49">
        <v>626858</v>
      </c>
      <c r="AE8" s="17">
        <f>AD8-AD7</f>
        <v>3252</v>
      </c>
      <c r="AF8" s="49">
        <v>963988</v>
      </c>
      <c r="AG8" s="17">
        <f>AF8-AF7</f>
        <v>1730</v>
      </c>
      <c r="AH8" s="49">
        <v>887959</v>
      </c>
      <c r="AI8" s="17">
        <f>AH8-AH7</f>
        <v>8758</v>
      </c>
      <c r="AK8" s="97">
        <f>SUM(D8,F8,I8,K8,M8,P8,S8,V8,Y8)</f>
        <v>203735</v>
      </c>
      <c r="AL8" s="98">
        <f>SUM(P8,S8,V8,Y8,AA8,AC8,AE8,AG8,AI8)</f>
        <v>18087</v>
      </c>
    </row>
    <row r="9" spans="1:38" ht="39.950000000000003" customHeight="1">
      <c r="A9" s="145">
        <v>43892</v>
      </c>
      <c r="B9" s="16"/>
      <c r="C9" s="49">
        <v>890652</v>
      </c>
      <c r="D9" s="17">
        <f t="shared" ref="D9:F25" si="2">(C9-C8)*10</f>
        <v>28400</v>
      </c>
      <c r="E9" s="49">
        <v>278742</v>
      </c>
      <c r="F9" s="17">
        <f t="shared" si="2"/>
        <v>50130</v>
      </c>
      <c r="G9" s="49">
        <v>588400</v>
      </c>
      <c r="H9" s="17">
        <f t="shared" ref="H9" si="3">(G9-G8)*10</f>
        <v>8700</v>
      </c>
      <c r="I9" s="17">
        <f t="shared" ref="I9:I24" si="4">H9*50%</f>
        <v>4350</v>
      </c>
      <c r="J9" s="49">
        <v>865039</v>
      </c>
      <c r="K9" s="17">
        <f t="shared" ref="K9" si="5">(J9-J8)*10</f>
        <v>52510</v>
      </c>
      <c r="L9" s="49">
        <v>914618</v>
      </c>
      <c r="M9" s="17">
        <f t="shared" ref="M9" si="6">(L9-L8)*10</f>
        <v>73800</v>
      </c>
      <c r="N9" s="49">
        <v>518439</v>
      </c>
      <c r="O9" s="17">
        <f t="shared" si="0"/>
        <v>3080</v>
      </c>
      <c r="P9" s="17">
        <f t="shared" ref="P9:P24" si="7">O9*50%</f>
        <v>1540</v>
      </c>
      <c r="Q9" s="49">
        <v>30393</v>
      </c>
      <c r="R9" s="17">
        <f t="shared" si="1"/>
        <v>30</v>
      </c>
      <c r="S9" s="17">
        <f t="shared" ref="S9:S24" si="8">R9*50%</f>
        <v>15</v>
      </c>
      <c r="T9" s="49">
        <v>605</v>
      </c>
      <c r="U9" s="17">
        <f t="shared" ref="U9" si="9">(T9-T8)*10</f>
        <v>10</v>
      </c>
      <c r="V9" s="17">
        <f t="shared" ref="V9:V24" si="10">U9*50%</f>
        <v>5</v>
      </c>
      <c r="W9" s="49">
        <v>26124</v>
      </c>
      <c r="X9" s="17">
        <f t="shared" ref="X9" si="11">W9-W8</f>
        <v>8</v>
      </c>
      <c r="Y9" s="17">
        <f t="shared" ref="Y9:Y24" si="12">X9*50%</f>
        <v>4</v>
      </c>
      <c r="Z9" s="49">
        <v>764010</v>
      </c>
      <c r="AA9" s="17">
        <f t="shared" ref="AA9" si="13">Z9-Z8</f>
        <v>831</v>
      </c>
      <c r="AB9" s="49">
        <v>74656</v>
      </c>
      <c r="AC9" s="17">
        <f t="shared" ref="AC9" si="14">AB9-AB8</f>
        <v>1947</v>
      </c>
      <c r="AD9" s="49">
        <v>630393</v>
      </c>
      <c r="AE9" s="17">
        <f t="shared" ref="AE9" si="15">AD9-AD8</f>
        <v>3535</v>
      </c>
      <c r="AF9" s="49">
        <v>965751</v>
      </c>
      <c r="AG9" s="17">
        <f t="shared" ref="AG9" si="16">AF9-AF8</f>
        <v>1763</v>
      </c>
      <c r="AH9" s="49">
        <v>896747</v>
      </c>
      <c r="AI9" s="17">
        <f t="shared" ref="AI9" si="17">AH9-AH8</f>
        <v>8788</v>
      </c>
      <c r="AK9" s="97">
        <f t="shared" ref="AK9:AK24" si="18">SUM(D9,F9,I9,K9,M9,P9,S9,V9,Y9)</f>
        <v>210754</v>
      </c>
      <c r="AL9" s="98">
        <f t="shared" ref="AL9:AL24" si="19">SUM(P9,S9,V9,Y9,AA9,AC9,AE9,AG9,AI9)</f>
        <v>18428</v>
      </c>
    </row>
    <row r="10" spans="1:38" ht="39.950000000000003" customHeight="1">
      <c r="A10" s="145">
        <v>43893</v>
      </c>
      <c r="B10" s="16"/>
      <c r="C10" s="49">
        <v>893427</v>
      </c>
      <c r="D10" s="17">
        <f t="shared" si="2"/>
        <v>27750</v>
      </c>
      <c r="E10" s="49">
        <v>283804</v>
      </c>
      <c r="F10" s="17">
        <f t="shared" si="2"/>
        <v>50620</v>
      </c>
      <c r="G10" s="49">
        <v>589083</v>
      </c>
      <c r="H10" s="17">
        <f t="shared" ref="H10" si="20">(G10-G9)*10</f>
        <v>6830</v>
      </c>
      <c r="I10" s="17">
        <f t="shared" si="4"/>
        <v>3415</v>
      </c>
      <c r="J10" s="49">
        <v>869942</v>
      </c>
      <c r="K10" s="17">
        <f t="shared" ref="K10" si="21">(J10-J9)*10</f>
        <v>49030</v>
      </c>
      <c r="L10" s="49">
        <v>922354</v>
      </c>
      <c r="M10" s="17">
        <f t="shared" ref="M10" si="22">(L10-L9)*10</f>
        <v>77360</v>
      </c>
      <c r="N10" s="49">
        <v>518755</v>
      </c>
      <c r="O10" s="17">
        <f t="shared" si="0"/>
        <v>3160</v>
      </c>
      <c r="P10" s="17">
        <f t="shared" si="7"/>
        <v>1580</v>
      </c>
      <c r="Q10" s="49">
        <v>30395</v>
      </c>
      <c r="R10" s="17">
        <f t="shared" si="1"/>
        <v>20</v>
      </c>
      <c r="S10" s="17">
        <f t="shared" si="8"/>
        <v>10</v>
      </c>
      <c r="T10" s="49">
        <v>607</v>
      </c>
      <c r="U10" s="17">
        <f t="shared" ref="U10" si="23">(T10-T9)*10</f>
        <v>20</v>
      </c>
      <c r="V10" s="17">
        <f t="shared" si="10"/>
        <v>10</v>
      </c>
      <c r="W10" s="49">
        <v>26132</v>
      </c>
      <c r="X10" s="17">
        <f t="shared" ref="X10" si="24">W10-W9</f>
        <v>8</v>
      </c>
      <c r="Y10" s="17">
        <f t="shared" si="12"/>
        <v>4</v>
      </c>
      <c r="Z10" s="49">
        <v>764791</v>
      </c>
      <c r="AA10" s="17">
        <f t="shared" ref="AA10" si="25">Z10-Z9</f>
        <v>781</v>
      </c>
      <c r="AB10" s="49">
        <v>76536</v>
      </c>
      <c r="AC10" s="17">
        <f t="shared" ref="AC10" si="26">AB10-AB9</f>
        <v>1880</v>
      </c>
      <c r="AD10" s="49">
        <v>633774</v>
      </c>
      <c r="AE10" s="17">
        <f t="shared" ref="AE10" si="27">AD10-AD9</f>
        <v>3381</v>
      </c>
      <c r="AF10" s="49">
        <v>967468</v>
      </c>
      <c r="AG10" s="17">
        <f t="shared" ref="AG10" si="28">AF10-AF9</f>
        <v>1717</v>
      </c>
      <c r="AH10" s="49">
        <v>905207</v>
      </c>
      <c r="AI10" s="17">
        <f t="shared" ref="AI10" si="29">AH10-AH9</f>
        <v>8460</v>
      </c>
      <c r="AK10" s="97">
        <f t="shared" si="18"/>
        <v>209779</v>
      </c>
      <c r="AL10" s="98">
        <f t="shared" si="19"/>
        <v>17823</v>
      </c>
    </row>
    <row r="11" spans="1:38" ht="39.950000000000003" customHeight="1">
      <c r="A11" s="145">
        <v>43894</v>
      </c>
      <c r="B11" s="16"/>
      <c r="C11" s="49">
        <v>896246</v>
      </c>
      <c r="D11" s="17">
        <f t="shared" si="2"/>
        <v>28190</v>
      </c>
      <c r="E11" s="49">
        <v>288736</v>
      </c>
      <c r="F11" s="17">
        <f t="shared" si="2"/>
        <v>49320</v>
      </c>
      <c r="G11" s="49">
        <v>589880</v>
      </c>
      <c r="H11" s="17">
        <f>(G11-G10)*10</f>
        <v>7970</v>
      </c>
      <c r="I11" s="17">
        <f t="shared" si="4"/>
        <v>3985</v>
      </c>
      <c r="J11" s="49">
        <v>875004</v>
      </c>
      <c r="K11" s="17">
        <f t="shared" ref="K11" si="30">(J11-J10)*10</f>
        <v>50620</v>
      </c>
      <c r="L11" s="49">
        <v>930381</v>
      </c>
      <c r="M11" s="17">
        <f t="shared" ref="M11" si="31">(L11-L10)*10</f>
        <v>80270</v>
      </c>
      <c r="N11" s="49">
        <v>519069</v>
      </c>
      <c r="O11" s="17">
        <f t="shared" si="0"/>
        <v>3140</v>
      </c>
      <c r="P11" s="17">
        <f t="shared" si="7"/>
        <v>1570</v>
      </c>
      <c r="Q11" s="49">
        <v>30397</v>
      </c>
      <c r="R11" s="17">
        <f t="shared" si="1"/>
        <v>20</v>
      </c>
      <c r="S11" s="17">
        <f t="shared" si="8"/>
        <v>10</v>
      </c>
      <c r="T11" s="49">
        <v>608</v>
      </c>
      <c r="U11" s="17">
        <f t="shared" ref="U11" si="32">(T11-T10)*10</f>
        <v>10</v>
      </c>
      <c r="V11" s="17">
        <f t="shared" si="10"/>
        <v>5</v>
      </c>
      <c r="W11" s="49">
        <v>26139</v>
      </c>
      <c r="X11" s="17">
        <f t="shared" ref="X11" si="33">W11-W10</f>
        <v>7</v>
      </c>
      <c r="Y11" s="17">
        <f t="shared" si="12"/>
        <v>3.5</v>
      </c>
      <c r="Z11" s="49">
        <v>765586</v>
      </c>
      <c r="AA11" s="17">
        <f t="shared" ref="AA11" si="34">Z11-Z10</f>
        <v>795</v>
      </c>
      <c r="AB11" s="49">
        <v>78507</v>
      </c>
      <c r="AC11" s="17">
        <f t="shared" ref="AC11" si="35">AB11-AB10</f>
        <v>1971</v>
      </c>
      <c r="AD11" s="49">
        <v>637276</v>
      </c>
      <c r="AE11" s="17">
        <f t="shared" ref="AE11" si="36">AD11-AD10</f>
        <v>3502</v>
      </c>
      <c r="AF11" s="49">
        <v>969314</v>
      </c>
      <c r="AG11" s="17">
        <f t="shared" ref="AG11" si="37">AF11-AF10</f>
        <v>1846</v>
      </c>
      <c r="AH11" s="49">
        <v>914003</v>
      </c>
      <c r="AI11" s="17">
        <f t="shared" ref="AI11" si="38">AH11-AH10</f>
        <v>8796</v>
      </c>
      <c r="AK11" s="97">
        <f t="shared" si="18"/>
        <v>213973.5</v>
      </c>
      <c r="AL11" s="98">
        <f t="shared" si="19"/>
        <v>18498.5</v>
      </c>
    </row>
    <row r="12" spans="1:38" ht="39.950000000000003" customHeight="1">
      <c r="A12" s="145">
        <v>43895</v>
      </c>
      <c r="B12" s="16"/>
      <c r="C12" s="49">
        <v>899048</v>
      </c>
      <c r="D12" s="17">
        <f t="shared" si="2"/>
        <v>28020</v>
      </c>
      <c r="E12" s="49">
        <v>293748</v>
      </c>
      <c r="F12" s="17">
        <f t="shared" si="2"/>
        <v>50120</v>
      </c>
      <c r="G12" s="49">
        <v>590553</v>
      </c>
      <c r="H12" s="17">
        <f t="shared" ref="H12" si="39">(G12-G11)*10</f>
        <v>6730</v>
      </c>
      <c r="I12" s="17">
        <f t="shared" si="4"/>
        <v>3365</v>
      </c>
      <c r="J12" s="49">
        <v>880058</v>
      </c>
      <c r="K12" s="17">
        <f t="shared" ref="K12" si="40">(J12-J11)*10</f>
        <v>50540</v>
      </c>
      <c r="L12" s="49">
        <v>938414</v>
      </c>
      <c r="M12" s="17">
        <f t="shared" ref="M12" si="41">(L12-L11)*10</f>
        <v>80330</v>
      </c>
      <c r="N12" s="49">
        <v>519375</v>
      </c>
      <c r="O12" s="17">
        <f t="shared" si="0"/>
        <v>3060</v>
      </c>
      <c r="P12" s="17">
        <f t="shared" si="7"/>
        <v>1530</v>
      </c>
      <c r="Q12" s="49">
        <v>30399</v>
      </c>
      <c r="R12" s="17">
        <f t="shared" si="1"/>
        <v>20</v>
      </c>
      <c r="S12" s="17">
        <f t="shared" si="8"/>
        <v>10</v>
      </c>
      <c r="T12" s="49">
        <v>610</v>
      </c>
      <c r="U12" s="17">
        <f t="shared" ref="U12" si="42">(T12-T11)*10</f>
        <v>20</v>
      </c>
      <c r="V12" s="17">
        <f t="shared" si="10"/>
        <v>10</v>
      </c>
      <c r="W12" s="49">
        <v>26147</v>
      </c>
      <c r="X12" s="17">
        <f t="shared" ref="X12" si="43">W12-W11</f>
        <v>8</v>
      </c>
      <c r="Y12" s="17">
        <f t="shared" si="12"/>
        <v>4</v>
      </c>
      <c r="Z12" s="49">
        <v>766361</v>
      </c>
      <c r="AA12" s="17">
        <f t="shared" ref="AA12" si="44">Z12-Z11</f>
        <v>775</v>
      </c>
      <c r="AB12" s="49">
        <v>80467</v>
      </c>
      <c r="AC12" s="17">
        <f t="shared" ref="AC12" si="45">AB12-AB11</f>
        <v>1960</v>
      </c>
      <c r="AD12" s="49">
        <v>640628</v>
      </c>
      <c r="AE12" s="17">
        <f t="shared" ref="AE12" si="46">AD12-AD11</f>
        <v>3352</v>
      </c>
      <c r="AF12" s="49">
        <v>971055</v>
      </c>
      <c r="AG12" s="17">
        <f t="shared" ref="AG12" si="47">AF12-AF11</f>
        <v>1741</v>
      </c>
      <c r="AH12" s="49">
        <v>922358</v>
      </c>
      <c r="AI12" s="17">
        <f t="shared" ref="AI12" si="48">AH12-AH11</f>
        <v>8355</v>
      </c>
      <c r="AK12" s="97">
        <f t="shared" si="18"/>
        <v>213929</v>
      </c>
      <c r="AL12" s="98">
        <f t="shared" si="19"/>
        <v>17737</v>
      </c>
    </row>
    <row r="13" spans="1:38" ht="39.950000000000003" customHeight="1">
      <c r="A13" s="145">
        <v>43896</v>
      </c>
      <c r="B13" s="16"/>
      <c r="C13" s="49">
        <v>901848</v>
      </c>
      <c r="D13" s="17">
        <f t="shared" si="2"/>
        <v>28000</v>
      </c>
      <c r="E13" s="49">
        <v>298641</v>
      </c>
      <c r="F13" s="17">
        <f t="shared" si="2"/>
        <v>48930</v>
      </c>
      <c r="G13" s="49">
        <v>591177</v>
      </c>
      <c r="H13" s="17">
        <f t="shared" ref="H13" si="49">(G13-G12)*10</f>
        <v>6240</v>
      </c>
      <c r="I13" s="17">
        <f t="shared" si="4"/>
        <v>3120</v>
      </c>
      <c r="J13" s="49">
        <v>885080</v>
      </c>
      <c r="K13" s="17">
        <f t="shared" ref="K13" si="50">(J13-J12)*10</f>
        <v>50220</v>
      </c>
      <c r="L13" s="49">
        <v>946324</v>
      </c>
      <c r="M13" s="17">
        <f t="shared" ref="M13" si="51">(L13-L12)*10</f>
        <v>79100</v>
      </c>
      <c r="N13" s="49">
        <v>519687</v>
      </c>
      <c r="O13" s="17">
        <f t="shared" si="0"/>
        <v>3120</v>
      </c>
      <c r="P13" s="17">
        <f t="shared" si="7"/>
        <v>1560</v>
      </c>
      <c r="Q13" s="49">
        <v>30401</v>
      </c>
      <c r="R13" s="17">
        <f t="shared" si="1"/>
        <v>20</v>
      </c>
      <c r="S13" s="17">
        <f t="shared" si="8"/>
        <v>10</v>
      </c>
      <c r="T13" s="49">
        <v>612</v>
      </c>
      <c r="U13" s="17">
        <f t="shared" ref="U13" si="52">(T13-T12)*10</f>
        <v>20</v>
      </c>
      <c r="V13" s="17">
        <f t="shared" si="10"/>
        <v>10</v>
      </c>
      <c r="W13" s="49">
        <v>26155</v>
      </c>
      <c r="X13" s="17">
        <f t="shared" ref="X13" si="53">W13-W12</f>
        <v>8</v>
      </c>
      <c r="Y13" s="17">
        <f t="shared" si="12"/>
        <v>4</v>
      </c>
      <c r="Z13" s="49">
        <v>767151</v>
      </c>
      <c r="AA13" s="17">
        <f t="shared" ref="AA13" si="54">Z13-Z12</f>
        <v>790</v>
      </c>
      <c r="AB13" s="49">
        <v>82409</v>
      </c>
      <c r="AC13" s="17">
        <f t="shared" ref="AC13" si="55">AB13-AB12</f>
        <v>1942</v>
      </c>
      <c r="AD13" s="49">
        <v>643968</v>
      </c>
      <c r="AE13" s="17">
        <f t="shared" ref="AE13" si="56">AD13-AD12</f>
        <v>3340</v>
      </c>
      <c r="AF13" s="49">
        <v>972825</v>
      </c>
      <c r="AG13" s="17">
        <f t="shared" ref="AG13" si="57">AF13-AF12</f>
        <v>1770</v>
      </c>
      <c r="AH13" s="49">
        <v>930920</v>
      </c>
      <c r="AI13" s="17">
        <f t="shared" ref="AI13" si="58">AH13-AH12</f>
        <v>8562</v>
      </c>
      <c r="AK13" s="97">
        <f t="shared" si="18"/>
        <v>210954</v>
      </c>
      <c r="AL13" s="98">
        <f t="shared" si="19"/>
        <v>17988</v>
      </c>
    </row>
    <row r="14" spans="1:38" ht="39.950000000000003" customHeight="1">
      <c r="A14" s="145">
        <v>43897</v>
      </c>
      <c r="B14" s="16"/>
      <c r="C14" s="49">
        <v>904610</v>
      </c>
      <c r="D14" s="17">
        <f t="shared" si="2"/>
        <v>27620</v>
      </c>
      <c r="E14" s="49">
        <v>303568</v>
      </c>
      <c r="F14" s="17">
        <f t="shared" si="2"/>
        <v>49270</v>
      </c>
      <c r="G14" s="49">
        <v>592001</v>
      </c>
      <c r="H14" s="17">
        <f t="shared" ref="H14" si="59">(G14-G13)*10</f>
        <v>8240</v>
      </c>
      <c r="I14" s="17">
        <f t="shared" si="4"/>
        <v>4120</v>
      </c>
      <c r="J14" s="49">
        <v>890080</v>
      </c>
      <c r="K14" s="17">
        <f t="shared" ref="K14" si="60">(J14-J13)*10</f>
        <v>50000</v>
      </c>
      <c r="L14" s="49">
        <v>954459</v>
      </c>
      <c r="M14" s="17">
        <f t="shared" ref="M14" si="61">(L14-L13)*10</f>
        <v>81350</v>
      </c>
      <c r="N14" s="49">
        <v>520017</v>
      </c>
      <c r="O14" s="17">
        <f t="shared" si="0"/>
        <v>3300</v>
      </c>
      <c r="P14" s="17">
        <f t="shared" si="7"/>
        <v>1650</v>
      </c>
      <c r="Q14" s="49">
        <v>30403</v>
      </c>
      <c r="R14" s="17">
        <f t="shared" si="1"/>
        <v>20</v>
      </c>
      <c r="S14" s="17">
        <f t="shared" si="8"/>
        <v>10</v>
      </c>
      <c r="T14" s="49">
        <v>614</v>
      </c>
      <c r="U14" s="17">
        <f t="shared" ref="U14" si="62">(T14-T13)*10</f>
        <v>20</v>
      </c>
      <c r="V14" s="17">
        <f t="shared" si="10"/>
        <v>10</v>
      </c>
      <c r="W14" s="49">
        <v>26162</v>
      </c>
      <c r="X14" s="17">
        <f t="shared" ref="X14" si="63">W14-W13</f>
        <v>7</v>
      </c>
      <c r="Y14" s="17">
        <f t="shared" si="12"/>
        <v>3.5</v>
      </c>
      <c r="Z14" s="49">
        <v>767920</v>
      </c>
      <c r="AA14" s="17">
        <f t="shared" ref="AA14" si="64">Z14-Z13</f>
        <v>769</v>
      </c>
      <c r="AB14" s="49">
        <v>84336</v>
      </c>
      <c r="AC14" s="17">
        <f t="shared" ref="AC14" si="65">AB14-AB13</f>
        <v>1927</v>
      </c>
      <c r="AD14" s="49">
        <v>647209</v>
      </c>
      <c r="AE14" s="17">
        <f t="shared" ref="AE14" si="66">AD14-AD13</f>
        <v>3241</v>
      </c>
      <c r="AF14" s="49">
        <v>974559</v>
      </c>
      <c r="AG14" s="17">
        <f t="shared" ref="AG14" si="67">AF14-AF13</f>
        <v>1734</v>
      </c>
      <c r="AH14" s="49">
        <v>939795</v>
      </c>
      <c r="AI14" s="17">
        <f t="shared" ref="AI14" si="68">AH14-AH13</f>
        <v>8875</v>
      </c>
      <c r="AK14" s="97">
        <f t="shared" si="18"/>
        <v>214033.5</v>
      </c>
      <c r="AL14" s="98">
        <f t="shared" si="19"/>
        <v>18219.5</v>
      </c>
    </row>
    <row r="15" spans="1:38" ht="39.950000000000003" customHeight="1">
      <c r="A15" s="145">
        <v>43898</v>
      </c>
      <c r="B15" s="16"/>
      <c r="C15" s="49">
        <v>907444</v>
      </c>
      <c r="D15" s="17">
        <f t="shared" si="2"/>
        <v>28340</v>
      </c>
      <c r="E15" s="49">
        <v>308586</v>
      </c>
      <c r="F15" s="17">
        <f t="shared" si="2"/>
        <v>50180</v>
      </c>
      <c r="G15" s="49">
        <v>593070</v>
      </c>
      <c r="H15" s="17">
        <f t="shared" ref="H15" si="69">(G15-G14)*10</f>
        <v>10690</v>
      </c>
      <c r="I15" s="17">
        <f t="shared" si="4"/>
        <v>5345</v>
      </c>
      <c r="J15" s="49">
        <v>895306</v>
      </c>
      <c r="K15" s="17">
        <f t="shared" ref="K15" si="70">(J15-J14)*10</f>
        <v>52260</v>
      </c>
      <c r="L15" s="49">
        <v>962215</v>
      </c>
      <c r="M15" s="17">
        <f t="shared" ref="M15" si="71">(L15-L14)*10</f>
        <v>77560</v>
      </c>
      <c r="N15" s="49">
        <v>520371</v>
      </c>
      <c r="O15" s="17">
        <f t="shared" si="0"/>
        <v>3540</v>
      </c>
      <c r="P15" s="17">
        <f t="shared" si="7"/>
        <v>1770</v>
      </c>
      <c r="Q15" s="49">
        <v>30405</v>
      </c>
      <c r="R15" s="17">
        <f t="shared" si="1"/>
        <v>20</v>
      </c>
      <c r="S15" s="17">
        <f t="shared" si="8"/>
        <v>10</v>
      </c>
      <c r="T15" s="49">
        <v>615</v>
      </c>
      <c r="U15" s="17">
        <f t="shared" ref="U15" si="72">(T15-T14)*10</f>
        <v>10</v>
      </c>
      <c r="V15" s="17">
        <f t="shared" si="10"/>
        <v>5</v>
      </c>
      <c r="W15" s="49">
        <v>26170</v>
      </c>
      <c r="X15" s="17">
        <f t="shared" ref="X15" si="73">W15-W14</f>
        <v>8</v>
      </c>
      <c r="Y15" s="17">
        <f t="shared" si="12"/>
        <v>4</v>
      </c>
      <c r="Z15" s="49">
        <v>768753</v>
      </c>
      <c r="AA15" s="17">
        <f t="shared" ref="AA15" si="74">Z15-Z14</f>
        <v>833</v>
      </c>
      <c r="AB15" s="49">
        <v>86263</v>
      </c>
      <c r="AC15" s="17">
        <f t="shared" ref="AC15" si="75">AB15-AB14</f>
        <v>1927</v>
      </c>
      <c r="AD15" s="49">
        <v>650521</v>
      </c>
      <c r="AE15" s="17">
        <f t="shared" ref="AE15" si="76">AD15-AD14</f>
        <v>3312</v>
      </c>
      <c r="AF15" s="49">
        <v>976396</v>
      </c>
      <c r="AG15" s="17">
        <f t="shared" ref="AG15" si="77">AF15-AF14</f>
        <v>1837</v>
      </c>
      <c r="AH15" s="49">
        <v>949004</v>
      </c>
      <c r="AI15" s="17">
        <f t="shared" ref="AI15" si="78">AH15-AH14</f>
        <v>9209</v>
      </c>
      <c r="AK15" s="97">
        <f t="shared" si="18"/>
        <v>215474</v>
      </c>
      <c r="AL15" s="98">
        <f t="shared" si="19"/>
        <v>18907</v>
      </c>
    </row>
    <row r="16" spans="1:38" ht="39.950000000000003" customHeight="1">
      <c r="A16" s="145">
        <v>43899</v>
      </c>
      <c r="B16" s="16"/>
      <c r="C16" s="49">
        <v>910365</v>
      </c>
      <c r="D16" s="17">
        <f t="shared" si="2"/>
        <v>29210</v>
      </c>
      <c r="E16" s="49">
        <v>313313</v>
      </c>
      <c r="F16" s="17">
        <f t="shared" si="2"/>
        <v>47270</v>
      </c>
      <c r="G16" s="49">
        <v>594012</v>
      </c>
      <c r="H16" s="17">
        <f t="shared" ref="H16" si="79">(G16-G15)*10</f>
        <v>9420</v>
      </c>
      <c r="I16" s="17">
        <f t="shared" si="4"/>
        <v>4710</v>
      </c>
      <c r="J16" s="49">
        <v>900509</v>
      </c>
      <c r="K16" s="17">
        <f t="shared" ref="K16" si="80">(J16-J15)*10</f>
        <v>52030</v>
      </c>
      <c r="L16" s="49">
        <v>970023</v>
      </c>
      <c r="M16" s="17">
        <f t="shared" ref="M16" si="81">(L16-L15)*10</f>
        <v>78080</v>
      </c>
      <c r="N16" s="49">
        <v>521115</v>
      </c>
      <c r="O16" s="17">
        <f t="shared" si="0"/>
        <v>7440</v>
      </c>
      <c r="P16" s="17">
        <f t="shared" si="7"/>
        <v>3720</v>
      </c>
      <c r="Q16" s="49">
        <v>30407</v>
      </c>
      <c r="R16" s="17">
        <f t="shared" si="1"/>
        <v>20</v>
      </c>
      <c r="S16" s="17">
        <f t="shared" si="8"/>
        <v>10</v>
      </c>
      <c r="T16" s="49">
        <v>617</v>
      </c>
      <c r="U16" s="17">
        <f t="shared" ref="U16" si="82">(T16-T15)*10</f>
        <v>20</v>
      </c>
      <c r="V16" s="17">
        <f t="shared" si="10"/>
        <v>10</v>
      </c>
      <c r="W16" s="49">
        <v>26177</v>
      </c>
      <c r="X16" s="17">
        <f t="shared" ref="X16" si="83">W16-W15</f>
        <v>7</v>
      </c>
      <c r="Y16" s="17">
        <f t="shared" si="12"/>
        <v>3.5</v>
      </c>
      <c r="Z16" s="49">
        <v>769528</v>
      </c>
      <c r="AA16" s="17">
        <f t="shared" ref="AA16" si="84">Z16-Z15</f>
        <v>775</v>
      </c>
      <c r="AB16" s="49">
        <v>88253</v>
      </c>
      <c r="AC16" s="17">
        <f t="shared" ref="AC16" si="85">AB16-AB15</f>
        <v>1990</v>
      </c>
      <c r="AD16" s="49">
        <v>653934</v>
      </c>
      <c r="AE16" s="17">
        <f t="shared" ref="AE16" si="86">AD16-AD15</f>
        <v>3413</v>
      </c>
      <c r="AF16" s="49">
        <v>978145</v>
      </c>
      <c r="AG16" s="17">
        <f t="shared" ref="AG16" si="87">AF16-AF15</f>
        <v>1749</v>
      </c>
      <c r="AH16" s="49">
        <v>958106</v>
      </c>
      <c r="AI16" s="17">
        <f t="shared" ref="AI16" si="88">AH16-AH15</f>
        <v>9102</v>
      </c>
      <c r="AK16" s="97">
        <f t="shared" si="18"/>
        <v>215043.5</v>
      </c>
      <c r="AL16" s="98">
        <f t="shared" si="19"/>
        <v>20772.5</v>
      </c>
    </row>
    <row r="17" spans="1:38" ht="39.950000000000003" customHeight="1">
      <c r="A17" s="145">
        <v>43900</v>
      </c>
      <c r="B17" s="16"/>
      <c r="C17" s="49">
        <v>913272</v>
      </c>
      <c r="D17" s="17">
        <f t="shared" si="2"/>
        <v>29070</v>
      </c>
      <c r="E17" s="49">
        <v>318253</v>
      </c>
      <c r="F17" s="17">
        <f t="shared" si="2"/>
        <v>49400</v>
      </c>
      <c r="G17" s="49">
        <v>594563</v>
      </c>
      <c r="H17" s="17">
        <f t="shared" ref="H17" si="89">(G17-G16)*10</f>
        <v>5510</v>
      </c>
      <c r="I17" s="17">
        <f t="shared" si="4"/>
        <v>2755</v>
      </c>
      <c r="J17" s="49">
        <v>905622</v>
      </c>
      <c r="K17" s="17">
        <f t="shared" ref="K17" si="90">(J17-J16)*10</f>
        <v>51130</v>
      </c>
      <c r="L17" s="49">
        <v>978316</v>
      </c>
      <c r="M17" s="17">
        <f t="shared" ref="M17" si="91">(L17-L16)*10</f>
        <v>82930</v>
      </c>
      <c r="N17" s="49">
        <v>521891</v>
      </c>
      <c r="O17" s="17">
        <f t="shared" si="0"/>
        <v>7760</v>
      </c>
      <c r="P17" s="17">
        <f t="shared" si="7"/>
        <v>3880</v>
      </c>
      <c r="Q17" s="49">
        <v>30482</v>
      </c>
      <c r="R17" s="17">
        <f t="shared" si="1"/>
        <v>750</v>
      </c>
      <c r="S17" s="17">
        <f t="shared" si="8"/>
        <v>375</v>
      </c>
      <c r="T17" s="49">
        <v>619</v>
      </c>
      <c r="U17" s="17">
        <f t="shared" ref="U17" si="92">(T17-T16)*10</f>
        <v>20</v>
      </c>
      <c r="V17" s="17">
        <f t="shared" si="10"/>
        <v>10</v>
      </c>
      <c r="W17" s="49">
        <v>26185</v>
      </c>
      <c r="X17" s="17">
        <f t="shared" ref="X17" si="93">W17-W16</f>
        <v>8</v>
      </c>
      <c r="Y17" s="17">
        <f t="shared" si="12"/>
        <v>4</v>
      </c>
      <c r="Z17" s="49">
        <v>770317</v>
      </c>
      <c r="AA17" s="17">
        <f t="shared" ref="AA17" si="94">Z17-Z16</f>
        <v>789</v>
      </c>
      <c r="AB17" s="49">
        <v>90125</v>
      </c>
      <c r="AC17" s="17">
        <f t="shared" ref="AC17" si="95">AB17-AB16</f>
        <v>1872</v>
      </c>
      <c r="AD17" s="49">
        <v>657304</v>
      </c>
      <c r="AE17" s="17">
        <f t="shared" ref="AE17" si="96">AD17-AD16</f>
        <v>3370</v>
      </c>
      <c r="AF17" s="49">
        <v>979878</v>
      </c>
      <c r="AG17" s="17">
        <f t="shared" ref="AG17" si="97">AF17-AF16</f>
        <v>1733</v>
      </c>
      <c r="AH17" s="49">
        <v>966975</v>
      </c>
      <c r="AI17" s="17">
        <f t="shared" ref="AI17" si="98">AH17-AH16</f>
        <v>8869</v>
      </c>
      <c r="AK17" s="97">
        <f t="shared" si="18"/>
        <v>219554</v>
      </c>
      <c r="AL17" s="98">
        <f t="shared" si="19"/>
        <v>20902</v>
      </c>
    </row>
    <row r="18" spans="1:38" ht="39.950000000000003" customHeight="1">
      <c r="A18" s="145">
        <v>43901</v>
      </c>
      <c r="B18" s="16"/>
      <c r="C18" s="49">
        <v>916156</v>
      </c>
      <c r="D18" s="17">
        <f t="shared" si="2"/>
        <v>28840</v>
      </c>
      <c r="E18" s="49">
        <v>323200</v>
      </c>
      <c r="F18" s="17">
        <f t="shared" si="2"/>
        <v>49470</v>
      </c>
      <c r="G18" s="49">
        <v>594806</v>
      </c>
      <c r="H18" s="17">
        <f t="shared" ref="H18" si="99">(G18-G17)*10</f>
        <v>2430</v>
      </c>
      <c r="I18" s="17">
        <f t="shared" si="4"/>
        <v>1215</v>
      </c>
      <c r="J18" s="49">
        <v>910786</v>
      </c>
      <c r="K18" s="17">
        <f t="shared" ref="K18" si="100">(J18-J17)*10</f>
        <v>51640</v>
      </c>
      <c r="L18" s="49">
        <v>986917</v>
      </c>
      <c r="M18" s="17">
        <f t="shared" ref="M18" si="101">(L18-L17)*10</f>
        <v>86010</v>
      </c>
      <c r="N18" s="49">
        <v>522752</v>
      </c>
      <c r="O18" s="17">
        <f t="shared" si="0"/>
        <v>8610</v>
      </c>
      <c r="P18" s="17">
        <f t="shared" si="7"/>
        <v>4305</v>
      </c>
      <c r="Q18" s="49">
        <v>30484</v>
      </c>
      <c r="R18" s="17">
        <f t="shared" si="1"/>
        <v>20</v>
      </c>
      <c r="S18" s="17">
        <f t="shared" si="8"/>
        <v>10</v>
      </c>
      <c r="T18" s="49">
        <v>621</v>
      </c>
      <c r="U18" s="17">
        <f t="shared" ref="U18" si="102">(T18-T17)*10</f>
        <v>20</v>
      </c>
      <c r="V18" s="17">
        <f t="shared" si="10"/>
        <v>10</v>
      </c>
      <c r="W18" s="49">
        <v>26193</v>
      </c>
      <c r="X18" s="17">
        <f t="shared" ref="X18" si="103">W18-W17</f>
        <v>8</v>
      </c>
      <c r="Y18" s="17">
        <f t="shared" si="12"/>
        <v>4</v>
      </c>
      <c r="Z18" s="49">
        <v>771122</v>
      </c>
      <c r="AA18" s="17">
        <f t="shared" ref="AA18" si="104">Z18-Z17</f>
        <v>805</v>
      </c>
      <c r="AB18" s="49">
        <v>92185</v>
      </c>
      <c r="AC18" s="17">
        <f t="shared" ref="AC18" si="105">AB18-AB17</f>
        <v>2060</v>
      </c>
      <c r="AD18" s="49">
        <v>660669</v>
      </c>
      <c r="AE18" s="17">
        <f t="shared" ref="AE18" si="106">AD18-AD17</f>
        <v>3365</v>
      </c>
      <c r="AF18" s="49">
        <v>981783</v>
      </c>
      <c r="AG18" s="17">
        <f t="shared" ref="AG18" si="107">AF18-AF17</f>
        <v>1905</v>
      </c>
      <c r="AH18" s="49">
        <v>975859</v>
      </c>
      <c r="AI18" s="17">
        <f t="shared" ref="AI18" si="108">AH18-AH17</f>
        <v>8884</v>
      </c>
      <c r="AK18" s="97">
        <f t="shared" si="18"/>
        <v>221504</v>
      </c>
      <c r="AL18" s="98">
        <f t="shared" si="19"/>
        <v>21348</v>
      </c>
    </row>
    <row r="19" spans="1:38" ht="39.950000000000003" customHeight="1">
      <c r="A19" s="145">
        <v>43902</v>
      </c>
      <c r="B19" s="16"/>
      <c r="C19" s="49">
        <v>919202</v>
      </c>
      <c r="D19" s="17">
        <f t="shared" si="2"/>
        <v>30460</v>
      </c>
      <c r="E19" s="49">
        <v>328290</v>
      </c>
      <c r="F19" s="17">
        <f t="shared" si="2"/>
        <v>50900</v>
      </c>
      <c r="G19" s="49">
        <v>595010</v>
      </c>
      <c r="H19" s="17">
        <f t="shared" ref="H19" si="109">(G19-G18)*10</f>
        <v>2040</v>
      </c>
      <c r="I19" s="17">
        <f t="shared" si="4"/>
        <v>1020</v>
      </c>
      <c r="J19" s="49">
        <v>916073</v>
      </c>
      <c r="K19" s="17">
        <f t="shared" ref="K19" si="110">(J19-J18)*10</f>
        <v>52870</v>
      </c>
      <c r="L19" s="49">
        <v>995688</v>
      </c>
      <c r="M19" s="17">
        <f t="shared" ref="M19" si="111">(L19-L18)*10</f>
        <v>87710</v>
      </c>
      <c r="N19" s="49">
        <v>523695</v>
      </c>
      <c r="O19" s="17">
        <f t="shared" si="0"/>
        <v>9430</v>
      </c>
      <c r="P19" s="17">
        <f t="shared" si="7"/>
        <v>4715</v>
      </c>
      <c r="Q19" s="49">
        <v>30486</v>
      </c>
      <c r="R19" s="17">
        <f t="shared" si="1"/>
        <v>20</v>
      </c>
      <c r="S19" s="17">
        <f t="shared" si="8"/>
        <v>10</v>
      </c>
      <c r="T19" s="49">
        <v>623</v>
      </c>
      <c r="U19" s="17">
        <f t="shared" ref="U19" si="112">(T19-T18)*10</f>
        <v>20</v>
      </c>
      <c r="V19" s="17">
        <f t="shared" si="10"/>
        <v>10</v>
      </c>
      <c r="W19" s="49">
        <v>26201</v>
      </c>
      <c r="X19" s="17">
        <f t="shared" ref="X19" si="113">W19-W18</f>
        <v>8</v>
      </c>
      <c r="Y19" s="17">
        <f t="shared" si="12"/>
        <v>4</v>
      </c>
      <c r="Z19" s="49">
        <v>772008</v>
      </c>
      <c r="AA19" s="17">
        <f t="shared" ref="AA19" si="114">Z19-Z18</f>
        <v>886</v>
      </c>
      <c r="AB19" s="49">
        <v>94157</v>
      </c>
      <c r="AC19" s="17">
        <f t="shared" ref="AC19" si="115">AB19-AB18</f>
        <v>1972</v>
      </c>
      <c r="AD19" s="49">
        <v>664002</v>
      </c>
      <c r="AE19" s="17">
        <f t="shared" ref="AE19" si="116">AD19-AD18</f>
        <v>3333</v>
      </c>
      <c r="AF19" s="49">
        <v>983587</v>
      </c>
      <c r="AG19" s="17">
        <f t="shared" ref="AG19" si="117">AF19-AF18</f>
        <v>1804</v>
      </c>
      <c r="AH19" s="49">
        <v>984851</v>
      </c>
      <c r="AI19" s="17">
        <f t="shared" ref="AI19" si="118">AH19-AH18</f>
        <v>8992</v>
      </c>
      <c r="AK19" s="97">
        <f t="shared" si="18"/>
        <v>227699</v>
      </c>
      <c r="AL19" s="98">
        <f t="shared" si="19"/>
        <v>21726</v>
      </c>
    </row>
    <row r="20" spans="1:38" ht="39.950000000000003" customHeight="1">
      <c r="A20" s="145">
        <v>43903</v>
      </c>
      <c r="B20" s="16"/>
      <c r="C20" s="49">
        <v>921858</v>
      </c>
      <c r="D20" s="17">
        <f t="shared" si="2"/>
        <v>26560</v>
      </c>
      <c r="E20" s="49">
        <v>333238</v>
      </c>
      <c r="F20" s="17">
        <f t="shared" si="2"/>
        <v>49480</v>
      </c>
      <c r="G20" s="49">
        <v>595255</v>
      </c>
      <c r="H20" s="17">
        <f t="shared" ref="H20" si="119">(G20-G19)*10</f>
        <v>2450</v>
      </c>
      <c r="I20" s="17">
        <f t="shared" si="4"/>
        <v>1225</v>
      </c>
      <c r="J20" s="49">
        <v>921273</v>
      </c>
      <c r="K20" s="17">
        <f t="shared" ref="K20" si="120">(J20-J19)*10</f>
        <v>52000</v>
      </c>
      <c r="L20" s="49">
        <v>1004537</v>
      </c>
      <c r="M20" s="17">
        <f t="shared" ref="M20" si="121">(L20-L19)*10</f>
        <v>88490</v>
      </c>
      <c r="N20" s="49">
        <v>524898</v>
      </c>
      <c r="O20" s="17">
        <f t="shared" si="0"/>
        <v>12030</v>
      </c>
      <c r="P20" s="17">
        <f t="shared" si="7"/>
        <v>6015</v>
      </c>
      <c r="Q20" s="49">
        <v>30488</v>
      </c>
      <c r="R20" s="17">
        <f t="shared" si="1"/>
        <v>20</v>
      </c>
      <c r="S20" s="17">
        <f t="shared" si="8"/>
        <v>10</v>
      </c>
      <c r="T20" s="49">
        <v>624</v>
      </c>
      <c r="U20" s="17">
        <f t="shared" ref="U20" si="122">(T20-T19)*10</f>
        <v>10</v>
      </c>
      <c r="V20" s="17">
        <f t="shared" si="10"/>
        <v>5</v>
      </c>
      <c r="W20" s="49">
        <v>26209</v>
      </c>
      <c r="X20" s="17">
        <f t="shared" ref="X20" si="123">W20-W19</f>
        <v>8</v>
      </c>
      <c r="Y20" s="17">
        <f t="shared" si="12"/>
        <v>4</v>
      </c>
      <c r="Z20" s="49">
        <v>772836</v>
      </c>
      <c r="AA20" s="17">
        <f t="shared" ref="AA20" si="124">Z20-Z19</f>
        <v>828</v>
      </c>
      <c r="AB20" s="49">
        <v>96068</v>
      </c>
      <c r="AC20" s="17">
        <f t="shared" ref="AC20" si="125">AB20-AB19</f>
        <v>1911</v>
      </c>
      <c r="AD20" s="49">
        <v>667341</v>
      </c>
      <c r="AE20" s="17">
        <f t="shared" ref="AE20" si="126">AD20-AD19</f>
        <v>3339</v>
      </c>
      <c r="AF20" s="49">
        <v>985303</v>
      </c>
      <c r="AG20" s="17">
        <f t="shared" ref="AG20" si="127">AF20-AF19</f>
        <v>1716</v>
      </c>
      <c r="AH20" s="49">
        <v>993874</v>
      </c>
      <c r="AI20" s="17">
        <f t="shared" ref="AI20" si="128">AH20-AH19</f>
        <v>9023</v>
      </c>
      <c r="AK20" s="97">
        <f t="shared" si="18"/>
        <v>223789</v>
      </c>
      <c r="AL20" s="98">
        <f t="shared" si="19"/>
        <v>22851</v>
      </c>
    </row>
    <row r="21" spans="1:38" ht="39.950000000000003" customHeight="1">
      <c r="A21" s="145">
        <v>43904</v>
      </c>
      <c r="B21" s="16"/>
      <c r="C21" s="49">
        <v>924615</v>
      </c>
      <c r="D21" s="17">
        <f t="shared" si="2"/>
        <v>27570</v>
      </c>
      <c r="E21" s="49">
        <v>338121</v>
      </c>
      <c r="F21" s="17">
        <f t="shared" si="2"/>
        <v>48830</v>
      </c>
      <c r="G21" s="49">
        <v>595870</v>
      </c>
      <c r="H21" s="17">
        <f t="shared" ref="H21" si="129">(G21-G20)*10</f>
        <v>6150</v>
      </c>
      <c r="I21" s="17">
        <f t="shared" si="4"/>
        <v>3075</v>
      </c>
      <c r="J21" s="49">
        <v>926372</v>
      </c>
      <c r="K21" s="17">
        <f t="shared" ref="K21" si="130">(J21-J20)*10</f>
        <v>50990</v>
      </c>
      <c r="L21" s="49">
        <v>1013034</v>
      </c>
      <c r="M21" s="17">
        <f t="shared" ref="M21" si="131">(L21-L20)*10</f>
        <v>84970</v>
      </c>
      <c r="N21" s="49">
        <v>525342</v>
      </c>
      <c r="O21" s="17">
        <f t="shared" si="0"/>
        <v>4440</v>
      </c>
      <c r="P21" s="17">
        <f t="shared" si="7"/>
        <v>2220</v>
      </c>
      <c r="Q21" s="49">
        <v>30671</v>
      </c>
      <c r="R21" s="17">
        <f t="shared" si="1"/>
        <v>1830</v>
      </c>
      <c r="S21" s="17">
        <f t="shared" si="8"/>
        <v>915</v>
      </c>
      <c r="T21" s="49">
        <v>626</v>
      </c>
      <c r="U21" s="17">
        <f t="shared" ref="U21" si="132">(T21-T20)*10</f>
        <v>20</v>
      </c>
      <c r="V21" s="17">
        <f t="shared" si="10"/>
        <v>10</v>
      </c>
      <c r="W21" s="49">
        <v>26217</v>
      </c>
      <c r="X21" s="17">
        <f t="shared" ref="X21" si="133">W21-W20</f>
        <v>8</v>
      </c>
      <c r="Y21" s="17">
        <f t="shared" si="12"/>
        <v>4</v>
      </c>
      <c r="Z21" s="49">
        <v>773640</v>
      </c>
      <c r="AA21" s="17">
        <f t="shared" ref="AA21" si="134">Z21-Z20</f>
        <v>804</v>
      </c>
      <c r="AB21" s="49">
        <v>98031</v>
      </c>
      <c r="AC21" s="17">
        <f t="shared" ref="AC21" si="135">AB21-AB20</f>
        <v>1963</v>
      </c>
      <c r="AD21" s="49">
        <v>670685</v>
      </c>
      <c r="AE21" s="17">
        <f t="shared" ref="AE21" si="136">AD21-AD20</f>
        <v>3344</v>
      </c>
      <c r="AF21" s="49">
        <v>986965</v>
      </c>
      <c r="AG21" s="17">
        <f t="shared" ref="AG21" si="137">AF21-AF20</f>
        <v>1662</v>
      </c>
      <c r="AH21" s="49">
        <v>1002926</v>
      </c>
      <c r="AI21" s="17">
        <f t="shared" ref="AI21" si="138">AH21-AH20</f>
        <v>9052</v>
      </c>
      <c r="AK21" s="97">
        <f t="shared" si="18"/>
        <v>218584</v>
      </c>
      <c r="AL21" s="98">
        <f t="shared" si="19"/>
        <v>19974</v>
      </c>
    </row>
    <row r="22" spans="1:38" ht="39.950000000000003" customHeight="1">
      <c r="A22" s="145">
        <v>43905</v>
      </c>
      <c r="B22" s="16"/>
      <c r="C22" s="49">
        <v>927367</v>
      </c>
      <c r="D22" s="17">
        <f t="shared" si="2"/>
        <v>27520</v>
      </c>
      <c r="E22" s="49">
        <v>342816</v>
      </c>
      <c r="F22" s="17">
        <f t="shared" si="2"/>
        <v>46950</v>
      </c>
      <c r="G22" s="49">
        <v>596268</v>
      </c>
      <c r="H22" s="17">
        <f t="shared" ref="H22" si="139">(G22-G21)*10</f>
        <v>3980</v>
      </c>
      <c r="I22" s="17">
        <f t="shared" si="4"/>
        <v>1990</v>
      </c>
      <c r="J22" s="49">
        <v>931434</v>
      </c>
      <c r="K22" s="17">
        <f t="shared" ref="K22" si="140">(J22-J21)*10</f>
        <v>50620</v>
      </c>
      <c r="L22" s="49">
        <v>1020772</v>
      </c>
      <c r="M22" s="17">
        <f t="shared" ref="M22" si="141">(L22-L21)*10</f>
        <v>77380</v>
      </c>
      <c r="N22" s="49">
        <v>526031</v>
      </c>
      <c r="O22" s="17">
        <f t="shared" si="0"/>
        <v>6890</v>
      </c>
      <c r="P22" s="17">
        <f t="shared" si="7"/>
        <v>3445</v>
      </c>
      <c r="Q22" s="49">
        <v>30673</v>
      </c>
      <c r="R22" s="17">
        <f t="shared" si="1"/>
        <v>20</v>
      </c>
      <c r="S22" s="17">
        <f t="shared" si="8"/>
        <v>10</v>
      </c>
      <c r="T22" s="49">
        <v>628</v>
      </c>
      <c r="U22" s="17">
        <f t="shared" ref="U22" si="142">(T22-T21)*10</f>
        <v>20</v>
      </c>
      <c r="V22" s="17">
        <f t="shared" si="10"/>
        <v>10</v>
      </c>
      <c r="W22" s="49">
        <v>26225</v>
      </c>
      <c r="X22" s="17">
        <f t="shared" ref="X22" si="143">W22-W21</f>
        <v>8</v>
      </c>
      <c r="Y22" s="17">
        <f t="shared" si="12"/>
        <v>4</v>
      </c>
      <c r="Z22" s="49">
        <v>774433</v>
      </c>
      <c r="AA22" s="17">
        <f t="shared" ref="AA22" si="144">Z22-Z21</f>
        <v>793</v>
      </c>
      <c r="AB22" s="49">
        <v>100010</v>
      </c>
      <c r="AC22" s="17">
        <f t="shared" ref="AC22" si="145">AB22-AB21</f>
        <v>1979</v>
      </c>
      <c r="AD22" s="49">
        <v>673904</v>
      </c>
      <c r="AE22" s="17">
        <f t="shared" ref="AE22" si="146">AD22-AD21</f>
        <v>3219</v>
      </c>
      <c r="AF22" s="49">
        <v>988695</v>
      </c>
      <c r="AG22" s="17">
        <f t="shared" ref="AG22" si="147">AF22-AF21</f>
        <v>1730</v>
      </c>
      <c r="AH22" s="49">
        <v>1011921</v>
      </c>
      <c r="AI22" s="17">
        <f t="shared" ref="AI22" si="148">AH22-AH21</f>
        <v>8995</v>
      </c>
      <c r="AK22" s="97">
        <f t="shared" si="18"/>
        <v>207929</v>
      </c>
      <c r="AL22" s="98">
        <f t="shared" si="19"/>
        <v>20185</v>
      </c>
    </row>
    <row r="23" spans="1:38" ht="39.950000000000003" customHeight="1">
      <c r="A23" s="145">
        <v>43906</v>
      </c>
      <c r="B23" s="16"/>
      <c r="C23" s="49">
        <v>930156</v>
      </c>
      <c r="D23" s="17">
        <f t="shared" si="2"/>
        <v>27890</v>
      </c>
      <c r="E23" s="49">
        <v>347637</v>
      </c>
      <c r="F23" s="17">
        <f t="shared" si="2"/>
        <v>48210</v>
      </c>
      <c r="G23" s="49">
        <v>596631</v>
      </c>
      <c r="H23" s="17">
        <f t="shared" ref="H23" si="149">(G23-G22)*10</f>
        <v>3630</v>
      </c>
      <c r="I23" s="17">
        <f t="shared" si="4"/>
        <v>1815</v>
      </c>
      <c r="J23" s="49">
        <v>936613</v>
      </c>
      <c r="K23" s="17">
        <f t="shared" ref="K23" si="150">(J23-J22)*10</f>
        <v>51790</v>
      </c>
      <c r="L23" s="49">
        <v>1028117</v>
      </c>
      <c r="M23" s="17">
        <f t="shared" ref="M23" si="151">(L23-L22)*10</f>
        <v>73450</v>
      </c>
      <c r="N23" s="49">
        <v>526795</v>
      </c>
      <c r="O23" s="17">
        <f t="shared" si="0"/>
        <v>7640</v>
      </c>
      <c r="P23" s="17">
        <f t="shared" si="7"/>
        <v>3820</v>
      </c>
      <c r="Q23" s="49">
        <v>30675</v>
      </c>
      <c r="R23" s="17">
        <f t="shared" si="1"/>
        <v>20</v>
      </c>
      <c r="S23" s="17">
        <f t="shared" si="8"/>
        <v>10</v>
      </c>
      <c r="T23" s="49">
        <v>630</v>
      </c>
      <c r="U23" s="17">
        <f t="shared" ref="U23" si="152">(T23-T22)*10</f>
        <v>20</v>
      </c>
      <c r="V23" s="17">
        <f t="shared" si="10"/>
        <v>10</v>
      </c>
      <c r="W23" s="49">
        <v>26232</v>
      </c>
      <c r="X23" s="17">
        <f t="shared" ref="X23" si="153">W23-W22</f>
        <v>7</v>
      </c>
      <c r="Y23" s="17">
        <f t="shared" si="12"/>
        <v>3.5</v>
      </c>
      <c r="Z23" s="49">
        <v>775219</v>
      </c>
      <c r="AA23" s="17">
        <f t="shared" ref="AA23" si="154">Z23-Z22</f>
        <v>786</v>
      </c>
      <c r="AB23" s="49">
        <v>102092</v>
      </c>
      <c r="AC23" s="17">
        <f t="shared" ref="AC23" si="155">AB23-AB22</f>
        <v>2082</v>
      </c>
      <c r="AD23" s="49">
        <v>677232</v>
      </c>
      <c r="AE23" s="17">
        <f t="shared" ref="AE23" si="156">AD23-AD22</f>
        <v>3328</v>
      </c>
      <c r="AF23" s="49">
        <v>990373</v>
      </c>
      <c r="AG23" s="17">
        <f t="shared" ref="AG23" si="157">AF23-AF22</f>
        <v>1678</v>
      </c>
      <c r="AH23" s="49">
        <v>1020879</v>
      </c>
      <c r="AI23" s="17">
        <f t="shared" ref="AI23" si="158">AH23-AH22</f>
        <v>8958</v>
      </c>
      <c r="AK23" s="97">
        <f t="shared" si="18"/>
        <v>206998.5</v>
      </c>
      <c r="AL23" s="98">
        <f t="shared" si="19"/>
        <v>20675.5</v>
      </c>
    </row>
    <row r="24" spans="1:38" ht="39.950000000000003" customHeight="1">
      <c r="A24" s="145">
        <v>43907</v>
      </c>
      <c r="B24" s="16"/>
      <c r="C24" s="49">
        <v>933016</v>
      </c>
      <c r="D24" s="17">
        <f t="shared" si="2"/>
        <v>28600</v>
      </c>
      <c r="E24" s="49">
        <v>352577</v>
      </c>
      <c r="F24" s="17">
        <f t="shared" si="2"/>
        <v>49400</v>
      </c>
      <c r="G24" s="49">
        <v>597053</v>
      </c>
      <c r="H24" s="17">
        <f t="shared" ref="H24" si="159">(G24-G23)*10</f>
        <v>4220</v>
      </c>
      <c r="I24" s="17">
        <f t="shared" si="4"/>
        <v>2110</v>
      </c>
      <c r="J24" s="49">
        <v>941809</v>
      </c>
      <c r="K24" s="17">
        <f t="shared" ref="K24:K38" si="160">(J24-J23)*10</f>
        <v>51960</v>
      </c>
      <c r="L24" s="49">
        <v>1036447</v>
      </c>
      <c r="M24" s="17">
        <f t="shared" ref="M24:M38" si="161">(L24-L23)*10</f>
        <v>83300</v>
      </c>
      <c r="N24" s="49">
        <v>527570</v>
      </c>
      <c r="O24" s="17">
        <f t="shared" si="0"/>
        <v>7750</v>
      </c>
      <c r="P24" s="17">
        <f t="shared" si="7"/>
        <v>3875</v>
      </c>
      <c r="Q24" s="49">
        <v>30677</v>
      </c>
      <c r="R24" s="17">
        <f t="shared" si="1"/>
        <v>20</v>
      </c>
      <c r="S24" s="17">
        <f t="shared" si="8"/>
        <v>10</v>
      </c>
      <c r="T24" s="49">
        <v>632</v>
      </c>
      <c r="U24" s="17">
        <f t="shared" ref="U24" si="162">(T24-T23)*10</f>
        <v>20</v>
      </c>
      <c r="V24" s="17">
        <f t="shared" si="10"/>
        <v>10</v>
      </c>
      <c r="W24" s="49">
        <v>26240</v>
      </c>
      <c r="X24" s="17">
        <f t="shared" ref="X24" si="163">W24-W23</f>
        <v>8</v>
      </c>
      <c r="Y24" s="17">
        <f t="shared" si="12"/>
        <v>4</v>
      </c>
      <c r="Z24" s="49">
        <v>776031</v>
      </c>
      <c r="AA24" s="17">
        <f t="shared" ref="AA24:AA38" si="164">Z24-Z23</f>
        <v>812</v>
      </c>
      <c r="AB24" s="49">
        <v>104143</v>
      </c>
      <c r="AC24" s="17">
        <f t="shared" ref="AC24:AC38" si="165">AB24-AB23</f>
        <v>2051</v>
      </c>
      <c r="AD24" s="49">
        <v>680635</v>
      </c>
      <c r="AE24" s="17">
        <f t="shared" ref="AE24:AE38" si="166">AD24-AD23</f>
        <v>3403</v>
      </c>
      <c r="AF24" s="49">
        <v>992175</v>
      </c>
      <c r="AG24" s="17">
        <f t="shared" ref="AG24:AG38" si="167">AF24-AF23</f>
        <v>1802</v>
      </c>
      <c r="AH24" s="49">
        <v>1029848</v>
      </c>
      <c r="AI24" s="17">
        <f t="shared" ref="AI24:AI38" si="168">AH24-AH23</f>
        <v>8969</v>
      </c>
      <c r="AK24" s="97">
        <f t="shared" si="18"/>
        <v>219269</v>
      </c>
      <c r="AL24" s="98">
        <f t="shared" si="19"/>
        <v>20936</v>
      </c>
    </row>
    <row r="25" spans="1:38" ht="39.950000000000003" customHeight="1">
      <c r="A25" s="145">
        <v>43908</v>
      </c>
      <c r="B25" s="16"/>
      <c r="C25" s="49">
        <v>935877</v>
      </c>
      <c r="D25" s="17">
        <f t="shared" si="2"/>
        <v>28610</v>
      </c>
      <c r="E25" s="49">
        <v>357473</v>
      </c>
      <c r="F25" s="17">
        <f t="shared" si="2"/>
        <v>48960</v>
      </c>
      <c r="G25" s="49">
        <v>597313</v>
      </c>
      <c r="H25" s="17">
        <f t="shared" ref="H25:H35" si="169">(G25-G24)*10</f>
        <v>2600</v>
      </c>
      <c r="I25" s="17">
        <f t="shared" ref="I25:I35" si="170">H25*50%</f>
        <v>1300</v>
      </c>
      <c r="J25" s="49">
        <v>946972</v>
      </c>
      <c r="K25" s="17">
        <f t="shared" si="160"/>
        <v>51630</v>
      </c>
      <c r="L25" s="49">
        <v>1045026</v>
      </c>
      <c r="M25" s="17">
        <f t="shared" si="161"/>
        <v>85790</v>
      </c>
      <c r="N25" s="49">
        <v>528512</v>
      </c>
      <c r="O25" s="17">
        <f t="shared" ref="O25:O35" si="171">(N25-N24)*10</f>
        <v>9420</v>
      </c>
      <c r="P25" s="17">
        <f t="shared" ref="P25:P35" si="172">O25*50%</f>
        <v>4710</v>
      </c>
      <c r="Q25" s="49">
        <v>30679</v>
      </c>
      <c r="R25" s="17">
        <f t="shared" ref="R25:R35" si="173">(Q25-Q24)*10</f>
        <v>20</v>
      </c>
      <c r="S25" s="17">
        <f t="shared" ref="S25:S35" si="174">R25*50%</f>
        <v>10</v>
      </c>
      <c r="T25" s="49">
        <v>634</v>
      </c>
      <c r="U25" s="17">
        <f t="shared" ref="U25:U35" si="175">(T25-T24)*10</f>
        <v>20</v>
      </c>
      <c r="V25" s="17">
        <f t="shared" ref="V25:V35" si="176">U25*50%</f>
        <v>10</v>
      </c>
      <c r="W25" s="49">
        <v>26248</v>
      </c>
      <c r="X25" s="17">
        <f t="shared" ref="X25:X35" si="177">W25-W24</f>
        <v>8</v>
      </c>
      <c r="Y25" s="17">
        <f t="shared" ref="Y25:Y35" si="178">X25*50%</f>
        <v>4</v>
      </c>
      <c r="Z25" s="49">
        <v>776877</v>
      </c>
      <c r="AA25" s="17">
        <f t="shared" si="164"/>
        <v>846</v>
      </c>
      <c r="AB25" s="49">
        <v>106220</v>
      </c>
      <c r="AC25" s="17">
        <f t="shared" si="165"/>
        <v>2077</v>
      </c>
      <c r="AD25" s="49">
        <v>684074</v>
      </c>
      <c r="AE25" s="17">
        <f t="shared" si="166"/>
        <v>3439</v>
      </c>
      <c r="AF25" s="49">
        <v>993931</v>
      </c>
      <c r="AG25" s="17">
        <f t="shared" si="167"/>
        <v>1756</v>
      </c>
      <c r="AH25" s="49">
        <v>1038905</v>
      </c>
      <c r="AI25" s="17">
        <f t="shared" si="168"/>
        <v>9057</v>
      </c>
      <c r="AK25" s="97">
        <f t="shared" ref="AK25:AK35" si="179">SUM(D25,F25,I25,K25,M25,P25,S25,V25,Y25)</f>
        <v>221024</v>
      </c>
      <c r="AL25" s="98">
        <f t="shared" ref="AL25:AL35" si="180">SUM(P25,S25,V25,Y25,AA25,AC25,AE25,AG25,AI25)</f>
        <v>21909</v>
      </c>
    </row>
    <row r="26" spans="1:38" ht="39.950000000000003" customHeight="1">
      <c r="A26" s="145">
        <v>43909</v>
      </c>
      <c r="B26" s="16"/>
      <c r="C26" s="49">
        <v>938774</v>
      </c>
      <c r="D26" s="17">
        <f t="shared" ref="D26:F38" si="181">(C26-C25)*10</f>
        <v>28970</v>
      </c>
      <c r="E26" s="49">
        <v>362392</v>
      </c>
      <c r="F26" s="17">
        <f t="shared" ref="F26:F37" si="182">(E26-E25)*10</f>
        <v>49190</v>
      </c>
      <c r="G26" s="49">
        <v>597542</v>
      </c>
      <c r="H26" s="17">
        <f t="shared" si="169"/>
        <v>2290</v>
      </c>
      <c r="I26" s="17">
        <f t="shared" si="170"/>
        <v>1145</v>
      </c>
      <c r="J26" s="49">
        <v>952241</v>
      </c>
      <c r="K26" s="17">
        <f t="shared" si="160"/>
        <v>52690</v>
      </c>
      <c r="L26" s="49">
        <v>1053513</v>
      </c>
      <c r="M26" s="17">
        <f t="shared" si="161"/>
        <v>84870</v>
      </c>
      <c r="N26" s="49">
        <v>529604</v>
      </c>
      <c r="O26" s="17">
        <f t="shared" si="171"/>
        <v>10920</v>
      </c>
      <c r="P26" s="17">
        <f t="shared" si="172"/>
        <v>5460</v>
      </c>
      <c r="Q26" s="49">
        <v>30681</v>
      </c>
      <c r="R26" s="17">
        <f t="shared" si="173"/>
        <v>20</v>
      </c>
      <c r="S26" s="17">
        <f t="shared" si="174"/>
        <v>10</v>
      </c>
      <c r="T26" s="49">
        <v>636</v>
      </c>
      <c r="U26" s="17">
        <f t="shared" si="175"/>
        <v>20</v>
      </c>
      <c r="V26" s="17">
        <f t="shared" si="176"/>
        <v>10</v>
      </c>
      <c r="W26" s="49">
        <v>26255</v>
      </c>
      <c r="X26" s="17">
        <f t="shared" si="177"/>
        <v>7</v>
      </c>
      <c r="Y26" s="17">
        <f t="shared" si="178"/>
        <v>3.5</v>
      </c>
      <c r="Z26" s="49">
        <v>777829</v>
      </c>
      <c r="AA26" s="17">
        <f t="shared" si="164"/>
        <v>952</v>
      </c>
      <c r="AB26" s="49">
        <v>108375</v>
      </c>
      <c r="AC26" s="17">
        <f t="shared" si="165"/>
        <v>2155</v>
      </c>
      <c r="AD26" s="49">
        <v>687562</v>
      </c>
      <c r="AE26" s="17">
        <f t="shared" si="166"/>
        <v>3488</v>
      </c>
      <c r="AF26" s="49">
        <v>995718</v>
      </c>
      <c r="AG26" s="17">
        <f t="shared" si="167"/>
        <v>1787</v>
      </c>
      <c r="AH26" s="49">
        <v>1047987</v>
      </c>
      <c r="AI26" s="17">
        <f t="shared" si="168"/>
        <v>9082</v>
      </c>
      <c r="AK26" s="97">
        <f t="shared" si="179"/>
        <v>222348.5</v>
      </c>
      <c r="AL26" s="98">
        <f t="shared" si="180"/>
        <v>22947.5</v>
      </c>
    </row>
    <row r="27" spans="1:38" ht="39.950000000000003" customHeight="1">
      <c r="A27" s="145">
        <v>43910</v>
      </c>
      <c r="B27" s="16"/>
      <c r="C27" s="49">
        <v>941749</v>
      </c>
      <c r="D27" s="17">
        <f t="shared" si="181"/>
        <v>29750</v>
      </c>
      <c r="E27" s="49">
        <v>367375</v>
      </c>
      <c r="F27" s="17">
        <f t="shared" si="182"/>
        <v>49830</v>
      </c>
      <c r="G27" s="49">
        <v>597804</v>
      </c>
      <c r="H27" s="17">
        <f t="shared" si="169"/>
        <v>2620</v>
      </c>
      <c r="I27" s="17">
        <f t="shared" si="170"/>
        <v>1310</v>
      </c>
      <c r="J27" s="49">
        <v>957480</v>
      </c>
      <c r="K27" s="17">
        <f t="shared" si="160"/>
        <v>52390</v>
      </c>
      <c r="L27" s="49">
        <v>1062036</v>
      </c>
      <c r="M27" s="17">
        <f t="shared" si="161"/>
        <v>85230</v>
      </c>
      <c r="N27" s="49">
        <v>530687</v>
      </c>
      <c r="O27" s="17">
        <f t="shared" si="171"/>
        <v>10830</v>
      </c>
      <c r="P27" s="17">
        <f t="shared" si="172"/>
        <v>5415</v>
      </c>
      <c r="Q27" s="49">
        <v>30684</v>
      </c>
      <c r="R27" s="17">
        <f t="shared" si="173"/>
        <v>30</v>
      </c>
      <c r="S27" s="17">
        <f t="shared" si="174"/>
        <v>15</v>
      </c>
      <c r="T27" s="49">
        <v>638</v>
      </c>
      <c r="U27" s="17">
        <f t="shared" si="175"/>
        <v>20</v>
      </c>
      <c r="V27" s="17">
        <f t="shared" si="176"/>
        <v>10</v>
      </c>
      <c r="W27" s="49">
        <v>26263</v>
      </c>
      <c r="X27" s="17">
        <f t="shared" si="177"/>
        <v>8</v>
      </c>
      <c r="Y27" s="17">
        <f t="shared" si="178"/>
        <v>4</v>
      </c>
      <c r="Z27" s="49">
        <v>778750</v>
      </c>
      <c r="AA27" s="17">
        <f t="shared" si="164"/>
        <v>921</v>
      </c>
      <c r="AB27" s="49">
        <v>110483</v>
      </c>
      <c r="AC27" s="17">
        <f t="shared" si="165"/>
        <v>2108</v>
      </c>
      <c r="AD27" s="49">
        <v>690966</v>
      </c>
      <c r="AE27" s="17">
        <f t="shared" si="166"/>
        <v>3404</v>
      </c>
      <c r="AF27" s="49">
        <v>997393</v>
      </c>
      <c r="AG27" s="17">
        <f t="shared" si="167"/>
        <v>1675</v>
      </c>
      <c r="AH27" s="49">
        <v>1056762</v>
      </c>
      <c r="AI27" s="17">
        <f t="shared" si="168"/>
        <v>8775</v>
      </c>
      <c r="AK27" s="97">
        <f t="shared" si="179"/>
        <v>223954</v>
      </c>
      <c r="AL27" s="98">
        <f t="shared" si="180"/>
        <v>22327</v>
      </c>
    </row>
    <row r="28" spans="1:38" ht="39.950000000000003" customHeight="1">
      <c r="A28" s="145">
        <v>43911</v>
      </c>
      <c r="B28" s="16"/>
      <c r="C28" s="49">
        <v>944540</v>
      </c>
      <c r="D28" s="17">
        <f t="shared" si="181"/>
        <v>27910</v>
      </c>
      <c r="E28" s="49">
        <v>372180</v>
      </c>
      <c r="F28" s="17">
        <f t="shared" si="182"/>
        <v>48050</v>
      </c>
      <c r="G28" s="49">
        <v>598024</v>
      </c>
      <c r="H28" s="17">
        <f t="shared" si="169"/>
        <v>2200</v>
      </c>
      <c r="I28" s="17">
        <f t="shared" si="170"/>
        <v>1100</v>
      </c>
      <c r="J28" s="49">
        <v>962713</v>
      </c>
      <c r="K28" s="17">
        <f t="shared" si="160"/>
        <v>52330</v>
      </c>
      <c r="L28" s="49">
        <v>1070526</v>
      </c>
      <c r="M28" s="17">
        <f t="shared" si="161"/>
        <v>84900</v>
      </c>
      <c r="N28" s="49">
        <v>531873</v>
      </c>
      <c r="O28" s="17">
        <f t="shared" si="171"/>
        <v>11860</v>
      </c>
      <c r="P28" s="17">
        <f t="shared" si="172"/>
        <v>5930</v>
      </c>
      <c r="Q28" s="49">
        <v>30686</v>
      </c>
      <c r="R28" s="17">
        <f t="shared" si="173"/>
        <v>20</v>
      </c>
      <c r="S28" s="17">
        <f t="shared" si="174"/>
        <v>10</v>
      </c>
      <c r="T28" s="49">
        <v>639</v>
      </c>
      <c r="U28" s="17">
        <f t="shared" si="175"/>
        <v>10</v>
      </c>
      <c r="V28" s="17">
        <f t="shared" si="176"/>
        <v>5</v>
      </c>
      <c r="W28" s="49">
        <v>26271</v>
      </c>
      <c r="X28" s="17">
        <f t="shared" si="177"/>
        <v>8</v>
      </c>
      <c r="Y28" s="17">
        <f t="shared" si="178"/>
        <v>4</v>
      </c>
      <c r="Z28" s="49">
        <v>779661</v>
      </c>
      <c r="AA28" s="17">
        <f t="shared" si="164"/>
        <v>911</v>
      </c>
      <c r="AB28" s="49">
        <v>112551</v>
      </c>
      <c r="AC28" s="17">
        <f t="shared" si="165"/>
        <v>2068</v>
      </c>
      <c r="AD28" s="49">
        <v>694301</v>
      </c>
      <c r="AE28" s="17">
        <f t="shared" si="166"/>
        <v>3335</v>
      </c>
      <c r="AF28" s="49">
        <v>999092</v>
      </c>
      <c r="AG28" s="17">
        <f t="shared" si="167"/>
        <v>1699</v>
      </c>
      <c r="AH28" s="49">
        <v>1065662</v>
      </c>
      <c r="AI28" s="17">
        <f t="shared" si="168"/>
        <v>8900</v>
      </c>
      <c r="AK28" s="97">
        <f t="shared" si="179"/>
        <v>220239</v>
      </c>
      <c r="AL28" s="98">
        <f t="shared" si="180"/>
        <v>22862</v>
      </c>
    </row>
    <row r="29" spans="1:38" ht="39.950000000000003" customHeight="1">
      <c r="A29" s="145">
        <v>43912</v>
      </c>
      <c r="B29" s="16"/>
      <c r="C29" s="49">
        <v>947329</v>
      </c>
      <c r="D29" s="17">
        <f t="shared" si="181"/>
        <v>27890</v>
      </c>
      <c r="E29" s="49">
        <v>376784</v>
      </c>
      <c r="F29" s="17">
        <f t="shared" si="182"/>
        <v>46040</v>
      </c>
      <c r="G29" s="49">
        <v>598474</v>
      </c>
      <c r="H29" s="17">
        <f t="shared" si="169"/>
        <v>4500</v>
      </c>
      <c r="I29" s="17">
        <f t="shared" si="170"/>
        <v>2250</v>
      </c>
      <c r="J29" s="49">
        <v>967966</v>
      </c>
      <c r="K29" s="17">
        <f t="shared" si="160"/>
        <v>52530</v>
      </c>
      <c r="L29" s="49">
        <v>1078509</v>
      </c>
      <c r="M29" s="17">
        <f t="shared" si="161"/>
        <v>79830</v>
      </c>
      <c r="N29" s="49">
        <v>533082</v>
      </c>
      <c r="O29" s="17">
        <f t="shared" si="171"/>
        <v>12090</v>
      </c>
      <c r="P29" s="17">
        <f t="shared" si="172"/>
        <v>6045</v>
      </c>
      <c r="Q29" s="49">
        <v>30688</v>
      </c>
      <c r="R29" s="17">
        <f t="shared" si="173"/>
        <v>20</v>
      </c>
      <c r="S29" s="17">
        <f t="shared" si="174"/>
        <v>10</v>
      </c>
      <c r="T29" s="49">
        <v>641</v>
      </c>
      <c r="U29" s="17">
        <f t="shared" si="175"/>
        <v>20</v>
      </c>
      <c r="V29" s="17">
        <f t="shared" si="176"/>
        <v>10</v>
      </c>
      <c r="W29" s="49">
        <v>26278</v>
      </c>
      <c r="X29" s="17">
        <f t="shared" si="177"/>
        <v>7</v>
      </c>
      <c r="Y29" s="17">
        <f t="shared" si="178"/>
        <v>3.5</v>
      </c>
      <c r="Z29" s="49">
        <v>780541</v>
      </c>
      <c r="AA29" s="17">
        <f t="shared" si="164"/>
        <v>880</v>
      </c>
      <c r="AB29" s="49">
        <v>114555</v>
      </c>
      <c r="AC29" s="17">
        <f t="shared" si="165"/>
        <v>2004</v>
      </c>
      <c r="AD29" s="49">
        <v>697562</v>
      </c>
      <c r="AE29" s="17">
        <f t="shared" si="166"/>
        <v>3261</v>
      </c>
      <c r="AF29" s="49">
        <v>767</v>
      </c>
      <c r="AG29" s="17">
        <f>AF29-AF28+1000000</f>
        <v>1675</v>
      </c>
      <c r="AH29" s="49">
        <v>1074696</v>
      </c>
      <c r="AI29" s="17">
        <f t="shared" si="168"/>
        <v>9034</v>
      </c>
      <c r="AK29" s="97">
        <f t="shared" si="179"/>
        <v>214608.5</v>
      </c>
      <c r="AL29" s="98">
        <f t="shared" si="180"/>
        <v>22922.5</v>
      </c>
    </row>
    <row r="30" spans="1:38" ht="39.950000000000003" customHeight="1">
      <c r="A30" s="145">
        <v>43913</v>
      </c>
      <c r="B30" s="16"/>
      <c r="C30" s="49">
        <v>950159</v>
      </c>
      <c r="D30" s="17">
        <f t="shared" si="181"/>
        <v>28300</v>
      </c>
      <c r="E30" s="49">
        <v>381306</v>
      </c>
      <c r="F30" s="17">
        <f t="shared" si="182"/>
        <v>45220</v>
      </c>
      <c r="G30" s="49">
        <v>596923</v>
      </c>
      <c r="H30" s="17">
        <f t="shared" si="169"/>
        <v>-15510</v>
      </c>
      <c r="I30" s="17">
        <f t="shared" si="170"/>
        <v>-7755</v>
      </c>
      <c r="J30" s="49">
        <v>973228</v>
      </c>
      <c r="K30" s="17">
        <f t="shared" si="160"/>
        <v>52620</v>
      </c>
      <c r="L30" s="49">
        <v>1085999</v>
      </c>
      <c r="M30" s="17">
        <f t="shared" si="161"/>
        <v>74900</v>
      </c>
      <c r="N30" s="49">
        <v>534362</v>
      </c>
      <c r="O30" s="17">
        <f t="shared" si="171"/>
        <v>12800</v>
      </c>
      <c r="P30" s="17">
        <f t="shared" si="172"/>
        <v>6400</v>
      </c>
      <c r="Q30" s="49">
        <v>30690</v>
      </c>
      <c r="R30" s="17">
        <f t="shared" si="173"/>
        <v>20</v>
      </c>
      <c r="S30" s="17">
        <f t="shared" si="174"/>
        <v>10</v>
      </c>
      <c r="T30" s="49">
        <v>643</v>
      </c>
      <c r="U30" s="17">
        <f t="shared" si="175"/>
        <v>20</v>
      </c>
      <c r="V30" s="17">
        <f t="shared" si="176"/>
        <v>10</v>
      </c>
      <c r="W30" s="49">
        <v>26286</v>
      </c>
      <c r="X30" s="17">
        <f t="shared" si="177"/>
        <v>8</v>
      </c>
      <c r="Y30" s="17">
        <f t="shared" si="178"/>
        <v>4</v>
      </c>
      <c r="Z30" s="49">
        <v>781396</v>
      </c>
      <c r="AA30" s="17">
        <f t="shared" si="164"/>
        <v>855</v>
      </c>
      <c r="AB30" s="49">
        <v>116636</v>
      </c>
      <c r="AC30" s="17">
        <f t="shared" si="165"/>
        <v>2081</v>
      </c>
      <c r="AD30" s="49">
        <v>701036</v>
      </c>
      <c r="AE30" s="17">
        <f t="shared" si="166"/>
        <v>3474</v>
      </c>
      <c r="AF30" s="49">
        <v>2469</v>
      </c>
      <c r="AG30" s="17">
        <f t="shared" si="167"/>
        <v>1702</v>
      </c>
      <c r="AH30" s="49">
        <v>1084039</v>
      </c>
      <c r="AI30" s="17">
        <f t="shared" si="168"/>
        <v>9343</v>
      </c>
      <c r="AK30" s="97">
        <f t="shared" si="179"/>
        <v>199709</v>
      </c>
      <c r="AL30" s="98">
        <f t="shared" si="180"/>
        <v>23879</v>
      </c>
    </row>
    <row r="31" spans="1:38" ht="39.950000000000003" customHeight="1">
      <c r="A31" s="145">
        <v>43914</v>
      </c>
      <c r="B31" s="16"/>
      <c r="C31" s="49">
        <v>952974</v>
      </c>
      <c r="D31" s="17">
        <f t="shared" si="181"/>
        <v>28150</v>
      </c>
      <c r="E31" s="49">
        <v>386262</v>
      </c>
      <c r="F31" s="17">
        <f t="shared" si="182"/>
        <v>49560</v>
      </c>
      <c r="G31" s="49">
        <v>599940</v>
      </c>
      <c r="H31" s="17">
        <f t="shared" si="169"/>
        <v>30170</v>
      </c>
      <c r="I31" s="17">
        <f t="shared" si="170"/>
        <v>15085</v>
      </c>
      <c r="J31" s="49">
        <v>978585</v>
      </c>
      <c r="K31" s="17">
        <f t="shared" si="160"/>
        <v>53570</v>
      </c>
      <c r="L31" s="49">
        <v>1094203</v>
      </c>
      <c r="M31" s="17">
        <f t="shared" si="161"/>
        <v>82040</v>
      </c>
      <c r="N31" s="49">
        <v>534818</v>
      </c>
      <c r="O31" s="17">
        <f t="shared" si="171"/>
        <v>4560</v>
      </c>
      <c r="P31" s="17">
        <f t="shared" si="172"/>
        <v>2280</v>
      </c>
      <c r="Q31" s="49">
        <v>30692</v>
      </c>
      <c r="R31" s="17">
        <f t="shared" si="173"/>
        <v>20</v>
      </c>
      <c r="S31" s="17">
        <f t="shared" si="174"/>
        <v>10</v>
      </c>
      <c r="T31" s="49">
        <v>645</v>
      </c>
      <c r="U31" s="17">
        <f t="shared" si="175"/>
        <v>20</v>
      </c>
      <c r="V31" s="17">
        <f t="shared" si="176"/>
        <v>10</v>
      </c>
      <c r="W31" s="49">
        <v>26294</v>
      </c>
      <c r="X31" s="17">
        <f t="shared" si="177"/>
        <v>8</v>
      </c>
      <c r="Y31" s="17">
        <f t="shared" si="178"/>
        <v>4</v>
      </c>
      <c r="Z31" s="49">
        <v>782259</v>
      </c>
      <c r="AA31" s="17">
        <f t="shared" si="164"/>
        <v>863</v>
      </c>
      <c r="AB31" s="49">
        <v>118799</v>
      </c>
      <c r="AC31" s="17">
        <f t="shared" si="165"/>
        <v>2163</v>
      </c>
      <c r="AD31" s="49">
        <v>704573</v>
      </c>
      <c r="AE31" s="17">
        <f t="shared" si="166"/>
        <v>3537</v>
      </c>
      <c r="AF31" s="49">
        <v>4361</v>
      </c>
      <c r="AG31" s="17">
        <f t="shared" si="167"/>
        <v>1892</v>
      </c>
      <c r="AH31" s="49">
        <v>1093227</v>
      </c>
      <c r="AI31" s="17">
        <f t="shared" si="168"/>
        <v>9188</v>
      </c>
      <c r="AK31" s="97">
        <f t="shared" si="179"/>
        <v>230709</v>
      </c>
      <c r="AL31" s="98">
        <f t="shared" si="180"/>
        <v>19947</v>
      </c>
    </row>
    <row r="32" spans="1:38" ht="39.950000000000003" customHeight="1">
      <c r="A32" s="145">
        <v>43915</v>
      </c>
      <c r="B32" s="16"/>
      <c r="C32" s="74">
        <v>955846</v>
      </c>
      <c r="D32" s="17">
        <f t="shared" si="181"/>
        <v>28720</v>
      </c>
      <c r="E32" s="74">
        <v>391097</v>
      </c>
      <c r="F32" s="17">
        <f t="shared" si="182"/>
        <v>48350</v>
      </c>
      <c r="G32" s="74">
        <v>601089</v>
      </c>
      <c r="H32" s="17">
        <f t="shared" si="169"/>
        <v>11490</v>
      </c>
      <c r="I32" s="17">
        <f t="shared" si="170"/>
        <v>5745</v>
      </c>
      <c r="J32" s="74">
        <v>983663</v>
      </c>
      <c r="K32" s="17">
        <f t="shared" si="160"/>
        <v>50780</v>
      </c>
      <c r="L32" s="74">
        <v>1102339</v>
      </c>
      <c r="M32" s="17">
        <f t="shared" si="161"/>
        <v>81360</v>
      </c>
      <c r="N32" s="74">
        <v>535179</v>
      </c>
      <c r="O32" s="17">
        <f t="shared" si="171"/>
        <v>3610</v>
      </c>
      <c r="P32" s="17">
        <f t="shared" si="172"/>
        <v>1805</v>
      </c>
      <c r="Q32" s="74">
        <v>30694</v>
      </c>
      <c r="R32" s="17">
        <f t="shared" si="173"/>
        <v>20</v>
      </c>
      <c r="S32" s="17">
        <f t="shared" si="174"/>
        <v>10</v>
      </c>
      <c r="T32" s="74">
        <v>646</v>
      </c>
      <c r="U32" s="17">
        <f t="shared" si="175"/>
        <v>10</v>
      </c>
      <c r="V32" s="17">
        <f t="shared" si="176"/>
        <v>5</v>
      </c>
      <c r="W32" s="74">
        <v>26302</v>
      </c>
      <c r="X32" s="17">
        <f t="shared" si="177"/>
        <v>8</v>
      </c>
      <c r="Y32" s="17">
        <f t="shared" si="178"/>
        <v>4</v>
      </c>
      <c r="Z32" s="74">
        <v>783046</v>
      </c>
      <c r="AA32" s="17">
        <f t="shared" si="164"/>
        <v>787</v>
      </c>
      <c r="AB32" s="74">
        <v>120741</v>
      </c>
      <c r="AC32" s="17">
        <f t="shared" si="165"/>
        <v>1942</v>
      </c>
      <c r="AD32" s="74">
        <v>707953</v>
      </c>
      <c r="AE32" s="17">
        <f t="shared" si="166"/>
        <v>3380</v>
      </c>
      <c r="AF32" s="74">
        <v>6020</v>
      </c>
      <c r="AG32" s="17">
        <f t="shared" si="167"/>
        <v>1659</v>
      </c>
      <c r="AH32" s="74">
        <v>1101977</v>
      </c>
      <c r="AI32" s="17">
        <f t="shared" si="168"/>
        <v>8750</v>
      </c>
      <c r="AK32" s="97">
        <f t="shared" si="179"/>
        <v>216779</v>
      </c>
      <c r="AL32" s="98">
        <f t="shared" si="180"/>
        <v>18342</v>
      </c>
    </row>
    <row r="33" spans="1:38" ht="39.950000000000003" customHeight="1">
      <c r="A33" s="145">
        <v>43916</v>
      </c>
      <c r="B33" s="16"/>
      <c r="C33" s="74">
        <v>958714</v>
      </c>
      <c r="D33" s="17">
        <f t="shared" si="181"/>
        <v>28680</v>
      </c>
      <c r="E33" s="74">
        <v>395957</v>
      </c>
      <c r="F33" s="17">
        <f t="shared" si="182"/>
        <v>48600</v>
      </c>
      <c r="G33" s="74">
        <v>601970</v>
      </c>
      <c r="H33" s="17">
        <f t="shared" si="169"/>
        <v>8810</v>
      </c>
      <c r="I33" s="17">
        <f t="shared" si="170"/>
        <v>4405</v>
      </c>
      <c r="J33" s="74">
        <v>989006</v>
      </c>
      <c r="K33" s="17">
        <f t="shared" si="160"/>
        <v>53430</v>
      </c>
      <c r="L33" s="74">
        <v>1110741</v>
      </c>
      <c r="M33" s="17">
        <f t="shared" si="161"/>
        <v>84020</v>
      </c>
      <c r="N33" s="74">
        <v>536045</v>
      </c>
      <c r="O33" s="17">
        <f t="shared" si="171"/>
        <v>8660</v>
      </c>
      <c r="P33" s="17">
        <f t="shared" si="172"/>
        <v>4330</v>
      </c>
      <c r="Q33" s="74">
        <v>30696</v>
      </c>
      <c r="R33" s="17">
        <f t="shared" si="173"/>
        <v>20</v>
      </c>
      <c r="S33" s="17">
        <f t="shared" si="174"/>
        <v>10</v>
      </c>
      <c r="T33" s="74">
        <v>648</v>
      </c>
      <c r="U33" s="17">
        <f t="shared" si="175"/>
        <v>20</v>
      </c>
      <c r="V33" s="17">
        <f t="shared" si="176"/>
        <v>10</v>
      </c>
      <c r="W33" s="74">
        <v>26311</v>
      </c>
      <c r="X33" s="17">
        <f t="shared" si="177"/>
        <v>9</v>
      </c>
      <c r="Y33" s="17">
        <f t="shared" si="178"/>
        <v>4.5</v>
      </c>
      <c r="Z33" s="74">
        <v>783940</v>
      </c>
      <c r="AA33" s="17">
        <f t="shared" si="164"/>
        <v>894</v>
      </c>
      <c r="AB33" s="74">
        <v>122891</v>
      </c>
      <c r="AC33" s="17">
        <f t="shared" si="165"/>
        <v>2150</v>
      </c>
      <c r="AD33" s="74">
        <v>711481</v>
      </c>
      <c r="AE33" s="17">
        <f t="shared" si="166"/>
        <v>3528</v>
      </c>
      <c r="AF33" s="74">
        <v>7761</v>
      </c>
      <c r="AG33" s="17">
        <f t="shared" si="167"/>
        <v>1741</v>
      </c>
      <c r="AH33" s="74">
        <v>1111024</v>
      </c>
      <c r="AI33" s="17">
        <f t="shared" si="168"/>
        <v>9047</v>
      </c>
      <c r="AK33" s="97">
        <f t="shared" si="179"/>
        <v>223489.5</v>
      </c>
      <c r="AL33" s="98">
        <f t="shared" si="180"/>
        <v>21714.5</v>
      </c>
    </row>
    <row r="34" spans="1:38" ht="39.950000000000003" customHeight="1">
      <c r="A34" s="145">
        <v>43917</v>
      </c>
      <c r="B34" s="16"/>
      <c r="C34" s="74">
        <v>961649</v>
      </c>
      <c r="D34" s="17">
        <f t="shared" si="181"/>
        <v>29350</v>
      </c>
      <c r="E34" s="74">
        <v>400621</v>
      </c>
      <c r="F34" s="17">
        <f t="shared" si="182"/>
        <v>46640</v>
      </c>
      <c r="G34" s="74">
        <v>602544</v>
      </c>
      <c r="H34" s="17">
        <f t="shared" si="169"/>
        <v>5740</v>
      </c>
      <c r="I34" s="17">
        <f t="shared" si="170"/>
        <v>2870</v>
      </c>
      <c r="J34" s="74">
        <v>994246</v>
      </c>
      <c r="K34" s="17">
        <f t="shared" si="160"/>
        <v>52400</v>
      </c>
      <c r="L34" s="74">
        <v>1118860</v>
      </c>
      <c r="M34" s="17">
        <f t="shared" si="161"/>
        <v>81190</v>
      </c>
      <c r="N34" s="74">
        <v>537272</v>
      </c>
      <c r="O34" s="17">
        <f t="shared" si="171"/>
        <v>12270</v>
      </c>
      <c r="P34" s="17">
        <f t="shared" si="172"/>
        <v>6135</v>
      </c>
      <c r="Q34" s="74">
        <v>30698</v>
      </c>
      <c r="R34" s="17">
        <f t="shared" si="173"/>
        <v>20</v>
      </c>
      <c r="S34" s="17">
        <f t="shared" si="174"/>
        <v>10</v>
      </c>
      <c r="T34" s="74">
        <v>650</v>
      </c>
      <c r="U34" s="17">
        <f t="shared" si="175"/>
        <v>20</v>
      </c>
      <c r="V34" s="17">
        <f t="shared" si="176"/>
        <v>10</v>
      </c>
      <c r="W34" s="74">
        <v>26319</v>
      </c>
      <c r="X34" s="17">
        <f t="shared" si="177"/>
        <v>8</v>
      </c>
      <c r="Y34" s="17">
        <f t="shared" si="178"/>
        <v>4</v>
      </c>
      <c r="Z34" s="74">
        <v>784773</v>
      </c>
      <c r="AA34" s="17">
        <f t="shared" si="164"/>
        <v>833</v>
      </c>
      <c r="AB34" s="74">
        <v>124938</v>
      </c>
      <c r="AC34" s="17">
        <f t="shared" si="165"/>
        <v>2047</v>
      </c>
      <c r="AD34" s="74">
        <v>714909</v>
      </c>
      <c r="AE34" s="17">
        <f t="shared" si="166"/>
        <v>3428</v>
      </c>
      <c r="AF34" s="74">
        <v>9471</v>
      </c>
      <c r="AG34" s="17">
        <f t="shared" si="167"/>
        <v>1710</v>
      </c>
      <c r="AH34" s="74">
        <v>1120098</v>
      </c>
      <c r="AI34" s="17">
        <f t="shared" si="168"/>
        <v>9074</v>
      </c>
      <c r="AK34" s="97">
        <f t="shared" si="179"/>
        <v>218609</v>
      </c>
      <c r="AL34" s="98">
        <f t="shared" si="180"/>
        <v>23251</v>
      </c>
    </row>
    <row r="35" spans="1:38" ht="39.950000000000003" customHeight="1">
      <c r="A35" s="145">
        <v>43918</v>
      </c>
      <c r="B35" s="16"/>
      <c r="C35" s="74">
        <v>964511</v>
      </c>
      <c r="D35" s="17">
        <f t="shared" si="181"/>
        <v>28620</v>
      </c>
      <c r="E35" s="74">
        <v>405682</v>
      </c>
      <c r="F35" s="17">
        <f t="shared" si="182"/>
        <v>50610</v>
      </c>
      <c r="G35" s="74">
        <v>603076</v>
      </c>
      <c r="H35" s="17">
        <f t="shared" si="169"/>
        <v>5320</v>
      </c>
      <c r="I35" s="17">
        <f t="shared" si="170"/>
        <v>2660</v>
      </c>
      <c r="J35" s="74">
        <v>999306</v>
      </c>
      <c r="K35" s="17">
        <f t="shared" si="160"/>
        <v>50600</v>
      </c>
      <c r="L35" s="74">
        <v>1127024</v>
      </c>
      <c r="M35" s="17">
        <f t="shared" si="161"/>
        <v>81640</v>
      </c>
      <c r="N35" s="74">
        <v>538396</v>
      </c>
      <c r="O35" s="17">
        <f t="shared" si="171"/>
        <v>11240</v>
      </c>
      <c r="P35" s="17">
        <f t="shared" si="172"/>
        <v>5620</v>
      </c>
      <c r="Q35" s="74">
        <v>30701</v>
      </c>
      <c r="R35" s="17">
        <f t="shared" si="173"/>
        <v>30</v>
      </c>
      <c r="S35" s="17">
        <f t="shared" si="174"/>
        <v>15</v>
      </c>
      <c r="T35" s="74">
        <v>652</v>
      </c>
      <c r="U35" s="17">
        <f t="shared" si="175"/>
        <v>20</v>
      </c>
      <c r="V35" s="17">
        <f t="shared" si="176"/>
        <v>10</v>
      </c>
      <c r="W35" s="74">
        <v>26327</v>
      </c>
      <c r="X35" s="17">
        <f t="shared" si="177"/>
        <v>8</v>
      </c>
      <c r="Y35" s="17">
        <f t="shared" si="178"/>
        <v>4</v>
      </c>
      <c r="Z35" s="74">
        <v>785604</v>
      </c>
      <c r="AA35" s="17">
        <f t="shared" si="164"/>
        <v>831</v>
      </c>
      <c r="AB35" s="74">
        <v>127019</v>
      </c>
      <c r="AC35" s="17">
        <f t="shared" si="165"/>
        <v>2081</v>
      </c>
      <c r="AD35" s="74">
        <v>718264</v>
      </c>
      <c r="AE35" s="17">
        <f t="shared" si="166"/>
        <v>3355</v>
      </c>
      <c r="AF35" s="74">
        <v>11105</v>
      </c>
      <c r="AG35" s="17">
        <f t="shared" si="167"/>
        <v>1634</v>
      </c>
      <c r="AH35" s="74">
        <v>1128793</v>
      </c>
      <c r="AI35" s="17">
        <f t="shared" si="168"/>
        <v>8695</v>
      </c>
      <c r="AK35" s="97">
        <f t="shared" si="179"/>
        <v>219779</v>
      </c>
      <c r="AL35" s="98">
        <f t="shared" si="180"/>
        <v>22245</v>
      </c>
    </row>
    <row r="36" spans="1:38" ht="39.950000000000003" customHeight="1">
      <c r="A36" s="145">
        <v>43919</v>
      </c>
      <c r="B36" s="16"/>
      <c r="C36" s="74">
        <v>967343</v>
      </c>
      <c r="D36" s="17">
        <f t="shared" si="181"/>
        <v>28320</v>
      </c>
      <c r="E36" s="74">
        <v>410621</v>
      </c>
      <c r="F36" s="17">
        <f t="shared" si="182"/>
        <v>49390</v>
      </c>
      <c r="G36" s="74">
        <v>603299</v>
      </c>
      <c r="H36" s="17">
        <f t="shared" ref="H36:H37" si="183">(G36-G35)*10</f>
        <v>2230</v>
      </c>
      <c r="I36" s="17">
        <f t="shared" ref="I36:I37" si="184">H36*50%</f>
        <v>1115</v>
      </c>
      <c r="J36" s="74">
        <v>1004268</v>
      </c>
      <c r="K36" s="17">
        <f t="shared" si="160"/>
        <v>49620</v>
      </c>
      <c r="L36" s="74">
        <v>1134127</v>
      </c>
      <c r="M36" s="17">
        <f t="shared" si="161"/>
        <v>71030</v>
      </c>
      <c r="N36" s="74">
        <v>539455</v>
      </c>
      <c r="O36" s="17">
        <f t="shared" ref="O36:O37" si="185">(N36-N35)*10</f>
        <v>10590</v>
      </c>
      <c r="P36" s="17">
        <f t="shared" ref="P36:P37" si="186">O36*50%</f>
        <v>5295</v>
      </c>
      <c r="Q36" s="74">
        <v>30703</v>
      </c>
      <c r="R36" s="17">
        <f t="shared" ref="R36:R37" si="187">(Q36-Q35)*10</f>
        <v>20</v>
      </c>
      <c r="S36" s="17">
        <f t="shared" ref="S36:S37" si="188">R36*50%</f>
        <v>10</v>
      </c>
      <c r="T36" s="74">
        <v>653</v>
      </c>
      <c r="U36" s="17">
        <f t="shared" ref="U36:U37" si="189">(T36-T35)*10</f>
        <v>10</v>
      </c>
      <c r="V36" s="17">
        <f t="shared" ref="V36:V37" si="190">U36*50%</f>
        <v>5</v>
      </c>
      <c r="W36" s="74">
        <v>26335</v>
      </c>
      <c r="X36" s="17">
        <f t="shared" ref="X36:X37" si="191">W36-W35</f>
        <v>8</v>
      </c>
      <c r="Y36" s="17">
        <f t="shared" ref="Y36:Y37" si="192">X36*50%</f>
        <v>4</v>
      </c>
      <c r="Z36" s="74">
        <v>786459</v>
      </c>
      <c r="AA36" s="17">
        <f t="shared" si="164"/>
        <v>855</v>
      </c>
      <c r="AB36" s="74">
        <v>129029</v>
      </c>
      <c r="AC36" s="17">
        <f t="shared" si="165"/>
        <v>2010</v>
      </c>
      <c r="AD36" s="74">
        <v>721411</v>
      </c>
      <c r="AE36" s="17">
        <f t="shared" si="166"/>
        <v>3147</v>
      </c>
      <c r="AF36" s="74">
        <v>12785</v>
      </c>
      <c r="AG36" s="17">
        <f t="shared" si="167"/>
        <v>1680</v>
      </c>
      <c r="AH36" s="74">
        <v>1137200</v>
      </c>
      <c r="AI36" s="17">
        <f t="shared" si="168"/>
        <v>8407</v>
      </c>
      <c r="AK36" s="97">
        <f t="shared" ref="AK36:AK37" si="193">SUM(D36,F36,I36,K36,M36,P36,S36,V36,Y36)</f>
        <v>204789</v>
      </c>
      <c r="AL36" s="98">
        <f t="shared" ref="AL36:AL37" si="194">SUM(P36,S36,V36,Y36,AA36,AC36,AE36,AG36,AI36)</f>
        <v>21413</v>
      </c>
    </row>
    <row r="37" spans="1:38" ht="39.950000000000003" customHeight="1">
      <c r="A37" s="145">
        <v>43920</v>
      </c>
      <c r="B37" s="16"/>
      <c r="C37" s="74">
        <v>970675</v>
      </c>
      <c r="D37" s="17">
        <f t="shared" si="181"/>
        <v>33320</v>
      </c>
      <c r="E37" s="74">
        <v>415523</v>
      </c>
      <c r="F37" s="17">
        <f t="shared" si="182"/>
        <v>49020</v>
      </c>
      <c r="G37" s="74">
        <v>603549</v>
      </c>
      <c r="H37" s="17">
        <f t="shared" si="183"/>
        <v>2500</v>
      </c>
      <c r="I37" s="17">
        <f t="shared" si="184"/>
        <v>1250</v>
      </c>
      <c r="J37" s="74">
        <v>1009232</v>
      </c>
      <c r="K37" s="17">
        <f t="shared" si="160"/>
        <v>49640</v>
      </c>
      <c r="L37" s="74">
        <v>1141060</v>
      </c>
      <c r="M37" s="17">
        <f t="shared" si="161"/>
        <v>69330</v>
      </c>
      <c r="N37" s="74">
        <v>540548</v>
      </c>
      <c r="O37" s="17">
        <f t="shared" si="185"/>
        <v>10930</v>
      </c>
      <c r="P37" s="17">
        <f t="shared" si="186"/>
        <v>5465</v>
      </c>
      <c r="Q37" s="74">
        <v>30705</v>
      </c>
      <c r="R37" s="17">
        <f t="shared" si="187"/>
        <v>20</v>
      </c>
      <c r="S37" s="17">
        <f t="shared" si="188"/>
        <v>10</v>
      </c>
      <c r="T37" s="74">
        <v>655</v>
      </c>
      <c r="U37" s="17">
        <f t="shared" si="189"/>
        <v>20</v>
      </c>
      <c r="V37" s="17">
        <f t="shared" si="190"/>
        <v>10</v>
      </c>
      <c r="W37" s="74">
        <v>26343</v>
      </c>
      <c r="X37" s="17">
        <f t="shared" si="191"/>
        <v>8</v>
      </c>
      <c r="Y37" s="17">
        <f t="shared" si="192"/>
        <v>4</v>
      </c>
      <c r="Z37" s="74">
        <v>787251</v>
      </c>
      <c r="AA37" s="17">
        <f t="shared" si="164"/>
        <v>792</v>
      </c>
      <c r="AB37" s="74">
        <v>131192</v>
      </c>
      <c r="AC37" s="17">
        <f t="shared" si="165"/>
        <v>2163</v>
      </c>
      <c r="AD37" s="74">
        <v>724782</v>
      </c>
      <c r="AE37" s="17">
        <f t="shared" si="166"/>
        <v>3371</v>
      </c>
      <c r="AF37" s="74">
        <v>14496</v>
      </c>
      <c r="AG37" s="17">
        <f t="shared" si="167"/>
        <v>1711</v>
      </c>
      <c r="AH37" s="74">
        <v>1145880</v>
      </c>
      <c r="AI37" s="17">
        <f t="shared" si="168"/>
        <v>8680</v>
      </c>
      <c r="AK37" s="97">
        <f t="shared" si="193"/>
        <v>208049</v>
      </c>
      <c r="AL37" s="98">
        <f t="shared" si="194"/>
        <v>22206</v>
      </c>
    </row>
    <row r="38" spans="1:38" s="147" customFormat="1" ht="39.950000000000003" customHeight="1">
      <c r="A38" s="145">
        <v>43921</v>
      </c>
      <c r="B38" s="146"/>
      <c r="C38" s="74">
        <v>973574</v>
      </c>
      <c r="D38" s="17">
        <f t="shared" si="181"/>
        <v>28990</v>
      </c>
      <c r="E38" s="74">
        <v>420650</v>
      </c>
      <c r="F38" s="17">
        <f t="shared" si="181"/>
        <v>51270</v>
      </c>
      <c r="G38" s="74">
        <v>603772</v>
      </c>
      <c r="H38" s="17">
        <f t="shared" ref="H38" si="195">(G38-G37)*10</f>
        <v>2230</v>
      </c>
      <c r="I38" s="17">
        <f t="shared" ref="I38" si="196">H38*50%</f>
        <v>1115</v>
      </c>
      <c r="J38" s="74">
        <v>1014267</v>
      </c>
      <c r="K38" s="17">
        <f t="shared" si="160"/>
        <v>50350</v>
      </c>
      <c r="L38" s="74">
        <v>1148961</v>
      </c>
      <c r="M38" s="17">
        <f t="shared" si="161"/>
        <v>79010</v>
      </c>
      <c r="N38" s="74">
        <v>541670</v>
      </c>
      <c r="O38" s="17">
        <f t="shared" ref="O38" si="197">(N38-N37)*10</f>
        <v>11220</v>
      </c>
      <c r="P38" s="17">
        <f t="shared" ref="P38" si="198">O38*50%</f>
        <v>5610</v>
      </c>
      <c r="Q38" s="74">
        <v>30707</v>
      </c>
      <c r="R38" s="17">
        <f t="shared" ref="R38" si="199">(Q38-Q37)*10</f>
        <v>20</v>
      </c>
      <c r="S38" s="17">
        <f t="shared" ref="S38" si="200">R38*50%</f>
        <v>10</v>
      </c>
      <c r="T38" s="74">
        <v>657</v>
      </c>
      <c r="U38" s="17">
        <f t="shared" ref="U38" si="201">(T38-T37)*10</f>
        <v>20</v>
      </c>
      <c r="V38" s="17">
        <f t="shared" ref="V38" si="202">U38*50%</f>
        <v>10</v>
      </c>
      <c r="W38" s="74">
        <v>26351</v>
      </c>
      <c r="X38" s="17">
        <f t="shared" ref="X38" si="203">W38-W37</f>
        <v>8</v>
      </c>
      <c r="Y38" s="17">
        <f t="shared" ref="Y38" si="204">X38*50%</f>
        <v>4</v>
      </c>
      <c r="Z38" s="74">
        <v>788067</v>
      </c>
      <c r="AA38" s="17">
        <f t="shared" si="164"/>
        <v>816</v>
      </c>
      <c r="AB38" s="74">
        <v>133153</v>
      </c>
      <c r="AC38" s="17">
        <f t="shared" si="165"/>
        <v>1961</v>
      </c>
      <c r="AD38" s="74">
        <v>728103</v>
      </c>
      <c r="AE38" s="17">
        <f t="shared" si="166"/>
        <v>3321</v>
      </c>
      <c r="AF38" s="74">
        <v>16224</v>
      </c>
      <c r="AG38" s="17">
        <f t="shared" si="167"/>
        <v>1728</v>
      </c>
      <c r="AH38" s="74">
        <v>1154405</v>
      </c>
      <c r="AI38" s="17">
        <f t="shared" si="168"/>
        <v>8525</v>
      </c>
      <c r="AK38" s="97">
        <f t="shared" ref="AK38" si="205">SUM(D38,F38,I38,K38,M38,P38,S38,V38,Y38)</f>
        <v>216369</v>
      </c>
      <c r="AL38" s="98">
        <f t="shared" ref="AL38" si="206">SUM(P38,S38,V38,Y38,AA38,AC38,AE38,AG38,AI38)</f>
        <v>21985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36" activePane="bottomRight" state="frozen"/>
      <selection pane="topRight" activeCell="C1" sqref="C1"/>
      <selection pane="bottomLeft" activeCell="A5" sqref="A5"/>
      <selection pane="bottomRight" activeCell="I29" sqref="I2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15" t="s">
        <v>64</v>
      </c>
      <c r="D1" s="215"/>
      <c r="E1" s="215" t="s">
        <v>64</v>
      </c>
      <c r="F1" s="215"/>
      <c r="G1" s="215" t="s">
        <v>64</v>
      </c>
      <c r="H1" s="215"/>
      <c r="I1" s="215" t="s">
        <v>64</v>
      </c>
      <c r="J1" s="215"/>
      <c r="K1" s="201" t="s">
        <v>65</v>
      </c>
      <c r="L1" s="202"/>
      <c r="M1" s="202"/>
      <c r="N1" s="203"/>
      <c r="O1" s="215" t="s">
        <v>66</v>
      </c>
      <c r="P1" s="215"/>
    </row>
    <row r="2" spans="1:19" s="27" customFormat="1" ht="113.25" customHeight="1">
      <c r="A2" s="26"/>
      <c r="B2" s="26"/>
      <c r="C2" s="217" t="s">
        <v>102</v>
      </c>
      <c r="D2" s="218"/>
      <c r="E2" s="217" t="s">
        <v>103</v>
      </c>
      <c r="F2" s="218"/>
      <c r="G2" s="217" t="s">
        <v>104</v>
      </c>
      <c r="H2" s="218"/>
      <c r="I2" s="217" t="s">
        <v>105</v>
      </c>
      <c r="J2" s="218"/>
      <c r="K2" s="219" t="s">
        <v>106</v>
      </c>
      <c r="L2" s="220"/>
      <c r="M2" s="220"/>
      <c r="N2" s="221"/>
      <c r="O2" s="217" t="s">
        <v>107</v>
      </c>
      <c r="P2" s="218"/>
    </row>
    <row r="3" spans="1:19" s="32" customFormat="1" ht="50.1" customHeight="1">
      <c r="A3" s="41"/>
      <c r="B3" s="41"/>
      <c r="C3" s="222" t="s">
        <v>108</v>
      </c>
      <c r="D3" s="223"/>
      <c r="E3" s="224" t="s">
        <v>109</v>
      </c>
      <c r="F3" s="225"/>
      <c r="G3" s="224" t="s">
        <v>110</v>
      </c>
      <c r="H3" s="225"/>
      <c r="I3" s="224" t="s">
        <v>111</v>
      </c>
      <c r="J3" s="225"/>
      <c r="K3" s="226" t="s">
        <v>112</v>
      </c>
      <c r="L3" s="227"/>
      <c r="M3" s="227"/>
      <c r="N3" s="228"/>
      <c r="O3" s="222" t="s">
        <v>113</v>
      </c>
      <c r="P3" s="223"/>
      <c r="R3" s="216" t="s">
        <v>80</v>
      </c>
      <c r="S3" s="216"/>
    </row>
    <row r="4" spans="1:19" s="8" customFormat="1" ht="30" customHeight="1">
      <c r="A4" s="107" t="s">
        <v>95</v>
      </c>
      <c r="B4" s="51"/>
      <c r="C4" s="199"/>
      <c r="D4" s="200"/>
      <c r="E4" s="199"/>
      <c r="F4" s="200"/>
      <c r="G4" s="199"/>
      <c r="H4" s="200"/>
      <c r="I4" s="199"/>
      <c r="J4" s="200"/>
      <c r="K4" s="199"/>
      <c r="L4" s="213"/>
      <c r="M4" s="213"/>
      <c r="N4" s="200"/>
      <c r="O4" s="51"/>
      <c r="P4" s="51"/>
      <c r="R4" s="216"/>
      <c r="S4" s="216"/>
    </row>
    <row r="5" spans="1:19" s="10" customFormat="1" ht="50.1" customHeight="1">
      <c r="A5" s="107" t="s">
        <v>98</v>
      </c>
      <c r="B5" s="107"/>
      <c r="C5" s="107" t="s">
        <v>114</v>
      </c>
      <c r="D5" s="107" t="s">
        <v>115</v>
      </c>
      <c r="E5" s="107" t="s">
        <v>114</v>
      </c>
      <c r="F5" s="107" t="s">
        <v>115</v>
      </c>
      <c r="G5" s="107" t="s">
        <v>114</v>
      </c>
      <c r="H5" s="107" t="s">
        <v>115</v>
      </c>
      <c r="I5" s="107" t="s">
        <v>114</v>
      </c>
      <c r="J5" s="107" t="s">
        <v>115</v>
      </c>
      <c r="K5" s="107" t="s">
        <v>114</v>
      </c>
      <c r="L5" s="107" t="s">
        <v>115</v>
      </c>
      <c r="M5" s="107" t="s">
        <v>64</v>
      </c>
      <c r="N5" s="107" t="s">
        <v>66</v>
      </c>
      <c r="O5" s="107" t="s">
        <v>114</v>
      </c>
      <c r="P5" s="107" t="s">
        <v>115</v>
      </c>
      <c r="R5" s="107"/>
      <c r="S5" s="107"/>
    </row>
    <row r="6" spans="1:19" ht="39.950000000000003" customHeight="1">
      <c r="A6" s="145">
        <v>43890</v>
      </c>
      <c r="B6" s="82"/>
      <c r="C6" s="83">
        <v>147826</v>
      </c>
      <c r="D6" s="182"/>
      <c r="E6" s="83">
        <v>112179</v>
      </c>
      <c r="F6" s="182"/>
      <c r="G6" s="83">
        <v>4365.2960000000003</v>
      </c>
      <c r="H6" s="182"/>
      <c r="I6" s="83">
        <v>7895</v>
      </c>
      <c r="J6" s="182"/>
      <c r="K6" s="83">
        <v>98251</v>
      </c>
      <c r="L6" s="76"/>
      <c r="M6" s="182"/>
      <c r="N6" s="182"/>
      <c r="O6" s="83">
        <v>69251</v>
      </c>
      <c r="P6" s="182"/>
      <c r="R6" s="106"/>
      <c r="S6" s="98"/>
    </row>
    <row r="7" spans="1:19" s="2" customFormat="1" ht="39.950000000000003" customHeight="1">
      <c r="A7" s="145">
        <v>43891</v>
      </c>
      <c r="B7" s="15"/>
      <c r="C7" s="84">
        <v>147898</v>
      </c>
      <c r="D7" s="182">
        <f>(C7-C6)</f>
        <v>72</v>
      </c>
      <c r="E7" s="84">
        <v>112374</v>
      </c>
      <c r="F7" s="182">
        <f>(E7-E6)</f>
        <v>195</v>
      </c>
      <c r="G7" s="84">
        <v>4373.7837</v>
      </c>
      <c r="H7" s="182">
        <f>(G7-G6)</f>
        <v>8.4876999999996769</v>
      </c>
      <c r="I7" s="84">
        <v>7912</v>
      </c>
      <c r="J7" s="182">
        <f>(I7-I6)</f>
        <v>17</v>
      </c>
      <c r="K7" s="84">
        <v>98291</v>
      </c>
      <c r="L7" s="76">
        <f>(K7-K6)</f>
        <v>40</v>
      </c>
      <c r="M7" s="182">
        <f>L7*55%</f>
        <v>22</v>
      </c>
      <c r="N7" s="182">
        <f>L7*45%</f>
        <v>18</v>
      </c>
      <c r="O7" s="84">
        <v>69317</v>
      </c>
      <c r="P7" s="182">
        <f>(O7-O6)</f>
        <v>66</v>
      </c>
      <c r="R7" s="106">
        <f t="shared" ref="R7:R34" si="0">SUM(D7,F7,M71,H7)</f>
        <v>275.48769999999968</v>
      </c>
      <c r="S7" s="98">
        <f>SUM(N7,P7)</f>
        <v>84</v>
      </c>
    </row>
    <row r="8" spans="1:19" ht="39.950000000000003" customHeight="1">
      <c r="A8" s="145">
        <v>43892</v>
      </c>
      <c r="B8" s="16"/>
      <c r="C8" s="84">
        <v>147964</v>
      </c>
      <c r="D8" s="182">
        <f t="shared" ref="D8:F35" si="1">(C8-C7)</f>
        <v>66</v>
      </c>
      <c r="E8" s="84">
        <v>112519</v>
      </c>
      <c r="F8" s="182">
        <f t="shared" si="1"/>
        <v>145</v>
      </c>
      <c r="G8" s="84">
        <v>4386.2510000000002</v>
      </c>
      <c r="H8" s="182">
        <f t="shared" ref="H8" si="2">(G8-G7)</f>
        <v>12.46730000000025</v>
      </c>
      <c r="I8" s="84">
        <v>7925</v>
      </c>
      <c r="J8" s="182">
        <f t="shared" ref="J8" si="3">(I8-I7)</f>
        <v>13</v>
      </c>
      <c r="K8" s="84">
        <v>98321</v>
      </c>
      <c r="L8" s="76">
        <f t="shared" ref="L8" si="4">(K8-K7)</f>
        <v>30</v>
      </c>
      <c r="M8" s="182">
        <f t="shared" ref="M8:M34" si="5">L8*55%</f>
        <v>16.5</v>
      </c>
      <c r="N8" s="182">
        <f t="shared" ref="N8:N34" si="6">L8*45%</f>
        <v>13.5</v>
      </c>
      <c r="O8" s="84">
        <v>69396</v>
      </c>
      <c r="P8" s="182">
        <f t="shared" ref="P8" si="7">(O8-O7)</f>
        <v>79</v>
      </c>
      <c r="R8" s="106">
        <f t="shared" si="0"/>
        <v>223.46730000000025</v>
      </c>
      <c r="S8" s="98">
        <f t="shared" ref="S8:S34" si="8">SUM(N8,P8)</f>
        <v>92.5</v>
      </c>
    </row>
    <row r="9" spans="1:19" ht="39.950000000000003" customHeight="1">
      <c r="A9" s="145">
        <v>43893</v>
      </c>
      <c r="B9" s="16"/>
      <c r="C9" s="84">
        <v>148018</v>
      </c>
      <c r="D9" s="182">
        <f t="shared" si="1"/>
        <v>54</v>
      </c>
      <c r="E9" s="84">
        <v>112649</v>
      </c>
      <c r="F9" s="182">
        <f t="shared" si="1"/>
        <v>130</v>
      </c>
      <c r="G9" s="84">
        <f>(G10+G8)/2</f>
        <v>4395.6005000000005</v>
      </c>
      <c r="H9" s="182">
        <f t="shared" ref="H9" si="9">(G9-G8)</f>
        <v>9.3495000000002619</v>
      </c>
      <c r="I9" s="84">
        <v>7970</v>
      </c>
      <c r="J9" s="182">
        <f t="shared" ref="J9" si="10">(I9-I8)</f>
        <v>45</v>
      </c>
      <c r="K9" s="84">
        <v>98438</v>
      </c>
      <c r="L9" s="76">
        <f t="shared" ref="L9" si="11">(K9-K8)</f>
        <v>117</v>
      </c>
      <c r="M9" s="182">
        <f t="shared" si="5"/>
        <v>64.350000000000009</v>
      </c>
      <c r="N9" s="182">
        <f t="shared" si="6"/>
        <v>52.65</v>
      </c>
      <c r="O9" s="84">
        <v>69475</v>
      </c>
      <c r="P9" s="182">
        <f t="shared" ref="P9" si="12">(O9-O8)</f>
        <v>79</v>
      </c>
      <c r="R9" s="106">
        <f t="shared" si="0"/>
        <v>193.34950000000026</v>
      </c>
      <c r="S9" s="98">
        <f t="shared" si="8"/>
        <v>131.65</v>
      </c>
    </row>
    <row r="10" spans="1:19" ht="39.950000000000003" customHeight="1">
      <c r="A10" s="145">
        <v>43894</v>
      </c>
      <c r="B10" s="16"/>
      <c r="C10" s="84">
        <v>148069</v>
      </c>
      <c r="D10" s="182">
        <f t="shared" si="1"/>
        <v>51</v>
      </c>
      <c r="E10" s="84">
        <v>112791</v>
      </c>
      <c r="F10" s="182">
        <f t="shared" si="1"/>
        <v>142</v>
      </c>
      <c r="G10" s="84">
        <v>4404.95</v>
      </c>
      <c r="H10" s="182">
        <f t="shared" ref="H10" si="13">(G10-G9)</f>
        <v>9.3494999999993524</v>
      </c>
      <c r="I10" s="84">
        <v>7977</v>
      </c>
      <c r="J10" s="182">
        <f t="shared" ref="J10" si="14">(I10-I9)</f>
        <v>7</v>
      </c>
      <c r="K10" s="84">
        <v>98464</v>
      </c>
      <c r="L10" s="76">
        <f t="shared" ref="L10" si="15">(K10-K9)</f>
        <v>26</v>
      </c>
      <c r="M10" s="182">
        <f t="shared" si="5"/>
        <v>14.3</v>
      </c>
      <c r="N10" s="182">
        <f t="shared" si="6"/>
        <v>11.700000000000001</v>
      </c>
      <c r="O10" s="84">
        <v>69547</v>
      </c>
      <c r="P10" s="182">
        <f t="shared" ref="P10" si="16">(O10-O9)</f>
        <v>72</v>
      </c>
      <c r="R10" s="106">
        <f t="shared" si="0"/>
        <v>202.34949999999935</v>
      </c>
      <c r="S10" s="98">
        <f t="shared" si="8"/>
        <v>83.7</v>
      </c>
    </row>
    <row r="11" spans="1:19" ht="39.950000000000003" customHeight="1">
      <c r="A11" s="145">
        <v>43895</v>
      </c>
      <c r="B11" s="16"/>
      <c r="C11" s="84">
        <v>148131</v>
      </c>
      <c r="D11" s="182">
        <f t="shared" si="1"/>
        <v>62</v>
      </c>
      <c r="E11" s="84">
        <v>112943</v>
      </c>
      <c r="F11" s="182">
        <f t="shared" si="1"/>
        <v>152</v>
      </c>
      <c r="G11" s="84">
        <v>4412.9961999999996</v>
      </c>
      <c r="H11" s="182">
        <f t="shared" ref="H11" si="17">(G11-G10)</f>
        <v>8.0461999999997715</v>
      </c>
      <c r="I11" s="84">
        <v>7988</v>
      </c>
      <c r="J11" s="182">
        <f t="shared" ref="J11" si="18">(I11-I10)</f>
        <v>11</v>
      </c>
      <c r="K11" s="84">
        <v>98583</v>
      </c>
      <c r="L11" s="76">
        <f t="shared" ref="L11" si="19">(K11-K10)</f>
        <v>119</v>
      </c>
      <c r="M11" s="182">
        <f t="shared" si="5"/>
        <v>65.45</v>
      </c>
      <c r="N11" s="182">
        <f t="shared" si="6"/>
        <v>53.550000000000004</v>
      </c>
      <c r="O11" s="84">
        <v>69620</v>
      </c>
      <c r="P11" s="182">
        <f t="shared" ref="P11" si="20">(O11-O10)</f>
        <v>73</v>
      </c>
      <c r="R11" s="106">
        <f t="shared" si="0"/>
        <v>222.04619999999977</v>
      </c>
      <c r="S11" s="98">
        <f t="shared" si="8"/>
        <v>126.55000000000001</v>
      </c>
    </row>
    <row r="12" spans="1:19" ht="39.950000000000003" customHeight="1">
      <c r="A12" s="145">
        <v>43896</v>
      </c>
      <c r="B12" s="16"/>
      <c r="C12" s="84">
        <v>148179</v>
      </c>
      <c r="D12" s="182">
        <f t="shared" si="1"/>
        <v>48</v>
      </c>
      <c r="E12" s="84">
        <v>113104</v>
      </c>
      <c r="F12" s="182">
        <f t="shared" si="1"/>
        <v>161</v>
      </c>
      <c r="G12" s="84">
        <v>4425.6525000000001</v>
      </c>
      <c r="H12" s="182">
        <f t="shared" ref="H12" si="21">(G12-G11)</f>
        <v>12.656300000000556</v>
      </c>
      <c r="I12" s="84">
        <v>8002</v>
      </c>
      <c r="J12" s="182">
        <f t="shared" ref="J12" si="22">(I12-I11)</f>
        <v>14</v>
      </c>
      <c r="K12" s="84">
        <v>98625</v>
      </c>
      <c r="L12" s="76">
        <f t="shared" ref="L12" si="23">(K12-K11)</f>
        <v>42</v>
      </c>
      <c r="M12" s="182">
        <f t="shared" si="5"/>
        <v>23.1</v>
      </c>
      <c r="N12" s="182">
        <f t="shared" si="6"/>
        <v>18.900000000000002</v>
      </c>
      <c r="O12" s="84">
        <v>69691</v>
      </c>
      <c r="P12" s="182">
        <f t="shared" ref="P12" si="24">(O12-O11)</f>
        <v>71</v>
      </c>
      <c r="R12" s="106">
        <f t="shared" si="0"/>
        <v>221.65630000000056</v>
      </c>
      <c r="S12" s="98">
        <f t="shared" si="8"/>
        <v>89.9</v>
      </c>
    </row>
    <row r="13" spans="1:19" ht="39.950000000000003" customHeight="1">
      <c r="A13" s="145">
        <v>43897</v>
      </c>
      <c r="B13" s="16"/>
      <c r="C13" s="84">
        <v>148236</v>
      </c>
      <c r="D13" s="182">
        <f t="shared" si="1"/>
        <v>57</v>
      </c>
      <c r="E13" s="84">
        <v>113264</v>
      </c>
      <c r="F13" s="182">
        <f t="shared" si="1"/>
        <v>160</v>
      </c>
      <c r="G13" s="84">
        <v>4435.5002000000004</v>
      </c>
      <c r="H13" s="182">
        <f t="shared" ref="H13" si="25">(G13-G12)</f>
        <v>9.847700000000259</v>
      </c>
      <c r="I13" s="84">
        <v>8014</v>
      </c>
      <c r="J13" s="182">
        <f t="shared" ref="J13" si="26">(I13-I12)</f>
        <v>12</v>
      </c>
      <c r="K13" s="84">
        <v>98744</v>
      </c>
      <c r="L13" s="76">
        <f t="shared" ref="L13" si="27">(K13-K12)</f>
        <v>119</v>
      </c>
      <c r="M13" s="182">
        <f t="shared" si="5"/>
        <v>65.45</v>
      </c>
      <c r="N13" s="182">
        <f t="shared" si="6"/>
        <v>53.550000000000004</v>
      </c>
      <c r="O13" s="84">
        <v>69855</v>
      </c>
      <c r="P13" s="182">
        <f t="shared" ref="P13" si="28">(O13-O12)</f>
        <v>164</v>
      </c>
      <c r="R13" s="106">
        <f t="shared" si="0"/>
        <v>226.84770000000026</v>
      </c>
      <c r="S13" s="98">
        <f t="shared" si="8"/>
        <v>217.55</v>
      </c>
    </row>
    <row r="14" spans="1:19" ht="39.950000000000003" customHeight="1">
      <c r="A14" s="145">
        <v>43898</v>
      </c>
      <c r="B14" s="16"/>
      <c r="C14" s="84">
        <v>148306</v>
      </c>
      <c r="D14" s="182">
        <f t="shared" si="1"/>
        <v>70</v>
      </c>
      <c r="E14" s="84">
        <v>113455</v>
      </c>
      <c r="F14" s="182">
        <f t="shared" si="1"/>
        <v>191</v>
      </c>
      <c r="G14" s="84">
        <v>4445.1617999999999</v>
      </c>
      <c r="H14" s="182">
        <f t="shared" ref="H14" si="29">(G14-G13)</f>
        <v>9.6615999999994528</v>
      </c>
      <c r="I14" s="84">
        <v>8026</v>
      </c>
      <c r="J14" s="182">
        <f t="shared" ref="J14" si="30">(I14-I13)</f>
        <v>12</v>
      </c>
      <c r="K14" s="84">
        <v>98780</v>
      </c>
      <c r="L14" s="76">
        <f t="shared" ref="L14" si="31">(K14-K13)</f>
        <v>36</v>
      </c>
      <c r="M14" s="182">
        <f t="shared" si="5"/>
        <v>19.8</v>
      </c>
      <c r="N14" s="182">
        <f t="shared" si="6"/>
        <v>16.2</v>
      </c>
      <c r="O14" s="84">
        <v>70041</v>
      </c>
      <c r="P14" s="182">
        <f t="shared" ref="P14" si="32">(O14-O13)</f>
        <v>186</v>
      </c>
      <c r="R14" s="106">
        <f t="shared" si="0"/>
        <v>270.66159999999945</v>
      </c>
      <c r="S14" s="98">
        <f t="shared" si="8"/>
        <v>202.2</v>
      </c>
    </row>
    <row r="15" spans="1:19" ht="39.950000000000003" customHeight="1">
      <c r="A15" s="145">
        <v>43899</v>
      </c>
      <c r="B15" s="16"/>
      <c r="C15" s="84">
        <v>148363</v>
      </c>
      <c r="D15" s="182">
        <f t="shared" si="1"/>
        <v>57</v>
      </c>
      <c r="E15" s="84">
        <v>113634</v>
      </c>
      <c r="F15" s="182">
        <f t="shared" si="1"/>
        <v>179</v>
      </c>
      <c r="G15" s="84">
        <v>4454.6381000000001</v>
      </c>
      <c r="H15" s="182">
        <f t="shared" ref="H15" si="33">(G15-G14)</f>
        <v>9.4763000000002648</v>
      </c>
      <c r="I15" s="84">
        <v>8070</v>
      </c>
      <c r="J15" s="182">
        <f t="shared" ref="J15" si="34">(I15-I14)</f>
        <v>44</v>
      </c>
      <c r="K15" s="84">
        <v>98814</v>
      </c>
      <c r="L15" s="76">
        <f t="shared" ref="L15" si="35">(K15-K14)</f>
        <v>34</v>
      </c>
      <c r="M15" s="182">
        <f t="shared" si="5"/>
        <v>18.700000000000003</v>
      </c>
      <c r="N15" s="182">
        <f t="shared" si="6"/>
        <v>15.3</v>
      </c>
      <c r="O15" s="84">
        <v>70298</v>
      </c>
      <c r="P15" s="182">
        <f t="shared" ref="P15" si="36">(O15-O14)</f>
        <v>257</v>
      </c>
      <c r="R15" s="106">
        <f t="shared" si="0"/>
        <v>245.47630000000026</v>
      </c>
      <c r="S15" s="98">
        <f t="shared" si="8"/>
        <v>272.3</v>
      </c>
    </row>
    <row r="16" spans="1:19" ht="39.950000000000003" customHeight="1">
      <c r="A16" s="145">
        <v>43900</v>
      </c>
      <c r="B16" s="16"/>
      <c r="C16" s="84">
        <v>148442</v>
      </c>
      <c r="D16" s="182">
        <f t="shared" si="1"/>
        <v>79</v>
      </c>
      <c r="E16" s="84">
        <v>113784</v>
      </c>
      <c r="F16" s="182">
        <f t="shared" si="1"/>
        <v>150</v>
      </c>
      <c r="G16" s="84">
        <v>4465.0159999999996</v>
      </c>
      <c r="H16" s="182">
        <f t="shared" ref="H16" si="37">(G16-G15)</f>
        <v>10.377899999999499</v>
      </c>
      <c r="I16" s="84">
        <v>8092</v>
      </c>
      <c r="J16" s="182">
        <f t="shared" ref="J16" si="38">(I16-I15)</f>
        <v>22</v>
      </c>
      <c r="K16" s="84">
        <v>98940</v>
      </c>
      <c r="L16" s="76">
        <f t="shared" ref="L16" si="39">(K16-K15)</f>
        <v>126</v>
      </c>
      <c r="M16" s="182">
        <f t="shared" si="5"/>
        <v>69.300000000000011</v>
      </c>
      <c r="N16" s="182">
        <f t="shared" si="6"/>
        <v>56.7</v>
      </c>
      <c r="O16" s="84">
        <v>70398</v>
      </c>
      <c r="P16" s="182">
        <f t="shared" ref="P16" si="40">(O16-O15)</f>
        <v>100</v>
      </c>
      <c r="R16" s="106">
        <f t="shared" si="0"/>
        <v>239.3778999999995</v>
      </c>
      <c r="S16" s="98">
        <f t="shared" si="8"/>
        <v>156.69999999999999</v>
      </c>
    </row>
    <row r="17" spans="1:19" ht="39.950000000000003" customHeight="1">
      <c r="A17" s="145">
        <v>43901</v>
      </c>
      <c r="B17" s="16"/>
      <c r="C17" s="83">
        <v>148502</v>
      </c>
      <c r="D17" s="182">
        <f t="shared" si="1"/>
        <v>60</v>
      </c>
      <c r="E17" s="83">
        <v>113949</v>
      </c>
      <c r="F17" s="182">
        <f t="shared" si="1"/>
        <v>165</v>
      </c>
      <c r="G17" s="83">
        <v>4475.4583000000002</v>
      </c>
      <c r="H17" s="182">
        <f t="shared" ref="H17" si="41">(G17-G16)</f>
        <v>10.442300000000614</v>
      </c>
      <c r="I17" s="83">
        <v>8111</v>
      </c>
      <c r="J17" s="182">
        <f t="shared" ref="J17" si="42">(I17-I16)</f>
        <v>19</v>
      </c>
      <c r="K17" s="83">
        <v>98976</v>
      </c>
      <c r="L17" s="76">
        <f t="shared" ref="L17" si="43">(K17-K16)</f>
        <v>36</v>
      </c>
      <c r="M17" s="182">
        <f t="shared" si="5"/>
        <v>19.8</v>
      </c>
      <c r="N17" s="182">
        <f t="shared" si="6"/>
        <v>16.2</v>
      </c>
      <c r="O17" s="83">
        <v>70477</v>
      </c>
      <c r="P17" s="182">
        <f t="shared" ref="P17" si="44">(O17-O16)</f>
        <v>79</v>
      </c>
      <c r="R17" s="106">
        <f t="shared" si="0"/>
        <v>235.44230000000061</v>
      </c>
      <c r="S17" s="98">
        <f t="shared" si="8"/>
        <v>95.2</v>
      </c>
    </row>
    <row r="18" spans="1:19" ht="39.950000000000003" customHeight="1">
      <c r="A18" s="145">
        <v>43902</v>
      </c>
      <c r="B18" s="16"/>
      <c r="C18" s="83">
        <v>148583</v>
      </c>
      <c r="D18" s="182">
        <f t="shared" si="1"/>
        <v>81</v>
      </c>
      <c r="E18" s="83">
        <v>114107</v>
      </c>
      <c r="F18" s="182">
        <f t="shared" si="1"/>
        <v>158</v>
      </c>
      <c r="G18" s="83">
        <v>4485.1495000000004</v>
      </c>
      <c r="H18" s="182">
        <f t="shared" ref="H18" si="45">(G18-G17)</f>
        <v>9.6912000000002081</v>
      </c>
      <c r="I18" s="83">
        <v>8135</v>
      </c>
      <c r="J18" s="182">
        <f t="shared" ref="J18" si="46">(I18-I17)</f>
        <v>24</v>
      </c>
      <c r="K18" s="83">
        <v>99092</v>
      </c>
      <c r="L18" s="76">
        <f t="shared" ref="L18" si="47">(K18-K17)</f>
        <v>116</v>
      </c>
      <c r="M18" s="182">
        <f t="shared" si="5"/>
        <v>63.800000000000004</v>
      </c>
      <c r="N18" s="182">
        <f t="shared" si="6"/>
        <v>52.2</v>
      </c>
      <c r="O18" s="83">
        <v>70734</v>
      </c>
      <c r="P18" s="182">
        <f t="shared" ref="P18" si="48">(O18-O17)</f>
        <v>257</v>
      </c>
      <c r="R18" s="106">
        <f t="shared" si="0"/>
        <v>248.69120000000021</v>
      </c>
      <c r="S18" s="98">
        <f t="shared" si="8"/>
        <v>309.2</v>
      </c>
    </row>
    <row r="19" spans="1:19" s="79" customFormat="1" ht="39.950000000000003" customHeight="1">
      <c r="A19" s="145">
        <v>43903</v>
      </c>
      <c r="B19" s="82"/>
      <c r="C19" s="84">
        <v>148660</v>
      </c>
      <c r="D19" s="182">
        <f t="shared" si="1"/>
        <v>77</v>
      </c>
      <c r="E19" s="84">
        <v>114280</v>
      </c>
      <c r="F19" s="182">
        <f t="shared" si="1"/>
        <v>173</v>
      </c>
      <c r="G19" s="84">
        <v>4494.2709999999997</v>
      </c>
      <c r="H19" s="182">
        <f t="shared" ref="H19" si="49">(G19-G18)</f>
        <v>9.121499999999287</v>
      </c>
      <c r="I19" s="84">
        <v>8146</v>
      </c>
      <c r="J19" s="182">
        <f t="shared" ref="J19" si="50">(I19-I18)</f>
        <v>11</v>
      </c>
      <c r="K19" s="84">
        <v>99124</v>
      </c>
      <c r="L19" s="76">
        <f t="shared" ref="L19" si="51">(K19-K18)</f>
        <v>32</v>
      </c>
      <c r="M19" s="182">
        <f t="shared" si="5"/>
        <v>17.600000000000001</v>
      </c>
      <c r="N19" s="182">
        <f t="shared" si="6"/>
        <v>14.4</v>
      </c>
      <c r="O19" s="84">
        <v>70928</v>
      </c>
      <c r="P19" s="182">
        <f t="shared" ref="P19" si="52">(O19-O18)</f>
        <v>194</v>
      </c>
      <c r="R19" s="168">
        <f t="shared" si="0"/>
        <v>259.12149999999929</v>
      </c>
      <c r="S19" s="105">
        <f t="shared" si="8"/>
        <v>208.4</v>
      </c>
    </row>
    <row r="20" spans="1:19" s="79" customFormat="1" ht="39.950000000000003" customHeight="1">
      <c r="A20" s="145">
        <v>43904</v>
      </c>
      <c r="B20" s="82"/>
      <c r="C20" s="84">
        <v>148731</v>
      </c>
      <c r="D20" s="182">
        <f t="shared" si="1"/>
        <v>71</v>
      </c>
      <c r="E20" s="84">
        <v>114454</v>
      </c>
      <c r="F20" s="182">
        <f t="shared" si="1"/>
        <v>174</v>
      </c>
      <c r="G20" s="84">
        <v>4503.2479000000003</v>
      </c>
      <c r="H20" s="182">
        <f t="shared" ref="H20" si="53">(G20-G19)</f>
        <v>8.976900000000569</v>
      </c>
      <c r="I20" s="84">
        <v>8158</v>
      </c>
      <c r="J20" s="182">
        <f t="shared" ref="J20" si="54">(I20-I19)</f>
        <v>12</v>
      </c>
      <c r="K20" s="84">
        <v>99231</v>
      </c>
      <c r="L20" s="76">
        <f t="shared" ref="L20" si="55">(K20-K19)</f>
        <v>107</v>
      </c>
      <c r="M20" s="182">
        <f t="shared" si="5"/>
        <v>58.85</v>
      </c>
      <c r="N20" s="182">
        <f t="shared" si="6"/>
        <v>48.15</v>
      </c>
      <c r="O20" s="84">
        <v>70989</v>
      </c>
      <c r="P20" s="182">
        <f t="shared" ref="P20" si="56">(O20-O19)</f>
        <v>61</v>
      </c>
      <c r="R20" s="168">
        <f t="shared" si="0"/>
        <v>253.97690000000057</v>
      </c>
      <c r="S20" s="105">
        <f t="shared" si="8"/>
        <v>109.15</v>
      </c>
    </row>
    <row r="21" spans="1:19" s="79" customFormat="1" ht="39.950000000000003" customHeight="1">
      <c r="A21" s="145">
        <v>43905</v>
      </c>
      <c r="B21" s="82"/>
      <c r="C21" s="84">
        <v>148809</v>
      </c>
      <c r="D21" s="182">
        <f t="shared" si="1"/>
        <v>78</v>
      </c>
      <c r="E21" s="84">
        <v>114641</v>
      </c>
      <c r="F21" s="182">
        <f>(E21-E20)</f>
        <v>187</v>
      </c>
      <c r="G21" s="84">
        <v>4513.3153000000002</v>
      </c>
      <c r="H21" s="182">
        <f t="shared" ref="H21" si="57">(G21-G20)</f>
        <v>10.067399999999907</v>
      </c>
      <c r="I21" s="84">
        <v>8179</v>
      </c>
      <c r="J21" s="182">
        <f t="shared" ref="J21" si="58">(I21-I20)</f>
        <v>21</v>
      </c>
      <c r="K21" s="84">
        <v>99265</v>
      </c>
      <c r="L21" s="76">
        <f t="shared" ref="L21" si="59">(K21-K20)</f>
        <v>34</v>
      </c>
      <c r="M21" s="182">
        <f t="shared" si="5"/>
        <v>18.700000000000003</v>
      </c>
      <c r="N21" s="182">
        <f t="shared" si="6"/>
        <v>15.3</v>
      </c>
      <c r="O21" s="84">
        <v>71062</v>
      </c>
      <c r="P21" s="182">
        <f t="shared" ref="P21" si="60">(O21-O20)</f>
        <v>73</v>
      </c>
      <c r="R21" s="168">
        <f t="shared" si="0"/>
        <v>275.06739999999991</v>
      </c>
      <c r="S21" s="105">
        <f t="shared" si="8"/>
        <v>88.3</v>
      </c>
    </row>
    <row r="22" spans="1:19" s="79" customFormat="1" ht="39.950000000000003" customHeight="1">
      <c r="A22" s="145">
        <v>43906</v>
      </c>
      <c r="B22" s="82"/>
      <c r="C22" s="83">
        <v>148873</v>
      </c>
      <c r="D22" s="182">
        <f t="shared" si="1"/>
        <v>64</v>
      </c>
      <c r="E22" s="83">
        <v>114777</v>
      </c>
      <c r="F22" s="182">
        <f>(E22-E21)</f>
        <v>136</v>
      </c>
      <c r="G22" s="83">
        <v>4523.8320000000003</v>
      </c>
      <c r="H22" s="182">
        <f t="shared" ref="H22" si="61">(G22-G21)</f>
        <v>10.516700000000128</v>
      </c>
      <c r="I22" s="83">
        <v>8190</v>
      </c>
      <c r="J22" s="182">
        <f t="shared" ref="J22" si="62">(I22-I21)</f>
        <v>11</v>
      </c>
      <c r="K22" s="83">
        <v>99301</v>
      </c>
      <c r="L22" s="76">
        <f t="shared" ref="L22" si="63">(K22-K21)</f>
        <v>36</v>
      </c>
      <c r="M22" s="182">
        <f t="shared" si="5"/>
        <v>19.8</v>
      </c>
      <c r="N22" s="182">
        <f t="shared" si="6"/>
        <v>16.2</v>
      </c>
      <c r="O22" s="83">
        <v>71128</v>
      </c>
      <c r="P22" s="182">
        <f t="shared" ref="P22" si="64">(O22-O21)</f>
        <v>66</v>
      </c>
      <c r="R22" s="168">
        <f t="shared" si="0"/>
        <v>210.51670000000013</v>
      </c>
      <c r="S22" s="105">
        <f t="shared" si="8"/>
        <v>82.2</v>
      </c>
    </row>
    <row r="23" spans="1:19" s="79" customFormat="1" ht="39.950000000000003" customHeight="1">
      <c r="A23" s="145">
        <v>43907</v>
      </c>
      <c r="B23" s="82"/>
      <c r="C23" s="83">
        <v>148953</v>
      </c>
      <c r="D23" s="182">
        <f t="shared" si="1"/>
        <v>80</v>
      </c>
      <c r="E23" s="83">
        <v>114916</v>
      </c>
      <c r="F23" s="182">
        <f>(E23-E22)</f>
        <v>139</v>
      </c>
      <c r="G23" s="83">
        <v>4539.777</v>
      </c>
      <c r="H23" s="182">
        <f t="shared" ref="H23" si="65">(G23-G22)</f>
        <v>15.944999999999709</v>
      </c>
      <c r="I23" s="83">
        <v>8201</v>
      </c>
      <c r="J23" s="182">
        <f t="shared" ref="J23" si="66">(I23-I22)</f>
        <v>11</v>
      </c>
      <c r="K23" s="83">
        <v>99425</v>
      </c>
      <c r="L23" s="76">
        <f t="shared" ref="L23" si="67">(K23-K22)</f>
        <v>124</v>
      </c>
      <c r="M23" s="182">
        <f t="shared" si="5"/>
        <v>68.2</v>
      </c>
      <c r="N23" s="182">
        <f t="shared" si="6"/>
        <v>55.800000000000004</v>
      </c>
      <c r="O23" s="83">
        <v>71202</v>
      </c>
      <c r="P23" s="182">
        <f t="shared" ref="P23" si="68">(O23-O22)</f>
        <v>74</v>
      </c>
      <c r="R23" s="168">
        <f t="shared" si="0"/>
        <v>234.94499999999971</v>
      </c>
      <c r="S23" s="105">
        <f t="shared" si="8"/>
        <v>129.80000000000001</v>
      </c>
    </row>
    <row r="24" spans="1:19" s="79" customFormat="1" ht="39.950000000000003" customHeight="1">
      <c r="A24" s="145">
        <v>43908</v>
      </c>
      <c r="B24" s="82"/>
      <c r="C24" s="83">
        <v>149026</v>
      </c>
      <c r="D24" s="182">
        <f t="shared" si="1"/>
        <v>73</v>
      </c>
      <c r="E24" s="83">
        <v>115081</v>
      </c>
      <c r="F24" s="182">
        <f t="shared" si="1"/>
        <v>165</v>
      </c>
      <c r="G24" s="83">
        <v>4552.5337</v>
      </c>
      <c r="H24" s="182">
        <f t="shared" ref="H24" si="69">(G24-G23)</f>
        <v>12.75669999999991</v>
      </c>
      <c r="I24" s="83">
        <v>8210</v>
      </c>
      <c r="J24" s="182">
        <f t="shared" ref="J24" si="70">(I24-I23)</f>
        <v>9</v>
      </c>
      <c r="K24" s="83">
        <v>99468</v>
      </c>
      <c r="L24" s="76">
        <f t="shared" ref="L24" si="71">(K24-K23)</f>
        <v>43</v>
      </c>
      <c r="M24" s="182">
        <f t="shared" si="5"/>
        <v>23.650000000000002</v>
      </c>
      <c r="N24" s="182">
        <f t="shared" si="6"/>
        <v>19.350000000000001</v>
      </c>
      <c r="O24" s="83">
        <v>71277</v>
      </c>
      <c r="P24" s="182">
        <f t="shared" ref="P24" si="72">(O24-O23)</f>
        <v>75</v>
      </c>
      <c r="R24" s="168">
        <f t="shared" si="0"/>
        <v>250.75669999999991</v>
      </c>
      <c r="S24" s="105">
        <f t="shared" si="8"/>
        <v>94.35</v>
      </c>
    </row>
    <row r="25" spans="1:19" s="79" customFormat="1" ht="39.950000000000003" customHeight="1">
      <c r="A25" s="145">
        <v>43909</v>
      </c>
      <c r="B25" s="82"/>
      <c r="C25" s="83">
        <v>149099</v>
      </c>
      <c r="D25" s="182">
        <f t="shared" si="1"/>
        <v>73</v>
      </c>
      <c r="E25" s="83">
        <v>115243</v>
      </c>
      <c r="F25" s="182">
        <f t="shared" si="1"/>
        <v>162</v>
      </c>
      <c r="G25" s="83">
        <v>4567.2947999999997</v>
      </c>
      <c r="H25" s="182">
        <f t="shared" ref="H25" si="73">(G25-G24)</f>
        <v>14.761099999999715</v>
      </c>
      <c r="I25" s="83">
        <v>8214</v>
      </c>
      <c r="J25" s="182">
        <f t="shared" ref="J25" si="74">(I25-I24)</f>
        <v>4</v>
      </c>
      <c r="K25" s="83">
        <v>99579</v>
      </c>
      <c r="L25" s="76">
        <f t="shared" ref="L25" si="75">(K25-K24)</f>
        <v>111</v>
      </c>
      <c r="M25" s="182">
        <f t="shared" si="5"/>
        <v>61.050000000000004</v>
      </c>
      <c r="N25" s="182">
        <f t="shared" si="6"/>
        <v>49.95</v>
      </c>
      <c r="O25" s="83">
        <v>71359</v>
      </c>
      <c r="P25" s="182">
        <f t="shared" ref="P25" si="76">(O25-O24)</f>
        <v>82</v>
      </c>
      <c r="R25" s="168">
        <f t="shared" si="0"/>
        <v>249.76109999999971</v>
      </c>
      <c r="S25" s="105">
        <f t="shared" si="8"/>
        <v>131.94999999999999</v>
      </c>
    </row>
    <row r="26" spans="1:19" ht="39.950000000000003" customHeight="1">
      <c r="A26" s="145">
        <v>43910</v>
      </c>
      <c r="B26" s="82"/>
      <c r="C26" s="83">
        <v>149172</v>
      </c>
      <c r="D26" s="182">
        <f t="shared" si="1"/>
        <v>73</v>
      </c>
      <c r="E26" s="83">
        <v>115416</v>
      </c>
      <c r="F26" s="182">
        <f t="shared" si="1"/>
        <v>173</v>
      </c>
      <c r="G26" s="84">
        <f>(G27+G25)/2</f>
        <v>4584.5838999999996</v>
      </c>
      <c r="H26" s="182">
        <f t="shared" ref="H26" si="77">(G26-G25)</f>
        <v>17.289099999999962</v>
      </c>
      <c r="I26" s="84">
        <f>(I27+I25)/2</f>
        <v>8220.5</v>
      </c>
      <c r="J26" s="182">
        <f t="shared" ref="J26" si="78">(I26-I25)</f>
        <v>6.5</v>
      </c>
      <c r="K26" s="83">
        <v>99625</v>
      </c>
      <c r="L26" s="76">
        <f t="shared" ref="L26" si="79">(K26-K25)</f>
        <v>46</v>
      </c>
      <c r="M26" s="182">
        <f t="shared" si="5"/>
        <v>25.3</v>
      </c>
      <c r="N26" s="182">
        <f t="shared" si="6"/>
        <v>20.7</v>
      </c>
      <c r="O26" s="83">
        <v>71434</v>
      </c>
      <c r="P26" s="182">
        <f t="shared" ref="P26" si="80">(O26-O25)</f>
        <v>75</v>
      </c>
      <c r="R26" s="106">
        <f t="shared" si="0"/>
        <v>263.28909999999996</v>
      </c>
      <c r="S26" s="98">
        <f t="shared" si="8"/>
        <v>95.7</v>
      </c>
    </row>
    <row r="27" spans="1:19" ht="39.950000000000003" customHeight="1">
      <c r="A27" s="145">
        <v>43911</v>
      </c>
      <c r="B27" s="82"/>
      <c r="C27" s="84">
        <f>(C28+C26)/2</f>
        <v>149239.5</v>
      </c>
      <c r="D27" s="182">
        <f t="shared" si="1"/>
        <v>67.5</v>
      </c>
      <c r="E27" s="84">
        <f>(E28+E26)/2</f>
        <v>115598</v>
      </c>
      <c r="F27" s="182">
        <f t="shared" si="1"/>
        <v>182</v>
      </c>
      <c r="G27" s="83">
        <v>4601.8729999999996</v>
      </c>
      <c r="H27" s="182">
        <f t="shared" ref="H27" si="81">(G27-G26)</f>
        <v>17.289099999999962</v>
      </c>
      <c r="I27" s="83">
        <v>8227</v>
      </c>
      <c r="J27" s="182">
        <f t="shared" ref="J27" si="82">(I27-I26)</f>
        <v>6.5</v>
      </c>
      <c r="K27" s="84">
        <f>(K28+K26)/2</f>
        <v>99688.5</v>
      </c>
      <c r="L27" s="76">
        <f t="shared" ref="L27" si="83">(K27-K26)</f>
        <v>63.5</v>
      </c>
      <c r="M27" s="182">
        <f t="shared" si="5"/>
        <v>34.925000000000004</v>
      </c>
      <c r="N27" s="182">
        <f t="shared" si="6"/>
        <v>28.574999999999999</v>
      </c>
      <c r="O27" s="84">
        <f>(O28+O26)/2</f>
        <v>71514</v>
      </c>
      <c r="P27" s="182">
        <f t="shared" ref="P27" si="84">(O27-O26)</f>
        <v>80</v>
      </c>
      <c r="R27" s="106">
        <f t="shared" si="0"/>
        <v>266.78909999999996</v>
      </c>
      <c r="S27" s="98">
        <f t="shared" si="8"/>
        <v>108.575</v>
      </c>
    </row>
    <row r="28" spans="1:19" ht="39.950000000000003" customHeight="1">
      <c r="A28" s="145">
        <v>43912</v>
      </c>
      <c r="B28" s="82"/>
      <c r="C28" s="83">
        <v>149307</v>
      </c>
      <c r="D28" s="182">
        <f t="shared" si="1"/>
        <v>67.5</v>
      </c>
      <c r="E28" s="83">
        <v>115780</v>
      </c>
      <c r="F28" s="182">
        <f t="shared" si="1"/>
        <v>182</v>
      </c>
      <c r="G28" s="83">
        <v>4620.4179999999997</v>
      </c>
      <c r="H28" s="182">
        <f t="shared" ref="H28" si="85">(G28-G27)</f>
        <v>18.545000000000073</v>
      </c>
      <c r="I28" s="83">
        <v>8232</v>
      </c>
      <c r="J28" s="182">
        <f t="shared" ref="J28" si="86">(I28-I27)</f>
        <v>5</v>
      </c>
      <c r="K28" s="83">
        <v>99752</v>
      </c>
      <c r="L28" s="76">
        <f t="shared" ref="L28" si="87">(K28-K27)</f>
        <v>63.5</v>
      </c>
      <c r="M28" s="182">
        <f t="shared" si="5"/>
        <v>34.925000000000004</v>
      </c>
      <c r="N28" s="182">
        <f t="shared" si="6"/>
        <v>28.574999999999999</v>
      </c>
      <c r="O28" s="83">
        <v>71594</v>
      </c>
      <c r="P28" s="182">
        <f t="shared" ref="P28" si="88">(O28-O27)</f>
        <v>80</v>
      </c>
      <c r="R28" s="106">
        <f t="shared" si="0"/>
        <v>268.04500000000007</v>
      </c>
      <c r="S28" s="98">
        <f t="shared" si="8"/>
        <v>108.575</v>
      </c>
    </row>
    <row r="29" spans="1:19" ht="39.950000000000003" customHeight="1">
      <c r="A29" s="145">
        <v>43913</v>
      </c>
      <c r="B29" s="82"/>
      <c r="C29" s="83">
        <v>149383</v>
      </c>
      <c r="D29" s="182">
        <f t="shared" si="1"/>
        <v>76</v>
      </c>
      <c r="E29" s="83">
        <v>115953</v>
      </c>
      <c r="F29" s="182">
        <f t="shared" si="1"/>
        <v>173</v>
      </c>
      <c r="G29" s="83">
        <v>4640.665</v>
      </c>
      <c r="H29" s="182">
        <f t="shared" ref="H29" si="89">(G29-G28)</f>
        <v>20.247000000000298</v>
      </c>
      <c r="I29" s="83">
        <v>8238</v>
      </c>
      <c r="J29" s="182">
        <f t="shared" ref="J29" si="90">(I29-I28)</f>
        <v>6</v>
      </c>
      <c r="K29" s="83">
        <v>99778</v>
      </c>
      <c r="L29" s="76">
        <f t="shared" ref="L29" si="91">(K29-K28)</f>
        <v>26</v>
      </c>
      <c r="M29" s="182">
        <f t="shared" si="5"/>
        <v>14.3</v>
      </c>
      <c r="N29" s="182">
        <f t="shared" si="6"/>
        <v>11.700000000000001</v>
      </c>
      <c r="O29" s="83">
        <v>71662</v>
      </c>
      <c r="P29" s="182">
        <f t="shared" ref="P29" si="92">(O29-O28)</f>
        <v>68</v>
      </c>
      <c r="R29" s="106">
        <f t="shared" si="0"/>
        <v>269.2470000000003</v>
      </c>
      <c r="S29" s="98">
        <f t="shared" si="8"/>
        <v>79.7</v>
      </c>
    </row>
    <row r="30" spans="1:19" ht="39.950000000000003" customHeight="1">
      <c r="A30" s="145">
        <v>43914</v>
      </c>
      <c r="B30" s="82"/>
      <c r="C30" s="83">
        <v>149471</v>
      </c>
      <c r="D30" s="182">
        <f t="shared" si="1"/>
        <v>88</v>
      </c>
      <c r="E30" s="83">
        <v>116104</v>
      </c>
      <c r="F30" s="182">
        <f t="shared" si="1"/>
        <v>151</v>
      </c>
      <c r="G30" s="83">
        <v>4658.3109999999997</v>
      </c>
      <c r="H30" s="182">
        <f t="shared" ref="H30" si="93">(G30-G29)</f>
        <v>17.645999999999731</v>
      </c>
      <c r="I30" s="83">
        <v>8238</v>
      </c>
      <c r="J30" s="182">
        <f t="shared" ref="J30" si="94">(I30-I29)</f>
        <v>0</v>
      </c>
      <c r="K30" s="83">
        <v>99906</v>
      </c>
      <c r="L30" s="76">
        <f t="shared" ref="L30" si="95">(K30-K29)</f>
        <v>128</v>
      </c>
      <c r="M30" s="182">
        <f t="shared" si="5"/>
        <v>70.400000000000006</v>
      </c>
      <c r="N30" s="182">
        <f t="shared" si="6"/>
        <v>57.6</v>
      </c>
      <c r="O30" s="83">
        <v>71738</v>
      </c>
      <c r="P30" s="182">
        <f t="shared" ref="P30" si="96">(O30-O29)</f>
        <v>76</v>
      </c>
      <c r="R30" s="106">
        <f t="shared" si="0"/>
        <v>256.64599999999973</v>
      </c>
      <c r="S30" s="98">
        <f t="shared" si="8"/>
        <v>133.6</v>
      </c>
    </row>
    <row r="31" spans="1:19" ht="39.950000000000003" customHeight="1">
      <c r="A31" s="145">
        <v>43915</v>
      </c>
      <c r="B31" s="82"/>
      <c r="C31" s="83">
        <v>149554</v>
      </c>
      <c r="D31" s="182">
        <f t="shared" si="1"/>
        <v>83</v>
      </c>
      <c r="E31" s="83">
        <v>116282</v>
      </c>
      <c r="F31" s="182">
        <f t="shared" si="1"/>
        <v>178</v>
      </c>
      <c r="G31" s="83">
        <v>4676.2610000000004</v>
      </c>
      <c r="H31" s="182">
        <f t="shared" ref="H31" si="97">(G31-G30)</f>
        <v>17.950000000000728</v>
      </c>
      <c r="I31" s="83">
        <v>8257</v>
      </c>
      <c r="J31" s="182">
        <f t="shared" ref="J31" si="98">(I31-I30)</f>
        <v>19</v>
      </c>
      <c r="K31" s="83">
        <v>99960</v>
      </c>
      <c r="L31" s="76">
        <f t="shared" ref="L31" si="99">(K31-K30)</f>
        <v>54</v>
      </c>
      <c r="M31" s="182">
        <f t="shared" si="5"/>
        <v>29.700000000000003</v>
      </c>
      <c r="N31" s="182">
        <f t="shared" si="6"/>
        <v>24.3</v>
      </c>
      <c r="O31" s="83">
        <v>71815</v>
      </c>
      <c r="P31" s="182">
        <f t="shared" ref="P31" si="100">(O31-O30)</f>
        <v>77</v>
      </c>
      <c r="R31" s="106">
        <f t="shared" si="0"/>
        <v>278.95000000000073</v>
      </c>
      <c r="S31" s="98">
        <f t="shared" si="8"/>
        <v>101.3</v>
      </c>
    </row>
    <row r="32" spans="1:19" ht="39.950000000000003" customHeight="1">
      <c r="A32" s="145">
        <v>43916</v>
      </c>
      <c r="B32" s="82"/>
      <c r="C32" s="83">
        <v>149634</v>
      </c>
      <c r="D32" s="182">
        <f t="shared" si="1"/>
        <v>80</v>
      </c>
      <c r="E32" s="83">
        <v>116451</v>
      </c>
      <c r="F32" s="182">
        <f t="shared" si="1"/>
        <v>169</v>
      </c>
      <c r="G32" s="83">
        <v>4696.0565999999999</v>
      </c>
      <c r="H32" s="182">
        <f t="shared" ref="H32" si="101">(G32-G31)</f>
        <v>19.795599999999467</v>
      </c>
      <c r="I32" s="83">
        <v>8564</v>
      </c>
      <c r="J32" s="182">
        <f t="shared" ref="J32" si="102">(I32-I31)</f>
        <v>307</v>
      </c>
      <c r="K32" s="83">
        <v>100069</v>
      </c>
      <c r="L32" s="76">
        <f t="shared" ref="L32" si="103">(K32-K31)</f>
        <v>109</v>
      </c>
      <c r="M32" s="182">
        <f t="shared" si="5"/>
        <v>59.95</v>
      </c>
      <c r="N32" s="182">
        <f t="shared" si="6"/>
        <v>49.050000000000004</v>
      </c>
      <c r="O32" s="83">
        <v>71902</v>
      </c>
      <c r="P32" s="182">
        <f t="shared" ref="P32" si="104">(O32-O31)</f>
        <v>87</v>
      </c>
      <c r="R32" s="106">
        <f t="shared" si="0"/>
        <v>268.79559999999947</v>
      </c>
      <c r="S32" s="98">
        <f t="shared" si="8"/>
        <v>136.05000000000001</v>
      </c>
    </row>
    <row r="33" spans="1:19" ht="39.950000000000003" customHeight="1">
      <c r="A33" s="145">
        <v>43917</v>
      </c>
      <c r="B33" s="82"/>
      <c r="C33" s="83">
        <v>149711</v>
      </c>
      <c r="D33" s="182">
        <f t="shared" si="1"/>
        <v>77</v>
      </c>
      <c r="E33" s="83">
        <v>116605</v>
      </c>
      <c r="F33" s="182">
        <f t="shared" si="1"/>
        <v>154</v>
      </c>
      <c r="G33" s="83">
        <f>(G35-G32)/3+G32</f>
        <v>4706.9377666666669</v>
      </c>
      <c r="H33" s="182">
        <f t="shared" ref="H33" si="105">(G33-G32)</f>
        <v>10.881166666667013</v>
      </c>
      <c r="I33" s="83">
        <f>(I35-I32)/3+I32</f>
        <v>8634.6666666666661</v>
      </c>
      <c r="J33" s="182">
        <f t="shared" ref="J33" si="106">(I33-I32)</f>
        <v>70.66666666666606</v>
      </c>
      <c r="K33" s="83">
        <v>100138</v>
      </c>
      <c r="L33" s="76">
        <f t="shared" ref="L33" si="107">(K33-K32)</f>
        <v>69</v>
      </c>
      <c r="M33" s="182">
        <f t="shared" si="5"/>
        <v>37.950000000000003</v>
      </c>
      <c r="N33" s="182">
        <f t="shared" si="6"/>
        <v>31.05</v>
      </c>
      <c r="O33" s="83">
        <v>71969</v>
      </c>
      <c r="P33" s="182">
        <f t="shared" ref="P33" si="108">(O33-O32)</f>
        <v>67</v>
      </c>
      <c r="R33" s="106">
        <f t="shared" si="0"/>
        <v>241.88116666666701</v>
      </c>
      <c r="S33" s="98">
        <f t="shared" si="8"/>
        <v>98.05</v>
      </c>
    </row>
    <row r="34" spans="1:19" ht="39.950000000000003" customHeight="1">
      <c r="A34" s="145">
        <v>43918</v>
      </c>
      <c r="B34" s="82"/>
      <c r="C34" s="83">
        <f>(C36-C33)/3+C33</f>
        <v>149789.66666666666</v>
      </c>
      <c r="D34" s="182">
        <f t="shared" si="1"/>
        <v>78.666666666656965</v>
      </c>
      <c r="E34" s="83">
        <v>116905</v>
      </c>
      <c r="F34" s="182">
        <f t="shared" si="1"/>
        <v>300</v>
      </c>
      <c r="G34" s="83">
        <f>(G35-G32)/3+G33</f>
        <v>4717.8189333333339</v>
      </c>
      <c r="H34" s="182">
        <f t="shared" ref="H34:H36" si="109">(G34-G33)</f>
        <v>10.881166666667013</v>
      </c>
      <c r="I34" s="83">
        <f>(I35-I32)/3+I33</f>
        <v>8705.3333333333321</v>
      </c>
      <c r="J34" s="182">
        <f t="shared" ref="J34:J36" si="110">(I34-I33)</f>
        <v>70.66666666666606</v>
      </c>
      <c r="K34" s="83">
        <f>(K36-K33)/3+K33</f>
        <v>100194</v>
      </c>
      <c r="L34" s="76">
        <f t="shared" ref="L34" si="111">(K34-K33)</f>
        <v>56</v>
      </c>
      <c r="M34" s="182">
        <f t="shared" si="5"/>
        <v>30.800000000000004</v>
      </c>
      <c r="N34" s="182">
        <f t="shared" si="6"/>
        <v>25.2</v>
      </c>
      <c r="O34" s="83">
        <f>(O36-O33)/3+O33</f>
        <v>72045</v>
      </c>
      <c r="P34" s="182">
        <f t="shared" ref="P34:P36" si="112">(O34-O33)</f>
        <v>76</v>
      </c>
      <c r="R34" s="106">
        <f t="shared" si="0"/>
        <v>389.54783333332398</v>
      </c>
      <c r="S34" s="98">
        <f t="shared" si="8"/>
        <v>101.2</v>
      </c>
    </row>
    <row r="35" spans="1:19" ht="39.950000000000003" customHeight="1">
      <c r="A35" s="145">
        <v>43919</v>
      </c>
      <c r="B35" s="82"/>
      <c r="C35" s="83">
        <f>(C36-C33)/3+C34</f>
        <v>149868.33333333331</v>
      </c>
      <c r="D35" s="182">
        <f t="shared" si="1"/>
        <v>78.666666666656965</v>
      </c>
      <c r="E35" s="84">
        <f>(E36+E34)/2</f>
        <v>117020.5</v>
      </c>
      <c r="F35" s="182">
        <f t="shared" si="1"/>
        <v>115.5</v>
      </c>
      <c r="G35" s="83">
        <v>4728.7001</v>
      </c>
      <c r="H35" s="182">
        <f t="shared" si="109"/>
        <v>10.881166666666104</v>
      </c>
      <c r="I35" s="83">
        <v>8776</v>
      </c>
      <c r="J35" s="182">
        <f t="shared" si="110"/>
        <v>70.666666666667879</v>
      </c>
      <c r="K35" s="83">
        <f>(K36-K33)/3+K34</f>
        <v>100250</v>
      </c>
      <c r="L35" s="76">
        <f t="shared" ref="L35:L36" si="113">(K35-K34)</f>
        <v>56</v>
      </c>
      <c r="M35" s="182">
        <f t="shared" ref="M35:M36" si="114">L35*55%</f>
        <v>30.800000000000004</v>
      </c>
      <c r="N35" s="182">
        <f t="shared" ref="N35:N36" si="115">L35*45%</f>
        <v>25.2</v>
      </c>
      <c r="O35" s="83">
        <f>(O36-O33)/3+O34</f>
        <v>72121</v>
      </c>
      <c r="P35" s="182">
        <f t="shared" si="112"/>
        <v>76</v>
      </c>
      <c r="R35" s="106">
        <f t="shared" ref="R35:R36" si="116">SUM(D35,F35,M99,H35)</f>
        <v>205.04783333332307</v>
      </c>
      <c r="S35" s="98">
        <f t="shared" ref="S35:S36" si="117">SUM(N35,P35)</f>
        <v>101.2</v>
      </c>
    </row>
    <row r="36" spans="1:19" ht="39.950000000000003" customHeight="1">
      <c r="A36" s="145">
        <v>43920</v>
      </c>
      <c r="B36" s="82"/>
      <c r="C36" s="83">
        <v>149947</v>
      </c>
      <c r="D36" s="182">
        <f t="shared" ref="D36" si="118">(C36-C35)</f>
        <v>78.666666666686069</v>
      </c>
      <c r="E36" s="83">
        <v>117136</v>
      </c>
      <c r="F36" s="182">
        <f t="shared" ref="F36" si="119">(E36-E35)</f>
        <v>115.5</v>
      </c>
      <c r="G36" s="83">
        <v>4735.9431000000004</v>
      </c>
      <c r="H36" s="182">
        <f t="shared" si="109"/>
        <v>7.2430000000003929</v>
      </c>
      <c r="I36" s="83">
        <v>8280</v>
      </c>
      <c r="J36" s="182">
        <f t="shared" si="110"/>
        <v>-496</v>
      </c>
      <c r="K36" s="83">
        <v>100306</v>
      </c>
      <c r="L36" s="76">
        <f t="shared" si="113"/>
        <v>56</v>
      </c>
      <c r="M36" s="182">
        <f t="shared" si="114"/>
        <v>30.800000000000004</v>
      </c>
      <c r="N36" s="182">
        <f t="shared" si="115"/>
        <v>25.2</v>
      </c>
      <c r="O36" s="83">
        <v>72197</v>
      </c>
      <c r="P36" s="182">
        <f t="shared" si="112"/>
        <v>76</v>
      </c>
      <c r="R36" s="106">
        <f t="shared" si="116"/>
        <v>201.40966666668646</v>
      </c>
      <c r="S36" s="98">
        <f t="shared" si="117"/>
        <v>101.2</v>
      </c>
    </row>
    <row r="37" spans="1:19" ht="39.950000000000003" customHeight="1">
      <c r="A37" s="145">
        <v>43921</v>
      </c>
      <c r="B37" s="16"/>
      <c r="C37" s="84">
        <v>150019</v>
      </c>
      <c r="D37" s="182"/>
      <c r="E37" s="84">
        <v>117269</v>
      </c>
      <c r="F37" s="182"/>
      <c r="G37" s="84">
        <v>4744.7713999999996</v>
      </c>
      <c r="H37" s="182"/>
      <c r="I37" s="84">
        <v>8282</v>
      </c>
      <c r="J37" s="182"/>
      <c r="K37" s="84">
        <v>100422</v>
      </c>
      <c r="L37" s="76"/>
      <c r="M37" s="182"/>
      <c r="N37" s="182"/>
      <c r="O37" s="84">
        <v>72270</v>
      </c>
      <c r="P37" s="182"/>
      <c r="R37" s="97"/>
      <c r="S37" s="98"/>
    </row>
    <row r="38" spans="1:19" s="22" customFormat="1" ht="39.950000000000003" customHeight="1">
      <c r="A38" s="21"/>
      <c r="D38" s="23">
        <f>SUM(D7:D37)</f>
        <v>2121</v>
      </c>
      <c r="F38" s="23">
        <f>SUM(F7:F37)</f>
        <v>4957</v>
      </c>
      <c r="H38" s="23">
        <f>SUM(H7:H37)</f>
        <v>370.64710000000014</v>
      </c>
      <c r="J38" s="23">
        <f>SUM(J7:J37)</f>
        <v>385</v>
      </c>
      <c r="L38" s="23">
        <f>SUM(L7:L37)</f>
        <v>2055</v>
      </c>
      <c r="M38" s="23"/>
      <c r="N38" s="23"/>
      <c r="P38" s="23">
        <f>SUM(P7:P37)</f>
        <v>2946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39" activePane="bottomRight" state="frozen"/>
      <selection pane="topRight" activeCell="C1" sqref="C1"/>
      <selection pane="bottomLeft" activeCell="A8" sqref="A8"/>
      <selection pane="bottomRight" activeCell="M2" sqref="M2:N2"/>
    </sheetView>
  </sheetViews>
  <sheetFormatPr defaultRowHeight="31.5"/>
  <cols>
    <col min="1" max="1" width="15.710937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5" t="s">
        <v>65</v>
      </c>
      <c r="D1" s="215"/>
      <c r="E1" s="215"/>
      <c r="F1" s="215"/>
      <c r="G1" s="215" t="s">
        <v>64</v>
      </c>
      <c r="H1" s="215"/>
      <c r="I1" s="215" t="s">
        <v>64</v>
      </c>
      <c r="J1" s="215"/>
      <c r="K1" s="215" t="s">
        <v>64</v>
      </c>
      <c r="L1" s="215"/>
      <c r="M1" s="215" t="s">
        <v>64</v>
      </c>
      <c r="N1" s="215"/>
      <c r="O1" s="215" t="s">
        <v>64</v>
      </c>
      <c r="P1" s="215"/>
      <c r="Q1" s="201" t="s">
        <v>64</v>
      </c>
      <c r="R1" s="202"/>
      <c r="S1" s="201" t="s">
        <v>64</v>
      </c>
      <c r="T1" s="202"/>
      <c r="U1" s="201" t="s">
        <v>64</v>
      </c>
      <c r="V1" s="202"/>
      <c r="W1" s="201" t="s">
        <v>64</v>
      </c>
      <c r="X1" s="203"/>
      <c r="Y1" s="215" t="s">
        <v>64</v>
      </c>
      <c r="Z1" s="215"/>
      <c r="AA1" s="201" t="s">
        <v>64</v>
      </c>
      <c r="AB1" s="202"/>
      <c r="AC1" s="215" t="s">
        <v>64</v>
      </c>
      <c r="AD1" s="215"/>
      <c r="AE1" s="215" t="s">
        <v>64</v>
      </c>
      <c r="AF1" s="215"/>
      <c r="AG1" s="215" t="s">
        <v>64</v>
      </c>
      <c r="AH1" s="215"/>
      <c r="AI1" s="215" t="s">
        <v>64</v>
      </c>
      <c r="AJ1" s="215"/>
      <c r="AK1" s="215" t="s">
        <v>64</v>
      </c>
      <c r="AL1" s="215"/>
      <c r="AM1" s="215" t="s">
        <v>66</v>
      </c>
      <c r="AN1" s="215"/>
      <c r="AO1" s="215" t="s">
        <v>66</v>
      </c>
      <c r="AP1" s="215"/>
      <c r="AQ1" s="215" t="s">
        <v>66</v>
      </c>
      <c r="AR1" s="215"/>
      <c r="AS1" s="215" t="s">
        <v>66</v>
      </c>
      <c r="AT1" s="215"/>
      <c r="AU1" s="215" t="s">
        <v>66</v>
      </c>
      <c r="AV1" s="215"/>
      <c r="AW1" s="215" t="s">
        <v>66</v>
      </c>
      <c r="AX1" s="215"/>
      <c r="AY1" s="215" t="s">
        <v>66</v>
      </c>
      <c r="AZ1" s="215"/>
      <c r="BA1" s="215" t="s">
        <v>66</v>
      </c>
      <c r="BB1" s="215"/>
      <c r="BC1" s="215" t="s">
        <v>66</v>
      </c>
      <c r="BD1" s="215"/>
      <c r="BE1" s="215" t="s">
        <v>66</v>
      </c>
      <c r="BF1" s="215"/>
      <c r="BH1" s="33"/>
      <c r="BI1" s="33"/>
    </row>
    <row r="2" spans="1:61" s="25" customFormat="1" ht="75.75" customHeight="1">
      <c r="A2" s="50"/>
      <c r="B2" s="50"/>
      <c r="C2" s="231" t="s">
        <v>116</v>
      </c>
      <c r="D2" s="231"/>
      <c r="E2" s="231"/>
      <c r="F2" s="231"/>
      <c r="G2" s="231" t="s">
        <v>117</v>
      </c>
      <c r="H2" s="231"/>
      <c r="I2" s="231" t="s">
        <v>118</v>
      </c>
      <c r="J2" s="231"/>
      <c r="K2" s="231" t="s">
        <v>119</v>
      </c>
      <c r="L2" s="231"/>
      <c r="M2" s="231" t="s">
        <v>120</v>
      </c>
      <c r="N2" s="231"/>
      <c r="O2" s="229" t="s">
        <v>121</v>
      </c>
      <c r="P2" s="230"/>
      <c r="Q2" s="229" t="s">
        <v>122</v>
      </c>
      <c r="R2" s="230"/>
      <c r="S2" s="229" t="s">
        <v>123</v>
      </c>
      <c r="T2" s="230"/>
      <c r="U2" s="229" t="s">
        <v>124</v>
      </c>
      <c r="V2" s="230"/>
      <c r="W2" s="229" t="s">
        <v>125</v>
      </c>
      <c r="X2" s="232"/>
      <c r="Y2" s="231" t="s">
        <v>126</v>
      </c>
      <c r="Z2" s="231"/>
      <c r="AA2" s="229" t="s">
        <v>127</v>
      </c>
      <c r="AB2" s="230"/>
      <c r="AC2" s="231" t="s">
        <v>128</v>
      </c>
      <c r="AD2" s="231"/>
      <c r="AE2" s="231" t="s">
        <v>129</v>
      </c>
      <c r="AF2" s="231"/>
      <c r="AG2" s="231" t="s">
        <v>129</v>
      </c>
      <c r="AH2" s="231"/>
      <c r="AI2" s="231" t="s">
        <v>129</v>
      </c>
      <c r="AJ2" s="231"/>
      <c r="AK2" s="231" t="s">
        <v>129</v>
      </c>
      <c r="AL2" s="231"/>
      <c r="AM2" s="231" t="s">
        <v>130</v>
      </c>
      <c r="AN2" s="231"/>
      <c r="AO2" s="231" t="s">
        <v>131</v>
      </c>
      <c r="AP2" s="231"/>
      <c r="AQ2" s="231" t="s">
        <v>132</v>
      </c>
      <c r="AR2" s="231"/>
      <c r="AS2" s="231" t="s">
        <v>132</v>
      </c>
      <c r="AT2" s="231"/>
      <c r="AU2" s="231" t="s">
        <v>133</v>
      </c>
      <c r="AV2" s="231"/>
      <c r="AW2" s="231" t="s">
        <v>134</v>
      </c>
      <c r="AX2" s="231"/>
      <c r="AY2" s="231" t="s">
        <v>135</v>
      </c>
      <c r="AZ2" s="231"/>
      <c r="BA2" s="231" t="s">
        <v>135</v>
      </c>
      <c r="BB2" s="231"/>
      <c r="BC2" s="231" t="s">
        <v>136</v>
      </c>
      <c r="BD2" s="231"/>
      <c r="BE2" s="231" t="s">
        <v>136</v>
      </c>
      <c r="BF2" s="231"/>
      <c r="BH2" s="33"/>
      <c r="BI2" s="33"/>
    </row>
    <row r="3" spans="1:61" s="10" customFormat="1" ht="87.75" customHeight="1">
      <c r="A3" s="107"/>
      <c r="B3" s="107"/>
      <c r="C3" s="236" t="s">
        <v>137</v>
      </c>
      <c r="D3" s="237"/>
      <c r="E3" s="107" t="s">
        <v>64</v>
      </c>
      <c r="F3" s="109" t="s">
        <v>66</v>
      </c>
      <c r="G3" s="235" t="s">
        <v>138</v>
      </c>
      <c r="H3" s="234"/>
      <c r="I3" s="235" t="s">
        <v>138</v>
      </c>
      <c r="J3" s="234"/>
      <c r="K3" s="235" t="s">
        <v>138</v>
      </c>
      <c r="L3" s="234"/>
      <c r="M3" s="238" t="s">
        <v>139</v>
      </c>
      <c r="N3" s="239"/>
      <c r="O3" s="235" t="s">
        <v>138</v>
      </c>
      <c r="P3" s="234"/>
      <c r="Q3" s="235" t="s">
        <v>138</v>
      </c>
      <c r="R3" s="234"/>
      <c r="S3" s="242" t="s">
        <v>138</v>
      </c>
      <c r="T3" s="243"/>
      <c r="U3" s="235" t="s">
        <v>138</v>
      </c>
      <c r="V3" s="234"/>
      <c r="W3" s="235" t="s">
        <v>138</v>
      </c>
      <c r="X3" s="234"/>
      <c r="Y3" s="233" t="s">
        <v>140</v>
      </c>
      <c r="Z3" s="234"/>
      <c r="AA3" s="235" t="s">
        <v>141</v>
      </c>
      <c r="AB3" s="234"/>
      <c r="AC3" s="235" t="s">
        <v>142</v>
      </c>
      <c r="AD3" s="234"/>
      <c r="AE3" s="235" t="s">
        <v>142</v>
      </c>
      <c r="AF3" s="234"/>
      <c r="AG3" s="233" t="s">
        <v>143</v>
      </c>
      <c r="AH3" s="234"/>
      <c r="AI3" s="235" t="s">
        <v>144</v>
      </c>
      <c r="AJ3" s="234"/>
      <c r="AK3" s="233" t="s">
        <v>145</v>
      </c>
      <c r="AL3" s="234"/>
      <c r="AM3" s="235" t="s">
        <v>146</v>
      </c>
      <c r="AN3" s="234"/>
      <c r="AO3" s="235" t="s">
        <v>146</v>
      </c>
      <c r="AP3" s="234"/>
      <c r="AQ3" s="233" t="s">
        <v>147</v>
      </c>
      <c r="AR3" s="234"/>
      <c r="AS3" s="235" t="s">
        <v>148</v>
      </c>
      <c r="AT3" s="234"/>
      <c r="AU3" s="233" t="s">
        <v>149</v>
      </c>
      <c r="AV3" s="234"/>
      <c r="AW3" s="233" t="s">
        <v>149</v>
      </c>
      <c r="AX3" s="234"/>
      <c r="AY3" s="235" t="s">
        <v>144</v>
      </c>
      <c r="AZ3" s="234"/>
      <c r="BA3" s="233" t="s">
        <v>145</v>
      </c>
      <c r="BB3" s="234"/>
      <c r="BC3" s="235" t="s">
        <v>144</v>
      </c>
      <c r="BD3" s="234"/>
      <c r="BE3" s="233" t="s">
        <v>145</v>
      </c>
      <c r="BF3" s="234"/>
      <c r="BH3" s="33"/>
      <c r="BI3" s="33"/>
    </row>
    <row r="4" spans="1:61" s="25" customFormat="1" ht="50.1" customHeight="1">
      <c r="A4" s="107"/>
      <c r="B4" s="50"/>
      <c r="C4" s="207" t="s">
        <v>150</v>
      </c>
      <c r="D4" s="209"/>
      <c r="E4" s="240" t="s">
        <v>151</v>
      </c>
      <c r="F4" s="241"/>
      <c r="G4" s="207" t="s">
        <v>152</v>
      </c>
      <c r="H4" s="209"/>
      <c r="I4" s="207" t="s">
        <v>153</v>
      </c>
      <c r="J4" s="209"/>
      <c r="K4" s="207" t="s">
        <v>154</v>
      </c>
      <c r="L4" s="209"/>
      <c r="M4" s="207">
        <v>7092801222</v>
      </c>
      <c r="N4" s="209"/>
      <c r="O4" s="207" t="s">
        <v>155</v>
      </c>
      <c r="P4" s="208"/>
      <c r="Q4" s="207" t="s">
        <v>156</v>
      </c>
      <c r="R4" s="208"/>
      <c r="S4" s="207" t="s">
        <v>157</v>
      </c>
      <c r="T4" s="208"/>
      <c r="U4" s="207" t="s">
        <v>158</v>
      </c>
      <c r="V4" s="208"/>
      <c r="W4" s="207" t="s">
        <v>159</v>
      </c>
      <c r="X4" s="209"/>
      <c r="Y4" s="207" t="s">
        <v>160</v>
      </c>
      <c r="Z4" s="209"/>
      <c r="AA4" s="207" t="s">
        <v>161</v>
      </c>
      <c r="AB4" s="208"/>
      <c r="AC4" s="207" t="s">
        <v>162</v>
      </c>
      <c r="AD4" s="209"/>
      <c r="AE4" s="207" t="s">
        <v>163</v>
      </c>
      <c r="AF4" s="209"/>
      <c r="AG4" s="207" t="s">
        <v>164</v>
      </c>
      <c r="AH4" s="209"/>
      <c r="AI4" s="207">
        <v>7105826734</v>
      </c>
      <c r="AJ4" s="209"/>
      <c r="AK4" s="207">
        <v>7105825932</v>
      </c>
      <c r="AL4" s="209"/>
      <c r="AM4" s="207" t="s">
        <v>165</v>
      </c>
      <c r="AN4" s="209"/>
      <c r="AO4" s="207" t="s">
        <v>166</v>
      </c>
      <c r="AP4" s="209"/>
      <c r="AQ4" s="207" t="s">
        <v>167</v>
      </c>
      <c r="AR4" s="209"/>
      <c r="AS4" s="207" t="s">
        <v>168</v>
      </c>
      <c r="AT4" s="209"/>
      <c r="AU4" s="207" t="s">
        <v>169</v>
      </c>
      <c r="AV4" s="209"/>
      <c r="AW4" s="207" t="s">
        <v>170</v>
      </c>
      <c r="AX4" s="209"/>
      <c r="AY4" s="207">
        <v>7111912486</v>
      </c>
      <c r="AZ4" s="209"/>
      <c r="BA4" s="207">
        <v>7111911842</v>
      </c>
      <c r="BB4" s="209"/>
      <c r="BC4" s="207">
        <v>7111913281</v>
      </c>
      <c r="BD4" s="209"/>
      <c r="BE4" s="207">
        <v>7111912723</v>
      </c>
      <c r="BF4" s="209"/>
      <c r="BH4" s="216" t="s">
        <v>80</v>
      </c>
      <c r="BI4" s="216"/>
    </row>
    <row r="5" spans="1:61" s="25" customFormat="1" ht="50.1" customHeight="1">
      <c r="A5" s="50" t="s">
        <v>171</v>
      </c>
      <c r="B5" s="50"/>
      <c r="C5" s="207" t="s">
        <v>172</v>
      </c>
      <c r="D5" s="209"/>
      <c r="E5" s="80">
        <v>0.6</v>
      </c>
      <c r="F5" s="31">
        <v>0.4</v>
      </c>
      <c r="G5" s="207" t="s">
        <v>173</v>
      </c>
      <c r="H5" s="209"/>
      <c r="I5" s="207" t="s">
        <v>174</v>
      </c>
      <c r="J5" s="209"/>
      <c r="K5" s="207" t="s">
        <v>175</v>
      </c>
      <c r="L5" s="209"/>
      <c r="M5" s="207" t="s">
        <v>176</v>
      </c>
      <c r="N5" s="209"/>
      <c r="O5" s="207" t="s">
        <v>177</v>
      </c>
      <c r="P5" s="208"/>
      <c r="Q5" s="207" t="s">
        <v>178</v>
      </c>
      <c r="R5" s="208"/>
      <c r="S5" s="207" t="s">
        <v>179</v>
      </c>
      <c r="T5" s="208"/>
      <c r="U5" s="207" t="s">
        <v>180</v>
      </c>
      <c r="V5" s="208"/>
      <c r="W5" s="207" t="s">
        <v>181</v>
      </c>
      <c r="X5" s="209"/>
      <c r="Y5" s="207" t="s">
        <v>182</v>
      </c>
      <c r="Z5" s="209"/>
      <c r="AA5" s="207" t="s">
        <v>183</v>
      </c>
      <c r="AB5" s="208"/>
      <c r="AC5" s="207" t="s">
        <v>184</v>
      </c>
      <c r="AD5" s="209"/>
      <c r="AE5" s="207" t="s">
        <v>185</v>
      </c>
      <c r="AF5" s="209"/>
      <c r="AG5" s="207" t="s">
        <v>186</v>
      </c>
      <c r="AH5" s="209"/>
      <c r="AI5" s="207" t="s">
        <v>187</v>
      </c>
      <c r="AJ5" s="209"/>
      <c r="AK5" s="207" t="s">
        <v>188</v>
      </c>
      <c r="AL5" s="209"/>
      <c r="AM5" s="207" t="s">
        <v>189</v>
      </c>
      <c r="AN5" s="209"/>
      <c r="AO5" s="207" t="s">
        <v>190</v>
      </c>
      <c r="AP5" s="209"/>
      <c r="AQ5" s="207" t="s">
        <v>191</v>
      </c>
      <c r="AR5" s="209"/>
      <c r="AS5" s="207" t="s">
        <v>192</v>
      </c>
      <c r="AT5" s="209"/>
      <c r="AU5" s="207" t="s">
        <v>193</v>
      </c>
      <c r="AV5" s="209"/>
      <c r="AW5" s="207" t="s">
        <v>194</v>
      </c>
      <c r="AX5" s="209"/>
      <c r="AY5" s="207">
        <v>744483</v>
      </c>
      <c r="AZ5" s="209"/>
      <c r="BA5" s="207">
        <v>119314</v>
      </c>
      <c r="BB5" s="209"/>
      <c r="BC5" s="207">
        <v>1053229</v>
      </c>
      <c r="BD5" s="209"/>
      <c r="BE5" s="207">
        <v>1053215</v>
      </c>
      <c r="BF5" s="209"/>
      <c r="BH5" s="216"/>
      <c r="BI5" s="216"/>
    </row>
    <row r="6" spans="1:61" s="8" customFormat="1" ht="30" customHeight="1">
      <c r="A6" s="107" t="s">
        <v>95</v>
      </c>
      <c r="B6" s="51"/>
      <c r="C6" s="199"/>
      <c r="D6" s="200"/>
      <c r="E6" s="81"/>
      <c r="F6" s="112"/>
      <c r="G6" s="107"/>
      <c r="H6" s="51"/>
      <c r="I6" s="199"/>
      <c r="J6" s="200"/>
      <c r="K6" s="199"/>
      <c r="L6" s="200"/>
      <c r="M6" s="199"/>
      <c r="N6" s="200"/>
      <c r="O6" s="199"/>
      <c r="P6" s="213"/>
      <c r="Q6" s="199"/>
      <c r="R6" s="213"/>
      <c r="S6" s="199"/>
      <c r="T6" s="213"/>
      <c r="U6" s="199"/>
      <c r="V6" s="213"/>
      <c r="W6" s="199"/>
      <c r="X6" s="200"/>
      <c r="Y6" s="199"/>
      <c r="Z6" s="200"/>
      <c r="AA6" s="199"/>
      <c r="AB6" s="213"/>
      <c r="AC6" s="199"/>
      <c r="AD6" s="200"/>
      <c r="AE6" s="199"/>
      <c r="AF6" s="200"/>
      <c r="AG6" s="199"/>
      <c r="AH6" s="200"/>
      <c r="AI6" s="199"/>
      <c r="AJ6" s="200"/>
      <c r="AK6" s="199"/>
      <c r="AL6" s="200"/>
      <c r="AM6" s="199"/>
      <c r="AN6" s="200"/>
      <c r="AO6" s="199"/>
      <c r="AP6" s="200"/>
      <c r="AQ6" s="199"/>
      <c r="AR6" s="200"/>
      <c r="AS6" s="199"/>
      <c r="AT6" s="200"/>
      <c r="AU6" s="199"/>
      <c r="AV6" s="200"/>
      <c r="AW6" s="199"/>
      <c r="AX6" s="200"/>
      <c r="AY6" s="199"/>
      <c r="AZ6" s="200"/>
      <c r="BA6" s="199"/>
      <c r="BB6" s="200"/>
      <c r="BC6" s="199"/>
      <c r="BD6" s="200"/>
      <c r="BE6" s="199"/>
      <c r="BF6" s="200"/>
      <c r="BH6" s="33"/>
      <c r="BI6" s="33"/>
    </row>
    <row r="7" spans="1:61" s="10" customFormat="1" ht="50.1" customHeight="1">
      <c r="A7" s="107" t="s">
        <v>98</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64</v>
      </c>
      <c r="BI7" s="107" t="s">
        <v>66</v>
      </c>
    </row>
    <row r="8" spans="1:61" s="36" customFormat="1" ht="39.950000000000003" customHeight="1">
      <c r="A8" s="145">
        <v>43890</v>
      </c>
      <c r="B8" s="35"/>
      <c r="C8" s="78">
        <v>5140250</v>
      </c>
      <c r="D8" s="38"/>
      <c r="E8" s="38"/>
      <c r="F8" s="104"/>
      <c r="G8" s="78">
        <v>269409</v>
      </c>
      <c r="H8" s="38"/>
      <c r="I8" s="78">
        <v>50723</v>
      </c>
      <c r="J8" s="38"/>
      <c r="K8" s="78">
        <v>254051</v>
      </c>
      <c r="L8" s="38"/>
      <c r="M8" s="78">
        <v>24343</v>
      </c>
      <c r="N8" s="38"/>
      <c r="O8" s="78">
        <v>186901</v>
      </c>
      <c r="P8" s="38"/>
      <c r="Q8" s="78">
        <v>428330</v>
      </c>
      <c r="R8" s="38"/>
      <c r="S8" s="78">
        <v>668022</v>
      </c>
      <c r="T8" s="38"/>
      <c r="U8" s="78">
        <v>90916.159</v>
      </c>
      <c r="V8" s="38"/>
      <c r="W8" s="78">
        <v>75775</v>
      </c>
      <c r="X8" s="38"/>
      <c r="Y8" s="78">
        <v>1457043</v>
      </c>
      <c r="Z8" s="38"/>
      <c r="AA8" s="78">
        <v>13160</v>
      </c>
      <c r="AB8" s="38"/>
      <c r="AC8" s="78">
        <v>412645</v>
      </c>
      <c r="AD8" s="38"/>
      <c r="AE8" s="78">
        <v>485404</v>
      </c>
      <c r="AF8" s="38"/>
      <c r="AG8" s="78">
        <v>48043</v>
      </c>
      <c r="AH8" s="38"/>
      <c r="AI8" s="78">
        <v>377137</v>
      </c>
      <c r="AJ8" s="38"/>
      <c r="AK8" s="78">
        <v>102371</v>
      </c>
      <c r="AL8" s="38"/>
      <c r="AM8" s="78">
        <v>531731</v>
      </c>
      <c r="AN8" s="38"/>
      <c r="AO8" s="78">
        <v>853100</v>
      </c>
      <c r="AP8" s="38"/>
      <c r="AQ8" s="78">
        <v>57156</v>
      </c>
      <c r="AR8" s="38"/>
      <c r="AS8" s="78">
        <v>2204</v>
      </c>
      <c r="AT8" s="38"/>
      <c r="AU8" s="78">
        <v>918</v>
      </c>
      <c r="AV8" s="38"/>
      <c r="AW8" s="78">
        <v>3075</v>
      </c>
      <c r="AX8" s="38"/>
      <c r="AY8" s="78">
        <v>283909</v>
      </c>
      <c r="AZ8" s="38"/>
      <c r="BA8" s="78">
        <v>160167</v>
      </c>
      <c r="BB8" s="38"/>
      <c r="BC8" s="78">
        <v>193792</v>
      </c>
      <c r="BD8" s="38"/>
      <c r="BE8" s="78">
        <v>5335</v>
      </c>
      <c r="BF8" s="38"/>
      <c r="BH8" s="105"/>
      <c r="BI8" s="105"/>
    </row>
    <row r="9" spans="1:61" s="29" customFormat="1" ht="39.950000000000003" customHeight="1">
      <c r="A9" s="145">
        <v>43891</v>
      </c>
      <c r="B9" s="28"/>
      <c r="C9" s="78">
        <v>5141397</v>
      </c>
      <c r="D9" s="38">
        <f>(+C9-+C8)*48</f>
        <v>55056</v>
      </c>
      <c r="E9" s="38">
        <f>D9*0.6</f>
        <v>33033.599999999999</v>
      </c>
      <c r="F9" s="38">
        <f>D9*0.4</f>
        <v>22022.400000000001</v>
      </c>
      <c r="G9" s="77">
        <v>269436</v>
      </c>
      <c r="H9" s="38">
        <f t="shared" ref="H9:H38" si="0">(+G10-+G9)*48</f>
        <v>1104</v>
      </c>
      <c r="I9" s="77">
        <v>50878</v>
      </c>
      <c r="J9" s="38">
        <f t="shared" ref="J9:J38" si="1">(+I10-+I9)*48</f>
        <v>7632</v>
      </c>
      <c r="K9" s="77">
        <v>254056</v>
      </c>
      <c r="L9" s="38">
        <f t="shared" ref="L9:L38" si="2">(+K10-+K9)*48</f>
        <v>0</v>
      </c>
      <c r="M9" s="77">
        <v>24343</v>
      </c>
      <c r="N9" s="38">
        <f t="shared" ref="N9:N38" si="3">(+M10-+M9)*48</f>
        <v>0</v>
      </c>
      <c r="O9" s="78">
        <v>187081</v>
      </c>
      <c r="P9" s="38">
        <f>(+O9-+O8)*48</f>
        <v>8640</v>
      </c>
      <c r="Q9" s="78">
        <v>428359</v>
      </c>
      <c r="R9" s="38">
        <f>(+Q9-+Q8)*48</f>
        <v>1392</v>
      </c>
      <c r="S9" s="78">
        <v>668141</v>
      </c>
      <c r="T9" s="38">
        <f>(+S9-+S8)*48</f>
        <v>5712</v>
      </c>
      <c r="U9" s="78">
        <v>90932.540999999997</v>
      </c>
      <c r="V9" s="104">
        <f>(+U9-+U8)*48</f>
        <v>786.33599999989383</v>
      </c>
      <c r="W9" s="78">
        <v>75789</v>
      </c>
      <c r="X9" s="38">
        <f>(+W9-+W8)*48</f>
        <v>672</v>
      </c>
      <c r="Y9" s="78">
        <v>1457400</v>
      </c>
      <c r="Z9" s="38">
        <f>(+Y9-+Y8)*48</f>
        <v>17136</v>
      </c>
      <c r="AA9" s="78">
        <v>13160</v>
      </c>
      <c r="AB9" s="38">
        <f>(+AA9-+AA8)*48</f>
        <v>0</v>
      </c>
      <c r="AC9" s="78">
        <v>412754</v>
      </c>
      <c r="AD9" s="38">
        <f>(+AC9-+AC8)*48</f>
        <v>5232</v>
      </c>
      <c r="AE9" s="78">
        <v>485529</v>
      </c>
      <c r="AF9" s="38">
        <f>(+AE9-+AE8)*48</f>
        <v>6000</v>
      </c>
      <c r="AG9" s="78">
        <v>48047</v>
      </c>
      <c r="AH9" s="38">
        <f>(+AG9-+AG8)*48</f>
        <v>192</v>
      </c>
      <c r="AI9" s="78">
        <v>377198</v>
      </c>
      <c r="AJ9" s="38">
        <f>(+AI9-+AI8)*48</f>
        <v>2928</v>
      </c>
      <c r="AK9" s="78">
        <v>102371</v>
      </c>
      <c r="AL9" s="38">
        <f>(+AK9-+AK8)*48</f>
        <v>0</v>
      </c>
      <c r="AM9" s="78">
        <v>531857</v>
      </c>
      <c r="AN9" s="38">
        <f>(+AM9-+AM8)*48</f>
        <v>6048</v>
      </c>
      <c r="AO9" s="78">
        <v>853294</v>
      </c>
      <c r="AP9" s="38">
        <f>(+AO9-+AO8)*48</f>
        <v>9312</v>
      </c>
      <c r="AQ9" s="78">
        <v>57188</v>
      </c>
      <c r="AR9" s="38">
        <f>(+AQ9-+AQ8)*48</f>
        <v>1536</v>
      </c>
      <c r="AS9" s="78">
        <v>2204</v>
      </c>
      <c r="AT9" s="38">
        <f>(+AS9-+AS8)*48</f>
        <v>0</v>
      </c>
      <c r="AU9" s="78">
        <v>918</v>
      </c>
      <c r="AV9" s="38">
        <f>(+AU9-+AU8)*48</f>
        <v>0</v>
      </c>
      <c r="AW9" s="78">
        <v>3075</v>
      </c>
      <c r="AX9" s="38">
        <f>(+AW9-+AW8)*48</f>
        <v>0</v>
      </c>
      <c r="AY9" s="78">
        <v>283981</v>
      </c>
      <c r="AZ9" s="38">
        <f>(+AY9-+AY8)*48</f>
        <v>3456</v>
      </c>
      <c r="BA9" s="78">
        <v>160167</v>
      </c>
      <c r="BB9" s="38">
        <f>(+BA9-+BA8)*48</f>
        <v>0</v>
      </c>
      <c r="BC9" s="78">
        <v>193856</v>
      </c>
      <c r="BD9" s="38">
        <f>(+BC9-+BC8)*48</f>
        <v>3072</v>
      </c>
      <c r="BE9" s="78">
        <v>5335</v>
      </c>
      <c r="BF9" s="38">
        <f>(+BE9-+BE8)*48</f>
        <v>0</v>
      </c>
      <c r="BH9" s="105">
        <f t="shared" ref="BH9:BH36" si="4">SUM(E9,J9,P9,H9,L9,R9,T9,V9,X9,N9,AB9,Z9,AD9,AF9,AH9,AL9,AJ9)</f>
        <v>90459.9359999999</v>
      </c>
      <c r="BI9" s="105">
        <f t="shared" ref="BI9:BI36" si="5">SUM(F9,AN9,AP9,AT9,AV9,AX9,AR9,AZ9,BB9,BD9,BF9)</f>
        <v>45446.400000000001</v>
      </c>
    </row>
    <row r="10" spans="1:61" s="36" customFormat="1" ht="39.950000000000003" customHeight="1">
      <c r="A10" s="145">
        <v>43892</v>
      </c>
      <c r="B10" s="35"/>
      <c r="C10" s="84">
        <v>5142483</v>
      </c>
      <c r="D10" s="38">
        <f t="shared" ref="D10" si="6">(+C10-+C9)*48</f>
        <v>52128</v>
      </c>
      <c r="E10" s="38">
        <f t="shared" ref="E10:E38" si="7">D10*0.6</f>
        <v>31276.799999999999</v>
      </c>
      <c r="F10" s="104">
        <f t="shared" ref="F10:F36" si="8">D10*0.4</f>
        <v>20851.2</v>
      </c>
      <c r="G10" s="78">
        <v>269459</v>
      </c>
      <c r="H10" s="38">
        <f t="shared" si="0"/>
        <v>1392</v>
      </c>
      <c r="I10" s="78">
        <v>51037</v>
      </c>
      <c r="J10" s="38">
        <f t="shared" si="1"/>
        <v>7680</v>
      </c>
      <c r="K10" s="78">
        <v>254056</v>
      </c>
      <c r="L10" s="38">
        <f t="shared" si="2"/>
        <v>0</v>
      </c>
      <c r="M10" s="78">
        <v>24343</v>
      </c>
      <c r="N10" s="38">
        <f t="shared" si="3"/>
        <v>0</v>
      </c>
      <c r="O10" s="84">
        <v>187237</v>
      </c>
      <c r="P10" s="38">
        <f t="shared" ref="P10" si="9">(+O10-+O9)*48</f>
        <v>7488</v>
      </c>
      <c r="Q10" s="84">
        <v>428359</v>
      </c>
      <c r="R10" s="38">
        <f t="shared" ref="R10" si="10">(+Q10-+Q9)*48</f>
        <v>0</v>
      </c>
      <c r="S10" s="84">
        <v>668243</v>
      </c>
      <c r="T10" s="38">
        <f t="shared" ref="T10" si="11">(+S10-+S9)*48</f>
        <v>4896</v>
      </c>
      <c r="U10" s="84">
        <v>90948.101999999999</v>
      </c>
      <c r="V10" s="104">
        <f t="shared" ref="V10" si="12">(+U10-+U9)*48</f>
        <v>746.92800000007264</v>
      </c>
      <c r="W10" s="84">
        <v>75789</v>
      </c>
      <c r="X10" s="38">
        <f t="shared" ref="X10" si="13">(+W10-+W9)*48</f>
        <v>0</v>
      </c>
      <c r="Y10" s="84">
        <v>1457648</v>
      </c>
      <c r="Z10" s="38">
        <f t="shared" ref="Z10" si="14">(+Y10-+Y9)*48</f>
        <v>11904</v>
      </c>
      <c r="AA10" s="84">
        <v>13160</v>
      </c>
      <c r="AB10" s="38">
        <f t="shared" ref="AB10" si="15">(+AA10-+AA9)*48</f>
        <v>0</v>
      </c>
      <c r="AC10" s="84">
        <v>412870</v>
      </c>
      <c r="AD10" s="38">
        <f t="shared" ref="AD10:AF37" si="16">(+AC10-+AC9)*48</f>
        <v>5568</v>
      </c>
      <c r="AE10" s="84">
        <v>485677</v>
      </c>
      <c r="AF10" s="38">
        <f t="shared" si="16"/>
        <v>7104</v>
      </c>
      <c r="AG10" s="84">
        <v>48051</v>
      </c>
      <c r="AH10" s="38">
        <f t="shared" ref="AH10" si="17">(+AG10-+AG9)*48</f>
        <v>192</v>
      </c>
      <c r="AI10" s="84">
        <v>377259</v>
      </c>
      <c r="AJ10" s="38">
        <f t="shared" ref="AJ10" si="18">(+AI10-+AI9)*48</f>
        <v>2928</v>
      </c>
      <c r="AK10" s="84">
        <v>102371</v>
      </c>
      <c r="AL10" s="38">
        <f t="shared" ref="AL10" si="19">(+AK10-+AK9)*48</f>
        <v>0</v>
      </c>
      <c r="AM10" s="84">
        <v>531996</v>
      </c>
      <c r="AN10" s="38">
        <f t="shared" ref="AN10" si="20">(+AM10-+AM9)*48</f>
        <v>6672</v>
      </c>
      <c r="AO10" s="84">
        <v>853505</v>
      </c>
      <c r="AP10" s="38">
        <f t="shared" ref="AP10" si="21">(+AO10-+AO9)*48</f>
        <v>10128</v>
      </c>
      <c r="AQ10" s="84">
        <v>57219</v>
      </c>
      <c r="AR10" s="38">
        <f t="shared" ref="AR10" si="22">(+AQ10-+AQ9)*48</f>
        <v>1488</v>
      </c>
      <c r="AS10" s="84">
        <v>2204</v>
      </c>
      <c r="AT10" s="38">
        <f t="shared" ref="AT10" si="23">(+AS10-+AS9)*48</f>
        <v>0</v>
      </c>
      <c r="AU10" s="84">
        <v>918</v>
      </c>
      <c r="AV10" s="38">
        <f t="shared" ref="AV10" si="24">(+AU10-+AU9)*48</f>
        <v>0</v>
      </c>
      <c r="AW10" s="84">
        <v>3075</v>
      </c>
      <c r="AX10" s="38">
        <f t="shared" ref="AX10" si="25">(+AW10-+AW9)*48</f>
        <v>0</v>
      </c>
      <c r="AY10" s="84">
        <v>284045</v>
      </c>
      <c r="AZ10" s="38">
        <f t="shared" ref="AZ10" si="26">(+AY10-+AY9)*48</f>
        <v>3072</v>
      </c>
      <c r="BA10" s="84">
        <v>160167</v>
      </c>
      <c r="BB10" s="38">
        <f t="shared" ref="BB10" si="27">(+BA10-+BA9)*48</f>
        <v>0</v>
      </c>
      <c r="BC10" s="84">
        <v>193923</v>
      </c>
      <c r="BD10" s="38">
        <f t="shared" ref="BD10" si="28">(+BC10-+BC9)*48</f>
        <v>3216</v>
      </c>
      <c r="BE10" s="84">
        <v>5335</v>
      </c>
      <c r="BF10" s="38">
        <f t="shared" ref="BF10" si="29">(+BE10-+BE9)*48</f>
        <v>0</v>
      </c>
      <c r="BH10" s="105">
        <f t="shared" si="4"/>
        <v>81175.728000000076</v>
      </c>
      <c r="BI10" s="105">
        <f t="shared" si="5"/>
        <v>45427.199999999997</v>
      </c>
    </row>
    <row r="11" spans="1:61" s="36" customFormat="1" ht="39.950000000000003" customHeight="1">
      <c r="A11" s="145">
        <v>43893</v>
      </c>
      <c r="B11" s="35"/>
      <c r="C11" s="84">
        <v>5144380</v>
      </c>
      <c r="D11" s="38">
        <f t="shared" ref="D11" si="30">(+C11-+C10)*48</f>
        <v>91056</v>
      </c>
      <c r="E11" s="38">
        <f t="shared" si="7"/>
        <v>54633.599999999999</v>
      </c>
      <c r="F11" s="104">
        <f t="shared" si="8"/>
        <v>36422.400000000001</v>
      </c>
      <c r="G11" s="84">
        <v>269488</v>
      </c>
      <c r="H11" s="38">
        <f t="shared" si="0"/>
        <v>1008</v>
      </c>
      <c r="I11" s="84">
        <v>51197</v>
      </c>
      <c r="J11" s="38">
        <f t="shared" si="1"/>
        <v>6912</v>
      </c>
      <c r="K11" s="84">
        <v>254056</v>
      </c>
      <c r="L11" s="38">
        <f t="shared" si="2"/>
        <v>0</v>
      </c>
      <c r="M11" s="84">
        <v>24343</v>
      </c>
      <c r="N11" s="38">
        <f t="shared" si="3"/>
        <v>0</v>
      </c>
      <c r="O11" s="84">
        <v>187350</v>
      </c>
      <c r="P11" s="38">
        <f t="shared" ref="P11" si="31">(+O11-+O10)*48</f>
        <v>5424</v>
      </c>
      <c r="Q11" s="84">
        <v>428359</v>
      </c>
      <c r="R11" s="38">
        <f t="shared" ref="R11" si="32">(+Q11-+Q10)*48</f>
        <v>0</v>
      </c>
      <c r="S11" s="84">
        <v>668369</v>
      </c>
      <c r="T11" s="38">
        <f t="shared" ref="T11" si="33">(+S11-+S10)*48</f>
        <v>6048</v>
      </c>
      <c r="U11" s="84">
        <v>90961.732999999993</v>
      </c>
      <c r="V11" s="104">
        <f t="shared" ref="V11" si="34">(+U11-+U10)*48</f>
        <v>654.28799999970943</v>
      </c>
      <c r="W11" s="84">
        <v>75789</v>
      </c>
      <c r="X11" s="38">
        <f t="shared" ref="X11" si="35">(+W11-+W10)*48</f>
        <v>0</v>
      </c>
      <c r="Y11" s="84">
        <v>1458042</v>
      </c>
      <c r="Z11" s="38">
        <f t="shared" ref="Z11" si="36">(+Y11-+Y10)*48</f>
        <v>18912</v>
      </c>
      <c r="AA11" s="84">
        <v>13166</v>
      </c>
      <c r="AB11" s="38">
        <f t="shared" ref="AB11" si="37">(+AA11-+AA10)*48</f>
        <v>288</v>
      </c>
      <c r="AC11" s="84">
        <v>412998</v>
      </c>
      <c r="AD11" s="38">
        <f t="shared" si="16"/>
        <v>6144</v>
      </c>
      <c r="AE11" s="84">
        <v>485826</v>
      </c>
      <c r="AF11" s="38">
        <f t="shared" si="16"/>
        <v>7152</v>
      </c>
      <c r="AG11" s="84">
        <v>48051</v>
      </c>
      <c r="AH11" s="38">
        <f t="shared" ref="AH11" si="38">(+AG11-+AG10)*48</f>
        <v>0</v>
      </c>
      <c r="AI11" s="84">
        <v>377316</v>
      </c>
      <c r="AJ11" s="38">
        <f t="shared" ref="AJ11" si="39">(+AI11-+AI10)*48</f>
        <v>2736</v>
      </c>
      <c r="AK11" s="84">
        <v>102371</v>
      </c>
      <c r="AL11" s="38">
        <f t="shared" ref="AL11" si="40">(+AK11-+AK10)*48</f>
        <v>0</v>
      </c>
      <c r="AM11" s="84">
        <v>532132</v>
      </c>
      <c r="AN11" s="38">
        <f t="shared" ref="AN11" si="41">(+AM11-+AM10)*48</f>
        <v>6528</v>
      </c>
      <c r="AO11" s="84">
        <v>853703</v>
      </c>
      <c r="AP11" s="38">
        <f t="shared" ref="AP11" si="42">(+AO11-+AO10)*48</f>
        <v>9504</v>
      </c>
      <c r="AQ11" s="84">
        <v>57319</v>
      </c>
      <c r="AR11" s="38">
        <f t="shared" ref="AR11" si="43">(+AQ11-+AQ10)*48</f>
        <v>4800</v>
      </c>
      <c r="AS11" s="84">
        <v>2204</v>
      </c>
      <c r="AT11" s="38">
        <f t="shared" ref="AT11" si="44">(+AS11-+AS10)*48</f>
        <v>0</v>
      </c>
      <c r="AU11" s="84">
        <v>918</v>
      </c>
      <c r="AV11" s="38">
        <f t="shared" ref="AV11" si="45">(+AU11-+AU10)*48</f>
        <v>0</v>
      </c>
      <c r="AW11" s="84">
        <v>3075</v>
      </c>
      <c r="AX11" s="38">
        <f t="shared" ref="AX11" si="46">(+AW11-+AW10)*48</f>
        <v>0</v>
      </c>
      <c r="AY11" s="84">
        <v>284132</v>
      </c>
      <c r="AZ11" s="38">
        <f t="shared" ref="AZ11" si="47">(+AY11-+AY10)*48</f>
        <v>4176</v>
      </c>
      <c r="BA11" s="84">
        <v>160167</v>
      </c>
      <c r="BB11" s="38">
        <f t="shared" ref="BB11" si="48">(+BA11-+BA10)*48</f>
        <v>0</v>
      </c>
      <c r="BC11" s="84">
        <v>193989</v>
      </c>
      <c r="BD11" s="38">
        <f t="shared" ref="BD11" si="49">(+BC11-+BC10)*48</f>
        <v>3168</v>
      </c>
      <c r="BE11" s="84">
        <v>5335</v>
      </c>
      <c r="BF11" s="38">
        <f t="shared" ref="BF11" si="50">(+BE11-+BE10)*48</f>
        <v>0</v>
      </c>
      <c r="BH11" s="105">
        <f t="shared" si="4"/>
        <v>109911.88799999972</v>
      </c>
      <c r="BI11" s="105">
        <f t="shared" si="5"/>
        <v>64598.400000000001</v>
      </c>
    </row>
    <row r="12" spans="1:61" s="36" customFormat="1" ht="39.950000000000003" customHeight="1">
      <c r="A12" s="145">
        <v>43894</v>
      </c>
      <c r="B12" s="35"/>
      <c r="C12" s="84">
        <v>5145491</v>
      </c>
      <c r="D12" s="38">
        <f t="shared" ref="D12" si="51">(+C12-+C11)*48</f>
        <v>53328</v>
      </c>
      <c r="E12" s="38">
        <f t="shared" si="7"/>
        <v>31996.799999999999</v>
      </c>
      <c r="F12" s="104">
        <f t="shared" si="8"/>
        <v>21331.200000000001</v>
      </c>
      <c r="G12" s="84">
        <v>269509</v>
      </c>
      <c r="H12" s="38">
        <f t="shared" si="0"/>
        <v>960</v>
      </c>
      <c r="I12" s="84">
        <v>51341</v>
      </c>
      <c r="J12" s="38">
        <f t="shared" si="1"/>
        <v>7200</v>
      </c>
      <c r="K12" s="84">
        <v>254056</v>
      </c>
      <c r="L12" s="38">
        <f t="shared" si="2"/>
        <v>0</v>
      </c>
      <c r="M12" s="84">
        <v>24343</v>
      </c>
      <c r="N12" s="38">
        <f t="shared" si="3"/>
        <v>0</v>
      </c>
      <c r="O12" s="84">
        <v>187456</v>
      </c>
      <c r="P12" s="38">
        <f t="shared" ref="P12" si="52">(+O12-+O11)*48</f>
        <v>5088</v>
      </c>
      <c r="Q12" s="84">
        <v>428359</v>
      </c>
      <c r="R12" s="38">
        <f t="shared" ref="R12" si="53">(+Q12-+Q11)*48</f>
        <v>0</v>
      </c>
      <c r="S12" s="84">
        <v>668505</v>
      </c>
      <c r="T12" s="38">
        <f t="shared" ref="T12" si="54">(+S12-+S11)*48</f>
        <v>6528</v>
      </c>
      <c r="U12" s="84">
        <v>90974.858999999997</v>
      </c>
      <c r="V12" s="104">
        <f t="shared" ref="V12" si="55">(+U12-+U11)*48</f>
        <v>630.0480000001844</v>
      </c>
      <c r="W12" s="84">
        <v>75809</v>
      </c>
      <c r="X12" s="38">
        <f t="shared" ref="X12" si="56">(+W12-+W11)*48</f>
        <v>960</v>
      </c>
      <c r="Y12" s="84">
        <v>1458404</v>
      </c>
      <c r="Z12" s="38">
        <f t="shared" ref="Z12" si="57">(+Y12-+Y11)*48</f>
        <v>17376</v>
      </c>
      <c r="AA12" s="84">
        <v>13166</v>
      </c>
      <c r="AB12" s="38">
        <f t="shared" ref="AB12" si="58">(+AA12-+AA11)*48</f>
        <v>0</v>
      </c>
      <c r="AC12" s="84">
        <v>413125</v>
      </c>
      <c r="AD12" s="38">
        <f t="shared" si="16"/>
        <v>6096</v>
      </c>
      <c r="AE12" s="84">
        <v>485966</v>
      </c>
      <c r="AF12" s="38">
        <f t="shared" si="16"/>
        <v>6720</v>
      </c>
      <c r="AG12" s="84">
        <v>48051</v>
      </c>
      <c r="AH12" s="38">
        <f t="shared" ref="AH12" si="59">(+AG12-+AG11)*48</f>
        <v>0</v>
      </c>
      <c r="AI12" s="84">
        <v>377375</v>
      </c>
      <c r="AJ12" s="38">
        <f t="shared" ref="AJ12" si="60">(+AI12-+AI11)*48</f>
        <v>2832</v>
      </c>
      <c r="AK12" s="84">
        <v>102371</v>
      </c>
      <c r="AL12" s="38">
        <f t="shared" ref="AL12" si="61">(+AK12-+AK11)*48</f>
        <v>0</v>
      </c>
      <c r="AM12" s="84">
        <v>532256</v>
      </c>
      <c r="AN12" s="38">
        <f t="shared" ref="AN12" si="62">(+AM12-+AM11)*48</f>
        <v>5952</v>
      </c>
      <c r="AO12" s="84">
        <v>853887</v>
      </c>
      <c r="AP12" s="38">
        <f t="shared" ref="AP12" si="63">(+AO12-+AO11)*48</f>
        <v>8832</v>
      </c>
      <c r="AQ12" s="84">
        <v>57333</v>
      </c>
      <c r="AR12" s="38">
        <f t="shared" ref="AR12" si="64">(+AQ12-+AQ11)*48</f>
        <v>672</v>
      </c>
      <c r="AS12" s="84">
        <v>2204</v>
      </c>
      <c r="AT12" s="38">
        <f t="shared" ref="AT12" si="65">(+AS12-+AS11)*48</f>
        <v>0</v>
      </c>
      <c r="AU12" s="84">
        <v>918</v>
      </c>
      <c r="AV12" s="38">
        <f t="shared" ref="AV12" si="66">(+AU12-+AU11)*48</f>
        <v>0</v>
      </c>
      <c r="AW12" s="84">
        <v>3075</v>
      </c>
      <c r="AX12" s="38">
        <f t="shared" ref="AX12" si="67">(+AW12-+AW11)*48</f>
        <v>0</v>
      </c>
      <c r="AY12" s="84">
        <v>284209</v>
      </c>
      <c r="AZ12" s="38">
        <f t="shared" ref="AZ12" si="68">(+AY12-+AY11)*48</f>
        <v>3696</v>
      </c>
      <c r="BA12" s="84">
        <v>160167</v>
      </c>
      <c r="BB12" s="38">
        <f t="shared" ref="BB12" si="69">(+BA12-+BA11)*48</f>
        <v>0</v>
      </c>
      <c r="BC12" s="84">
        <v>194057</v>
      </c>
      <c r="BD12" s="38">
        <f t="shared" ref="BD12" si="70">(+BC12-+BC11)*48</f>
        <v>3264</v>
      </c>
      <c r="BE12" s="84">
        <v>5335</v>
      </c>
      <c r="BF12" s="38">
        <f t="shared" ref="BF12" si="71">(+BE12-+BE11)*48</f>
        <v>0</v>
      </c>
      <c r="BH12" s="105">
        <f t="shared" si="4"/>
        <v>86386.848000000187</v>
      </c>
      <c r="BI12" s="105">
        <f t="shared" si="5"/>
        <v>43747.199999999997</v>
      </c>
    </row>
    <row r="13" spans="1:61" s="36" customFormat="1" ht="39.950000000000003" customHeight="1">
      <c r="A13" s="145">
        <v>43895</v>
      </c>
      <c r="B13" s="35"/>
      <c r="C13" s="84">
        <v>5147258</v>
      </c>
      <c r="D13" s="38">
        <f t="shared" ref="D13" si="72">(+C13-+C12)*48</f>
        <v>84816</v>
      </c>
      <c r="E13" s="38">
        <f t="shared" si="7"/>
        <v>50889.599999999999</v>
      </c>
      <c r="F13" s="104">
        <f t="shared" si="8"/>
        <v>33926.400000000001</v>
      </c>
      <c r="G13" s="84">
        <v>269529</v>
      </c>
      <c r="H13" s="38">
        <f t="shared" si="0"/>
        <v>1104</v>
      </c>
      <c r="I13" s="84">
        <v>51491</v>
      </c>
      <c r="J13" s="38">
        <f t="shared" si="1"/>
        <v>7536</v>
      </c>
      <c r="K13" s="84">
        <v>254056</v>
      </c>
      <c r="L13" s="38">
        <f t="shared" si="2"/>
        <v>0</v>
      </c>
      <c r="M13" s="84">
        <v>24343</v>
      </c>
      <c r="N13" s="38">
        <f t="shared" si="3"/>
        <v>0</v>
      </c>
      <c r="O13" s="84">
        <v>187579</v>
      </c>
      <c r="P13" s="38">
        <f t="shared" ref="P13" si="73">(+O13-+O12)*48</f>
        <v>5904</v>
      </c>
      <c r="Q13" s="84">
        <v>428359</v>
      </c>
      <c r="R13" s="38">
        <f t="shared" ref="R13" si="74">(+Q13-+Q12)*48</f>
        <v>0</v>
      </c>
      <c r="S13" s="84">
        <v>668632</v>
      </c>
      <c r="T13" s="38">
        <f t="shared" ref="T13" si="75">(+S13-+S12)*48</f>
        <v>6096</v>
      </c>
      <c r="U13" s="84">
        <v>90987.214000000007</v>
      </c>
      <c r="V13" s="104">
        <f t="shared" ref="V13" si="76">(+U13-+U12)*48</f>
        <v>593.04000000050291</v>
      </c>
      <c r="W13" s="84">
        <v>75820</v>
      </c>
      <c r="X13" s="38">
        <f t="shared" ref="X13" si="77">(+W13-+W12)*48</f>
        <v>528</v>
      </c>
      <c r="Y13" s="84">
        <v>1458641</v>
      </c>
      <c r="Z13" s="38">
        <f t="shared" ref="Z13" si="78">(+Y13-+Y12)*48</f>
        <v>11376</v>
      </c>
      <c r="AA13" s="84">
        <v>13166</v>
      </c>
      <c r="AB13" s="38">
        <f t="shared" ref="AB13" si="79">(+AA13-+AA12)*48</f>
        <v>0</v>
      </c>
      <c r="AC13" s="84">
        <v>413277</v>
      </c>
      <c r="AD13" s="38">
        <f t="shared" si="16"/>
        <v>7296</v>
      </c>
      <c r="AE13" s="84">
        <v>486112</v>
      </c>
      <c r="AF13" s="38">
        <f t="shared" si="16"/>
        <v>7008</v>
      </c>
      <c r="AG13" s="84">
        <v>48051</v>
      </c>
      <c r="AH13" s="38">
        <f t="shared" ref="AH13" si="80">(+AG13-+AG12)*48</f>
        <v>0</v>
      </c>
      <c r="AI13" s="84">
        <v>377449</v>
      </c>
      <c r="AJ13" s="38">
        <f t="shared" ref="AJ13:AJ14" si="81">(+AI13-+AI12)*48</f>
        <v>3552</v>
      </c>
      <c r="AK13" s="84">
        <v>102371</v>
      </c>
      <c r="AL13" s="38">
        <f t="shared" ref="AL13" si="82">(+AK13-+AK12)*48</f>
        <v>0</v>
      </c>
      <c r="AM13" s="84">
        <v>532285</v>
      </c>
      <c r="AN13" s="38">
        <f t="shared" ref="AN13" si="83">(+AM13-+AM12)*48</f>
        <v>1392</v>
      </c>
      <c r="AO13" s="84">
        <v>854078</v>
      </c>
      <c r="AP13" s="38">
        <f t="shared" ref="AP13" si="84">(+AO13-+AO12)*48</f>
        <v>9168</v>
      </c>
      <c r="AQ13" s="84">
        <v>57339</v>
      </c>
      <c r="AR13" s="38">
        <f t="shared" ref="AR13" si="85">(+AQ13-+AQ12)*48</f>
        <v>288</v>
      </c>
      <c r="AS13" s="84">
        <v>2204</v>
      </c>
      <c r="AT13" s="38">
        <f t="shared" ref="AT13" si="86">(+AS13-+AS12)*48</f>
        <v>0</v>
      </c>
      <c r="AU13" s="84">
        <v>918</v>
      </c>
      <c r="AV13" s="38">
        <f t="shared" ref="AV13" si="87">(+AU13-+AU12)*48</f>
        <v>0</v>
      </c>
      <c r="AW13" s="84">
        <v>3075</v>
      </c>
      <c r="AX13" s="38">
        <f t="shared" ref="AX13" si="88">(+AW13-+AW12)*48</f>
        <v>0</v>
      </c>
      <c r="AY13" s="84">
        <v>284298</v>
      </c>
      <c r="AZ13" s="38">
        <f t="shared" ref="AZ13" si="89">(+AY13-+AY12)*48</f>
        <v>4272</v>
      </c>
      <c r="BA13" s="84">
        <v>160167</v>
      </c>
      <c r="BB13" s="38">
        <f t="shared" ref="BB13" si="90">(+BA13-+BA12)*48</f>
        <v>0</v>
      </c>
      <c r="BC13" s="84">
        <v>194126</v>
      </c>
      <c r="BD13" s="38">
        <f t="shared" ref="BD13" si="91">(+BC13-+BC12)*48</f>
        <v>3312</v>
      </c>
      <c r="BE13" s="84">
        <v>5335</v>
      </c>
      <c r="BF13" s="38">
        <f t="shared" ref="BF13" si="92">(+BE13-+BE12)*48</f>
        <v>0</v>
      </c>
      <c r="BH13" s="105">
        <f t="shared" si="4"/>
        <v>101882.64000000051</v>
      </c>
      <c r="BI13" s="105">
        <f t="shared" si="5"/>
        <v>52358.400000000001</v>
      </c>
    </row>
    <row r="14" spans="1:61" s="36" customFormat="1" ht="39.950000000000003" customHeight="1">
      <c r="A14" s="145">
        <v>43896</v>
      </c>
      <c r="B14" s="35"/>
      <c r="C14" s="84">
        <v>5148441</v>
      </c>
      <c r="D14" s="38">
        <f t="shared" ref="D14" si="93">(+C14-+C13)*48</f>
        <v>56784</v>
      </c>
      <c r="E14" s="38">
        <f t="shared" si="7"/>
        <v>34070.400000000001</v>
      </c>
      <c r="F14" s="104">
        <f t="shared" si="8"/>
        <v>22713.600000000002</v>
      </c>
      <c r="G14" s="84">
        <v>269552</v>
      </c>
      <c r="H14" s="38">
        <f t="shared" si="0"/>
        <v>1632</v>
      </c>
      <c r="I14" s="84">
        <v>51648</v>
      </c>
      <c r="J14" s="38">
        <f t="shared" si="1"/>
        <v>-6720</v>
      </c>
      <c r="K14" s="84">
        <v>254056</v>
      </c>
      <c r="L14" s="38">
        <f t="shared" si="2"/>
        <v>48</v>
      </c>
      <c r="M14" s="84">
        <v>24343</v>
      </c>
      <c r="N14" s="38">
        <f t="shared" si="3"/>
        <v>0</v>
      </c>
      <c r="O14" s="84">
        <v>187700</v>
      </c>
      <c r="P14" s="38">
        <f t="shared" ref="P14" si="94">(+O14-+O13)*48</f>
        <v>5808</v>
      </c>
      <c r="Q14" s="84">
        <v>428359</v>
      </c>
      <c r="R14" s="38">
        <f t="shared" ref="R14" si="95">(+Q14-+Q13)*48</f>
        <v>0</v>
      </c>
      <c r="S14" s="84">
        <v>668766</v>
      </c>
      <c r="T14" s="38">
        <f t="shared" ref="T14" si="96">(+S14-+S13)*48</f>
        <v>6432</v>
      </c>
      <c r="U14" s="84">
        <v>90999.372000000003</v>
      </c>
      <c r="V14" s="104">
        <f>(+U14-+U13)*48</f>
        <v>583.58399999979883</v>
      </c>
      <c r="W14" s="84">
        <v>75823</v>
      </c>
      <c r="X14" s="38">
        <f t="shared" ref="X14" si="97">(+W14-+W13)*48</f>
        <v>144</v>
      </c>
      <c r="Y14" s="84">
        <v>1458926</v>
      </c>
      <c r="Z14" s="38">
        <f t="shared" ref="Z14" si="98">(+Y14-+Y13)*48</f>
        <v>13680</v>
      </c>
      <c r="AA14" s="84">
        <v>13166</v>
      </c>
      <c r="AB14" s="38">
        <f t="shared" ref="AB14" si="99">(+AA14-+AA13)*48</f>
        <v>0</v>
      </c>
      <c r="AC14" s="84">
        <v>413469</v>
      </c>
      <c r="AD14" s="38">
        <f t="shared" si="16"/>
        <v>9216</v>
      </c>
      <c r="AE14" s="84">
        <v>486252</v>
      </c>
      <c r="AF14" s="38">
        <f t="shared" si="16"/>
        <v>6720</v>
      </c>
      <c r="AG14" s="84">
        <v>48051</v>
      </c>
      <c r="AH14" s="38">
        <f t="shared" ref="AH14" si="100">(+AG14-+AG13)*48</f>
        <v>0</v>
      </c>
      <c r="AI14" s="84">
        <v>377507</v>
      </c>
      <c r="AJ14" s="38">
        <f t="shared" si="81"/>
        <v>2784</v>
      </c>
      <c r="AK14" s="84">
        <v>102371</v>
      </c>
      <c r="AL14" s="38">
        <f t="shared" ref="AL14" si="101">(+AK14-+AK13)*48</f>
        <v>0</v>
      </c>
      <c r="AM14" s="84">
        <v>532510</v>
      </c>
      <c r="AN14" s="38">
        <f t="shared" ref="AN14" si="102">(+AM14-+AM13)*48</f>
        <v>10800</v>
      </c>
      <c r="AO14" s="84">
        <v>854274</v>
      </c>
      <c r="AP14" s="38">
        <f t="shared" ref="AP14" si="103">(+AO14-+AO13)*48</f>
        <v>9408</v>
      </c>
      <c r="AQ14" s="84">
        <v>57341</v>
      </c>
      <c r="AR14" s="38">
        <f t="shared" ref="AR14" si="104">(+AQ14-+AQ13)*48</f>
        <v>96</v>
      </c>
      <c r="AS14" s="84">
        <v>2204</v>
      </c>
      <c r="AT14" s="38">
        <f t="shared" ref="AT14" si="105">(+AS14-+AS13)*48</f>
        <v>0</v>
      </c>
      <c r="AU14" s="84">
        <v>918</v>
      </c>
      <c r="AV14" s="38">
        <f t="shared" ref="AV14" si="106">(+AU14-+AU13)*48</f>
        <v>0</v>
      </c>
      <c r="AW14" s="84">
        <v>3075</v>
      </c>
      <c r="AX14" s="38">
        <f t="shared" ref="AX14" si="107">(+AW14-+AW13)*48</f>
        <v>0</v>
      </c>
      <c r="AY14" s="84">
        <v>284368</v>
      </c>
      <c r="AZ14" s="38">
        <f t="shared" ref="AZ14" si="108">(+AY14-+AY13)*48</f>
        <v>3360</v>
      </c>
      <c r="BA14" s="84">
        <v>160167</v>
      </c>
      <c r="BB14" s="38">
        <f t="shared" ref="BB14" si="109">(+BA14-+BA13)*48</f>
        <v>0</v>
      </c>
      <c r="BC14" s="84">
        <v>194194</v>
      </c>
      <c r="BD14" s="38">
        <f t="shared" ref="BD14" si="110">(+BC14-+BC13)*48</f>
        <v>3264</v>
      </c>
      <c r="BE14" s="84">
        <v>5335</v>
      </c>
      <c r="BF14" s="38">
        <f t="shared" ref="BF14" si="111">(+BE14-+BE13)*48</f>
        <v>0</v>
      </c>
      <c r="BH14" s="105">
        <f t="shared" si="4"/>
        <v>74397.983999999793</v>
      </c>
      <c r="BI14" s="105">
        <f t="shared" si="5"/>
        <v>49641.600000000006</v>
      </c>
    </row>
    <row r="15" spans="1:61" s="36" customFormat="1" ht="39.950000000000003" customHeight="1">
      <c r="A15" s="145">
        <v>43897</v>
      </c>
      <c r="B15" s="35"/>
      <c r="C15" s="78">
        <v>5150294</v>
      </c>
      <c r="D15" s="38">
        <f t="shared" ref="D15" si="112">(+C15-+C14)*48</f>
        <v>88944</v>
      </c>
      <c r="E15" s="38">
        <f t="shared" si="7"/>
        <v>53366.400000000001</v>
      </c>
      <c r="F15" s="104">
        <f t="shared" si="8"/>
        <v>35577.599999999999</v>
      </c>
      <c r="G15" s="84">
        <v>269586</v>
      </c>
      <c r="H15" s="38">
        <f t="shared" si="0"/>
        <v>1680</v>
      </c>
      <c r="I15" s="84">
        <v>51508</v>
      </c>
      <c r="J15" s="38">
        <f t="shared" si="1"/>
        <v>21744</v>
      </c>
      <c r="K15" s="84">
        <v>254057</v>
      </c>
      <c r="L15" s="38">
        <f t="shared" si="2"/>
        <v>432</v>
      </c>
      <c r="M15" s="84">
        <v>24343</v>
      </c>
      <c r="N15" s="38">
        <f t="shared" si="3"/>
        <v>0</v>
      </c>
      <c r="O15" s="78">
        <v>187852</v>
      </c>
      <c r="P15" s="38">
        <f t="shared" ref="P15" si="113">(+O15-+O14)*48</f>
        <v>7296</v>
      </c>
      <c r="Q15" s="78">
        <v>428359</v>
      </c>
      <c r="R15" s="38">
        <f t="shared" ref="R15" si="114">(+Q15-+Q14)*48</f>
        <v>0</v>
      </c>
      <c r="S15" s="78">
        <v>668909</v>
      </c>
      <c r="T15" s="38">
        <f t="shared" ref="T15" si="115">(+S15-+S14)*48</f>
        <v>6864</v>
      </c>
      <c r="U15" s="78">
        <v>91014</v>
      </c>
      <c r="V15" s="104">
        <f t="shared" ref="V15" si="116">(+U15-+U14)*48</f>
        <v>702.14399999985471</v>
      </c>
      <c r="W15" s="78">
        <v>75834</v>
      </c>
      <c r="X15" s="38">
        <f t="shared" ref="X15" si="117">(+W15-+W14)*48</f>
        <v>528</v>
      </c>
      <c r="Y15" s="78">
        <v>1459250</v>
      </c>
      <c r="Z15" s="38">
        <f t="shared" ref="Z15" si="118">(+Y15-+Y14)*48</f>
        <v>15552</v>
      </c>
      <c r="AA15" s="78">
        <v>13166</v>
      </c>
      <c r="AB15" s="38">
        <f t="shared" ref="AB15" si="119">(+AA15-+AA14)*48</f>
        <v>0</v>
      </c>
      <c r="AC15" s="78">
        <v>413656</v>
      </c>
      <c r="AD15" s="38">
        <f t="shared" si="16"/>
        <v>8976</v>
      </c>
      <c r="AE15" s="78">
        <v>486378</v>
      </c>
      <c r="AF15" s="38">
        <f t="shared" si="16"/>
        <v>6048</v>
      </c>
      <c r="AG15" s="78">
        <v>48051</v>
      </c>
      <c r="AH15" s="38">
        <f t="shared" ref="AH15" si="120">(+AG15-+AG14)*48</f>
        <v>0</v>
      </c>
      <c r="AI15" s="78">
        <v>377571</v>
      </c>
      <c r="AJ15" s="38">
        <f t="shared" ref="AJ15" si="121">(+AI15-+AI14)*48</f>
        <v>3072</v>
      </c>
      <c r="AK15" s="78">
        <v>102371</v>
      </c>
      <c r="AL15" s="38">
        <f t="shared" ref="AL15" si="122">(+AK15-+AK14)*48</f>
        <v>0</v>
      </c>
      <c r="AM15" s="78">
        <v>532616</v>
      </c>
      <c r="AN15" s="38">
        <f t="shared" ref="AN15" si="123">(+AM15-+AM14)*48</f>
        <v>5088</v>
      </c>
      <c r="AO15" s="78">
        <v>854463</v>
      </c>
      <c r="AP15" s="38">
        <f t="shared" ref="AP15" si="124">(+AO15-+AO14)*48</f>
        <v>9072</v>
      </c>
      <c r="AQ15" s="78">
        <v>57343</v>
      </c>
      <c r="AR15" s="38">
        <f t="shared" ref="AR15" si="125">(+AQ15-+AQ14)*48</f>
        <v>96</v>
      </c>
      <c r="AS15" s="78">
        <v>2204</v>
      </c>
      <c r="AT15" s="38">
        <f t="shared" ref="AT15" si="126">(+AS15-+AS14)*48</f>
        <v>0</v>
      </c>
      <c r="AU15" s="78">
        <v>918</v>
      </c>
      <c r="AV15" s="38">
        <f t="shared" ref="AV15" si="127">(+AU15-+AU14)*48</f>
        <v>0</v>
      </c>
      <c r="AW15" s="78">
        <v>3075</v>
      </c>
      <c r="AX15" s="38">
        <f t="shared" ref="AX15" si="128">(+AW15-+AW14)*48</f>
        <v>0</v>
      </c>
      <c r="AY15" s="78">
        <v>284449</v>
      </c>
      <c r="AZ15" s="38">
        <f t="shared" ref="AZ15" si="129">(+AY15-+AY14)*48</f>
        <v>3888</v>
      </c>
      <c r="BA15" s="78">
        <v>160167</v>
      </c>
      <c r="BB15" s="38">
        <f t="shared" ref="BB15" si="130">(+BA15-+BA14)*48</f>
        <v>0</v>
      </c>
      <c r="BC15" s="78">
        <v>194261</v>
      </c>
      <c r="BD15" s="38">
        <f t="shared" ref="BD15" si="131">(+BC15-+BC14)*48</f>
        <v>3216</v>
      </c>
      <c r="BE15" s="78">
        <v>5335</v>
      </c>
      <c r="BF15" s="38">
        <f t="shared" ref="BF15" si="132">(+BE15-+BE14)*48</f>
        <v>0</v>
      </c>
      <c r="BH15" s="105">
        <f t="shared" si="4"/>
        <v>126260.54399999985</v>
      </c>
      <c r="BI15" s="105">
        <f t="shared" si="5"/>
        <v>56937.599999999999</v>
      </c>
    </row>
    <row r="16" spans="1:61" s="36" customFormat="1" ht="39.950000000000003" customHeight="1">
      <c r="A16" s="145">
        <v>43898</v>
      </c>
      <c r="B16" s="35"/>
      <c r="C16" s="78">
        <v>5151426</v>
      </c>
      <c r="D16" s="38">
        <f t="shared" ref="D16" si="133">(+C16-+C15)*48</f>
        <v>54336</v>
      </c>
      <c r="E16" s="38">
        <f t="shared" si="7"/>
        <v>32601.599999999999</v>
      </c>
      <c r="F16" s="104">
        <f t="shared" si="8"/>
        <v>21734.400000000001</v>
      </c>
      <c r="G16" s="78">
        <v>269621</v>
      </c>
      <c r="H16" s="38">
        <f t="shared" si="0"/>
        <v>1680</v>
      </c>
      <c r="I16" s="78">
        <v>51961</v>
      </c>
      <c r="J16" s="38">
        <f t="shared" si="1"/>
        <v>7536</v>
      </c>
      <c r="K16" s="78">
        <v>254066</v>
      </c>
      <c r="L16" s="38">
        <f t="shared" si="2"/>
        <v>2592</v>
      </c>
      <c r="M16" s="78">
        <v>24343</v>
      </c>
      <c r="N16" s="38">
        <f t="shared" si="3"/>
        <v>144</v>
      </c>
      <c r="O16" s="78">
        <v>188018</v>
      </c>
      <c r="P16" s="38">
        <f t="shared" ref="P16" si="134">(+O16-+O15)*48</f>
        <v>7968</v>
      </c>
      <c r="Q16" s="78">
        <v>428378</v>
      </c>
      <c r="R16" s="38">
        <f t="shared" ref="R16" si="135">(+Q16-+Q15)*48</f>
        <v>912</v>
      </c>
      <c r="S16" s="78">
        <v>669039</v>
      </c>
      <c r="T16" s="38">
        <f t="shared" ref="T16" si="136">(+S16-+S15)*48</f>
        <v>6240</v>
      </c>
      <c r="U16" s="78">
        <v>91031.073999999993</v>
      </c>
      <c r="V16" s="104">
        <f t="shared" ref="V16" si="137">(+U16-+U15)*48</f>
        <v>819.5519999996759</v>
      </c>
      <c r="W16" s="78">
        <v>75852</v>
      </c>
      <c r="X16" s="38">
        <f t="shared" ref="X16" si="138">(+W16-+W15)*48</f>
        <v>864</v>
      </c>
      <c r="Y16" s="78">
        <v>1459455</v>
      </c>
      <c r="Z16" s="38">
        <f t="shared" ref="Z16" si="139">(+Y16-+Y15)*48</f>
        <v>9840</v>
      </c>
      <c r="AA16" s="78">
        <v>13166</v>
      </c>
      <c r="AB16" s="38">
        <f t="shared" ref="AB16" si="140">(+AA16-+AA15)*48</f>
        <v>0</v>
      </c>
      <c r="AC16" s="78">
        <v>413839</v>
      </c>
      <c r="AD16" s="38">
        <f t="shared" si="16"/>
        <v>8784</v>
      </c>
      <c r="AE16" s="78">
        <v>486528</v>
      </c>
      <c r="AF16" s="38">
        <f t="shared" si="16"/>
        <v>7200</v>
      </c>
      <c r="AG16" s="78">
        <v>48051</v>
      </c>
      <c r="AH16" s="38">
        <f t="shared" ref="AH16" si="141">(+AG16-+AG15)*48</f>
        <v>0</v>
      </c>
      <c r="AI16" s="78">
        <v>377633</v>
      </c>
      <c r="AJ16" s="38">
        <f t="shared" ref="AJ16" si="142">(+AI16-+AI15)*48</f>
        <v>2976</v>
      </c>
      <c r="AK16" s="78">
        <v>102371</v>
      </c>
      <c r="AL16" s="38">
        <f t="shared" ref="AL16" si="143">(+AK16-+AK15)*48</f>
        <v>0</v>
      </c>
      <c r="AM16" s="78">
        <v>532763</v>
      </c>
      <c r="AN16" s="38">
        <f t="shared" ref="AN16" si="144">(+AM16-+AM15)*48</f>
        <v>7056</v>
      </c>
      <c r="AO16" s="78">
        <v>854703</v>
      </c>
      <c r="AP16" s="38">
        <f t="shared" ref="AP16" si="145">(+AO16-+AO15)*48</f>
        <v>11520</v>
      </c>
      <c r="AQ16" s="78">
        <v>57346</v>
      </c>
      <c r="AR16" s="38">
        <f t="shared" ref="AR16" si="146">(+AQ16-+AQ15)*48</f>
        <v>144</v>
      </c>
      <c r="AS16" s="78">
        <v>2204</v>
      </c>
      <c r="AT16" s="38">
        <f t="shared" ref="AT16" si="147">(+AS16-+AS15)*48</f>
        <v>0</v>
      </c>
      <c r="AU16" s="78">
        <v>918</v>
      </c>
      <c r="AV16" s="38">
        <f t="shared" ref="AV16" si="148">(+AU16-+AU15)*48</f>
        <v>0</v>
      </c>
      <c r="AW16" s="78">
        <v>3075</v>
      </c>
      <c r="AX16" s="38">
        <f t="shared" ref="AX16" si="149">(+AW16-+AW15)*48</f>
        <v>0</v>
      </c>
      <c r="AY16" s="78">
        <v>284529</v>
      </c>
      <c r="AZ16" s="38">
        <f t="shared" ref="AZ16" si="150">(+AY16-+AY15)*48</f>
        <v>3840</v>
      </c>
      <c r="BA16" s="78">
        <v>160167</v>
      </c>
      <c r="BB16" s="38">
        <f t="shared" ref="BB16" si="151">(+BA16-+BA15)*48</f>
        <v>0</v>
      </c>
      <c r="BC16" s="78">
        <v>194330</v>
      </c>
      <c r="BD16" s="38">
        <f t="shared" ref="BD16" si="152">(+BC16-+BC15)*48</f>
        <v>3312</v>
      </c>
      <c r="BE16" s="78">
        <v>5335</v>
      </c>
      <c r="BF16" s="38">
        <f t="shared" ref="BF16" si="153">(+BE16-+BE15)*48</f>
        <v>0</v>
      </c>
      <c r="BH16" s="105">
        <f t="shared" si="4"/>
        <v>90157.151999999682</v>
      </c>
      <c r="BI16" s="105">
        <f t="shared" si="5"/>
        <v>47606.400000000001</v>
      </c>
    </row>
    <row r="17" spans="1:61" s="36" customFormat="1" ht="39.950000000000003" customHeight="1">
      <c r="A17" s="145">
        <v>43899</v>
      </c>
      <c r="B17" s="35"/>
      <c r="C17" s="78">
        <v>5152539</v>
      </c>
      <c r="D17" s="38">
        <f t="shared" ref="D17" si="154">(+C17-+C16)*48</f>
        <v>53424</v>
      </c>
      <c r="E17" s="38">
        <f t="shared" si="7"/>
        <v>32054.399999999998</v>
      </c>
      <c r="F17" s="104">
        <f t="shared" si="8"/>
        <v>21369.600000000002</v>
      </c>
      <c r="G17" s="78">
        <v>269656</v>
      </c>
      <c r="H17" s="38">
        <f t="shared" si="0"/>
        <v>1152</v>
      </c>
      <c r="I17" s="78">
        <v>52118</v>
      </c>
      <c r="J17" s="38">
        <f t="shared" si="1"/>
        <v>7584</v>
      </c>
      <c r="K17" s="78">
        <v>254120</v>
      </c>
      <c r="L17" s="38">
        <f t="shared" si="2"/>
        <v>0</v>
      </c>
      <c r="M17" s="78">
        <v>24346</v>
      </c>
      <c r="N17" s="38">
        <f t="shared" si="3"/>
        <v>48</v>
      </c>
      <c r="O17" s="78">
        <v>188163</v>
      </c>
      <c r="P17" s="38">
        <f t="shared" ref="P17" si="155">(+O17-+O16)*48</f>
        <v>6960</v>
      </c>
      <c r="Q17" s="78">
        <v>428378</v>
      </c>
      <c r="R17" s="38">
        <f t="shared" ref="R17" si="156">(+Q17-+Q16)*48</f>
        <v>0</v>
      </c>
      <c r="S17" s="78">
        <v>669150</v>
      </c>
      <c r="T17" s="38">
        <f t="shared" ref="T17" si="157">(+S17-+S16)*48</f>
        <v>5328</v>
      </c>
      <c r="U17" s="78">
        <v>91046.398000000001</v>
      </c>
      <c r="V17" s="104">
        <f t="shared" ref="V17" si="158">(+U17-+U16)*48</f>
        <v>735.55200000037439</v>
      </c>
      <c r="W17" s="78">
        <v>75852</v>
      </c>
      <c r="X17" s="38">
        <f t="shared" ref="X17" si="159">(+W17-+W16)*48</f>
        <v>0</v>
      </c>
      <c r="Y17" s="78">
        <v>1459619</v>
      </c>
      <c r="Z17" s="38">
        <f t="shared" ref="Z17" si="160">(+Y17-+Y16)*48</f>
        <v>7872</v>
      </c>
      <c r="AA17" s="78">
        <v>13166</v>
      </c>
      <c r="AB17" s="38">
        <f t="shared" ref="AB17" si="161">(+AA17-+AA16)*48</f>
        <v>0</v>
      </c>
      <c r="AC17" s="78">
        <v>414017</v>
      </c>
      <c r="AD17" s="38">
        <f t="shared" si="16"/>
        <v>8544</v>
      </c>
      <c r="AE17" s="78">
        <v>486675</v>
      </c>
      <c r="AF17" s="38">
        <f t="shared" si="16"/>
        <v>7056</v>
      </c>
      <c r="AG17" s="78">
        <v>48051</v>
      </c>
      <c r="AH17" s="38">
        <f t="shared" ref="AH17" si="162">(+AG17-+AG16)*48</f>
        <v>0</v>
      </c>
      <c r="AI17" s="78">
        <v>377690</v>
      </c>
      <c r="AJ17" s="38">
        <f t="shared" ref="AJ17" si="163">(+AI17-+AI16)*48</f>
        <v>2736</v>
      </c>
      <c r="AK17" s="78">
        <v>102371</v>
      </c>
      <c r="AL17" s="38">
        <f t="shared" ref="AL17" si="164">(+AK17-+AK16)*48</f>
        <v>0</v>
      </c>
      <c r="AM17" s="78">
        <v>532902</v>
      </c>
      <c r="AN17" s="38">
        <f t="shared" ref="AN17" si="165">(+AM17-+AM16)*48</f>
        <v>6672</v>
      </c>
      <c r="AO17" s="78">
        <v>854903</v>
      </c>
      <c r="AP17" s="38">
        <f t="shared" ref="AP17" si="166">(+AO17-+AO16)*48</f>
        <v>9600</v>
      </c>
      <c r="AQ17" s="78">
        <v>57487</v>
      </c>
      <c r="AR17" s="38">
        <f t="shared" ref="AR17" si="167">(+AQ17-+AQ16)*48</f>
        <v>6768</v>
      </c>
      <c r="AS17" s="78">
        <v>2204</v>
      </c>
      <c r="AT17" s="38">
        <f t="shared" ref="AT17" si="168">(+AS17-+AS16)*48</f>
        <v>0</v>
      </c>
      <c r="AU17" s="78">
        <v>918</v>
      </c>
      <c r="AV17" s="38">
        <f t="shared" ref="AV17" si="169">(+AU17-+AU16)*48</f>
        <v>0</v>
      </c>
      <c r="AW17" s="78">
        <v>3075</v>
      </c>
      <c r="AX17" s="38">
        <f t="shared" ref="AX17" si="170">(+AW17-+AW16)*48</f>
        <v>0</v>
      </c>
      <c r="AY17" s="78">
        <v>284603</v>
      </c>
      <c r="AZ17" s="38">
        <f t="shared" ref="AZ17" si="171">(+AY17-+AY16)*48</f>
        <v>3552</v>
      </c>
      <c r="BA17" s="78">
        <v>160167</v>
      </c>
      <c r="BB17" s="38">
        <f t="shared" ref="BB17" si="172">(+BA17-+BA16)*48</f>
        <v>0</v>
      </c>
      <c r="BC17" s="78">
        <v>194396</v>
      </c>
      <c r="BD17" s="38">
        <f t="shared" ref="BD17" si="173">(+BC17-+BC16)*48</f>
        <v>3168</v>
      </c>
      <c r="BE17" s="78">
        <v>5335</v>
      </c>
      <c r="BF17" s="38">
        <f t="shared" ref="BF17" si="174">(+BE17-+BE16)*48</f>
        <v>0</v>
      </c>
      <c r="BH17" s="105">
        <f t="shared" si="4"/>
        <v>80069.952000000369</v>
      </c>
      <c r="BI17" s="105">
        <f t="shared" si="5"/>
        <v>51129.600000000006</v>
      </c>
    </row>
    <row r="18" spans="1:61" s="36" customFormat="1" ht="39.950000000000003" customHeight="1">
      <c r="A18" s="145">
        <v>43900</v>
      </c>
      <c r="B18" s="35"/>
      <c r="C18" s="78">
        <v>5154477</v>
      </c>
      <c r="D18" s="38">
        <f t="shared" ref="D18" si="175">(+C18-+C17)*48</f>
        <v>93024</v>
      </c>
      <c r="E18" s="38">
        <f t="shared" si="7"/>
        <v>55814.400000000001</v>
      </c>
      <c r="F18" s="104">
        <f t="shared" si="8"/>
        <v>37209.599999999999</v>
      </c>
      <c r="G18" s="78">
        <v>269680</v>
      </c>
      <c r="H18" s="38">
        <f t="shared" si="0"/>
        <v>1248</v>
      </c>
      <c r="I18" s="78">
        <v>52276</v>
      </c>
      <c r="J18" s="38">
        <f t="shared" si="1"/>
        <v>7632</v>
      </c>
      <c r="K18" s="78">
        <v>254120</v>
      </c>
      <c r="L18" s="38">
        <f t="shared" si="2"/>
        <v>0</v>
      </c>
      <c r="M18" s="78">
        <v>24347</v>
      </c>
      <c r="N18" s="38">
        <f t="shared" si="3"/>
        <v>0</v>
      </c>
      <c r="O18" s="78">
        <v>188297</v>
      </c>
      <c r="P18" s="38">
        <f t="shared" ref="P18" si="176">(+O18-+O17)*48</f>
        <v>6432</v>
      </c>
      <c r="Q18" s="78">
        <v>428378</v>
      </c>
      <c r="R18" s="38">
        <f t="shared" ref="R18" si="177">(+Q18-+Q17)*48</f>
        <v>0</v>
      </c>
      <c r="S18" s="78">
        <v>669273</v>
      </c>
      <c r="T18" s="38">
        <f t="shared" ref="T18" si="178">(+S18-+S17)*48</f>
        <v>5904</v>
      </c>
      <c r="U18" s="78">
        <v>91060.391000000003</v>
      </c>
      <c r="V18" s="104">
        <f>(+U18-+U17)*48</f>
        <v>671.66400000010617</v>
      </c>
      <c r="W18" s="78">
        <v>75852</v>
      </c>
      <c r="X18" s="38">
        <f t="shared" ref="X18" si="179">(+W18-+W17)*48</f>
        <v>0</v>
      </c>
      <c r="Y18" s="78">
        <v>1459789</v>
      </c>
      <c r="Z18" s="38">
        <f t="shared" ref="Z18" si="180">(+Y18-+Y17)*48</f>
        <v>8160</v>
      </c>
      <c r="AA18" s="78">
        <v>13166</v>
      </c>
      <c r="AB18" s="38">
        <f t="shared" ref="AB18" si="181">(+AA18-+AA17)*48</f>
        <v>0</v>
      </c>
      <c r="AC18" s="78">
        <v>414161</v>
      </c>
      <c r="AD18" s="38">
        <f t="shared" si="16"/>
        <v>6912</v>
      </c>
      <c r="AE18" s="78">
        <v>486820</v>
      </c>
      <c r="AF18" s="38">
        <f t="shared" si="16"/>
        <v>6960</v>
      </c>
      <c r="AG18" s="78">
        <v>48051</v>
      </c>
      <c r="AH18" s="38">
        <f t="shared" ref="AH18" si="182">(+AG18-+AG17)*48</f>
        <v>0</v>
      </c>
      <c r="AI18" s="78">
        <v>377755</v>
      </c>
      <c r="AJ18" s="38">
        <f t="shared" ref="AJ18" si="183">(+AI18-+AI17)*48</f>
        <v>3120</v>
      </c>
      <c r="AK18" s="78">
        <v>102371</v>
      </c>
      <c r="AL18" s="38">
        <f t="shared" ref="AL18" si="184">(+AK18-+AK17)*48</f>
        <v>0</v>
      </c>
      <c r="AM18" s="78">
        <v>533050</v>
      </c>
      <c r="AN18" s="38">
        <f t="shared" ref="AN18" si="185">(+AM18-+AM17)*48</f>
        <v>7104</v>
      </c>
      <c r="AO18" s="78">
        <v>855081</v>
      </c>
      <c r="AP18" s="38">
        <f t="shared" ref="AP18" si="186">(+AO18-+AO17)*48</f>
        <v>8544</v>
      </c>
      <c r="AQ18" s="78">
        <v>57840</v>
      </c>
      <c r="AR18" s="38">
        <f t="shared" ref="AR18" si="187">(+AQ18-+AQ17)*48</f>
        <v>16944</v>
      </c>
      <c r="AS18" s="78">
        <v>2204</v>
      </c>
      <c r="AT18" s="38">
        <f t="shared" ref="AT18" si="188">(+AS18-+AS17)*48</f>
        <v>0</v>
      </c>
      <c r="AU18" s="78">
        <v>918</v>
      </c>
      <c r="AV18" s="38">
        <f t="shared" ref="AV18" si="189">(+AU18-+AU17)*48</f>
        <v>0</v>
      </c>
      <c r="AW18" s="78">
        <v>3075</v>
      </c>
      <c r="AX18" s="38">
        <f t="shared" ref="AX18" si="190">(+AW18-+AW17)*48</f>
        <v>0</v>
      </c>
      <c r="AY18" s="78">
        <v>284679</v>
      </c>
      <c r="AZ18" s="38">
        <f t="shared" ref="AZ18" si="191">(+AY18-+AY17)*48</f>
        <v>3648</v>
      </c>
      <c r="BA18" s="78">
        <v>160167</v>
      </c>
      <c r="BB18" s="38">
        <f t="shared" ref="BB18" si="192">(+BA18-+BA17)*48</f>
        <v>0</v>
      </c>
      <c r="BC18" s="78">
        <v>194458</v>
      </c>
      <c r="BD18" s="38">
        <f t="shared" ref="BD18" si="193">(+BC18-+BC17)*48</f>
        <v>2976</v>
      </c>
      <c r="BE18" s="78">
        <v>5335</v>
      </c>
      <c r="BF18" s="38">
        <f t="shared" ref="BF18" si="194">(+BE18-+BE17)*48</f>
        <v>0</v>
      </c>
      <c r="BH18" s="105">
        <f t="shared" si="4"/>
        <v>102854.0640000001</v>
      </c>
      <c r="BI18" s="105">
        <f t="shared" si="5"/>
        <v>76425.600000000006</v>
      </c>
    </row>
    <row r="19" spans="1:61" s="36" customFormat="1" ht="39.950000000000003" customHeight="1">
      <c r="A19" s="145">
        <v>43901</v>
      </c>
      <c r="B19" s="35"/>
      <c r="C19" s="83">
        <v>5155643</v>
      </c>
      <c r="D19" s="38">
        <f t="shared" ref="D19" si="195">(+C19-+C18)*48</f>
        <v>55968</v>
      </c>
      <c r="E19" s="38">
        <f t="shared" si="7"/>
        <v>33580.799999999996</v>
      </c>
      <c r="F19" s="104">
        <f t="shared" si="8"/>
        <v>22387.200000000001</v>
      </c>
      <c r="G19" s="78">
        <v>269706</v>
      </c>
      <c r="H19" s="38">
        <f t="shared" si="0"/>
        <v>1296</v>
      </c>
      <c r="I19" s="78">
        <v>52435</v>
      </c>
      <c r="J19" s="38">
        <f t="shared" si="1"/>
        <v>7536</v>
      </c>
      <c r="K19" s="78">
        <v>254120</v>
      </c>
      <c r="L19" s="38">
        <f t="shared" si="2"/>
        <v>48</v>
      </c>
      <c r="M19" s="78">
        <v>24347</v>
      </c>
      <c r="N19" s="38">
        <f t="shared" si="3"/>
        <v>0</v>
      </c>
      <c r="O19" s="83">
        <v>188424</v>
      </c>
      <c r="P19" s="38">
        <f t="shared" ref="P19" si="196">(+O19-+O18)*48</f>
        <v>6096</v>
      </c>
      <c r="Q19" s="83">
        <v>428378</v>
      </c>
      <c r="R19" s="38">
        <f t="shared" ref="R19" si="197">(+Q19-+Q18)*48</f>
        <v>0</v>
      </c>
      <c r="S19" s="83">
        <v>669400</v>
      </c>
      <c r="T19" s="38">
        <f t="shared" ref="T19" si="198">(+S19-+S18)*48</f>
        <v>6096</v>
      </c>
      <c r="U19" s="83">
        <v>91074.112999999998</v>
      </c>
      <c r="V19" s="104">
        <f t="shared" ref="V19" si="199">(+U19-+U18)*48</f>
        <v>658.65599999972619</v>
      </c>
      <c r="W19" s="83">
        <v>75866</v>
      </c>
      <c r="X19" s="38">
        <f t="shared" ref="X19" si="200">(+W19-+W18)*48</f>
        <v>672</v>
      </c>
      <c r="Y19" s="83">
        <v>1459926</v>
      </c>
      <c r="Z19" s="38">
        <f t="shared" ref="Z19" si="201">(+Y19-+Y18)*48</f>
        <v>6576</v>
      </c>
      <c r="AA19" s="83">
        <v>13166</v>
      </c>
      <c r="AB19" s="38">
        <f t="shared" ref="AB19" si="202">(+AA19-+AA18)*48</f>
        <v>0</v>
      </c>
      <c r="AC19" s="83">
        <v>414262</v>
      </c>
      <c r="AD19" s="38">
        <f t="shared" si="16"/>
        <v>4848</v>
      </c>
      <c r="AE19" s="83">
        <v>486916</v>
      </c>
      <c r="AF19" s="38">
        <f t="shared" si="16"/>
        <v>4608</v>
      </c>
      <c r="AG19" s="83">
        <v>48051</v>
      </c>
      <c r="AH19" s="38">
        <f t="shared" ref="AH19" si="203">(+AG19-+AG18)*48</f>
        <v>0</v>
      </c>
      <c r="AI19" s="83">
        <v>377818</v>
      </c>
      <c r="AJ19" s="38">
        <f t="shared" ref="AJ19" si="204">(+AI19-+AI18)*48</f>
        <v>3024</v>
      </c>
      <c r="AK19" s="83">
        <v>102371</v>
      </c>
      <c r="AL19" s="38">
        <f t="shared" ref="AL19" si="205">(+AK19-+AK18)*48</f>
        <v>0</v>
      </c>
      <c r="AM19" s="83">
        <v>533121</v>
      </c>
      <c r="AN19" s="38">
        <f t="shared" ref="AN19" si="206">(+AM19-+AM18)*48</f>
        <v>3408</v>
      </c>
      <c r="AO19" s="83">
        <v>855213</v>
      </c>
      <c r="AP19" s="38">
        <f t="shared" ref="AP19" si="207">(+AO19-+AO18)*48</f>
        <v>6336</v>
      </c>
      <c r="AQ19" s="83">
        <v>58044</v>
      </c>
      <c r="AR19" s="38">
        <f t="shared" ref="AR19" si="208">(+AQ19-+AQ18)*48</f>
        <v>9792</v>
      </c>
      <c r="AS19" s="83">
        <v>2204</v>
      </c>
      <c r="AT19" s="38">
        <f t="shared" ref="AT19" si="209">(+AS19-+AS18)*48</f>
        <v>0</v>
      </c>
      <c r="AU19" s="83">
        <v>918</v>
      </c>
      <c r="AV19" s="38">
        <f t="shared" ref="AV19" si="210">(+AU19-+AU18)*48</f>
        <v>0</v>
      </c>
      <c r="AW19" s="83">
        <v>3075</v>
      </c>
      <c r="AX19" s="38">
        <f t="shared" ref="AX19" si="211">(+AW19-+AW18)*48</f>
        <v>0</v>
      </c>
      <c r="AY19" s="83">
        <v>284755</v>
      </c>
      <c r="AZ19" s="38">
        <f t="shared" ref="AZ19" si="212">(+AY19-+AY18)*48</f>
        <v>3648</v>
      </c>
      <c r="BA19" s="83">
        <v>160167</v>
      </c>
      <c r="BB19" s="38">
        <f t="shared" ref="BB19" si="213">(+BA19-+BA18)*48</f>
        <v>0</v>
      </c>
      <c r="BC19" s="83">
        <v>194520</v>
      </c>
      <c r="BD19" s="38">
        <f t="shared" ref="BD19" si="214">(+BC19-+BC18)*48</f>
        <v>2976</v>
      </c>
      <c r="BE19" s="83">
        <v>5335</v>
      </c>
      <c r="BF19" s="38">
        <f t="shared" ref="BF19" si="215">(+BE19-+BE18)*48</f>
        <v>0</v>
      </c>
      <c r="BH19" s="169">
        <f t="shared" si="4"/>
        <v>75039.455999999715</v>
      </c>
      <c r="BI19" s="169">
        <f t="shared" si="5"/>
        <v>48547.199999999997</v>
      </c>
    </row>
    <row r="20" spans="1:61" s="36" customFormat="1" ht="39.950000000000003" customHeight="1">
      <c r="A20" s="145">
        <v>43902</v>
      </c>
      <c r="B20" s="35"/>
      <c r="C20" s="83">
        <v>5157475</v>
      </c>
      <c r="D20" s="38">
        <f t="shared" ref="D20" si="216">(+C20-+C19)*48</f>
        <v>87936</v>
      </c>
      <c r="E20" s="38">
        <f t="shared" si="7"/>
        <v>52761.599999999999</v>
      </c>
      <c r="F20" s="104">
        <f t="shared" si="8"/>
        <v>35174.400000000001</v>
      </c>
      <c r="G20" s="83">
        <v>269733</v>
      </c>
      <c r="H20" s="38">
        <f t="shared" si="0"/>
        <v>1344</v>
      </c>
      <c r="I20" s="83">
        <v>52592</v>
      </c>
      <c r="J20" s="38">
        <f t="shared" si="1"/>
        <v>7392</v>
      </c>
      <c r="K20" s="83">
        <v>254121</v>
      </c>
      <c r="L20" s="38">
        <f t="shared" si="2"/>
        <v>144</v>
      </c>
      <c r="M20" s="83">
        <v>24347</v>
      </c>
      <c r="N20" s="38">
        <f t="shared" si="3"/>
        <v>0</v>
      </c>
      <c r="O20" s="83">
        <v>188560</v>
      </c>
      <c r="P20" s="38">
        <f t="shared" ref="P20" si="217">(+O20-+O19)*48</f>
        <v>6528</v>
      </c>
      <c r="Q20" s="83">
        <v>428378</v>
      </c>
      <c r="R20" s="38">
        <f t="shared" ref="R20" si="218">(+Q20-+Q19)*48</f>
        <v>0</v>
      </c>
      <c r="S20" s="83">
        <v>669538</v>
      </c>
      <c r="T20" s="38">
        <f t="shared" ref="T20" si="219">(+S20-+S19)*48</f>
        <v>6624</v>
      </c>
      <c r="U20" s="83">
        <v>91089.967000000004</v>
      </c>
      <c r="V20" s="104">
        <f t="shared" ref="V20" si="220">(+U20-+U19)*48</f>
        <v>760.99200000031851</v>
      </c>
      <c r="W20" s="83">
        <v>75883</v>
      </c>
      <c r="X20" s="38">
        <f t="shared" ref="X20" si="221">(+W20-+W19)*48</f>
        <v>816</v>
      </c>
      <c r="Y20" s="83">
        <v>1460322</v>
      </c>
      <c r="Z20" s="38">
        <f t="shared" ref="Z20" si="222">(+Y20-+Y19)*48</f>
        <v>19008</v>
      </c>
      <c r="AA20" s="83">
        <v>13166</v>
      </c>
      <c r="AB20" s="38">
        <f t="shared" ref="AB20" si="223">(+AA20-+AA19)*48</f>
        <v>0</v>
      </c>
      <c r="AC20" s="83">
        <v>414379</v>
      </c>
      <c r="AD20" s="38">
        <f t="shared" si="16"/>
        <v>5616</v>
      </c>
      <c r="AE20" s="83">
        <v>487020</v>
      </c>
      <c r="AF20" s="38">
        <f t="shared" si="16"/>
        <v>4992</v>
      </c>
      <c r="AG20" s="83">
        <v>48051</v>
      </c>
      <c r="AH20" s="38">
        <f t="shared" ref="AH20" si="224">(+AG20-+AG19)*48</f>
        <v>0</v>
      </c>
      <c r="AI20" s="83">
        <v>377879</v>
      </c>
      <c r="AJ20" s="38">
        <f t="shared" ref="AJ20" si="225">(+AI20-+AI19)*48</f>
        <v>2928</v>
      </c>
      <c r="AK20" s="83">
        <v>102371</v>
      </c>
      <c r="AL20" s="38">
        <f t="shared" ref="AL20" si="226">(+AK20-+AK19)*48</f>
        <v>0</v>
      </c>
      <c r="AM20" s="83">
        <v>533191</v>
      </c>
      <c r="AN20" s="38">
        <f t="shared" ref="AN20" si="227">(+AM20-+AM19)*48</f>
        <v>3360</v>
      </c>
      <c r="AO20" s="83">
        <v>855360</v>
      </c>
      <c r="AP20" s="38">
        <f t="shared" ref="AP20" si="228">(+AO20-+AO19)*48</f>
        <v>7056</v>
      </c>
      <c r="AQ20" s="83">
        <v>58293</v>
      </c>
      <c r="AR20" s="38">
        <f t="shared" ref="AR20" si="229">(+AQ20-+AQ19)*48</f>
        <v>11952</v>
      </c>
      <c r="AS20" s="83">
        <v>2204</v>
      </c>
      <c r="AT20" s="38">
        <f t="shared" ref="AT20" si="230">(+AS20-+AS19)*48</f>
        <v>0</v>
      </c>
      <c r="AU20" s="83">
        <v>918</v>
      </c>
      <c r="AV20" s="38">
        <f t="shared" ref="AV20" si="231">(+AU20-+AU19)*48</f>
        <v>0</v>
      </c>
      <c r="AW20" s="83">
        <v>3075</v>
      </c>
      <c r="AX20" s="38">
        <f t="shared" ref="AX20" si="232">(+AW20-+AW19)*48</f>
        <v>0</v>
      </c>
      <c r="AY20" s="83">
        <v>284830</v>
      </c>
      <c r="AZ20" s="38">
        <f t="shared" ref="AZ20" si="233">(+AY20-+AY19)*48</f>
        <v>3600</v>
      </c>
      <c r="BA20" s="83">
        <v>160167</v>
      </c>
      <c r="BB20" s="38">
        <f t="shared" ref="BB20" si="234">(+BA20-+BA19)*48</f>
        <v>0</v>
      </c>
      <c r="BC20" s="83">
        <v>194583</v>
      </c>
      <c r="BD20" s="38">
        <f t="shared" ref="BD20" si="235">(+BC20-+BC19)*48</f>
        <v>3024</v>
      </c>
      <c r="BE20" s="83">
        <v>5335</v>
      </c>
      <c r="BF20" s="38">
        <f t="shared" ref="BF20" si="236">(+BE20-+BE19)*48</f>
        <v>0</v>
      </c>
      <c r="BH20" s="169">
        <f t="shared" si="4"/>
        <v>108914.59200000032</v>
      </c>
      <c r="BI20" s="169">
        <f t="shared" si="5"/>
        <v>64166.400000000001</v>
      </c>
    </row>
    <row r="21" spans="1:61" s="36" customFormat="1" ht="39.950000000000003" customHeight="1">
      <c r="A21" s="145">
        <v>43903</v>
      </c>
      <c r="B21" s="35"/>
      <c r="C21" s="83">
        <v>5158602</v>
      </c>
      <c r="D21" s="38">
        <f t="shared" ref="D21" si="237">(+C21-+C20)*48</f>
        <v>54096</v>
      </c>
      <c r="E21" s="38">
        <f t="shared" si="7"/>
        <v>32457.599999999999</v>
      </c>
      <c r="F21" s="104">
        <f t="shared" si="8"/>
        <v>21638.400000000001</v>
      </c>
      <c r="G21" s="83">
        <v>269761</v>
      </c>
      <c r="H21" s="38">
        <f t="shared" si="0"/>
        <v>1056</v>
      </c>
      <c r="I21" s="83">
        <v>52746</v>
      </c>
      <c r="J21" s="38">
        <f t="shared" si="1"/>
        <v>7584</v>
      </c>
      <c r="K21" s="83">
        <v>254124</v>
      </c>
      <c r="L21" s="38">
        <f t="shared" si="2"/>
        <v>0</v>
      </c>
      <c r="M21" s="83">
        <v>24347</v>
      </c>
      <c r="N21" s="38">
        <f t="shared" si="3"/>
        <v>0</v>
      </c>
      <c r="O21" s="83">
        <v>188689</v>
      </c>
      <c r="P21" s="38">
        <f t="shared" ref="P21" si="238">(+O21-+O20)*48</f>
        <v>6192</v>
      </c>
      <c r="Q21" s="83">
        <v>428388</v>
      </c>
      <c r="R21" s="38">
        <f t="shared" ref="R21" si="239">(+Q21-+Q20)*48</f>
        <v>480</v>
      </c>
      <c r="S21" s="83">
        <v>669669</v>
      </c>
      <c r="T21" s="38">
        <f t="shared" ref="T21" si="240">(+S21-+S20)*48</f>
        <v>6288</v>
      </c>
      <c r="U21" s="83">
        <v>91103.5</v>
      </c>
      <c r="V21" s="104">
        <f t="shared" ref="V21" si="241">(+U21-+U20)*48</f>
        <v>649.58399999979883</v>
      </c>
      <c r="W21" s="83">
        <v>75893</v>
      </c>
      <c r="X21" s="38">
        <f t="shared" ref="X21" si="242">(+W21-+W20)*48</f>
        <v>480</v>
      </c>
      <c r="Y21" s="83">
        <v>1460623</v>
      </c>
      <c r="Z21" s="38">
        <f t="shared" ref="Z21" si="243">(+Y21-+Y20)*48</f>
        <v>14448</v>
      </c>
      <c r="AA21" s="83">
        <v>13166</v>
      </c>
      <c r="AB21" s="38">
        <f t="shared" ref="AB21" si="244">(+AA21-+AA20)*48</f>
        <v>0</v>
      </c>
      <c r="AC21" s="83">
        <v>414514</v>
      </c>
      <c r="AD21" s="38">
        <f t="shared" si="16"/>
        <v>6480</v>
      </c>
      <c r="AE21" s="83">
        <v>487186</v>
      </c>
      <c r="AF21" s="38">
        <f t="shared" si="16"/>
        <v>7968</v>
      </c>
      <c r="AG21" s="83">
        <v>48051</v>
      </c>
      <c r="AH21" s="38">
        <f t="shared" ref="AH21" si="245">(+AG21-+AG20)*48</f>
        <v>0</v>
      </c>
      <c r="AI21" s="83">
        <v>377941</v>
      </c>
      <c r="AJ21" s="38">
        <f t="shared" ref="AJ21" si="246">(+AI21-+AI20)*48</f>
        <v>2976</v>
      </c>
      <c r="AK21" s="83">
        <v>102371</v>
      </c>
      <c r="AL21" s="38">
        <f t="shared" ref="AL21" si="247">(+AK21-+AK20)*48</f>
        <v>0</v>
      </c>
      <c r="AM21" s="83">
        <v>533336</v>
      </c>
      <c r="AN21" s="38">
        <f t="shared" ref="AN21" si="248">(+AM21-+AM20)*48</f>
        <v>6960</v>
      </c>
      <c r="AO21" s="83">
        <v>855601</v>
      </c>
      <c r="AP21" s="38">
        <f t="shared" ref="AP21" si="249">(+AO21-+AO20)*48</f>
        <v>11568</v>
      </c>
      <c r="AQ21" s="83">
        <v>58625</v>
      </c>
      <c r="AR21" s="38">
        <f t="shared" ref="AR21" si="250">(+AQ21-+AQ20)*48</f>
        <v>15936</v>
      </c>
      <c r="AS21" s="83">
        <v>2204</v>
      </c>
      <c r="AT21" s="38">
        <f t="shared" ref="AT21" si="251">(+AS21-+AS20)*48</f>
        <v>0</v>
      </c>
      <c r="AU21" s="83">
        <v>918</v>
      </c>
      <c r="AV21" s="38">
        <f t="shared" ref="AV21" si="252">(+AU21-+AU20)*48</f>
        <v>0</v>
      </c>
      <c r="AW21" s="83">
        <v>3075</v>
      </c>
      <c r="AX21" s="38">
        <f t="shared" ref="AX21" si="253">(+AW21-+AW20)*48</f>
        <v>0</v>
      </c>
      <c r="AY21" s="83">
        <v>284907</v>
      </c>
      <c r="AZ21" s="38">
        <f t="shared" ref="AZ21" si="254">(+AY21-+AY20)*48</f>
        <v>3696</v>
      </c>
      <c r="BA21" s="83">
        <v>160167</v>
      </c>
      <c r="BB21" s="38">
        <f t="shared" ref="BB21" si="255">(+BA21-+BA20)*48</f>
        <v>0</v>
      </c>
      <c r="BC21" s="83">
        <v>194648</v>
      </c>
      <c r="BD21" s="38">
        <f t="shared" ref="BD21" si="256">(+BC21-+BC20)*48</f>
        <v>3120</v>
      </c>
      <c r="BE21" s="83">
        <v>5335</v>
      </c>
      <c r="BF21" s="38">
        <f t="shared" ref="BF21" si="257">(+BE21-+BE20)*48</f>
        <v>0</v>
      </c>
      <c r="BH21" s="169">
        <f t="shared" si="4"/>
        <v>87059.183999999805</v>
      </c>
      <c r="BI21" s="169">
        <f t="shared" si="5"/>
        <v>62918.400000000001</v>
      </c>
    </row>
    <row r="22" spans="1:61" s="36" customFormat="1" ht="39.950000000000003" customHeight="1">
      <c r="A22" s="145">
        <v>43904</v>
      </c>
      <c r="B22" s="35"/>
      <c r="C22" s="78">
        <v>5160480</v>
      </c>
      <c r="D22" s="38">
        <f t="shared" ref="D22" si="258">(+C22-+C21)*48</f>
        <v>90144</v>
      </c>
      <c r="E22" s="38">
        <f t="shared" si="7"/>
        <v>54086.400000000001</v>
      </c>
      <c r="F22" s="104">
        <f t="shared" si="8"/>
        <v>36057.599999999999</v>
      </c>
      <c r="G22" s="83">
        <v>269783</v>
      </c>
      <c r="H22" s="38">
        <f t="shared" si="0"/>
        <v>1296</v>
      </c>
      <c r="I22" s="83">
        <v>52904</v>
      </c>
      <c r="J22" s="38">
        <f t="shared" si="1"/>
        <v>7392</v>
      </c>
      <c r="K22" s="83">
        <v>254124</v>
      </c>
      <c r="L22" s="38">
        <f t="shared" si="2"/>
        <v>0</v>
      </c>
      <c r="M22" s="83">
        <v>24347</v>
      </c>
      <c r="N22" s="38">
        <f t="shared" si="3"/>
        <v>0</v>
      </c>
      <c r="O22" s="78">
        <v>188843</v>
      </c>
      <c r="P22" s="38">
        <f t="shared" ref="P22" si="259">(+O22-+O21)*48</f>
        <v>7392</v>
      </c>
      <c r="Q22" s="78">
        <v>428390</v>
      </c>
      <c r="R22" s="38">
        <f t="shared" ref="R22" si="260">(+Q22-+Q21)*48</f>
        <v>96</v>
      </c>
      <c r="S22" s="78">
        <v>669820</v>
      </c>
      <c r="T22" s="38">
        <f t="shared" ref="T22" si="261">(+S22-+S21)*48</f>
        <v>7248</v>
      </c>
      <c r="U22" s="78">
        <v>91118.130999999994</v>
      </c>
      <c r="V22" s="104">
        <f t="shared" ref="V22" si="262">(+U22-+U21)*48</f>
        <v>702.28799999970943</v>
      </c>
      <c r="W22" s="78">
        <v>75912</v>
      </c>
      <c r="X22" s="38">
        <f t="shared" ref="X22" si="263">(+W22-+W21)*48</f>
        <v>912</v>
      </c>
      <c r="Y22" s="78">
        <v>1460789</v>
      </c>
      <c r="Z22" s="38">
        <f t="shared" ref="Z22" si="264">(+Y22-+Y21)*48</f>
        <v>7968</v>
      </c>
      <c r="AA22" s="78">
        <v>13166</v>
      </c>
      <c r="AB22" s="38">
        <f t="shared" ref="AB22" si="265">(+AA22-+AA21)*48</f>
        <v>0</v>
      </c>
      <c r="AC22" s="78">
        <v>414638</v>
      </c>
      <c r="AD22" s="38">
        <f t="shared" si="16"/>
        <v>5952</v>
      </c>
      <c r="AE22" s="78">
        <v>487333</v>
      </c>
      <c r="AF22" s="38">
        <f t="shared" si="16"/>
        <v>7056</v>
      </c>
      <c r="AG22" s="78">
        <v>48051</v>
      </c>
      <c r="AH22" s="38">
        <f t="shared" ref="AH22" si="266">(+AG22-+AG21)*48</f>
        <v>0</v>
      </c>
      <c r="AI22" s="78">
        <v>378007</v>
      </c>
      <c r="AJ22" s="38">
        <f t="shared" ref="AJ22" si="267">(+AI22-+AI21)*48</f>
        <v>3168</v>
      </c>
      <c r="AK22" s="78">
        <v>102371</v>
      </c>
      <c r="AL22" s="38">
        <f t="shared" ref="AL22" si="268">(+AK22-+AK21)*48</f>
        <v>0</v>
      </c>
      <c r="AM22" s="78">
        <v>533487</v>
      </c>
      <c r="AN22" s="38">
        <f t="shared" ref="AN22" si="269">(+AM22-+AM21)*48</f>
        <v>7248</v>
      </c>
      <c r="AO22" s="78">
        <v>855830</v>
      </c>
      <c r="AP22" s="38">
        <f t="shared" ref="AP22" si="270">(+AO22-+AO21)*48</f>
        <v>10992</v>
      </c>
      <c r="AQ22" s="78">
        <v>58764</v>
      </c>
      <c r="AR22" s="38">
        <f t="shared" ref="AR22" si="271">(+AQ22-+AQ21)*48</f>
        <v>6672</v>
      </c>
      <c r="AS22" s="78">
        <v>2204</v>
      </c>
      <c r="AT22" s="38">
        <f t="shared" ref="AT22" si="272">(+AS22-+AS21)*48</f>
        <v>0</v>
      </c>
      <c r="AU22" s="78">
        <v>918</v>
      </c>
      <c r="AV22" s="38">
        <f t="shared" ref="AV22" si="273">(+AU22-+AU21)*48</f>
        <v>0</v>
      </c>
      <c r="AW22" s="78">
        <v>3075</v>
      </c>
      <c r="AX22" s="38">
        <f t="shared" ref="AX22" si="274">(+AW22-+AW21)*48</f>
        <v>0</v>
      </c>
      <c r="AY22" s="78">
        <v>284981</v>
      </c>
      <c r="AZ22" s="38">
        <f t="shared" ref="AZ22" si="275">(+AY22-+AY21)*48</f>
        <v>3552</v>
      </c>
      <c r="BA22" s="78">
        <v>160167</v>
      </c>
      <c r="BB22" s="38">
        <f>(+BA23-+BA21)*48</f>
        <v>0</v>
      </c>
      <c r="BC22" s="78">
        <v>194714</v>
      </c>
      <c r="BD22" s="38">
        <f t="shared" ref="BD22" si="276">(+BC22-+BC21)*48</f>
        <v>3168</v>
      </c>
      <c r="BE22" s="78">
        <v>5335</v>
      </c>
      <c r="BF22" s="38">
        <f t="shared" ref="BF22" si="277">(+BE22-+BE21)*48</f>
        <v>0</v>
      </c>
      <c r="BH22" s="169">
        <f t="shared" si="4"/>
        <v>103268.6879999997</v>
      </c>
      <c r="BI22" s="169">
        <f t="shared" si="5"/>
        <v>67689.600000000006</v>
      </c>
    </row>
    <row r="23" spans="1:61" s="36" customFormat="1" ht="39.950000000000003" customHeight="1">
      <c r="A23" s="145">
        <v>43905</v>
      </c>
      <c r="B23" s="35"/>
      <c r="C23" s="78">
        <v>5161662</v>
      </c>
      <c r="D23" s="38">
        <f t="shared" ref="D23" si="278">(+C23-+C22)*48</f>
        <v>56736</v>
      </c>
      <c r="E23" s="38">
        <f t="shared" si="7"/>
        <v>34041.599999999999</v>
      </c>
      <c r="F23" s="104">
        <f t="shared" si="8"/>
        <v>22694.400000000001</v>
      </c>
      <c r="G23" s="78">
        <v>269810</v>
      </c>
      <c r="H23" s="38">
        <f t="shared" si="0"/>
        <v>1296</v>
      </c>
      <c r="I23" s="78">
        <v>53058</v>
      </c>
      <c r="J23" s="38">
        <f t="shared" si="1"/>
        <v>6144</v>
      </c>
      <c r="K23" s="78">
        <v>254124</v>
      </c>
      <c r="L23" s="38">
        <f t="shared" si="2"/>
        <v>0</v>
      </c>
      <c r="M23" s="78">
        <v>24347</v>
      </c>
      <c r="N23" s="38">
        <f t="shared" si="3"/>
        <v>0</v>
      </c>
      <c r="O23" s="78">
        <v>188998</v>
      </c>
      <c r="P23" s="38">
        <f t="shared" ref="P23" si="279">(+O23-+O22)*48</f>
        <v>7440</v>
      </c>
      <c r="Q23" s="78">
        <v>428390</v>
      </c>
      <c r="R23" s="38">
        <f t="shared" ref="R23" si="280">(+Q23-+Q22)*48</f>
        <v>0</v>
      </c>
      <c r="S23" s="78">
        <v>669931</v>
      </c>
      <c r="T23" s="38">
        <f t="shared" ref="T23" si="281">(+S23-+S22)*48</f>
        <v>5328</v>
      </c>
      <c r="U23" s="78">
        <v>91135.334000000003</v>
      </c>
      <c r="V23" s="104">
        <f t="shared" ref="V23" si="282">(+U23-+U22)*48</f>
        <v>825.74400000041351</v>
      </c>
      <c r="W23" s="78">
        <v>75928</v>
      </c>
      <c r="X23" s="38">
        <f t="shared" ref="X23" si="283">(+W23-+W22)*48</f>
        <v>768</v>
      </c>
      <c r="Y23" s="78">
        <v>1460920</v>
      </c>
      <c r="Z23" s="38">
        <f t="shared" ref="Z23" si="284">(+Y23-+Y22)*48</f>
        <v>6288</v>
      </c>
      <c r="AA23" s="78">
        <v>13166</v>
      </c>
      <c r="AB23" s="38">
        <f t="shared" ref="AB23" si="285">(+AA23-+AA22)*48</f>
        <v>0</v>
      </c>
      <c r="AC23" s="78">
        <v>414763</v>
      </c>
      <c r="AD23" s="38">
        <f t="shared" si="16"/>
        <v>6000</v>
      </c>
      <c r="AE23" s="78">
        <v>487459</v>
      </c>
      <c r="AF23" s="38">
        <f t="shared" si="16"/>
        <v>6048</v>
      </c>
      <c r="AG23" s="78">
        <v>48056</v>
      </c>
      <c r="AH23" s="38">
        <f t="shared" ref="AH23" si="286">(+AG23-+AG22)*48</f>
        <v>240</v>
      </c>
      <c r="AI23" s="78">
        <v>378075</v>
      </c>
      <c r="AJ23" s="38">
        <f t="shared" ref="AJ23" si="287">(+AI23-+AI22)*48</f>
        <v>3264</v>
      </c>
      <c r="AK23" s="78">
        <v>102371</v>
      </c>
      <c r="AL23" s="38">
        <f t="shared" ref="AL23" si="288">(+AK23-+AK22)*48</f>
        <v>0</v>
      </c>
      <c r="AM23" s="78">
        <v>533609</v>
      </c>
      <c r="AN23" s="38">
        <f t="shared" ref="AN23" si="289">(+AM23-+AM22)*48</f>
        <v>5856</v>
      </c>
      <c r="AO23" s="78">
        <v>856035</v>
      </c>
      <c r="AP23" s="38">
        <f t="shared" ref="AP23" si="290">(+AO23-+AO22)*48</f>
        <v>9840</v>
      </c>
      <c r="AQ23" s="78">
        <v>58899</v>
      </c>
      <c r="AR23" s="38">
        <f t="shared" ref="AR23" si="291">(+AQ23-+AQ22)*48</f>
        <v>6480</v>
      </c>
      <c r="AS23" s="78">
        <v>2204</v>
      </c>
      <c r="AT23" s="38">
        <f t="shared" ref="AT23" si="292">(+AS23-+AS22)*48</f>
        <v>0</v>
      </c>
      <c r="AU23" s="78">
        <v>918</v>
      </c>
      <c r="AV23" s="38">
        <f t="shared" ref="AV23" si="293">(+AU23-+AU22)*48</f>
        <v>0</v>
      </c>
      <c r="AW23" s="78">
        <v>3075</v>
      </c>
      <c r="AX23" s="38">
        <f t="shared" ref="AX23" si="294">(+AW23-+AW22)*48</f>
        <v>0</v>
      </c>
      <c r="AY23" s="78">
        <v>285058</v>
      </c>
      <c r="AZ23" s="38">
        <f t="shared" ref="AZ23" si="295">(+AY23-+AY22)*48</f>
        <v>3696</v>
      </c>
      <c r="BA23" s="78">
        <v>160167</v>
      </c>
      <c r="BB23" s="104">
        <f t="shared" ref="BB23:BB25" si="296">(+BA23-+BA22)*48</f>
        <v>0</v>
      </c>
      <c r="BC23" s="78">
        <v>194777</v>
      </c>
      <c r="BD23" s="38">
        <f t="shared" ref="BD23" si="297">(+BC23-+BC22)*48</f>
        <v>3024</v>
      </c>
      <c r="BE23" s="78">
        <v>5335</v>
      </c>
      <c r="BF23" s="38">
        <f t="shared" ref="BF23" si="298">(+BE23-+BE22)*48</f>
        <v>0</v>
      </c>
      <c r="BH23" s="105">
        <f t="shared" si="4"/>
        <v>77683.344000000419</v>
      </c>
      <c r="BI23" s="105">
        <f t="shared" si="5"/>
        <v>51590.400000000001</v>
      </c>
    </row>
    <row r="24" spans="1:61" s="36" customFormat="1" ht="39.950000000000003" customHeight="1">
      <c r="A24" s="145">
        <v>43906</v>
      </c>
      <c r="B24" s="35"/>
      <c r="C24" s="78">
        <v>5162793</v>
      </c>
      <c r="D24" s="104">
        <f t="shared" ref="D24" si="299">(+C24-+C23)*48</f>
        <v>54288</v>
      </c>
      <c r="E24" s="38">
        <f t="shared" si="7"/>
        <v>32572.799999999999</v>
      </c>
      <c r="F24" s="104">
        <f t="shared" si="8"/>
        <v>21715.200000000001</v>
      </c>
      <c r="G24" s="78">
        <v>269837</v>
      </c>
      <c r="H24" s="104">
        <f t="shared" si="0"/>
        <v>1248</v>
      </c>
      <c r="I24" s="78">
        <v>53186</v>
      </c>
      <c r="J24" s="104">
        <f t="shared" si="1"/>
        <v>6336</v>
      </c>
      <c r="K24" s="78">
        <v>254124</v>
      </c>
      <c r="L24" s="104">
        <f t="shared" si="2"/>
        <v>0</v>
      </c>
      <c r="M24" s="78">
        <v>24347</v>
      </c>
      <c r="N24" s="38">
        <f t="shared" si="3"/>
        <v>0</v>
      </c>
      <c r="O24" s="78">
        <v>189158</v>
      </c>
      <c r="P24" s="104">
        <f t="shared" ref="P24" si="300">(+O24-+O23)*48</f>
        <v>7680</v>
      </c>
      <c r="Q24" s="78">
        <v>428390</v>
      </c>
      <c r="R24" s="104">
        <f t="shared" ref="R24" si="301">(+Q24-+Q23)*48</f>
        <v>0</v>
      </c>
      <c r="S24" s="78">
        <v>670066</v>
      </c>
      <c r="T24" s="104">
        <f t="shared" ref="T24" si="302">(+S24-+S23)*48</f>
        <v>6480</v>
      </c>
      <c r="U24" s="78">
        <v>91154.403000000006</v>
      </c>
      <c r="V24" s="104">
        <f t="shared" ref="V24" si="303">(+U24-+U23)*48</f>
        <v>915.31200000015087</v>
      </c>
      <c r="W24" s="78">
        <v>75928</v>
      </c>
      <c r="X24" s="104">
        <f t="shared" ref="X24" si="304">(+W24-+W23)*48</f>
        <v>0</v>
      </c>
      <c r="Y24" s="78">
        <v>1461139</v>
      </c>
      <c r="Z24" s="104">
        <f t="shared" ref="Z24" si="305">(+Y24-+Y23)*48</f>
        <v>10512</v>
      </c>
      <c r="AA24" s="78">
        <v>13166</v>
      </c>
      <c r="AB24" s="104">
        <f t="shared" ref="AB24" si="306">(+AA24-+AA23)*48</f>
        <v>0</v>
      </c>
      <c r="AC24" s="78">
        <v>414874</v>
      </c>
      <c r="AD24" s="104">
        <f t="shared" si="16"/>
        <v>5328</v>
      </c>
      <c r="AE24" s="78">
        <v>487541</v>
      </c>
      <c r="AF24" s="104">
        <f t="shared" si="16"/>
        <v>3936</v>
      </c>
      <c r="AG24" s="78">
        <v>48061</v>
      </c>
      <c r="AH24" s="104">
        <f t="shared" ref="AH24" si="307">(+AG24-+AG23)*48</f>
        <v>240</v>
      </c>
      <c r="AI24" s="78">
        <v>378144</v>
      </c>
      <c r="AJ24" s="104">
        <f t="shared" ref="AJ24" si="308">(+AI24-+AI23)*48</f>
        <v>3312</v>
      </c>
      <c r="AK24" s="78">
        <v>102371</v>
      </c>
      <c r="AL24" s="104">
        <f t="shared" ref="AL24" si="309">(+AK24-+AK23)*48</f>
        <v>0</v>
      </c>
      <c r="AM24" s="78">
        <v>533678</v>
      </c>
      <c r="AN24" s="104">
        <f t="shared" ref="AN24" si="310">(+AM24-+AM23)*48</f>
        <v>3312</v>
      </c>
      <c r="AO24" s="78">
        <v>856185</v>
      </c>
      <c r="AP24" s="104">
        <f t="shared" ref="AP24" si="311">(+AO24-+AO23)*48</f>
        <v>7200</v>
      </c>
      <c r="AQ24" s="78">
        <v>59121</v>
      </c>
      <c r="AR24" s="104">
        <f t="shared" ref="AR24" si="312">(+AQ24-+AQ23)*48</f>
        <v>10656</v>
      </c>
      <c r="AS24" s="78">
        <v>2204</v>
      </c>
      <c r="AT24" s="104">
        <f t="shared" ref="AT24" si="313">(+AS24-+AS23)*48</f>
        <v>0</v>
      </c>
      <c r="AU24" s="78">
        <v>918</v>
      </c>
      <c r="AV24" s="104">
        <f t="shared" ref="AV24" si="314">(+AU24-+AU23)*48</f>
        <v>0</v>
      </c>
      <c r="AW24" s="78">
        <v>3075</v>
      </c>
      <c r="AX24" s="104">
        <f t="shared" ref="AX24" si="315">(+AW24-+AW23)*48</f>
        <v>0</v>
      </c>
      <c r="AY24" s="78">
        <v>285132</v>
      </c>
      <c r="AZ24" s="104">
        <f t="shared" ref="AZ24" si="316">(+AY24-+AY23)*48</f>
        <v>3552</v>
      </c>
      <c r="BA24" s="78">
        <v>160167</v>
      </c>
      <c r="BB24" s="104">
        <f t="shared" si="296"/>
        <v>0</v>
      </c>
      <c r="BC24" s="78">
        <v>194818</v>
      </c>
      <c r="BD24" s="104">
        <f t="shared" ref="BD24" si="317">(+BC24-+BC23)*48</f>
        <v>1968</v>
      </c>
      <c r="BE24" s="78">
        <v>5335</v>
      </c>
      <c r="BF24" s="104">
        <f t="shared" ref="BF24" si="318">(+BE24-+BE23)*48</f>
        <v>0</v>
      </c>
      <c r="BH24" s="105">
        <f t="shared" si="4"/>
        <v>78560.112000000154</v>
      </c>
      <c r="BI24" s="105">
        <f t="shared" si="5"/>
        <v>48403.199999999997</v>
      </c>
    </row>
    <row r="25" spans="1:61" s="36" customFormat="1" ht="39.950000000000003" customHeight="1">
      <c r="A25" s="145">
        <v>43907</v>
      </c>
      <c r="B25" s="35"/>
      <c r="C25" s="78">
        <v>5164634</v>
      </c>
      <c r="D25" s="104">
        <f t="shared" ref="D25" si="319">(+C25-+C24)*48</f>
        <v>88368</v>
      </c>
      <c r="E25" s="38">
        <f t="shared" si="7"/>
        <v>53020.799999999996</v>
      </c>
      <c r="F25" s="104">
        <f t="shared" si="8"/>
        <v>35347.200000000004</v>
      </c>
      <c r="G25" s="78">
        <v>269863</v>
      </c>
      <c r="H25" s="104">
        <f t="shared" si="0"/>
        <v>1296</v>
      </c>
      <c r="I25" s="78">
        <v>53318</v>
      </c>
      <c r="J25" s="104">
        <f t="shared" si="1"/>
        <v>6336</v>
      </c>
      <c r="K25" s="78">
        <v>254124</v>
      </c>
      <c r="L25" s="104">
        <f t="shared" si="2"/>
        <v>0</v>
      </c>
      <c r="M25" s="78">
        <v>24347</v>
      </c>
      <c r="N25" s="38">
        <f t="shared" si="3"/>
        <v>0</v>
      </c>
      <c r="O25" s="78">
        <v>189293</v>
      </c>
      <c r="P25" s="104">
        <f t="shared" ref="P25" si="320">(+O25-+O24)*48</f>
        <v>6480</v>
      </c>
      <c r="Q25" s="78">
        <v>428390</v>
      </c>
      <c r="R25" s="104">
        <f t="shared" ref="R25" si="321">(+Q25-+Q24)*48</f>
        <v>0</v>
      </c>
      <c r="S25" s="78">
        <v>670200</v>
      </c>
      <c r="T25" s="104">
        <f t="shared" ref="T25" si="322">(+S25-+S24)*48</f>
        <v>6432</v>
      </c>
      <c r="U25" s="78">
        <v>91173.255999999994</v>
      </c>
      <c r="V25" s="104">
        <f t="shared" ref="V25" si="323">(+U25-+U24)*48</f>
        <v>904.94399999943562</v>
      </c>
      <c r="W25" s="78">
        <v>75928</v>
      </c>
      <c r="X25" s="104">
        <f t="shared" ref="X25" si="324">(+W25-+W24)*48</f>
        <v>0</v>
      </c>
      <c r="Y25" s="78">
        <v>1461389</v>
      </c>
      <c r="Z25" s="104">
        <f t="shared" ref="Z25" si="325">(+Y25-+Y24)*48</f>
        <v>12000</v>
      </c>
      <c r="AA25" s="78">
        <v>13166</v>
      </c>
      <c r="AB25" s="104">
        <f t="shared" ref="AB25" si="326">(+AA25-+AA24)*48</f>
        <v>0</v>
      </c>
      <c r="AC25" s="78">
        <v>415004</v>
      </c>
      <c r="AD25" s="104">
        <f t="shared" si="16"/>
        <v>6240</v>
      </c>
      <c r="AE25" s="78">
        <v>487655</v>
      </c>
      <c r="AF25" s="104">
        <f t="shared" si="16"/>
        <v>5472</v>
      </c>
      <c r="AG25" s="78">
        <v>48066</v>
      </c>
      <c r="AH25" s="104">
        <f t="shared" ref="AH25" si="327">(+AG25-+AG24)*48</f>
        <v>240</v>
      </c>
      <c r="AI25" s="78">
        <v>378211</v>
      </c>
      <c r="AJ25" s="104">
        <f t="shared" ref="AJ25" si="328">(+AI25-+AI24)*48</f>
        <v>3216</v>
      </c>
      <c r="AK25" s="78">
        <v>102371</v>
      </c>
      <c r="AL25" s="104">
        <f t="shared" ref="AL25" si="329">(+AK25-+AK24)*48</f>
        <v>0</v>
      </c>
      <c r="AM25" s="78">
        <v>533786</v>
      </c>
      <c r="AN25" s="104">
        <f t="shared" ref="AN25" si="330">(+AM25-+AM24)*48</f>
        <v>5184</v>
      </c>
      <c r="AO25" s="78">
        <v>856381</v>
      </c>
      <c r="AP25" s="104">
        <f t="shared" ref="AP25" si="331">(+AO25-+AO24)*48</f>
        <v>9408</v>
      </c>
      <c r="AQ25" s="78">
        <v>59306</v>
      </c>
      <c r="AR25" s="104">
        <f t="shared" ref="AR25" si="332">(+AQ25-+AQ24)*48</f>
        <v>8880</v>
      </c>
      <c r="AS25" s="78">
        <v>2204</v>
      </c>
      <c r="AT25" s="104">
        <f t="shared" ref="AT25" si="333">(+AS25-+AS24)*48</f>
        <v>0</v>
      </c>
      <c r="AU25" s="78">
        <v>918</v>
      </c>
      <c r="AV25" s="104">
        <f t="shared" ref="AV25" si="334">(+AU25-+AU24)*48</f>
        <v>0</v>
      </c>
      <c r="AW25" s="78">
        <v>3075</v>
      </c>
      <c r="AX25" s="104">
        <f t="shared" ref="AX25" si="335">(+AW25-+AW24)*48</f>
        <v>0</v>
      </c>
      <c r="AY25" s="78">
        <v>285209</v>
      </c>
      <c r="AZ25" s="104">
        <f t="shared" ref="AZ25" si="336">(+AY25-+AY24)*48</f>
        <v>3696</v>
      </c>
      <c r="BA25" s="78">
        <v>160167</v>
      </c>
      <c r="BB25" s="104">
        <f t="shared" si="296"/>
        <v>0</v>
      </c>
      <c r="BC25" s="78">
        <v>194907</v>
      </c>
      <c r="BD25" s="104">
        <f t="shared" ref="BD25" si="337">(+BC25-+BC24)*48</f>
        <v>4272</v>
      </c>
      <c r="BE25" s="78">
        <v>5335</v>
      </c>
      <c r="BF25" s="104">
        <f t="shared" ref="BF25" si="338">(+BE25-+BE24)*48</f>
        <v>0</v>
      </c>
      <c r="BH25" s="105">
        <f t="shared" si="4"/>
        <v>101637.74399999942</v>
      </c>
      <c r="BI25" s="105">
        <f t="shared" si="5"/>
        <v>66787.200000000012</v>
      </c>
    </row>
    <row r="26" spans="1:61" s="36" customFormat="1" ht="39.950000000000003" customHeight="1">
      <c r="A26" s="145">
        <v>43908</v>
      </c>
      <c r="B26" s="35"/>
      <c r="C26" s="78">
        <v>5165830</v>
      </c>
      <c r="D26" s="104">
        <f t="shared" ref="D26" si="339">(+C26-+C25)*48</f>
        <v>57408</v>
      </c>
      <c r="E26" s="38">
        <f t="shared" si="7"/>
        <v>34444.799999999996</v>
      </c>
      <c r="F26" s="104">
        <f t="shared" si="8"/>
        <v>22963.200000000001</v>
      </c>
      <c r="G26" s="78">
        <v>269890</v>
      </c>
      <c r="H26" s="104">
        <f t="shared" si="0"/>
        <v>1392</v>
      </c>
      <c r="I26" s="78">
        <v>53450</v>
      </c>
      <c r="J26" s="104">
        <f t="shared" si="1"/>
        <v>6288</v>
      </c>
      <c r="K26" s="78">
        <v>254124</v>
      </c>
      <c r="L26" s="104">
        <f t="shared" si="2"/>
        <v>0</v>
      </c>
      <c r="M26" s="78">
        <v>24347</v>
      </c>
      <c r="N26" s="38">
        <f t="shared" si="3"/>
        <v>0</v>
      </c>
      <c r="O26" s="78">
        <v>189444</v>
      </c>
      <c r="P26" s="104">
        <f t="shared" ref="P26" si="340">(+O26-+O25)*48</f>
        <v>7248</v>
      </c>
      <c r="Q26" s="78">
        <v>428390</v>
      </c>
      <c r="R26" s="104">
        <f t="shared" ref="R26" si="341">(+Q26-+Q25)*48</f>
        <v>0</v>
      </c>
      <c r="S26" s="78">
        <v>670328</v>
      </c>
      <c r="T26" s="104">
        <f t="shared" ref="T26" si="342">(+S26-+S25)*48</f>
        <v>6144</v>
      </c>
      <c r="U26" s="78">
        <v>91186.34</v>
      </c>
      <c r="V26" s="104">
        <f t="shared" ref="V26" si="343">(+U26-+U25)*48</f>
        <v>628.03200000012293</v>
      </c>
      <c r="W26" s="78">
        <v>75941</v>
      </c>
      <c r="X26" s="104">
        <f t="shared" ref="X26" si="344">(+W26-+W25)*48</f>
        <v>624</v>
      </c>
      <c r="Y26" s="78">
        <v>1461633</v>
      </c>
      <c r="Z26" s="104">
        <f t="shared" ref="Z26" si="345">(+Y26-+Y25)*48</f>
        <v>11712</v>
      </c>
      <c r="AA26" s="78">
        <v>13166</v>
      </c>
      <c r="AB26" s="104">
        <f t="shared" ref="AB26" si="346">(+AA26-+AA25)*48</f>
        <v>0</v>
      </c>
      <c r="AC26" s="78">
        <v>415136</v>
      </c>
      <c r="AD26" s="104">
        <f t="shared" si="16"/>
        <v>6336</v>
      </c>
      <c r="AE26" s="78">
        <v>487788</v>
      </c>
      <c r="AF26" s="104">
        <f t="shared" si="16"/>
        <v>6384</v>
      </c>
      <c r="AG26" s="78">
        <v>48071</v>
      </c>
      <c r="AH26" s="104">
        <f t="shared" ref="AH26" si="347">(+AG26-+AG25)*48</f>
        <v>240</v>
      </c>
      <c r="AI26" s="78">
        <v>378278</v>
      </c>
      <c r="AJ26" s="104">
        <f t="shared" ref="AJ26" si="348">(+AI26-+AI25)*48</f>
        <v>3216</v>
      </c>
      <c r="AK26" s="78">
        <v>102371</v>
      </c>
      <c r="AL26" s="104">
        <f t="shared" ref="AL26" si="349">(+AK26-+AK25)*48</f>
        <v>0</v>
      </c>
      <c r="AM26" s="78">
        <v>533917</v>
      </c>
      <c r="AN26" s="104">
        <f t="shared" ref="AN26" si="350">(+AM26-+AM25)*48</f>
        <v>6288</v>
      </c>
      <c r="AO26" s="78">
        <v>856599</v>
      </c>
      <c r="AP26" s="104">
        <f t="shared" ref="AP26" si="351">(+AO26-+AO25)*48</f>
        <v>10464</v>
      </c>
      <c r="AQ26" s="78">
        <v>59519</v>
      </c>
      <c r="AR26" s="104">
        <f t="shared" ref="AR26" si="352">(+AQ26-+AQ25)*48</f>
        <v>10224</v>
      </c>
      <c r="AS26" s="78">
        <v>2204</v>
      </c>
      <c r="AT26" s="104">
        <f t="shared" ref="AT26" si="353">(+AS26-+AS25)*48</f>
        <v>0</v>
      </c>
      <c r="AU26" s="78">
        <v>918</v>
      </c>
      <c r="AV26" s="104">
        <f t="shared" ref="AV26" si="354">(+AU26-+AU25)*48</f>
        <v>0</v>
      </c>
      <c r="AW26" s="78">
        <v>3075</v>
      </c>
      <c r="AX26" s="104">
        <f t="shared" ref="AX26" si="355">(+AW26-+AW25)*48</f>
        <v>0</v>
      </c>
      <c r="AY26" s="78">
        <v>285291</v>
      </c>
      <c r="AZ26" s="104">
        <f>(+AY26-+AY25)*48</f>
        <v>3936</v>
      </c>
      <c r="BA26" s="78">
        <v>160167</v>
      </c>
      <c r="BB26" s="104">
        <f>(+BA26-+BA25)*48</f>
        <v>0</v>
      </c>
      <c r="BC26" s="78">
        <v>194969</v>
      </c>
      <c r="BD26" s="104">
        <f t="shared" ref="BD26" si="356">(+BC26-+BC25)*48</f>
        <v>2976</v>
      </c>
      <c r="BE26" s="78">
        <v>5335</v>
      </c>
      <c r="BF26" s="104">
        <f t="shared" ref="BF26" si="357">(+BE26-+BE25)*48</f>
        <v>0</v>
      </c>
      <c r="BH26" s="105">
        <f t="shared" si="4"/>
        <v>84656.832000000111</v>
      </c>
      <c r="BI26" s="105">
        <f t="shared" si="5"/>
        <v>56851.199999999997</v>
      </c>
    </row>
    <row r="27" spans="1:61" s="36" customFormat="1" ht="39.950000000000003" customHeight="1">
      <c r="A27" s="145">
        <v>43909</v>
      </c>
      <c r="B27" s="35"/>
      <c r="C27" s="78">
        <v>5167699</v>
      </c>
      <c r="D27" s="104">
        <f t="shared" ref="D27" si="358">(+C27-+C26)*48</f>
        <v>89712</v>
      </c>
      <c r="E27" s="38">
        <f t="shared" si="7"/>
        <v>53827.199999999997</v>
      </c>
      <c r="F27" s="104">
        <f t="shared" si="8"/>
        <v>35884.800000000003</v>
      </c>
      <c r="G27" s="78">
        <v>269919</v>
      </c>
      <c r="H27" s="104">
        <f t="shared" si="0"/>
        <v>1296</v>
      </c>
      <c r="I27" s="78">
        <v>53581</v>
      </c>
      <c r="J27" s="104">
        <f t="shared" si="1"/>
        <v>6624</v>
      </c>
      <c r="K27" s="78">
        <v>254124</v>
      </c>
      <c r="L27" s="104">
        <f t="shared" si="2"/>
        <v>0</v>
      </c>
      <c r="M27" s="78">
        <v>24347</v>
      </c>
      <c r="N27" s="38">
        <f t="shared" si="3"/>
        <v>0</v>
      </c>
      <c r="O27" s="78">
        <v>189586</v>
      </c>
      <c r="P27" s="104">
        <f t="shared" ref="P27" si="359">(+O27-+O26)*48</f>
        <v>6816</v>
      </c>
      <c r="Q27" s="78">
        <v>428390</v>
      </c>
      <c r="R27" s="104">
        <f t="shared" ref="R27" si="360">(+Q27-+Q26)*48</f>
        <v>0</v>
      </c>
      <c r="S27" s="78">
        <v>670451</v>
      </c>
      <c r="T27" s="104">
        <f t="shared" ref="T27" si="361">(+S27-+S26)*48</f>
        <v>5904</v>
      </c>
      <c r="U27" s="78">
        <v>91200.207999999999</v>
      </c>
      <c r="V27" s="104">
        <f t="shared" ref="V27" si="362">(+U27-+U26)*48</f>
        <v>665.66400000010617</v>
      </c>
      <c r="W27" s="78">
        <v>75953</v>
      </c>
      <c r="X27" s="104">
        <f t="shared" ref="X27" si="363">(+W27-+W26)*48</f>
        <v>576</v>
      </c>
      <c r="Y27" s="78">
        <v>1461894</v>
      </c>
      <c r="Z27" s="104">
        <f t="shared" ref="Z27" si="364">(+Y27-+Y26)*48</f>
        <v>12528</v>
      </c>
      <c r="AA27" s="78">
        <v>13166</v>
      </c>
      <c r="AB27" s="104">
        <f t="shared" ref="AB27" si="365">(+AA27-+AA26)*48</f>
        <v>0</v>
      </c>
      <c r="AC27" s="78">
        <v>415262</v>
      </c>
      <c r="AD27" s="104">
        <f t="shared" si="16"/>
        <v>6048</v>
      </c>
      <c r="AE27" s="78">
        <v>487925</v>
      </c>
      <c r="AF27" s="104">
        <f t="shared" si="16"/>
        <v>6576</v>
      </c>
      <c r="AG27" s="78">
        <v>48076</v>
      </c>
      <c r="AH27" s="104">
        <f t="shared" ref="AH27" si="366">(+AG27-+AG26)*48</f>
        <v>240</v>
      </c>
      <c r="AI27" s="78">
        <v>378345</v>
      </c>
      <c r="AJ27" s="104">
        <f t="shared" ref="AJ27" si="367">(+AI27-+AI26)*48</f>
        <v>3216</v>
      </c>
      <c r="AK27" s="78">
        <v>102371</v>
      </c>
      <c r="AL27" s="104">
        <f t="shared" ref="AL27" si="368">(+AK27-+AK26)*48</f>
        <v>0</v>
      </c>
      <c r="AM27" s="78">
        <v>534050</v>
      </c>
      <c r="AN27" s="104">
        <f t="shared" ref="AN27" si="369">(+AM27-+AM26)*48</f>
        <v>6384</v>
      </c>
      <c r="AO27" s="78">
        <v>856824</v>
      </c>
      <c r="AP27" s="104">
        <f t="shared" ref="AP27" si="370">(+AO27-+AO26)*48</f>
        <v>10800</v>
      </c>
      <c r="AQ27" s="78">
        <v>59712</v>
      </c>
      <c r="AR27" s="104">
        <f t="shared" ref="AR27" si="371">(+AQ27-+AQ26)*48</f>
        <v>9264</v>
      </c>
      <c r="AS27" s="78">
        <v>2204</v>
      </c>
      <c r="AT27" s="104">
        <f t="shared" ref="AT27" si="372">(+AS27-+AS26)*48</f>
        <v>0</v>
      </c>
      <c r="AU27" s="78">
        <v>918</v>
      </c>
      <c r="AV27" s="104">
        <f t="shared" ref="AV27" si="373">(+AU27-+AU26)*48</f>
        <v>0</v>
      </c>
      <c r="AW27" s="78">
        <v>3075</v>
      </c>
      <c r="AX27" s="104">
        <f t="shared" ref="AX27" si="374">(+AW27-+AW26)*48</f>
        <v>0</v>
      </c>
      <c r="AY27" s="78">
        <v>285370</v>
      </c>
      <c r="AZ27" s="104">
        <f t="shared" ref="AZ27" si="375">(+AY27-+AY26)*48</f>
        <v>3792</v>
      </c>
      <c r="BA27" s="78">
        <v>160167</v>
      </c>
      <c r="BB27" s="104">
        <f>(+BA27-+BA26)*48</f>
        <v>0</v>
      </c>
      <c r="BC27" s="78">
        <v>195031</v>
      </c>
      <c r="BD27" s="104">
        <f t="shared" ref="BD27" si="376">(+BC27-+BC26)*48</f>
        <v>2976</v>
      </c>
      <c r="BE27" s="78">
        <v>5335</v>
      </c>
      <c r="BF27" s="104">
        <f t="shared" ref="BF27" si="377">(+BE27-+BE26)*48</f>
        <v>0</v>
      </c>
      <c r="BH27" s="105">
        <f t="shared" si="4"/>
        <v>104316.8640000001</v>
      </c>
      <c r="BI27" s="105">
        <f t="shared" si="5"/>
        <v>69100.800000000003</v>
      </c>
    </row>
    <row r="28" spans="1:61" s="36" customFormat="1" ht="39.950000000000003" customHeight="1">
      <c r="A28" s="145">
        <v>43910</v>
      </c>
      <c r="B28" s="35"/>
      <c r="C28" s="78">
        <v>5168920</v>
      </c>
      <c r="D28" s="104">
        <f t="shared" ref="D28" si="378">(+C28-+C27)*48</f>
        <v>58608</v>
      </c>
      <c r="E28" s="38">
        <f t="shared" si="7"/>
        <v>35164.799999999996</v>
      </c>
      <c r="F28" s="104">
        <f t="shared" si="8"/>
        <v>23443.200000000001</v>
      </c>
      <c r="G28" s="78">
        <v>269946</v>
      </c>
      <c r="H28" s="104">
        <f t="shared" si="0"/>
        <v>1200</v>
      </c>
      <c r="I28" s="78">
        <v>53719</v>
      </c>
      <c r="J28" s="104">
        <f t="shared" si="1"/>
        <v>6096</v>
      </c>
      <c r="K28" s="78">
        <v>254124</v>
      </c>
      <c r="L28" s="104">
        <f t="shared" si="2"/>
        <v>48</v>
      </c>
      <c r="M28" s="78">
        <v>24347</v>
      </c>
      <c r="N28" s="38">
        <f t="shared" si="3"/>
        <v>0</v>
      </c>
      <c r="O28" s="78">
        <v>189703</v>
      </c>
      <c r="P28" s="104">
        <f t="shared" ref="P28" si="379">(+O28-+O27)*48</f>
        <v>5616</v>
      </c>
      <c r="Q28" s="78">
        <v>428390</v>
      </c>
      <c r="R28" s="104">
        <f t="shared" ref="R28" si="380">(+Q28-+Q27)*48</f>
        <v>0</v>
      </c>
      <c r="S28" s="78">
        <v>670586</v>
      </c>
      <c r="T28" s="104">
        <f t="shared" ref="T28" si="381">(+S28-+S27)*48</f>
        <v>6480</v>
      </c>
      <c r="U28" s="78">
        <v>91214.936000000002</v>
      </c>
      <c r="V28" s="104">
        <f t="shared" ref="V28" si="382">(+U28-+U27)*48</f>
        <v>706.94400000013411</v>
      </c>
      <c r="W28" s="78">
        <v>75972</v>
      </c>
      <c r="X28" s="104">
        <f t="shared" ref="X28" si="383">(+W28-+W27)*48</f>
        <v>912</v>
      </c>
      <c r="Y28" s="78">
        <v>1462084</v>
      </c>
      <c r="Z28" s="104">
        <f t="shared" ref="Z28" si="384">(+Y28-+Y27)*48</f>
        <v>9120</v>
      </c>
      <c r="AA28" s="78">
        <v>13166</v>
      </c>
      <c r="AB28" s="104">
        <f t="shared" ref="AB28" si="385">(+AA28-+AA27)*48</f>
        <v>0</v>
      </c>
      <c r="AC28" s="78">
        <v>415387</v>
      </c>
      <c r="AD28" s="104">
        <f t="shared" si="16"/>
        <v>6000</v>
      </c>
      <c r="AE28" s="78">
        <v>488072</v>
      </c>
      <c r="AF28" s="104">
        <f t="shared" si="16"/>
        <v>7056</v>
      </c>
      <c r="AG28" s="78">
        <v>48081</v>
      </c>
      <c r="AH28" s="104">
        <f t="shared" ref="AH28" si="386">(+AG28-+AG27)*48</f>
        <v>240</v>
      </c>
      <c r="AI28" s="78">
        <v>378412</v>
      </c>
      <c r="AJ28" s="104">
        <f t="shared" ref="AJ28" si="387">(+AI28-+AI27)*48</f>
        <v>3216</v>
      </c>
      <c r="AK28" s="78">
        <v>102371</v>
      </c>
      <c r="AL28" s="104">
        <f t="shared" ref="AL28" si="388">(+AK28-+AK27)*48</f>
        <v>0</v>
      </c>
      <c r="AM28" s="78">
        <v>534193</v>
      </c>
      <c r="AN28" s="104">
        <f t="shared" ref="AN28" si="389">(+AM28-+AM27)*48</f>
        <v>6864</v>
      </c>
      <c r="AO28" s="78">
        <v>857051</v>
      </c>
      <c r="AP28" s="104">
        <f t="shared" ref="AP28" si="390">(+AO28-+AO27)*48</f>
        <v>10896</v>
      </c>
      <c r="AQ28" s="78">
        <v>59869</v>
      </c>
      <c r="AR28" s="104">
        <f t="shared" ref="AR28" si="391">(+AQ28-+AQ27)*48</f>
        <v>7536</v>
      </c>
      <c r="AS28" s="78">
        <v>2204</v>
      </c>
      <c r="AT28" s="104">
        <f t="shared" ref="AT28" si="392">(+AS28-+AS27)*48</f>
        <v>0</v>
      </c>
      <c r="AU28" s="78">
        <v>918</v>
      </c>
      <c r="AV28" s="104">
        <f t="shared" ref="AV28" si="393">(+AU28-+AU27)*48</f>
        <v>0</v>
      </c>
      <c r="AW28" s="78">
        <v>3075</v>
      </c>
      <c r="AX28" s="104">
        <f t="shared" ref="AX28" si="394">(+AW28-+AW27)*48</f>
        <v>0</v>
      </c>
      <c r="AY28" s="78">
        <v>285449</v>
      </c>
      <c r="AZ28" s="104">
        <f t="shared" ref="AZ28" si="395">(+AY28-+AY27)*48</f>
        <v>3792</v>
      </c>
      <c r="BA28" s="78">
        <v>160167</v>
      </c>
      <c r="BB28" s="104">
        <f t="shared" ref="BB28" si="396">(+BA28-+BA27)*48</f>
        <v>0</v>
      </c>
      <c r="BC28" s="78">
        <v>195096</v>
      </c>
      <c r="BD28" s="104">
        <f t="shared" ref="BD28" si="397">(+BC28-+BC27)*48</f>
        <v>3120</v>
      </c>
      <c r="BE28" s="78">
        <v>5335</v>
      </c>
      <c r="BF28" s="104">
        <f t="shared" ref="BF28" si="398">(+BE28-+BE27)*48</f>
        <v>0</v>
      </c>
      <c r="BH28" s="105">
        <f t="shared" si="4"/>
        <v>81855.744000000122</v>
      </c>
      <c r="BI28" s="105">
        <f t="shared" si="5"/>
        <v>55651.199999999997</v>
      </c>
    </row>
    <row r="29" spans="1:61" s="36" customFormat="1" ht="39.950000000000003" customHeight="1">
      <c r="A29" s="145">
        <v>43911</v>
      </c>
      <c r="B29" s="35"/>
      <c r="C29" s="83">
        <v>5170463</v>
      </c>
      <c r="D29" s="104">
        <f t="shared" ref="D29" si="399">(+C29-+C28)*48</f>
        <v>74064</v>
      </c>
      <c r="E29" s="38">
        <f t="shared" si="7"/>
        <v>44438.400000000001</v>
      </c>
      <c r="F29" s="104">
        <f t="shared" si="8"/>
        <v>29625.600000000002</v>
      </c>
      <c r="G29" s="78">
        <v>269971</v>
      </c>
      <c r="H29" s="104">
        <f t="shared" si="0"/>
        <v>1200</v>
      </c>
      <c r="I29" s="78">
        <v>53846</v>
      </c>
      <c r="J29" s="104">
        <f t="shared" si="1"/>
        <v>6096</v>
      </c>
      <c r="K29" s="78">
        <v>254125</v>
      </c>
      <c r="L29" s="104">
        <f t="shared" si="2"/>
        <v>48</v>
      </c>
      <c r="M29" s="78">
        <v>24347</v>
      </c>
      <c r="N29" s="38">
        <f t="shared" si="3"/>
        <v>0</v>
      </c>
      <c r="O29" s="83">
        <v>189863</v>
      </c>
      <c r="P29" s="104">
        <f t="shared" ref="P29" si="400">(+O29-+O28)*48</f>
        <v>7680</v>
      </c>
      <c r="Q29" s="83">
        <v>428390</v>
      </c>
      <c r="R29" s="104">
        <f t="shared" ref="R29" si="401">(+Q29-+Q28)*48</f>
        <v>0</v>
      </c>
      <c r="S29" s="83">
        <v>670725</v>
      </c>
      <c r="T29" s="104">
        <f t="shared" ref="T29" si="402">(+S29-+S28)*48</f>
        <v>6672</v>
      </c>
      <c r="U29" s="83">
        <v>91260.801000000007</v>
      </c>
      <c r="V29" s="104">
        <f t="shared" ref="V29" si="403">(+U29-+U28)*48</f>
        <v>2201.5200000002515</v>
      </c>
      <c r="W29" s="83">
        <v>75998</v>
      </c>
      <c r="X29" s="104">
        <f t="shared" ref="X29" si="404">(+W29-+W28)*48</f>
        <v>1248</v>
      </c>
      <c r="Y29" s="83">
        <v>1462282</v>
      </c>
      <c r="Z29" s="104">
        <f t="shared" ref="Z29" si="405">(+Y29-+Y28)*48</f>
        <v>9504</v>
      </c>
      <c r="AA29" s="83">
        <v>13166</v>
      </c>
      <c r="AB29" s="104">
        <f t="shared" ref="AB29" si="406">(+AA29-+AA28)*48</f>
        <v>0</v>
      </c>
      <c r="AC29" s="83">
        <v>415503</v>
      </c>
      <c r="AD29" s="104">
        <f t="shared" si="16"/>
        <v>5568</v>
      </c>
      <c r="AE29" s="83">
        <v>488194</v>
      </c>
      <c r="AF29" s="104">
        <f t="shared" si="16"/>
        <v>5856</v>
      </c>
      <c r="AG29" s="83">
        <v>48086</v>
      </c>
      <c r="AH29" s="104">
        <f t="shared" ref="AH29" si="407">(+AG29-+AG28)*48</f>
        <v>240</v>
      </c>
      <c r="AI29" s="83">
        <v>378432</v>
      </c>
      <c r="AJ29" s="104">
        <f t="shared" ref="AJ29" si="408">(+AI29-+AI28)*48</f>
        <v>960</v>
      </c>
      <c r="AK29" s="83">
        <v>102371</v>
      </c>
      <c r="AL29" s="104">
        <f t="shared" ref="AL29" si="409">(+AK29-+AK28)*48</f>
        <v>0</v>
      </c>
      <c r="AM29" s="83">
        <v>534333</v>
      </c>
      <c r="AN29" s="104">
        <f t="shared" ref="AN29" si="410">(+AM29-+AM28)*48</f>
        <v>6720</v>
      </c>
      <c r="AO29" s="83">
        <v>857269</v>
      </c>
      <c r="AP29" s="104">
        <f t="shared" ref="AP29" si="411">(+AO29-+AO28)*48</f>
        <v>10464</v>
      </c>
      <c r="AQ29" s="83">
        <v>60036</v>
      </c>
      <c r="AR29" s="104">
        <f t="shared" ref="AR29" si="412">(+AQ29-+AQ28)*48</f>
        <v>8016</v>
      </c>
      <c r="AS29" s="83">
        <v>2204</v>
      </c>
      <c r="AT29" s="104">
        <f t="shared" ref="AT29" si="413">(+AS29-+AS28)*48</f>
        <v>0</v>
      </c>
      <c r="AU29" s="83">
        <v>918</v>
      </c>
      <c r="AV29" s="104">
        <f t="shared" ref="AV29" si="414">(+AU29-+AU28)*48</f>
        <v>0</v>
      </c>
      <c r="AW29" s="83">
        <v>3075</v>
      </c>
      <c r="AX29" s="104">
        <f t="shared" ref="AX29" si="415">(+AW29-+AW28)*48</f>
        <v>0</v>
      </c>
      <c r="AY29" s="83">
        <v>285526</v>
      </c>
      <c r="AZ29" s="104">
        <f t="shared" ref="AZ29" si="416">(+AY29-+AY28)*48</f>
        <v>3696</v>
      </c>
      <c r="BA29" s="83">
        <v>160167</v>
      </c>
      <c r="BB29" s="104">
        <f t="shared" ref="BB29" si="417">(+BA29-+BA28)*48</f>
        <v>0</v>
      </c>
      <c r="BC29" s="83">
        <v>195160</v>
      </c>
      <c r="BD29" s="104">
        <f t="shared" ref="BD29" si="418">(+BC29-+BC28)*48</f>
        <v>3072</v>
      </c>
      <c r="BE29" s="83">
        <v>5335</v>
      </c>
      <c r="BF29" s="104">
        <f t="shared" ref="BF29" si="419">(+BE29-+BE28)*48</f>
        <v>0</v>
      </c>
      <c r="BH29" s="105">
        <f t="shared" si="4"/>
        <v>91711.920000000246</v>
      </c>
      <c r="BI29" s="105">
        <f t="shared" si="5"/>
        <v>61593.600000000006</v>
      </c>
    </row>
    <row r="30" spans="1:61" s="36" customFormat="1" ht="39.950000000000003" customHeight="1">
      <c r="A30" s="145">
        <v>43912</v>
      </c>
      <c r="B30" s="35"/>
      <c r="C30" s="83">
        <v>5172007</v>
      </c>
      <c r="D30" s="104">
        <f t="shared" ref="D30" si="420">(+C30-+C29)*48</f>
        <v>74112</v>
      </c>
      <c r="E30" s="38">
        <f t="shared" si="7"/>
        <v>44467.199999999997</v>
      </c>
      <c r="F30" s="104">
        <f t="shared" si="8"/>
        <v>29644.800000000003</v>
      </c>
      <c r="G30" s="83">
        <v>269996</v>
      </c>
      <c r="H30" s="104">
        <f t="shared" si="0"/>
        <v>1104</v>
      </c>
      <c r="I30" s="83">
        <v>53973</v>
      </c>
      <c r="J30" s="104">
        <f t="shared" si="1"/>
        <v>6192</v>
      </c>
      <c r="K30" s="83">
        <v>254126</v>
      </c>
      <c r="L30" s="104">
        <f t="shared" si="2"/>
        <v>0</v>
      </c>
      <c r="M30" s="83">
        <v>24347</v>
      </c>
      <c r="N30" s="38">
        <f t="shared" si="3"/>
        <v>0</v>
      </c>
      <c r="O30" s="83">
        <v>190024</v>
      </c>
      <c r="P30" s="104">
        <f t="shared" ref="P30" si="421">(+O30-+O29)*48</f>
        <v>7728</v>
      </c>
      <c r="Q30" s="83">
        <v>428413</v>
      </c>
      <c r="R30" s="104">
        <f t="shared" ref="R30" si="422">(+Q30-+Q29)*48</f>
        <v>1104</v>
      </c>
      <c r="S30" s="83">
        <v>670863</v>
      </c>
      <c r="T30" s="104">
        <f t="shared" ref="T30" si="423">(+S30-+S29)*48</f>
        <v>6624</v>
      </c>
      <c r="U30" s="83">
        <v>91246.667000000001</v>
      </c>
      <c r="V30" s="104">
        <f t="shared" ref="V30" si="424">(+U30-+U29)*48</f>
        <v>-678.43200000026263</v>
      </c>
      <c r="W30" s="83">
        <v>75998</v>
      </c>
      <c r="X30" s="104">
        <f t="shared" ref="X30" si="425">(+W30-+W29)*48</f>
        <v>0</v>
      </c>
      <c r="Y30" s="83">
        <v>1462481</v>
      </c>
      <c r="Z30" s="104">
        <f t="shared" ref="Z30" si="426">(+Y30-+Y29)*48</f>
        <v>9552</v>
      </c>
      <c r="AA30" s="83">
        <v>13166</v>
      </c>
      <c r="AB30" s="104">
        <f t="shared" ref="AB30" si="427">(+AA30-+AA29)*48</f>
        <v>0</v>
      </c>
      <c r="AC30" s="83">
        <v>415618</v>
      </c>
      <c r="AD30" s="104">
        <f t="shared" si="16"/>
        <v>5520</v>
      </c>
      <c r="AE30" s="83">
        <v>488316</v>
      </c>
      <c r="AF30" s="104">
        <f t="shared" si="16"/>
        <v>5856</v>
      </c>
      <c r="AG30" s="83">
        <v>48091</v>
      </c>
      <c r="AH30" s="104">
        <f t="shared" ref="AH30" si="428">(+AG30-+AG29)*48</f>
        <v>240</v>
      </c>
      <c r="AI30" s="83">
        <v>378537</v>
      </c>
      <c r="AJ30" s="104">
        <f t="shared" ref="AJ30" si="429">(+AI30-+AI29)*48</f>
        <v>5040</v>
      </c>
      <c r="AK30" s="83">
        <v>102371</v>
      </c>
      <c r="AL30" s="104">
        <f t="shared" ref="AL30" si="430">(+AK30-+AK29)*48</f>
        <v>0</v>
      </c>
      <c r="AM30" s="83">
        <v>534474</v>
      </c>
      <c r="AN30" s="104">
        <f t="shared" ref="AN30" si="431">(+AM30-+AM29)*48</f>
        <v>6768</v>
      </c>
      <c r="AO30" s="83">
        <v>857487</v>
      </c>
      <c r="AP30" s="104">
        <f t="shared" ref="AP30" si="432">(+AO30-+AO29)*48</f>
        <v>10464</v>
      </c>
      <c r="AQ30" s="83">
        <v>60203</v>
      </c>
      <c r="AR30" s="104">
        <f t="shared" ref="AR30" si="433">(+AQ30-+AQ29)*48</f>
        <v>8016</v>
      </c>
      <c r="AS30" s="83">
        <v>2204</v>
      </c>
      <c r="AT30" s="104">
        <f t="shared" ref="AT30" si="434">(+AS30-+AS29)*48</f>
        <v>0</v>
      </c>
      <c r="AU30" s="83">
        <v>918</v>
      </c>
      <c r="AV30" s="104">
        <f t="shared" ref="AV30" si="435">(+AU30-+AU29)*48</f>
        <v>0</v>
      </c>
      <c r="AW30" s="83">
        <v>3075</v>
      </c>
      <c r="AX30" s="104">
        <f t="shared" ref="AX30" si="436">(+AW30-+AW29)*48</f>
        <v>0</v>
      </c>
      <c r="AY30" s="83">
        <v>285604</v>
      </c>
      <c r="AZ30" s="104">
        <f t="shared" ref="AZ30" si="437">(+AY30-+AY29)*48</f>
        <v>3744</v>
      </c>
      <c r="BA30" s="83">
        <v>160167</v>
      </c>
      <c r="BB30" s="104">
        <f t="shared" ref="BB30" si="438">(+BA30-+BA29)*48</f>
        <v>0</v>
      </c>
      <c r="BC30" s="83">
        <v>195219</v>
      </c>
      <c r="BD30" s="104">
        <f t="shared" ref="BD30" si="439">(+BC30-+BC29)*48</f>
        <v>2832</v>
      </c>
      <c r="BE30" s="83">
        <v>5335</v>
      </c>
      <c r="BF30" s="104">
        <f t="shared" ref="BF30" si="440">(+BE30-+BE29)*48</f>
        <v>0</v>
      </c>
      <c r="BH30" s="105">
        <f t="shared" si="4"/>
        <v>92748.767999999734</v>
      </c>
      <c r="BI30" s="105">
        <f t="shared" si="5"/>
        <v>61468.800000000003</v>
      </c>
    </row>
    <row r="31" spans="1:61" s="36" customFormat="1" ht="39.950000000000003" customHeight="1">
      <c r="A31" s="145">
        <v>43913</v>
      </c>
      <c r="B31" s="35"/>
      <c r="C31" s="83">
        <v>5173195</v>
      </c>
      <c r="D31" s="104">
        <f t="shared" ref="D31" si="441">(+C31-+C30)*48</f>
        <v>57024</v>
      </c>
      <c r="E31" s="38">
        <f t="shared" si="7"/>
        <v>34214.400000000001</v>
      </c>
      <c r="F31" s="104">
        <f t="shared" si="8"/>
        <v>22809.600000000002</v>
      </c>
      <c r="G31" s="83">
        <v>270019</v>
      </c>
      <c r="H31" s="38">
        <f t="shared" si="0"/>
        <v>1056</v>
      </c>
      <c r="I31" s="83">
        <v>54102</v>
      </c>
      <c r="J31" s="38">
        <f t="shared" si="1"/>
        <v>7008</v>
      </c>
      <c r="K31" s="83">
        <v>254126</v>
      </c>
      <c r="L31" s="38">
        <f t="shared" si="2"/>
        <v>0</v>
      </c>
      <c r="M31" s="83">
        <v>24347</v>
      </c>
      <c r="N31" s="38">
        <f t="shared" si="3"/>
        <v>0</v>
      </c>
      <c r="O31" s="83">
        <v>190186</v>
      </c>
      <c r="P31" s="38">
        <f t="shared" ref="P31" si="442">(+O31-+O30)*48</f>
        <v>7776</v>
      </c>
      <c r="Q31" s="83">
        <v>428419</v>
      </c>
      <c r="R31" s="104">
        <f t="shared" ref="R31" si="443">(+Q31-+Q30)*48</f>
        <v>288</v>
      </c>
      <c r="S31" s="83">
        <v>670982</v>
      </c>
      <c r="T31" s="104">
        <f t="shared" ref="T31" si="444">(+S31-+S30)*48</f>
        <v>5712</v>
      </c>
      <c r="U31" s="83">
        <v>91267.513000000006</v>
      </c>
      <c r="V31" s="104">
        <f t="shared" ref="V31" si="445">(+U31-+U30)*48</f>
        <v>1000.6080000002403</v>
      </c>
      <c r="W31" s="83">
        <v>75998</v>
      </c>
      <c r="X31" s="104">
        <f t="shared" ref="X31" si="446">(+W31-+W30)*48</f>
        <v>0</v>
      </c>
      <c r="Y31" s="83">
        <v>1462603</v>
      </c>
      <c r="Z31" s="104">
        <f t="shared" ref="Z31" si="447">(+Y31-+Y30)*48</f>
        <v>5856</v>
      </c>
      <c r="AA31" s="83">
        <v>13166</v>
      </c>
      <c r="AB31" s="104">
        <f t="shared" ref="AB31" si="448">(+AA31-+AA30)*48</f>
        <v>0</v>
      </c>
      <c r="AC31" s="83">
        <v>415724</v>
      </c>
      <c r="AD31" s="104">
        <f t="shared" si="16"/>
        <v>5088</v>
      </c>
      <c r="AE31" s="83">
        <v>488441</v>
      </c>
      <c r="AF31" s="104">
        <f t="shared" si="16"/>
        <v>6000</v>
      </c>
      <c r="AG31" s="83">
        <v>48095</v>
      </c>
      <c r="AH31" s="104">
        <f t="shared" ref="AH31" si="449">(+AG31-+AG30)*48</f>
        <v>192</v>
      </c>
      <c r="AI31" s="83">
        <v>378605</v>
      </c>
      <c r="AJ31" s="104">
        <f t="shared" ref="AJ31" si="450">(+AI31-+AI30)*48</f>
        <v>3264</v>
      </c>
      <c r="AK31" s="83">
        <v>102371</v>
      </c>
      <c r="AL31" s="104">
        <f t="shared" ref="AL31" si="451">(+AK31-+AK30)*48</f>
        <v>0</v>
      </c>
      <c r="AM31" s="83">
        <v>534610</v>
      </c>
      <c r="AN31" s="104">
        <f t="shared" ref="AN31" si="452">(+AM31-+AM30)*48</f>
        <v>6528</v>
      </c>
      <c r="AO31" s="83">
        <v>857693</v>
      </c>
      <c r="AP31" s="104">
        <f t="shared" ref="AP31" si="453">(+AO31-+AO30)*48</f>
        <v>9888</v>
      </c>
      <c r="AQ31" s="83">
        <v>60295</v>
      </c>
      <c r="AR31" s="104">
        <f t="shared" ref="AR31" si="454">(+AQ31-+AQ30)*48</f>
        <v>4416</v>
      </c>
      <c r="AS31" s="83">
        <v>2204</v>
      </c>
      <c r="AT31" s="104">
        <f t="shared" ref="AT31" si="455">(+AS31-+AS30)*48</f>
        <v>0</v>
      </c>
      <c r="AU31" s="83">
        <v>918</v>
      </c>
      <c r="AV31" s="104">
        <f t="shared" ref="AV31" si="456">(+AU31-+AU30)*48</f>
        <v>0</v>
      </c>
      <c r="AW31" s="83">
        <v>3075</v>
      </c>
      <c r="AX31" s="104">
        <f t="shared" ref="AX31" si="457">(+AW31-+AW30)*48</f>
        <v>0</v>
      </c>
      <c r="AY31" s="83">
        <v>285678</v>
      </c>
      <c r="AZ31" s="104">
        <f t="shared" ref="AZ31" si="458">(+AY31-+AY30)*48</f>
        <v>3552</v>
      </c>
      <c r="BA31" s="83">
        <v>160167</v>
      </c>
      <c r="BB31" s="104">
        <f t="shared" ref="BB31" si="459">(+BA31-+BA30)*48</f>
        <v>0</v>
      </c>
      <c r="BC31" s="83">
        <v>195281</v>
      </c>
      <c r="BD31" s="104">
        <f t="shared" ref="BD31" si="460">(+BC31-+BC30)*48</f>
        <v>2976</v>
      </c>
      <c r="BE31" s="83">
        <v>5335</v>
      </c>
      <c r="BF31" s="104">
        <f t="shared" ref="BF31" si="461">(+BE31-+BE30)*48</f>
        <v>0</v>
      </c>
      <c r="BH31" s="105">
        <f t="shared" si="4"/>
        <v>77455.008000000234</v>
      </c>
      <c r="BI31" s="105">
        <f t="shared" si="5"/>
        <v>50169.600000000006</v>
      </c>
    </row>
    <row r="32" spans="1:61" s="36" customFormat="1" ht="39.950000000000003" customHeight="1">
      <c r="A32" s="145">
        <v>43914</v>
      </c>
      <c r="B32" s="35"/>
      <c r="C32" s="83">
        <v>5175067</v>
      </c>
      <c r="D32" s="104">
        <f t="shared" ref="D32" si="462">(+C32-+C31)*48</f>
        <v>89856</v>
      </c>
      <c r="E32" s="38">
        <f t="shared" si="7"/>
        <v>53913.599999999999</v>
      </c>
      <c r="F32" s="104">
        <f t="shared" si="8"/>
        <v>35942.400000000001</v>
      </c>
      <c r="G32" s="83">
        <v>270041</v>
      </c>
      <c r="H32" s="38">
        <f t="shared" si="0"/>
        <v>1440</v>
      </c>
      <c r="I32" s="83">
        <v>54248</v>
      </c>
      <c r="J32" s="38">
        <f t="shared" si="1"/>
        <v>7776</v>
      </c>
      <c r="K32" s="83">
        <v>254126</v>
      </c>
      <c r="L32" s="38">
        <f t="shared" si="2"/>
        <v>0</v>
      </c>
      <c r="M32" s="83">
        <v>24347</v>
      </c>
      <c r="N32" s="38">
        <f t="shared" si="3"/>
        <v>0</v>
      </c>
      <c r="O32" s="83">
        <v>190328</v>
      </c>
      <c r="P32" s="38">
        <f t="shared" ref="P32" si="463">(+O32-+O31)*48</f>
        <v>6816</v>
      </c>
      <c r="Q32" s="83">
        <v>428425</v>
      </c>
      <c r="R32" s="104">
        <f t="shared" ref="R32" si="464">(+Q32-+Q31)*48</f>
        <v>288</v>
      </c>
      <c r="S32" s="83">
        <v>671117</v>
      </c>
      <c r="T32" s="104">
        <f t="shared" ref="T32" si="465">(+S32-+S31)*48</f>
        <v>6480</v>
      </c>
      <c r="U32" s="83">
        <v>91281.38</v>
      </c>
      <c r="V32" s="104">
        <f t="shared" ref="V32" si="466">(+U32-+U31)*48</f>
        <v>665.61599999992177</v>
      </c>
      <c r="W32" s="83">
        <v>75998</v>
      </c>
      <c r="X32" s="104">
        <f t="shared" ref="X32" si="467">(+W32-+W31)*48</f>
        <v>0</v>
      </c>
      <c r="Y32" s="83">
        <v>1462667</v>
      </c>
      <c r="Z32" s="104">
        <f t="shared" ref="Z32" si="468">(+Y32-+Y31)*48</f>
        <v>3072</v>
      </c>
      <c r="AA32" s="83">
        <v>13166</v>
      </c>
      <c r="AB32" s="104">
        <f t="shared" ref="AB32" si="469">(+AA32-+AA31)*48</f>
        <v>0</v>
      </c>
      <c r="AC32" s="83">
        <v>415795</v>
      </c>
      <c r="AD32" s="104">
        <f t="shared" si="16"/>
        <v>3408</v>
      </c>
      <c r="AE32" s="83">
        <v>488566</v>
      </c>
      <c r="AF32" s="104">
        <f t="shared" si="16"/>
        <v>6000</v>
      </c>
      <c r="AG32" s="83">
        <v>48099</v>
      </c>
      <c r="AH32" s="104">
        <f t="shared" ref="AH32" si="470">(+AG32-+AG31)*48</f>
        <v>192</v>
      </c>
      <c r="AI32" s="83">
        <v>378663</v>
      </c>
      <c r="AJ32" s="104">
        <f t="shared" ref="AJ32" si="471">(+AI32-+AI31)*48</f>
        <v>2784</v>
      </c>
      <c r="AK32" s="83">
        <v>102371</v>
      </c>
      <c r="AL32" s="104">
        <f t="shared" ref="AL32" si="472">(+AK32-+AK31)*48</f>
        <v>0</v>
      </c>
      <c r="AM32" s="83">
        <v>534744</v>
      </c>
      <c r="AN32" s="104">
        <f t="shared" ref="AN32" si="473">(+AM32-+AM31)*48</f>
        <v>6432</v>
      </c>
      <c r="AO32" s="83">
        <v>857901</v>
      </c>
      <c r="AP32" s="104">
        <f t="shared" ref="AP32" si="474">(+AO32-+AO31)*48</f>
        <v>9984</v>
      </c>
      <c r="AQ32" s="83">
        <v>60358</v>
      </c>
      <c r="AR32" s="104">
        <f t="shared" ref="AR32" si="475">(+AQ32-+AQ31)*48</f>
        <v>3024</v>
      </c>
      <c r="AS32" s="83">
        <v>2204</v>
      </c>
      <c r="AT32" s="104">
        <f t="shared" ref="AT32" si="476">(+AS32-+AS31)*48</f>
        <v>0</v>
      </c>
      <c r="AU32" s="83">
        <v>918</v>
      </c>
      <c r="AV32" s="104">
        <f t="shared" ref="AV32" si="477">(+AU32-+AU31)*48</f>
        <v>0</v>
      </c>
      <c r="AW32" s="83">
        <v>3075</v>
      </c>
      <c r="AX32" s="104">
        <f t="shared" ref="AX32" si="478">(+AW32-+AW31)*48</f>
        <v>0</v>
      </c>
      <c r="AY32" s="83">
        <v>285758</v>
      </c>
      <c r="AZ32" s="104">
        <f t="shared" ref="AZ32" si="479">(+AY32-+AY31)*48</f>
        <v>3840</v>
      </c>
      <c r="BA32" s="83">
        <v>160167</v>
      </c>
      <c r="BB32" s="104">
        <f t="shared" ref="BB32" si="480">(+BA32-+BA31)*48</f>
        <v>0</v>
      </c>
      <c r="BC32" s="83">
        <v>195345</v>
      </c>
      <c r="BD32" s="104">
        <f t="shared" ref="BD32" si="481">(+BC32-+BC31)*48</f>
        <v>3072</v>
      </c>
      <c r="BE32" s="83">
        <v>5335</v>
      </c>
      <c r="BF32" s="104">
        <f t="shared" ref="BF32" si="482">(+BE32-+BE31)*48</f>
        <v>0</v>
      </c>
      <c r="BH32" s="105">
        <f t="shared" si="4"/>
        <v>92835.215999999928</v>
      </c>
      <c r="BI32" s="105">
        <f t="shared" si="5"/>
        <v>62294.400000000001</v>
      </c>
    </row>
    <row r="33" spans="1:61" s="36" customFormat="1" ht="39.950000000000003" customHeight="1">
      <c r="A33" s="145">
        <v>43915</v>
      </c>
      <c r="B33" s="35"/>
      <c r="C33" s="78">
        <v>5176482</v>
      </c>
      <c r="D33" s="104">
        <f t="shared" ref="D33" si="483">(+C33-+C32)*48</f>
        <v>67920</v>
      </c>
      <c r="E33" s="38">
        <f t="shared" si="7"/>
        <v>40752</v>
      </c>
      <c r="F33" s="104">
        <f t="shared" si="8"/>
        <v>27168</v>
      </c>
      <c r="G33" s="83">
        <v>270071</v>
      </c>
      <c r="H33" s="104">
        <f t="shared" si="0"/>
        <v>1200</v>
      </c>
      <c r="I33" s="83">
        <v>54410</v>
      </c>
      <c r="J33" s="38">
        <f t="shared" si="1"/>
        <v>7824</v>
      </c>
      <c r="K33" s="83">
        <v>254126</v>
      </c>
      <c r="L33" s="104">
        <f t="shared" si="2"/>
        <v>0</v>
      </c>
      <c r="M33" s="83">
        <v>24347</v>
      </c>
      <c r="N33" s="38">
        <f t="shared" si="3"/>
        <v>0</v>
      </c>
      <c r="O33" s="78">
        <v>190491</v>
      </c>
      <c r="P33" s="38">
        <f t="shared" ref="P33" si="484">(+O33-+O32)*48</f>
        <v>7824</v>
      </c>
      <c r="Q33" s="78">
        <v>428432</v>
      </c>
      <c r="R33" s="104">
        <f t="shared" ref="R33" si="485">(+Q33-+Q32)*48</f>
        <v>336</v>
      </c>
      <c r="S33" s="78">
        <v>671258</v>
      </c>
      <c r="T33" s="104">
        <f t="shared" ref="T33" si="486">(+S33-+S32)*48</f>
        <v>6768</v>
      </c>
      <c r="U33" s="78">
        <v>91295.346000000005</v>
      </c>
      <c r="V33" s="104">
        <f t="shared" ref="V33" si="487">(+U33-+U32)*48</f>
        <v>670.36800000001676</v>
      </c>
      <c r="W33" s="78">
        <v>76006</v>
      </c>
      <c r="X33" s="104">
        <f t="shared" ref="X33" si="488">(+W33-+W32)*48</f>
        <v>384</v>
      </c>
      <c r="Y33" s="78">
        <v>1462781</v>
      </c>
      <c r="Z33" s="104">
        <f t="shared" ref="Z33" si="489">(+Y33-+Y32)*48</f>
        <v>5472</v>
      </c>
      <c r="AA33" s="78">
        <v>13166</v>
      </c>
      <c r="AB33" s="104">
        <f t="shared" ref="AB33" si="490">(+AA33-+AA32)*48</f>
        <v>0</v>
      </c>
      <c r="AC33" s="78">
        <v>415852</v>
      </c>
      <c r="AD33" s="104">
        <f t="shared" si="16"/>
        <v>2736</v>
      </c>
      <c r="AE33" s="78">
        <v>488704</v>
      </c>
      <c r="AF33" s="104">
        <f t="shared" si="16"/>
        <v>6624</v>
      </c>
      <c r="AG33" s="78">
        <v>48104</v>
      </c>
      <c r="AH33" s="104">
        <f t="shared" ref="AH33" si="491">(+AG33-+AG32)*48</f>
        <v>240</v>
      </c>
      <c r="AI33" s="78">
        <v>378724</v>
      </c>
      <c r="AJ33" s="104">
        <f t="shared" ref="AJ33" si="492">(+AI33-+AI32)*48</f>
        <v>2928</v>
      </c>
      <c r="AK33" s="78">
        <v>102371</v>
      </c>
      <c r="AL33" s="104">
        <f t="shared" ref="AL33" si="493">(+AK33-+AK32)*48</f>
        <v>0</v>
      </c>
      <c r="AM33" s="78">
        <v>534883</v>
      </c>
      <c r="AN33" s="104">
        <f t="shared" ref="AN33" si="494">(+AM33-+AM32)*48</f>
        <v>6672</v>
      </c>
      <c r="AO33" s="78">
        <v>858119</v>
      </c>
      <c r="AP33" s="104">
        <f t="shared" ref="AP33" si="495">(+AO33-+AO32)*48</f>
        <v>10464</v>
      </c>
      <c r="AQ33" s="78">
        <v>60500</v>
      </c>
      <c r="AR33" s="104">
        <f t="shared" ref="AR33" si="496">(+AQ33-+AQ32)*48</f>
        <v>6816</v>
      </c>
      <c r="AS33" s="78">
        <v>2204</v>
      </c>
      <c r="AT33" s="104">
        <f t="shared" ref="AT33" si="497">(+AS33-+AS32)*48</f>
        <v>0</v>
      </c>
      <c r="AU33" s="78">
        <v>918</v>
      </c>
      <c r="AV33" s="104">
        <f t="shared" ref="AV33" si="498">(+AU33-+AU32)*48</f>
        <v>0</v>
      </c>
      <c r="AW33" s="78">
        <v>3075</v>
      </c>
      <c r="AX33" s="104">
        <f t="shared" ref="AX33" si="499">(+AW33-+AW32)*48</f>
        <v>0</v>
      </c>
      <c r="AY33" s="78">
        <v>285837</v>
      </c>
      <c r="AZ33" s="104">
        <f t="shared" ref="AZ33" si="500">(+AY33-+AY32)*48</f>
        <v>3792</v>
      </c>
      <c r="BA33" s="78">
        <v>160167</v>
      </c>
      <c r="BB33" s="104">
        <f t="shared" ref="BB33" si="501">(+BA33-+BA32)*48</f>
        <v>0</v>
      </c>
      <c r="BC33" s="78">
        <v>195407</v>
      </c>
      <c r="BD33" s="104">
        <f t="shared" ref="BD33" si="502">(+BC33-+BC32)*48</f>
        <v>2976</v>
      </c>
      <c r="BE33" s="78">
        <v>5335</v>
      </c>
      <c r="BF33" s="104">
        <f t="shared" ref="BF33" si="503">(+BE33-+BE32)*48</f>
        <v>0</v>
      </c>
      <c r="BH33" s="105">
        <f t="shared" si="4"/>
        <v>83758.368000000017</v>
      </c>
      <c r="BI33" s="105">
        <f t="shared" si="5"/>
        <v>57888</v>
      </c>
    </row>
    <row r="34" spans="1:61" s="36" customFormat="1" ht="39.950000000000003" customHeight="1">
      <c r="A34" s="145">
        <v>43916</v>
      </c>
      <c r="B34" s="35"/>
      <c r="C34" s="78">
        <v>5178218</v>
      </c>
      <c r="D34" s="104">
        <f t="shared" ref="D34" si="504">(+C34-+C33)*48</f>
        <v>83328</v>
      </c>
      <c r="E34" s="38">
        <f t="shared" si="7"/>
        <v>49996.799999999996</v>
      </c>
      <c r="F34" s="104">
        <f t="shared" si="8"/>
        <v>33331.200000000004</v>
      </c>
      <c r="G34" s="78">
        <v>270096</v>
      </c>
      <c r="H34" s="104">
        <f t="shared" si="0"/>
        <v>1152</v>
      </c>
      <c r="I34" s="78">
        <v>54573</v>
      </c>
      <c r="J34" s="38">
        <f t="shared" si="1"/>
        <v>7824</v>
      </c>
      <c r="K34" s="78">
        <v>254126</v>
      </c>
      <c r="L34" s="104">
        <f t="shared" si="2"/>
        <v>0</v>
      </c>
      <c r="M34" s="78">
        <v>24347</v>
      </c>
      <c r="N34" s="38">
        <f t="shared" si="3"/>
        <v>0</v>
      </c>
      <c r="O34" s="78">
        <v>190629</v>
      </c>
      <c r="P34" s="38">
        <f t="shared" ref="P34" si="505">(+O34-+O33)*48</f>
        <v>6624</v>
      </c>
      <c r="Q34" s="78">
        <v>428438</v>
      </c>
      <c r="R34" s="104">
        <f t="shared" ref="R34" si="506">(+Q34-+Q33)*48</f>
        <v>288</v>
      </c>
      <c r="S34" s="78">
        <v>671402</v>
      </c>
      <c r="T34" s="104">
        <f t="shared" ref="T34" si="507">(+S34-+S33)*48</f>
        <v>6912</v>
      </c>
      <c r="U34" s="78">
        <v>91313.322</v>
      </c>
      <c r="V34" s="104">
        <f t="shared" ref="V34" si="508">(+U34-+U33)*48</f>
        <v>862.84799999976531</v>
      </c>
      <c r="W34" s="78">
        <v>76016</v>
      </c>
      <c r="X34" s="104">
        <f t="shared" ref="X34" si="509">(+W34-+W33)*48</f>
        <v>480</v>
      </c>
      <c r="Y34" s="78">
        <v>1462934</v>
      </c>
      <c r="Z34" s="104">
        <f t="shared" ref="Z34" si="510">(+Y34-+Y33)*48</f>
        <v>7344</v>
      </c>
      <c r="AA34" s="78">
        <v>13166</v>
      </c>
      <c r="AB34" s="104">
        <f t="shared" ref="AB34" si="511">(+AA34-+AA33)*48</f>
        <v>0</v>
      </c>
      <c r="AC34" s="78">
        <v>415907</v>
      </c>
      <c r="AD34" s="104">
        <f t="shared" si="16"/>
        <v>2640</v>
      </c>
      <c r="AE34" s="78">
        <v>488854</v>
      </c>
      <c r="AF34" s="104">
        <f t="shared" si="16"/>
        <v>7200</v>
      </c>
      <c r="AG34" s="78">
        <v>48109</v>
      </c>
      <c r="AH34" s="104">
        <f t="shared" ref="AH34" si="512">(+AG34-+AG33)*48</f>
        <v>240</v>
      </c>
      <c r="AI34" s="78">
        <v>378780</v>
      </c>
      <c r="AJ34" s="104">
        <f t="shared" ref="AJ34" si="513">(+AI34-+AI33)*48</f>
        <v>2688</v>
      </c>
      <c r="AK34" s="78">
        <v>102371</v>
      </c>
      <c r="AL34" s="104">
        <f t="shared" ref="AL34" si="514">(+AK34-+AK33)*48</f>
        <v>0</v>
      </c>
      <c r="AM34" s="78">
        <v>535018</v>
      </c>
      <c r="AN34" s="104">
        <f t="shared" ref="AN34" si="515">(+AM34-+AM33)*48</f>
        <v>6480</v>
      </c>
      <c r="AO34" s="78">
        <v>858336</v>
      </c>
      <c r="AP34" s="104">
        <f t="shared" ref="AP34" si="516">(+AO34-+AO33)*48</f>
        <v>10416</v>
      </c>
      <c r="AQ34" s="78">
        <v>60641</v>
      </c>
      <c r="AR34" s="104">
        <f t="shared" ref="AR34" si="517">(+AQ34-+AQ33)*48</f>
        <v>6768</v>
      </c>
      <c r="AS34" s="78">
        <v>2204</v>
      </c>
      <c r="AT34" s="104">
        <f t="shared" ref="AT34" si="518">(+AS34-+AS33)*48</f>
        <v>0</v>
      </c>
      <c r="AU34" s="78">
        <v>918</v>
      </c>
      <c r="AV34" s="104">
        <f t="shared" ref="AV34" si="519">(+AU34-+AU33)*48</f>
        <v>0</v>
      </c>
      <c r="AW34" s="78">
        <v>3075</v>
      </c>
      <c r="AX34" s="104">
        <f t="shared" ref="AX34" si="520">(+AW34-+AW33)*48</f>
        <v>0</v>
      </c>
      <c r="AY34" s="78">
        <v>285916</v>
      </c>
      <c r="AZ34" s="104">
        <f t="shared" ref="AZ34" si="521">(+AY34-+AY33)*48</f>
        <v>3792</v>
      </c>
      <c r="BA34" s="78">
        <v>160167</v>
      </c>
      <c r="BB34" s="104">
        <f t="shared" ref="BB34" si="522">(+BA34-+BA33)*48</f>
        <v>0</v>
      </c>
      <c r="BC34" s="78">
        <v>195467</v>
      </c>
      <c r="BD34" s="104">
        <f t="shared" ref="BD34" si="523">(+BC34-+BC33)*48</f>
        <v>2880</v>
      </c>
      <c r="BE34" s="78">
        <v>5335</v>
      </c>
      <c r="BF34" s="104">
        <f t="shared" ref="BF34" si="524">(+BE34-+BE33)*48</f>
        <v>0</v>
      </c>
      <c r="BH34" s="105">
        <f t="shared" si="4"/>
        <v>94251.647999999754</v>
      </c>
      <c r="BI34" s="105">
        <f t="shared" si="5"/>
        <v>63667.200000000004</v>
      </c>
    </row>
    <row r="35" spans="1:61" s="36" customFormat="1" ht="39.950000000000003" customHeight="1">
      <c r="A35" s="145">
        <v>43917</v>
      </c>
      <c r="B35" s="35"/>
      <c r="C35" s="78">
        <v>5179556</v>
      </c>
      <c r="D35" s="104">
        <f t="shared" ref="D35" si="525">(+C35-+C34)*48</f>
        <v>64224</v>
      </c>
      <c r="E35" s="38">
        <f t="shared" si="7"/>
        <v>38534.400000000001</v>
      </c>
      <c r="F35" s="104">
        <f t="shared" si="8"/>
        <v>25689.600000000002</v>
      </c>
      <c r="G35" s="78">
        <v>270120</v>
      </c>
      <c r="H35" s="104">
        <f t="shared" si="0"/>
        <v>927.99999999906868</v>
      </c>
      <c r="I35" s="78">
        <v>54736</v>
      </c>
      <c r="J35" s="38">
        <f t="shared" si="1"/>
        <v>7855.9999999998836</v>
      </c>
      <c r="K35" s="78">
        <v>254126</v>
      </c>
      <c r="L35" s="104">
        <f t="shared" si="2"/>
        <v>192</v>
      </c>
      <c r="M35" s="78">
        <v>24347</v>
      </c>
      <c r="N35" s="38">
        <f t="shared" si="3"/>
        <v>0</v>
      </c>
      <c r="O35" s="78">
        <v>190742</v>
      </c>
      <c r="P35" s="38">
        <f t="shared" ref="P35" si="526">(+O35-+O34)*48</f>
        <v>5424</v>
      </c>
      <c r="Q35" s="78">
        <v>428451</v>
      </c>
      <c r="R35" s="104">
        <f t="shared" ref="R35" si="527">(+Q35-+Q34)*48</f>
        <v>624</v>
      </c>
      <c r="S35" s="78">
        <v>671530</v>
      </c>
      <c r="T35" s="104">
        <f t="shared" ref="T35" si="528">(+S35-+S34)*48</f>
        <v>6144</v>
      </c>
      <c r="U35" s="78">
        <v>91329.926999999996</v>
      </c>
      <c r="V35" s="104">
        <f t="shared" ref="V35" si="529">(+U35-+U34)*48</f>
        <v>797.03999999980442</v>
      </c>
      <c r="W35" s="78">
        <v>76041</v>
      </c>
      <c r="X35" s="104">
        <f t="shared" ref="X35" si="530">(+W35-+W34)*48</f>
        <v>1200</v>
      </c>
      <c r="Y35" s="78">
        <v>1463058</v>
      </c>
      <c r="Z35" s="104">
        <f t="shared" ref="Z35" si="531">(+Y35-+Y34)*48</f>
        <v>5952</v>
      </c>
      <c r="AA35" s="78">
        <v>13166</v>
      </c>
      <c r="AB35" s="104">
        <f t="shared" ref="AB35" si="532">(+AA35-+AA34)*48</f>
        <v>0</v>
      </c>
      <c r="AC35" s="78">
        <v>415960</v>
      </c>
      <c r="AD35" s="104">
        <f t="shared" si="16"/>
        <v>2544</v>
      </c>
      <c r="AE35" s="78">
        <v>489005</v>
      </c>
      <c r="AF35" s="104">
        <f t="shared" si="16"/>
        <v>7248</v>
      </c>
      <c r="AG35" s="78">
        <v>48113</v>
      </c>
      <c r="AH35" s="104">
        <f t="shared" ref="AH35" si="533">(+AG35-+AG34)*48</f>
        <v>192</v>
      </c>
      <c r="AI35" s="78">
        <v>378837</v>
      </c>
      <c r="AJ35" s="104">
        <f t="shared" ref="AJ35" si="534">(+AI35-+AI34)*48</f>
        <v>2736</v>
      </c>
      <c r="AK35" s="78">
        <v>102371</v>
      </c>
      <c r="AL35" s="104">
        <f t="shared" ref="AL35" si="535">(+AK35-+AK34)*48</f>
        <v>0</v>
      </c>
      <c r="AM35" s="78">
        <v>535145</v>
      </c>
      <c r="AN35" s="104">
        <f t="shared" ref="AN35" si="536">(+AM35-+AM34)*48</f>
        <v>6096</v>
      </c>
      <c r="AO35" s="78">
        <v>858547</v>
      </c>
      <c r="AP35" s="104">
        <f t="shared" ref="AP35" si="537">(+AO35-+AO34)*48</f>
        <v>10128</v>
      </c>
      <c r="AQ35" s="78">
        <v>60753</v>
      </c>
      <c r="AR35" s="104">
        <f t="shared" ref="AR35" si="538">(+AQ35-+AQ34)*48</f>
        <v>5376</v>
      </c>
      <c r="AS35" s="78">
        <v>2204</v>
      </c>
      <c r="AT35" s="104">
        <f t="shared" ref="AT35" si="539">(+AS35-+AS34)*48</f>
        <v>0</v>
      </c>
      <c r="AU35" s="78">
        <v>918</v>
      </c>
      <c r="AV35" s="104">
        <f t="shared" ref="AV35" si="540">(+AU35-+AU34)*48</f>
        <v>0</v>
      </c>
      <c r="AW35" s="78">
        <v>3075</v>
      </c>
      <c r="AX35" s="104">
        <f t="shared" ref="AX35" si="541">(+AW35-+AW34)*48</f>
        <v>0</v>
      </c>
      <c r="AY35" s="78">
        <v>285993</v>
      </c>
      <c r="AZ35" s="104">
        <f t="shared" ref="AZ35" si="542">(+AY35-+AY34)*48</f>
        <v>3696</v>
      </c>
      <c r="BA35" s="78">
        <v>160167</v>
      </c>
      <c r="BB35" s="104">
        <f t="shared" ref="BB35" si="543">(+BA35-+BA34)*48</f>
        <v>0</v>
      </c>
      <c r="BC35" s="83">
        <f>(BC37-BC34)/3+BC34</f>
        <v>195525</v>
      </c>
      <c r="BD35" s="104">
        <f t="shared" ref="BD35" si="544">(+BC35-+BC34)*48</f>
        <v>2784</v>
      </c>
      <c r="BE35" s="78">
        <v>5335</v>
      </c>
      <c r="BF35" s="104">
        <f t="shared" ref="BF35" si="545">(+BE35-+BE34)*48</f>
        <v>0</v>
      </c>
      <c r="BH35" s="105">
        <f t="shared" si="4"/>
        <v>80371.439999998751</v>
      </c>
      <c r="BI35" s="105">
        <f t="shared" si="5"/>
        <v>53769.600000000006</v>
      </c>
    </row>
    <row r="36" spans="1:61" s="36" customFormat="1" ht="39.950000000000003" customHeight="1">
      <c r="A36" s="145">
        <v>43918</v>
      </c>
      <c r="B36" s="35"/>
      <c r="C36" s="83">
        <f>(C38-C35)/3+C35</f>
        <v>5180904.666666667</v>
      </c>
      <c r="D36" s="104">
        <f t="shared" ref="D36" si="546">(+C36-+C35)*48</f>
        <v>64736.000000014901</v>
      </c>
      <c r="E36" s="38">
        <f t="shared" si="7"/>
        <v>38841.600000008941</v>
      </c>
      <c r="F36" s="104">
        <f t="shared" si="8"/>
        <v>25894.40000000596</v>
      </c>
      <c r="G36" s="83">
        <f>(G38-G35)/3+G35</f>
        <v>270139.33333333331</v>
      </c>
      <c r="H36" s="104">
        <f t="shared" si="0"/>
        <v>927.99999999906868</v>
      </c>
      <c r="I36" s="83">
        <f>(I38-I35)/3+I35</f>
        <v>54899.666666666664</v>
      </c>
      <c r="J36" s="38">
        <f t="shared" si="1"/>
        <v>7855.9999999998836</v>
      </c>
      <c r="K36" s="83">
        <f>(K38-K35)/3+K35</f>
        <v>254130</v>
      </c>
      <c r="L36" s="104">
        <f t="shared" si="2"/>
        <v>192</v>
      </c>
      <c r="M36" s="83">
        <f>(M38-M35)/3+M35</f>
        <v>24347</v>
      </c>
      <c r="N36" s="38">
        <f t="shared" si="3"/>
        <v>0</v>
      </c>
      <c r="O36" s="83">
        <f>(O38-O35)/3+O35</f>
        <v>190878.66666666666</v>
      </c>
      <c r="P36" s="38">
        <f t="shared" ref="P36:P38" si="547">(+O36-+O35)*48</f>
        <v>6559.9999999995343</v>
      </c>
      <c r="Q36" s="83">
        <f>(Q38-Q35)/3+Q35</f>
        <v>428455</v>
      </c>
      <c r="R36" s="104">
        <f t="shared" ref="R36:R38" si="548">(+Q36-+Q35)*48</f>
        <v>192</v>
      </c>
      <c r="S36" s="83">
        <f>(S38-S35)/3+S35</f>
        <v>671657.33333333337</v>
      </c>
      <c r="T36" s="104">
        <f t="shared" ref="T36:T38" si="549">(+S36-+S35)*48</f>
        <v>6112.0000000018626</v>
      </c>
      <c r="U36" s="83">
        <f>(U38-U35)/3+U35</f>
        <v>91344.381666666668</v>
      </c>
      <c r="V36" s="104">
        <f t="shared" ref="V36:V38" si="550">(+U36-+U35)*48</f>
        <v>693.82400000025518</v>
      </c>
      <c r="W36" s="83">
        <f>(W38-W35)/3+W35</f>
        <v>76053</v>
      </c>
      <c r="X36" s="104">
        <f t="shared" ref="X36:X38" si="551">(+W36-+W35)*48</f>
        <v>576</v>
      </c>
      <c r="Y36" s="83">
        <f>(Y38-Y35)/3+Y35</f>
        <v>1463212.3333333333</v>
      </c>
      <c r="Z36" s="104">
        <f t="shared" ref="Z36:Z38" si="552">(+Y36-+Y35)*48</f>
        <v>7407.9999999962747</v>
      </c>
      <c r="AA36" s="83">
        <f>(AA38-AA35)/3+AA35</f>
        <v>13166</v>
      </c>
      <c r="AB36" s="104">
        <f t="shared" ref="AB36:AB38" si="553">(+AA36-+AA35)*48</f>
        <v>0</v>
      </c>
      <c r="AC36" s="83">
        <f>(AC38-AC35)/3+AC35</f>
        <v>416011</v>
      </c>
      <c r="AD36" s="104">
        <f t="shared" si="16"/>
        <v>2448</v>
      </c>
      <c r="AE36" s="83">
        <f>(AE38-AE35)/3+AE35</f>
        <v>489155</v>
      </c>
      <c r="AF36" s="104">
        <f t="shared" si="16"/>
        <v>7200</v>
      </c>
      <c r="AG36" s="83">
        <f>(AG38-AG35)/3+AG35</f>
        <v>48117.666666666664</v>
      </c>
      <c r="AH36" s="104">
        <f t="shared" ref="AH36:AH38" si="554">(+AG36-+AG35)*48</f>
        <v>223.99999999988358</v>
      </c>
      <c r="AI36" s="83">
        <f>(AI38-AI35)/3+AI35</f>
        <v>378892.66666666669</v>
      </c>
      <c r="AJ36" s="104">
        <f t="shared" ref="AJ36:AJ38" si="555">(+AI36-+AI35)*48</f>
        <v>2672.0000000009313</v>
      </c>
      <c r="AK36" s="78">
        <v>102371</v>
      </c>
      <c r="AL36" s="104">
        <f t="shared" ref="AL36:AL38" si="556">(+AK36-+AK35)*48</f>
        <v>0</v>
      </c>
      <c r="AM36" s="83">
        <f>(AM38-AM35)/3+AM35</f>
        <v>535283.33333333337</v>
      </c>
      <c r="AN36" s="104">
        <f t="shared" ref="AN36:AN38" si="557">(+AM36-+AM35)*48</f>
        <v>6640.0000000018626</v>
      </c>
      <c r="AO36" s="83">
        <f>(AO38-AO35)/3+AO35</f>
        <v>858759.66666666663</v>
      </c>
      <c r="AP36" s="104">
        <f t="shared" ref="AP36:AP38" si="558">(+AO36-+AO35)*48</f>
        <v>10207.999999998137</v>
      </c>
      <c r="AQ36" s="83">
        <f>(AQ38-AQ35)/3+AQ35</f>
        <v>60912.333333333336</v>
      </c>
      <c r="AR36" s="104">
        <f t="shared" ref="AR36:AR38" si="559">(+AQ36-+AQ35)*48</f>
        <v>7648.0000000001164</v>
      </c>
      <c r="AS36" s="83">
        <f>(AS38-AS35)/3+AS35</f>
        <v>2204</v>
      </c>
      <c r="AT36" s="104">
        <f t="shared" ref="AT36:AT38" si="560">(+AS36-+AS35)*48</f>
        <v>0</v>
      </c>
      <c r="AU36" s="78">
        <v>918</v>
      </c>
      <c r="AV36" s="104">
        <f t="shared" ref="AV36:AV38" si="561">(+AU36-+AU35)*48</f>
        <v>0</v>
      </c>
      <c r="AW36" s="78">
        <v>3075</v>
      </c>
      <c r="AX36" s="104">
        <f t="shared" ref="AX36:AX38" si="562">(+AW36-+AW35)*48</f>
        <v>0</v>
      </c>
      <c r="AY36" s="83">
        <f>(AY38-AY35)/3+AY35</f>
        <v>286070.33333333331</v>
      </c>
      <c r="AZ36" s="104">
        <f t="shared" ref="AZ36:AZ38" si="563">(+AY36-+AY35)*48</f>
        <v>3711.9999999990687</v>
      </c>
      <c r="BA36" s="78">
        <v>160167</v>
      </c>
      <c r="BB36" s="104">
        <f t="shared" ref="BB36:BB38" si="564">(+BA36-+BA35)*48</f>
        <v>0</v>
      </c>
      <c r="BC36" s="83">
        <f>(BC37-BC34)/3+BC35</f>
        <v>195583</v>
      </c>
      <c r="BD36" s="104">
        <f t="shared" ref="BD36:BD38" si="565">(+BC36-+BC35)*48</f>
        <v>2784</v>
      </c>
      <c r="BE36" s="78">
        <v>5335</v>
      </c>
      <c r="BF36" s="104">
        <f t="shared" ref="H36:BF39" si="566">(+BE36-+BE35)*48</f>
        <v>0</v>
      </c>
      <c r="BH36" s="105">
        <f t="shared" si="4"/>
        <v>81903.424000006635</v>
      </c>
      <c r="BI36" s="105">
        <f t="shared" si="5"/>
        <v>56886.400000005146</v>
      </c>
    </row>
    <row r="37" spans="1:61" s="36" customFormat="1" ht="39.950000000000003" customHeight="1">
      <c r="A37" s="145">
        <v>43919</v>
      </c>
      <c r="B37" s="35"/>
      <c r="C37" s="83">
        <f>(C38-C35)/3+C36</f>
        <v>5182253.333333334</v>
      </c>
      <c r="D37" s="104">
        <f t="shared" ref="D37:D38" si="567">(+C37-+C36)*48</f>
        <v>64736.000000014901</v>
      </c>
      <c r="E37" s="38">
        <f t="shared" si="7"/>
        <v>38841.600000008941</v>
      </c>
      <c r="F37" s="104">
        <f t="shared" ref="F37:F38" si="568">D37*0.4</f>
        <v>25894.40000000596</v>
      </c>
      <c r="G37" s="83">
        <f>(G38-G35)/3+G36</f>
        <v>270158.66666666663</v>
      </c>
      <c r="H37" s="104">
        <f t="shared" si="0"/>
        <v>928.00000000186265</v>
      </c>
      <c r="I37" s="83">
        <f>(I38-I35)/3+I36</f>
        <v>55063.333333333328</v>
      </c>
      <c r="J37" s="38">
        <f t="shared" si="1"/>
        <v>7856.0000000002328</v>
      </c>
      <c r="K37" s="83">
        <f>(K38-K35)/3+K36</f>
        <v>254134</v>
      </c>
      <c r="L37" s="104">
        <f t="shared" si="2"/>
        <v>192</v>
      </c>
      <c r="M37" s="83">
        <f>(M38-M35)/3+M36</f>
        <v>24347</v>
      </c>
      <c r="N37" s="38">
        <f t="shared" si="3"/>
        <v>0</v>
      </c>
      <c r="O37" s="83">
        <f>(O38-O35)/3+O36</f>
        <v>191015.33333333331</v>
      </c>
      <c r="P37" s="38">
        <f t="shared" si="547"/>
        <v>6559.9999999995343</v>
      </c>
      <c r="Q37" s="83">
        <f>(Q38-Q35)/3+Q36</f>
        <v>428459</v>
      </c>
      <c r="R37" s="104">
        <f t="shared" si="548"/>
        <v>192</v>
      </c>
      <c r="S37" s="83">
        <f>(S38-S35)/3+S36</f>
        <v>671784.66666666674</v>
      </c>
      <c r="T37" s="104">
        <f t="shared" si="549"/>
        <v>6112.0000000018626</v>
      </c>
      <c r="U37" s="83">
        <f>(U38-U35)/3+U36</f>
        <v>91358.83633333334</v>
      </c>
      <c r="V37" s="104">
        <f t="shared" si="550"/>
        <v>693.82400000025518</v>
      </c>
      <c r="W37" s="83">
        <f>(W38-W35)/3+W36</f>
        <v>76065</v>
      </c>
      <c r="X37" s="104">
        <f t="shared" si="551"/>
        <v>576</v>
      </c>
      <c r="Y37" s="83">
        <f>(Y38-Y35)/3+Y36</f>
        <v>1463366.6666666665</v>
      </c>
      <c r="Z37" s="104">
        <f t="shared" si="552"/>
        <v>7407.9999999962747</v>
      </c>
      <c r="AA37" s="83">
        <f>(AA38-AA35)/3+AA36</f>
        <v>13166</v>
      </c>
      <c r="AB37" s="104">
        <f t="shared" si="553"/>
        <v>0</v>
      </c>
      <c r="AC37" s="83">
        <f>(AC38-AC35)/3+AC36</f>
        <v>416062</v>
      </c>
      <c r="AD37" s="104">
        <f t="shared" si="16"/>
        <v>2448</v>
      </c>
      <c r="AE37" s="83">
        <f>(AE38-AE35)/3+AE36</f>
        <v>489305</v>
      </c>
      <c r="AF37" s="104">
        <f t="shared" si="16"/>
        <v>7200</v>
      </c>
      <c r="AG37" s="83">
        <f>(AG38-AG35)/3+AG36</f>
        <v>48122.333333333328</v>
      </c>
      <c r="AH37" s="104">
        <f t="shared" si="554"/>
        <v>223.99999999988358</v>
      </c>
      <c r="AI37" s="83">
        <f>(AI38-AI35)/3+AI36</f>
        <v>378948.33333333337</v>
      </c>
      <c r="AJ37" s="104">
        <f t="shared" si="555"/>
        <v>2672.0000000009313</v>
      </c>
      <c r="AK37" s="78">
        <v>102371</v>
      </c>
      <c r="AL37" s="104">
        <f t="shared" si="556"/>
        <v>0</v>
      </c>
      <c r="AM37" s="83">
        <f>(AM38-AM35)/3+AM36</f>
        <v>535421.66666666674</v>
      </c>
      <c r="AN37" s="104">
        <f t="shared" si="557"/>
        <v>6640.0000000018626</v>
      </c>
      <c r="AO37" s="83">
        <f>(AO38-AO35)/3+AO36</f>
        <v>858972.33333333326</v>
      </c>
      <c r="AP37" s="104">
        <f t="shared" si="558"/>
        <v>10207.999999998137</v>
      </c>
      <c r="AQ37" s="83">
        <f>(AQ38-AQ35)/3+AQ36</f>
        <v>61071.666666666672</v>
      </c>
      <c r="AR37" s="104">
        <f t="shared" si="559"/>
        <v>7648.0000000001164</v>
      </c>
      <c r="AS37" s="83">
        <f>(AS38-AS35)/3+AS36</f>
        <v>2204</v>
      </c>
      <c r="AT37" s="104">
        <f t="shared" si="560"/>
        <v>0</v>
      </c>
      <c r="AU37" s="78">
        <v>918</v>
      </c>
      <c r="AV37" s="104">
        <f t="shared" si="561"/>
        <v>0</v>
      </c>
      <c r="AW37" s="78">
        <v>3075</v>
      </c>
      <c r="AX37" s="104">
        <f t="shared" si="562"/>
        <v>0</v>
      </c>
      <c r="AY37" s="83">
        <f>(AY38-AY35)/3+AY36</f>
        <v>286147.66666666663</v>
      </c>
      <c r="AZ37" s="104">
        <f t="shared" si="563"/>
        <v>3711.9999999990687</v>
      </c>
      <c r="BA37" s="78">
        <v>160167</v>
      </c>
      <c r="BB37" s="104">
        <f t="shared" si="564"/>
        <v>0</v>
      </c>
      <c r="BC37" s="78">
        <v>195641</v>
      </c>
      <c r="BD37" s="104">
        <f t="shared" si="565"/>
        <v>2784</v>
      </c>
      <c r="BE37" s="78">
        <v>5335</v>
      </c>
      <c r="BF37" s="104">
        <f t="shared" si="566"/>
        <v>0</v>
      </c>
      <c r="BH37" s="105">
        <f t="shared" ref="BH37:BH38" si="569">SUM(E37,J37,P37,H37,L37,R37,T37,V37,X37,N37,AB37,Z37,AD37,AF37,AH37,AL37,AJ37)</f>
        <v>81903.424000009778</v>
      </c>
      <c r="BI37" s="105">
        <f t="shared" ref="BI37:BI38" si="570">SUM(F37,AN37,AP37,AT37,AV37,AX37,AR37,AZ37,BB37,BD37,BF37)</f>
        <v>56886.400000005146</v>
      </c>
    </row>
    <row r="38" spans="1:61" s="36" customFormat="1" ht="39.950000000000003" customHeight="1">
      <c r="A38" s="145">
        <v>43920</v>
      </c>
      <c r="B38" s="35"/>
      <c r="C38" s="78">
        <v>5183602</v>
      </c>
      <c r="D38" s="104">
        <f t="shared" si="567"/>
        <v>64735.999999970198</v>
      </c>
      <c r="E38" s="38">
        <f t="shared" si="7"/>
        <v>38841.599999982114</v>
      </c>
      <c r="F38" s="104">
        <f t="shared" si="568"/>
        <v>25894.39999998808</v>
      </c>
      <c r="G38" s="78">
        <v>270178</v>
      </c>
      <c r="H38" s="104">
        <f t="shared" si="0"/>
        <v>1104</v>
      </c>
      <c r="I38" s="78">
        <v>55227</v>
      </c>
      <c r="J38" s="38">
        <f t="shared" si="1"/>
        <v>7584</v>
      </c>
      <c r="K38" s="78">
        <v>254138</v>
      </c>
      <c r="L38" s="104">
        <f t="shared" si="2"/>
        <v>0</v>
      </c>
      <c r="M38" s="78">
        <v>24347</v>
      </c>
      <c r="N38" s="38">
        <f t="shared" si="3"/>
        <v>0</v>
      </c>
      <c r="O38" s="78">
        <v>191152</v>
      </c>
      <c r="P38" s="38">
        <f t="shared" si="547"/>
        <v>6560.0000000009313</v>
      </c>
      <c r="Q38" s="78">
        <v>428463</v>
      </c>
      <c r="R38" s="104">
        <f t="shared" si="548"/>
        <v>192</v>
      </c>
      <c r="S38" s="78">
        <v>671912</v>
      </c>
      <c r="T38" s="104">
        <f t="shared" si="549"/>
        <v>6111.9999999962747</v>
      </c>
      <c r="U38" s="78">
        <v>91373.290999999997</v>
      </c>
      <c r="V38" s="104">
        <f t="shared" si="550"/>
        <v>693.82399999955669</v>
      </c>
      <c r="W38" s="78">
        <v>76077</v>
      </c>
      <c r="X38" s="104">
        <f t="shared" si="551"/>
        <v>576</v>
      </c>
      <c r="Y38" s="78">
        <v>1463521</v>
      </c>
      <c r="Z38" s="104">
        <f t="shared" si="552"/>
        <v>7408.0000000074506</v>
      </c>
      <c r="AA38" s="78">
        <v>13166</v>
      </c>
      <c r="AB38" s="104">
        <f t="shared" si="553"/>
        <v>0</v>
      </c>
      <c r="AC38" s="78">
        <v>416113</v>
      </c>
      <c r="AD38" s="104">
        <f t="shared" ref="AD38" si="571">(+AC38-+AC37)*48</f>
        <v>2448</v>
      </c>
      <c r="AE38" s="78">
        <v>489455</v>
      </c>
      <c r="AF38" s="104">
        <f t="shared" ref="AF38" si="572">(+AE38-+AE37)*48</f>
        <v>7200</v>
      </c>
      <c r="AG38" s="78">
        <v>48127</v>
      </c>
      <c r="AH38" s="104">
        <f t="shared" si="554"/>
        <v>224.00000000023283</v>
      </c>
      <c r="AI38" s="78">
        <v>379004</v>
      </c>
      <c r="AJ38" s="104">
        <f t="shared" si="555"/>
        <v>2671.9999999981374</v>
      </c>
      <c r="AK38" s="78">
        <v>102371</v>
      </c>
      <c r="AL38" s="104">
        <f t="shared" si="556"/>
        <v>0</v>
      </c>
      <c r="AM38" s="78">
        <v>535560</v>
      </c>
      <c r="AN38" s="104">
        <f t="shared" si="557"/>
        <v>6639.9999999962747</v>
      </c>
      <c r="AO38" s="78">
        <v>859185</v>
      </c>
      <c r="AP38" s="104">
        <f t="shared" si="558"/>
        <v>10208.000000003725</v>
      </c>
      <c r="AQ38" s="78">
        <v>61231</v>
      </c>
      <c r="AR38" s="104">
        <f t="shared" si="559"/>
        <v>7647.9999999997672</v>
      </c>
      <c r="AS38" s="78">
        <v>2204</v>
      </c>
      <c r="AT38" s="104">
        <f t="shared" si="560"/>
        <v>0</v>
      </c>
      <c r="AU38" s="78">
        <v>918</v>
      </c>
      <c r="AV38" s="104">
        <f t="shared" si="561"/>
        <v>0</v>
      </c>
      <c r="AW38" s="78">
        <v>3075</v>
      </c>
      <c r="AX38" s="104">
        <f t="shared" si="562"/>
        <v>0</v>
      </c>
      <c r="AY38" s="78">
        <v>286225</v>
      </c>
      <c r="AZ38" s="104">
        <f t="shared" si="563"/>
        <v>3712.0000000018626</v>
      </c>
      <c r="BA38" s="78">
        <v>160167</v>
      </c>
      <c r="BB38" s="104">
        <f t="shared" si="564"/>
        <v>0</v>
      </c>
      <c r="BC38" s="78">
        <v>195705</v>
      </c>
      <c r="BD38" s="104">
        <f t="shared" si="565"/>
        <v>3072</v>
      </c>
      <c r="BE38" s="78">
        <v>5335</v>
      </c>
      <c r="BF38" s="104">
        <f t="shared" si="566"/>
        <v>0</v>
      </c>
      <c r="BH38" s="105">
        <f t="shared" si="569"/>
        <v>81615.42399998469</v>
      </c>
      <c r="BI38" s="105">
        <f t="shared" si="570"/>
        <v>57174.399999989706</v>
      </c>
    </row>
    <row r="39" spans="1:61" s="36" customFormat="1" ht="39.950000000000003" customHeight="1">
      <c r="A39" s="145">
        <v>43921</v>
      </c>
      <c r="B39" s="35"/>
      <c r="C39" s="77">
        <v>5185564</v>
      </c>
      <c r="D39" s="104">
        <f t="shared" ref="D39" si="573">(+C39-+C38)*48</f>
        <v>94176</v>
      </c>
      <c r="E39" s="38">
        <f t="shared" ref="E39" si="574">D39*0.6</f>
        <v>56505.599999999999</v>
      </c>
      <c r="F39" s="104">
        <f t="shared" ref="F39" si="575">D39*0.4</f>
        <v>37670.400000000001</v>
      </c>
      <c r="G39" s="78">
        <v>270201</v>
      </c>
      <c r="H39" s="104">
        <f t="shared" si="566"/>
        <v>1104</v>
      </c>
      <c r="I39" s="78">
        <v>55385</v>
      </c>
      <c r="J39" s="104">
        <f t="shared" si="566"/>
        <v>7584</v>
      </c>
      <c r="K39" s="78">
        <v>254138</v>
      </c>
      <c r="L39" s="104">
        <f t="shared" si="566"/>
        <v>0</v>
      </c>
      <c r="M39" s="78">
        <v>24347</v>
      </c>
      <c r="N39" s="104">
        <f t="shared" si="566"/>
        <v>0</v>
      </c>
      <c r="O39" s="77">
        <v>191262</v>
      </c>
      <c r="P39" s="104">
        <f t="shared" si="566"/>
        <v>5280</v>
      </c>
      <c r="Q39" s="77">
        <v>428463</v>
      </c>
      <c r="R39" s="104">
        <f t="shared" si="566"/>
        <v>0</v>
      </c>
      <c r="S39" s="77">
        <v>672040</v>
      </c>
      <c r="T39" s="104">
        <f t="shared" si="566"/>
        <v>6144</v>
      </c>
      <c r="U39" s="77">
        <v>91385.922000000006</v>
      </c>
      <c r="V39" s="104">
        <f t="shared" si="566"/>
        <v>606.28800000040792</v>
      </c>
      <c r="W39" s="77">
        <v>76077</v>
      </c>
      <c r="X39" s="104">
        <f t="shared" si="566"/>
        <v>0</v>
      </c>
      <c r="Y39" s="77">
        <v>1463752</v>
      </c>
      <c r="Z39" s="104">
        <f t="shared" si="566"/>
        <v>11088</v>
      </c>
      <c r="AA39" s="77">
        <v>13166</v>
      </c>
      <c r="AB39" s="104">
        <f t="shared" si="566"/>
        <v>0</v>
      </c>
      <c r="AC39" s="77">
        <v>416172</v>
      </c>
      <c r="AD39" s="104">
        <f t="shared" si="566"/>
        <v>2832</v>
      </c>
      <c r="AE39" s="77">
        <v>489613</v>
      </c>
      <c r="AF39" s="104">
        <f t="shared" si="566"/>
        <v>7584</v>
      </c>
      <c r="AG39" s="77">
        <v>48132</v>
      </c>
      <c r="AH39" s="104">
        <f t="shared" si="566"/>
        <v>240</v>
      </c>
      <c r="AI39" s="77">
        <v>379061</v>
      </c>
      <c r="AJ39" s="104">
        <f t="shared" si="566"/>
        <v>2736</v>
      </c>
      <c r="AK39" s="78">
        <v>102371</v>
      </c>
      <c r="AL39" s="104">
        <f t="shared" si="566"/>
        <v>0</v>
      </c>
      <c r="AM39" s="77">
        <v>535703</v>
      </c>
      <c r="AN39" s="104">
        <f t="shared" si="566"/>
        <v>6864</v>
      </c>
      <c r="AO39" s="77">
        <v>859403</v>
      </c>
      <c r="AP39" s="104">
        <f t="shared" si="566"/>
        <v>10464</v>
      </c>
      <c r="AQ39" s="77">
        <v>61424</v>
      </c>
      <c r="AR39" s="104">
        <f t="shared" si="566"/>
        <v>9264</v>
      </c>
      <c r="AS39" s="78">
        <v>2204</v>
      </c>
      <c r="AT39" s="104">
        <f t="shared" si="566"/>
        <v>0</v>
      </c>
      <c r="AU39" s="78">
        <v>918</v>
      </c>
      <c r="AV39" s="104">
        <f t="shared" si="566"/>
        <v>0</v>
      </c>
      <c r="AW39" s="78">
        <v>3075</v>
      </c>
      <c r="AX39" s="104">
        <f t="shared" si="566"/>
        <v>0</v>
      </c>
      <c r="AY39" s="77">
        <v>286305</v>
      </c>
      <c r="AZ39" s="104">
        <f t="shared" si="566"/>
        <v>3840</v>
      </c>
      <c r="BA39" s="78">
        <v>160167</v>
      </c>
      <c r="BB39" s="104">
        <f t="shared" si="566"/>
        <v>0</v>
      </c>
      <c r="BC39" s="77">
        <v>195832</v>
      </c>
      <c r="BD39" s="104">
        <f t="shared" si="566"/>
        <v>6096</v>
      </c>
      <c r="BE39" s="78">
        <v>5335</v>
      </c>
      <c r="BF39" s="104">
        <f t="shared" si="566"/>
        <v>0</v>
      </c>
      <c r="BH39" s="105">
        <f t="shared" ref="BH39" si="576">SUM(E39,J39,P39,H39,L39,R39,T39,V39,X39,N39,AB39,Z39,AD39,AF39,AH39,AL39,AJ39)</f>
        <v>101703.88800000041</v>
      </c>
      <c r="BI39" s="105">
        <f t="shared" ref="BI39" si="577">SUM(F39,AN39,AP39,AT39,AV39,AX39,AR39,AZ39,BB39,BD39,BF39)</f>
        <v>74198.399999999994</v>
      </c>
    </row>
    <row r="40" spans="1:61" s="36" customFormat="1" ht="39.950000000000003" customHeight="1">
      <c r="A40" s="37"/>
      <c r="G40" s="77"/>
      <c r="I40" s="77"/>
      <c r="K40" s="77"/>
      <c r="M40" s="7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196</v>
      </c>
      <c r="C1" s="245"/>
      <c r="D1" s="245" t="s">
        <v>196</v>
      </c>
      <c r="E1" s="245"/>
      <c r="F1" s="245" t="s">
        <v>196</v>
      </c>
      <c r="G1" s="245"/>
      <c r="H1" s="245" t="s">
        <v>197</v>
      </c>
      <c r="I1" s="245"/>
      <c r="J1" s="244"/>
      <c r="K1" s="244"/>
      <c r="L1" s="245" t="s">
        <v>198</v>
      </c>
      <c r="M1" s="245"/>
      <c r="N1" s="245" t="s">
        <v>198</v>
      </c>
      <c r="O1" s="245"/>
      <c r="P1" s="245" t="s">
        <v>198</v>
      </c>
      <c r="Q1" s="245"/>
      <c r="R1" s="245" t="s">
        <v>198</v>
      </c>
      <c r="S1" s="245"/>
      <c r="T1" s="245" t="s">
        <v>199</v>
      </c>
      <c r="U1" s="245"/>
      <c r="V1" s="249" t="s">
        <v>199</v>
      </c>
      <c r="W1" s="249"/>
      <c r="X1" s="245" t="s">
        <v>199</v>
      </c>
      <c r="Y1" s="245"/>
      <c r="Z1" s="245" t="s">
        <v>199</v>
      </c>
      <c r="AA1" s="245"/>
      <c r="AB1" s="244"/>
      <c r="AC1" s="244"/>
      <c r="AD1" s="245" t="s">
        <v>199</v>
      </c>
      <c r="AE1" s="245"/>
      <c r="AF1" s="245" t="s">
        <v>199</v>
      </c>
      <c r="AG1" s="245"/>
      <c r="AH1" s="245" t="s">
        <v>200</v>
      </c>
      <c r="AI1" s="245"/>
      <c r="AJ1" s="245" t="s">
        <v>200</v>
      </c>
      <c r="AK1" s="245"/>
      <c r="AL1" s="248" t="s">
        <v>200</v>
      </c>
      <c r="AM1" s="248"/>
      <c r="AN1" s="245" t="s">
        <v>200</v>
      </c>
      <c r="AO1" s="245"/>
      <c r="AP1" s="244" t="s">
        <v>200</v>
      </c>
      <c r="AQ1" s="244"/>
      <c r="AR1" s="248" t="s">
        <v>200</v>
      </c>
      <c r="AS1" s="248"/>
      <c r="AT1" s="245" t="s">
        <v>200</v>
      </c>
      <c r="AU1" s="245"/>
      <c r="AV1" s="244"/>
      <c r="AW1" s="244"/>
      <c r="AX1" s="245" t="s">
        <v>200</v>
      </c>
      <c r="AY1" s="245"/>
      <c r="AZ1" s="245" t="s">
        <v>200</v>
      </c>
      <c r="BA1" s="245"/>
      <c r="BB1" s="245" t="s">
        <v>200</v>
      </c>
      <c r="BC1" s="245"/>
      <c r="BD1" s="245" t="s">
        <v>201</v>
      </c>
      <c r="BE1" s="245"/>
      <c r="BF1" s="245" t="s">
        <v>201</v>
      </c>
      <c r="BG1" s="245"/>
      <c r="BH1" s="245" t="s">
        <v>201</v>
      </c>
      <c r="BI1" s="245"/>
      <c r="BJ1" s="245" t="s">
        <v>201</v>
      </c>
      <c r="BK1" s="245"/>
      <c r="BL1" s="245" t="s">
        <v>201</v>
      </c>
      <c r="BM1" s="245"/>
      <c r="BN1" s="245" t="s">
        <v>201</v>
      </c>
      <c r="BO1" s="245"/>
      <c r="BP1" s="245" t="s">
        <v>201</v>
      </c>
      <c r="BQ1" s="245"/>
      <c r="BR1" s="245" t="s">
        <v>201</v>
      </c>
      <c r="BS1" s="245"/>
      <c r="BT1" s="245" t="s">
        <v>201</v>
      </c>
      <c r="BU1" s="245"/>
      <c r="BV1" s="245" t="s">
        <v>201</v>
      </c>
      <c r="BW1" s="245"/>
      <c r="BX1" s="245" t="s">
        <v>201</v>
      </c>
      <c r="BY1" s="245"/>
      <c r="BZ1" s="245" t="s">
        <v>202</v>
      </c>
      <c r="CA1" s="245"/>
      <c r="CB1" s="249" t="s">
        <v>202</v>
      </c>
      <c r="CC1" s="249"/>
      <c r="CD1" s="245" t="s">
        <v>202</v>
      </c>
      <c r="CE1" s="245"/>
      <c r="CF1" s="245" t="s">
        <v>202</v>
      </c>
      <c r="CG1" s="245"/>
      <c r="CH1" s="245" t="s">
        <v>203</v>
      </c>
      <c r="CI1" s="245"/>
      <c r="CJ1" s="245" t="s">
        <v>203</v>
      </c>
      <c r="CK1" s="245"/>
      <c r="CL1" s="245" t="s">
        <v>203</v>
      </c>
      <c r="CM1" s="245"/>
      <c r="CN1" s="245" t="s">
        <v>204</v>
      </c>
      <c r="CO1" s="245"/>
      <c r="CP1" s="245" t="s">
        <v>204</v>
      </c>
      <c r="CQ1" s="245"/>
      <c r="CR1" s="249" t="s">
        <v>204</v>
      </c>
      <c r="CS1" s="249"/>
      <c r="CT1" s="245" t="s">
        <v>204</v>
      </c>
      <c r="CU1" s="245"/>
      <c r="CV1" s="245" t="s">
        <v>204</v>
      </c>
      <c r="CW1" s="245"/>
      <c r="CX1" s="245" t="s">
        <v>204</v>
      </c>
      <c r="CY1" s="245"/>
      <c r="CZ1" s="245" t="s">
        <v>204</v>
      </c>
      <c r="DA1" s="245"/>
      <c r="DB1" s="245" t="s">
        <v>204</v>
      </c>
      <c r="DC1" s="245"/>
      <c r="DD1" s="245" t="s">
        <v>204</v>
      </c>
      <c r="DE1" s="245"/>
      <c r="DF1" s="245" t="s">
        <v>204</v>
      </c>
      <c r="DG1" s="245"/>
      <c r="DH1" s="245" t="s">
        <v>204</v>
      </c>
      <c r="DI1" s="245"/>
      <c r="DJ1" s="244" t="s">
        <v>204</v>
      </c>
      <c r="DK1" s="244"/>
      <c r="DL1" s="245" t="s">
        <v>205</v>
      </c>
      <c r="DM1" s="245"/>
      <c r="DN1" s="245" t="s">
        <v>205</v>
      </c>
      <c r="DO1" s="245"/>
      <c r="DP1" s="245" t="s">
        <v>205</v>
      </c>
      <c r="DQ1" s="245"/>
      <c r="DR1" s="245" t="s">
        <v>205</v>
      </c>
      <c r="DS1" s="245"/>
      <c r="DT1" s="245" t="s">
        <v>205</v>
      </c>
      <c r="DU1" s="245"/>
      <c r="DV1" s="245" t="s">
        <v>205</v>
      </c>
      <c r="DW1" s="245"/>
      <c r="DX1" s="245" t="s">
        <v>206</v>
      </c>
      <c r="DY1" s="245"/>
      <c r="DZ1" s="245" t="s">
        <v>206</v>
      </c>
      <c r="EA1" s="245"/>
      <c r="EB1" s="245" t="s">
        <v>206</v>
      </c>
      <c r="EC1" s="245"/>
      <c r="ED1" s="245" t="s">
        <v>206</v>
      </c>
      <c r="EE1" s="245"/>
      <c r="EF1" s="245" t="s">
        <v>206</v>
      </c>
      <c r="EG1" s="245"/>
      <c r="EH1" s="245" t="s">
        <v>206</v>
      </c>
      <c r="EI1" s="245"/>
      <c r="EJ1" s="245" t="s">
        <v>206</v>
      </c>
      <c r="EK1" s="245"/>
      <c r="EL1" s="245" t="s">
        <v>207</v>
      </c>
      <c r="EM1" s="245"/>
      <c r="EN1" s="245" t="s">
        <v>207</v>
      </c>
      <c r="EO1" s="245"/>
      <c r="EP1" s="245" t="s">
        <v>207</v>
      </c>
      <c r="EQ1" s="245"/>
      <c r="ER1" s="245" t="s">
        <v>208</v>
      </c>
      <c r="ES1" s="245"/>
      <c r="ET1" s="245" t="s">
        <v>208</v>
      </c>
      <c r="EU1" s="245"/>
      <c r="EV1" s="245" t="s">
        <v>208</v>
      </c>
      <c r="EW1" s="245"/>
      <c r="EX1" s="245" t="s">
        <v>209</v>
      </c>
      <c r="EY1" s="245"/>
      <c r="EZ1" s="245" t="s">
        <v>210</v>
      </c>
      <c r="FA1" s="245"/>
      <c r="FB1" s="245" t="s">
        <v>210</v>
      </c>
      <c r="FC1" s="245"/>
      <c r="FD1" s="245" t="s">
        <v>210</v>
      </c>
      <c r="FE1" s="245"/>
      <c r="FF1" s="245" t="s">
        <v>211</v>
      </c>
      <c r="FG1" s="245"/>
      <c r="FH1" s="245" t="s">
        <v>211</v>
      </c>
      <c r="FI1" s="245"/>
      <c r="FJ1" s="245" t="s">
        <v>211</v>
      </c>
      <c r="FK1" s="245"/>
      <c r="FL1" s="244" t="s">
        <v>211</v>
      </c>
      <c r="FM1" s="244"/>
    </row>
    <row r="2" spans="1:169" s="24" customFormat="1" ht="49.5" customHeight="1">
      <c r="B2" s="245" t="s">
        <v>212</v>
      </c>
      <c r="C2" s="245"/>
      <c r="D2" s="245" t="s">
        <v>213</v>
      </c>
      <c r="E2" s="245"/>
      <c r="F2" s="245" t="s">
        <v>212</v>
      </c>
      <c r="G2" s="245"/>
      <c r="H2" s="245" t="s">
        <v>213</v>
      </c>
      <c r="I2" s="245"/>
      <c r="J2" s="245" t="s">
        <v>213</v>
      </c>
      <c r="K2" s="245"/>
      <c r="L2" s="245" t="s">
        <v>212</v>
      </c>
      <c r="M2" s="245"/>
      <c r="N2" s="245" t="s">
        <v>212</v>
      </c>
      <c r="O2" s="245"/>
      <c r="P2" s="245" t="s">
        <v>213</v>
      </c>
      <c r="Q2" s="245"/>
      <c r="R2" s="245" t="s">
        <v>213</v>
      </c>
      <c r="S2" s="245"/>
      <c r="T2" s="245" t="s">
        <v>212</v>
      </c>
      <c r="U2" s="245"/>
      <c r="V2" s="245" t="s">
        <v>213</v>
      </c>
      <c r="W2" s="245"/>
      <c r="X2" s="245" t="s">
        <v>213</v>
      </c>
      <c r="Y2" s="245"/>
      <c r="Z2" s="245" t="s">
        <v>213</v>
      </c>
      <c r="AA2" s="245"/>
      <c r="AB2" s="244" t="s">
        <v>213</v>
      </c>
      <c r="AC2" s="244"/>
      <c r="AD2" s="245" t="s">
        <v>212</v>
      </c>
      <c r="AE2" s="245"/>
      <c r="AF2" s="245" t="s">
        <v>213</v>
      </c>
      <c r="AG2" s="245"/>
      <c r="AH2" s="245" t="s">
        <v>213</v>
      </c>
      <c r="AI2" s="245"/>
      <c r="AJ2" s="245" t="s">
        <v>213</v>
      </c>
      <c r="AK2" s="245"/>
      <c r="AL2" s="245" t="s">
        <v>213</v>
      </c>
      <c r="AM2" s="245"/>
      <c r="AN2" s="245" t="s">
        <v>213</v>
      </c>
      <c r="AO2" s="245"/>
      <c r="AP2" s="244" t="s">
        <v>213</v>
      </c>
      <c r="AQ2" s="244"/>
      <c r="AR2" s="245" t="s">
        <v>213</v>
      </c>
      <c r="AS2" s="245"/>
      <c r="AT2" s="245" t="s">
        <v>213</v>
      </c>
      <c r="AU2" s="245"/>
      <c r="AV2" s="244" t="s">
        <v>213</v>
      </c>
      <c r="AW2" s="244"/>
      <c r="AX2" s="245" t="s">
        <v>213</v>
      </c>
      <c r="AY2" s="245"/>
      <c r="AZ2" s="245" t="s">
        <v>213</v>
      </c>
      <c r="BA2" s="245"/>
      <c r="BB2" s="245" t="s">
        <v>213</v>
      </c>
      <c r="BC2" s="245"/>
      <c r="BD2" s="245" t="s">
        <v>212</v>
      </c>
      <c r="BE2" s="245"/>
      <c r="BF2" s="245" t="s">
        <v>214</v>
      </c>
      <c r="BG2" s="245"/>
      <c r="BH2" s="245" t="s">
        <v>213</v>
      </c>
      <c r="BI2" s="245"/>
      <c r="BJ2" s="245" t="s">
        <v>213</v>
      </c>
      <c r="BK2" s="245"/>
      <c r="BL2" s="245" t="s">
        <v>213</v>
      </c>
      <c r="BM2" s="245"/>
      <c r="BN2" s="245" t="s">
        <v>213</v>
      </c>
      <c r="BO2" s="245"/>
      <c r="BP2" s="245" t="s">
        <v>213</v>
      </c>
      <c r="BQ2" s="245"/>
      <c r="BR2" s="245" t="s">
        <v>213</v>
      </c>
      <c r="BS2" s="245"/>
      <c r="BT2" s="245" t="s">
        <v>213</v>
      </c>
      <c r="BU2" s="245"/>
      <c r="BV2" s="245" t="s">
        <v>213</v>
      </c>
      <c r="BW2" s="245"/>
      <c r="BX2" s="245" t="s">
        <v>213</v>
      </c>
      <c r="BY2" s="245"/>
      <c r="BZ2" s="245" t="s">
        <v>212</v>
      </c>
      <c r="CA2" s="245"/>
      <c r="CB2" s="245" t="s">
        <v>212</v>
      </c>
      <c r="CC2" s="245"/>
      <c r="CD2" s="245" t="s">
        <v>212</v>
      </c>
      <c r="CE2" s="245"/>
      <c r="CF2" s="245" t="s">
        <v>212</v>
      </c>
      <c r="CG2" s="245"/>
      <c r="CH2" s="245" t="s">
        <v>213</v>
      </c>
      <c r="CI2" s="245"/>
      <c r="CJ2" s="245" t="s">
        <v>213</v>
      </c>
      <c r="CK2" s="245"/>
      <c r="CL2" s="245" t="s">
        <v>213</v>
      </c>
      <c r="CM2" s="245"/>
      <c r="CN2" s="245" t="s">
        <v>212</v>
      </c>
      <c r="CO2" s="245"/>
      <c r="CP2" s="245" t="s">
        <v>213</v>
      </c>
      <c r="CQ2" s="245"/>
      <c r="CR2" s="245" t="s">
        <v>213</v>
      </c>
      <c r="CS2" s="245"/>
      <c r="CT2" s="245" t="s">
        <v>213</v>
      </c>
      <c r="CU2" s="245"/>
      <c r="CV2" s="245" t="s">
        <v>213</v>
      </c>
      <c r="CW2" s="245"/>
      <c r="CX2" s="245" t="s">
        <v>213</v>
      </c>
      <c r="CY2" s="245"/>
      <c r="CZ2" s="245" t="s">
        <v>213</v>
      </c>
      <c r="DA2" s="245"/>
      <c r="DB2" s="245" t="s">
        <v>212</v>
      </c>
      <c r="DC2" s="245"/>
      <c r="DD2" s="245" t="s">
        <v>213</v>
      </c>
      <c r="DE2" s="245"/>
      <c r="DF2" s="245" t="s">
        <v>213</v>
      </c>
      <c r="DG2" s="245"/>
      <c r="DH2" s="245" t="s">
        <v>213</v>
      </c>
      <c r="DI2" s="245"/>
      <c r="DJ2" s="244" t="s">
        <v>213</v>
      </c>
      <c r="DK2" s="244"/>
      <c r="DL2" s="245" t="s">
        <v>213</v>
      </c>
      <c r="DM2" s="245"/>
      <c r="DN2" s="245" t="s">
        <v>213</v>
      </c>
      <c r="DO2" s="245"/>
      <c r="DP2" s="245" t="s">
        <v>213</v>
      </c>
      <c r="DQ2" s="245"/>
      <c r="DR2" s="245" t="s">
        <v>213</v>
      </c>
      <c r="DS2" s="245"/>
      <c r="DT2" s="245" t="s">
        <v>213</v>
      </c>
      <c r="DU2" s="245"/>
      <c r="DV2" s="245" t="s">
        <v>213</v>
      </c>
      <c r="DW2" s="245"/>
      <c r="DX2" s="245" t="s">
        <v>213</v>
      </c>
      <c r="DY2" s="245"/>
      <c r="DZ2" s="245" t="s">
        <v>213</v>
      </c>
      <c r="EA2" s="245"/>
      <c r="EB2" s="245" t="s">
        <v>213</v>
      </c>
      <c r="EC2" s="245"/>
      <c r="ED2" s="245" t="s">
        <v>213</v>
      </c>
      <c r="EE2" s="245"/>
      <c r="EF2" s="245" t="s">
        <v>213</v>
      </c>
      <c r="EG2" s="245"/>
      <c r="EH2" s="245" t="s">
        <v>213</v>
      </c>
      <c r="EI2" s="245"/>
      <c r="EJ2" s="245" t="s">
        <v>213</v>
      </c>
      <c r="EK2" s="245"/>
      <c r="EL2" s="245" t="s">
        <v>213</v>
      </c>
      <c r="EM2" s="245"/>
      <c r="EN2" s="245" t="s">
        <v>213</v>
      </c>
      <c r="EO2" s="245"/>
      <c r="EP2" s="245" t="s">
        <v>213</v>
      </c>
      <c r="EQ2" s="245"/>
      <c r="ER2" s="245" t="s">
        <v>213</v>
      </c>
      <c r="ES2" s="245"/>
      <c r="ET2" s="245" t="s">
        <v>213</v>
      </c>
      <c r="EU2" s="245"/>
      <c r="EV2" s="245" t="s">
        <v>213</v>
      </c>
      <c r="EW2" s="245"/>
      <c r="EX2" s="245" t="s">
        <v>213</v>
      </c>
      <c r="EY2" s="245"/>
      <c r="EZ2" s="245" t="s">
        <v>213</v>
      </c>
      <c r="FA2" s="245"/>
      <c r="FB2" s="245" t="s">
        <v>213</v>
      </c>
      <c r="FC2" s="245"/>
      <c r="FD2" s="245" t="s">
        <v>213</v>
      </c>
      <c r="FE2" s="245"/>
      <c r="FF2" s="245" t="s">
        <v>213</v>
      </c>
      <c r="FG2" s="245"/>
      <c r="FH2" s="245" t="s">
        <v>213</v>
      </c>
      <c r="FI2" s="245"/>
      <c r="FJ2" s="245" t="s">
        <v>213</v>
      </c>
      <c r="FK2" s="245"/>
      <c r="FL2" s="244" t="s">
        <v>213</v>
      </c>
      <c r="FM2" s="244"/>
    </row>
    <row r="3" spans="1:169" s="24" customFormat="1" ht="49.5" customHeight="1">
      <c r="B3" s="210" t="s">
        <v>66</v>
      </c>
      <c r="C3" s="212"/>
      <c r="D3" s="210" t="s">
        <v>215</v>
      </c>
      <c r="E3" s="212"/>
      <c r="F3" s="210"/>
      <c r="G3" s="212"/>
      <c r="H3" s="210" t="s">
        <v>215</v>
      </c>
      <c r="I3" s="212"/>
      <c r="J3" s="210" t="s">
        <v>215</v>
      </c>
      <c r="K3" s="212"/>
      <c r="L3" s="210"/>
      <c r="M3" s="212"/>
      <c r="N3" s="210"/>
      <c r="O3" s="212"/>
      <c r="P3" s="210" t="s">
        <v>215</v>
      </c>
      <c r="Q3" s="212"/>
      <c r="R3" s="210" t="s">
        <v>215</v>
      </c>
      <c r="S3" s="212"/>
      <c r="T3" s="210"/>
      <c r="U3" s="212"/>
      <c r="V3" s="210" t="s">
        <v>216</v>
      </c>
      <c r="W3" s="212"/>
      <c r="X3" s="210" t="s">
        <v>216</v>
      </c>
      <c r="Y3" s="212"/>
      <c r="Z3" s="210" t="s">
        <v>216</v>
      </c>
      <c r="AA3" s="212"/>
      <c r="AB3" s="246" t="s">
        <v>216</v>
      </c>
      <c r="AC3" s="247"/>
      <c r="AD3" s="210"/>
      <c r="AE3" s="212"/>
      <c r="AF3" s="210" t="s">
        <v>216</v>
      </c>
      <c r="AG3" s="212"/>
      <c r="AH3" s="210" t="s">
        <v>215</v>
      </c>
      <c r="AI3" s="212"/>
      <c r="AJ3" s="210" t="s">
        <v>215</v>
      </c>
      <c r="AK3" s="212"/>
      <c r="AL3" s="210" t="s">
        <v>215</v>
      </c>
      <c r="AM3" s="212"/>
      <c r="AN3" s="210" t="s">
        <v>215</v>
      </c>
      <c r="AO3" s="212"/>
      <c r="AP3" s="246" t="s">
        <v>215</v>
      </c>
      <c r="AQ3" s="247"/>
      <c r="AR3" s="210" t="s">
        <v>215</v>
      </c>
      <c r="AS3" s="212"/>
      <c r="AT3" s="210" t="s">
        <v>215</v>
      </c>
      <c r="AU3" s="212"/>
      <c r="AV3" s="246" t="s">
        <v>215</v>
      </c>
      <c r="AW3" s="247"/>
      <c r="AX3" s="210" t="s">
        <v>215</v>
      </c>
      <c r="AY3" s="212"/>
      <c r="AZ3" s="210" t="s">
        <v>215</v>
      </c>
      <c r="BA3" s="212"/>
      <c r="BB3" s="210" t="s">
        <v>215</v>
      </c>
      <c r="BC3" s="212"/>
      <c r="BD3" s="210"/>
      <c r="BE3" s="212"/>
      <c r="BF3" s="210"/>
      <c r="BG3" s="212"/>
      <c r="BH3" s="210" t="s">
        <v>215</v>
      </c>
      <c r="BI3" s="212"/>
      <c r="BJ3" s="210" t="s">
        <v>215</v>
      </c>
      <c r="BK3" s="212"/>
      <c r="BL3" s="210" t="s">
        <v>215</v>
      </c>
      <c r="BM3" s="212"/>
      <c r="BN3" s="210" t="s">
        <v>215</v>
      </c>
      <c r="BO3" s="212"/>
      <c r="BP3" s="210" t="s">
        <v>215</v>
      </c>
      <c r="BQ3" s="212"/>
      <c r="BR3" s="210" t="s">
        <v>215</v>
      </c>
      <c r="BS3" s="212"/>
      <c r="BT3" s="210" t="s">
        <v>215</v>
      </c>
      <c r="BU3" s="212"/>
      <c r="BV3" s="210" t="s">
        <v>215</v>
      </c>
      <c r="BW3" s="212"/>
      <c r="BX3" s="210" t="s">
        <v>215</v>
      </c>
      <c r="BY3" s="212"/>
      <c r="BZ3" s="210" t="s">
        <v>65</v>
      </c>
      <c r="CA3" s="212"/>
      <c r="CB3" s="210" t="s">
        <v>65</v>
      </c>
      <c r="CC3" s="212"/>
      <c r="CD3" s="210" t="s">
        <v>65</v>
      </c>
      <c r="CE3" s="212"/>
      <c r="CF3" s="113"/>
      <c r="CG3" s="113"/>
      <c r="CH3" s="210" t="s">
        <v>66</v>
      </c>
      <c r="CI3" s="212"/>
      <c r="CJ3" s="210" t="s">
        <v>66</v>
      </c>
      <c r="CK3" s="212"/>
      <c r="CL3" s="210" t="s">
        <v>215</v>
      </c>
      <c r="CM3" s="212"/>
      <c r="CN3" s="210"/>
      <c r="CO3" s="212"/>
      <c r="CP3" s="210" t="s">
        <v>215</v>
      </c>
      <c r="CQ3" s="212"/>
      <c r="CR3" s="210" t="s">
        <v>215</v>
      </c>
      <c r="CS3" s="212"/>
      <c r="CT3" s="210" t="s">
        <v>215</v>
      </c>
      <c r="CU3" s="212"/>
      <c r="CV3" s="210" t="s">
        <v>215</v>
      </c>
      <c r="CW3" s="212"/>
      <c r="CX3" s="210" t="s">
        <v>215</v>
      </c>
      <c r="CY3" s="212"/>
      <c r="CZ3" s="210" t="s">
        <v>215</v>
      </c>
      <c r="DA3" s="212"/>
      <c r="DB3" s="210" t="s">
        <v>215</v>
      </c>
      <c r="DC3" s="212"/>
      <c r="DD3" s="210" t="s">
        <v>215</v>
      </c>
      <c r="DE3" s="212"/>
      <c r="DF3" s="210" t="s">
        <v>215</v>
      </c>
      <c r="DG3" s="212"/>
      <c r="DH3" s="210" t="s">
        <v>215</v>
      </c>
      <c r="DI3" s="212"/>
      <c r="DJ3" s="246" t="s">
        <v>215</v>
      </c>
      <c r="DK3" s="247"/>
      <c r="DL3" s="210" t="s">
        <v>64</v>
      </c>
      <c r="DM3" s="212"/>
      <c r="DN3" s="210" t="s">
        <v>64</v>
      </c>
      <c r="DO3" s="212"/>
      <c r="DP3" s="210" t="s">
        <v>64</v>
      </c>
      <c r="DQ3" s="212"/>
      <c r="DR3" s="210" t="s">
        <v>64</v>
      </c>
      <c r="DS3" s="212"/>
      <c r="DT3" s="210" t="s">
        <v>64</v>
      </c>
      <c r="DU3" s="212"/>
      <c r="DV3" s="210" t="s">
        <v>217</v>
      </c>
      <c r="DW3" s="212"/>
      <c r="DX3" s="210" t="s">
        <v>64</v>
      </c>
      <c r="DY3" s="212"/>
      <c r="DZ3" s="210" t="s">
        <v>216</v>
      </c>
      <c r="EA3" s="212"/>
      <c r="EB3" s="210" t="s">
        <v>64</v>
      </c>
      <c r="EC3" s="212"/>
      <c r="ED3" s="210" t="s">
        <v>64</v>
      </c>
      <c r="EE3" s="212"/>
      <c r="EF3" s="210" t="s">
        <v>64</v>
      </c>
      <c r="EG3" s="212"/>
      <c r="EH3" s="210" t="s">
        <v>64</v>
      </c>
      <c r="EI3" s="212"/>
      <c r="EJ3" s="210" t="s">
        <v>64</v>
      </c>
      <c r="EK3" s="212"/>
      <c r="EL3" s="210" t="s">
        <v>66</v>
      </c>
      <c r="EM3" s="212"/>
      <c r="EN3" s="210" t="s">
        <v>66</v>
      </c>
      <c r="EO3" s="212"/>
      <c r="EP3" s="210" t="s">
        <v>66</v>
      </c>
      <c r="EQ3" s="212"/>
      <c r="ER3" s="210" t="s">
        <v>66</v>
      </c>
      <c r="ES3" s="212"/>
      <c r="ET3" s="210" t="s">
        <v>66</v>
      </c>
      <c r="EU3" s="212"/>
      <c r="EV3" s="210" t="s">
        <v>66</v>
      </c>
      <c r="EW3" s="212"/>
      <c r="EX3" s="210" t="s">
        <v>66</v>
      </c>
      <c r="EY3" s="212"/>
      <c r="EZ3" s="210" t="s">
        <v>66</v>
      </c>
      <c r="FA3" s="212"/>
      <c r="FB3" s="210" t="s">
        <v>66</v>
      </c>
      <c r="FC3" s="212"/>
      <c r="FD3" s="210" t="s">
        <v>66</v>
      </c>
      <c r="FE3" s="212"/>
      <c r="FF3" s="210" t="s">
        <v>66</v>
      </c>
      <c r="FG3" s="212"/>
      <c r="FH3" s="210" t="s">
        <v>66</v>
      </c>
      <c r="FI3" s="212"/>
      <c r="FJ3" s="210" t="s">
        <v>66</v>
      </c>
      <c r="FK3" s="212"/>
      <c r="FL3" s="246" t="s">
        <v>215</v>
      </c>
      <c r="FM3" s="247"/>
    </row>
    <row r="4" spans="1:169" s="24" customFormat="1" ht="30" customHeight="1">
      <c r="B4" s="210" t="s">
        <v>218</v>
      </c>
      <c r="C4" s="212"/>
      <c r="D4" s="210" t="s">
        <v>218</v>
      </c>
      <c r="E4" s="212"/>
      <c r="F4" s="110"/>
      <c r="G4" s="111"/>
      <c r="H4" s="210" t="s">
        <v>218</v>
      </c>
      <c r="I4" s="212"/>
      <c r="J4" s="210" t="s">
        <v>219</v>
      </c>
      <c r="K4" s="212"/>
      <c r="L4" s="110"/>
      <c r="M4" s="111"/>
      <c r="N4" s="210"/>
      <c r="O4" s="212"/>
      <c r="P4" s="210" t="s">
        <v>220</v>
      </c>
      <c r="Q4" s="212"/>
      <c r="R4" s="210" t="s">
        <v>220</v>
      </c>
      <c r="S4" s="212"/>
      <c r="T4" s="110"/>
      <c r="U4" s="111"/>
      <c r="V4" s="210" t="s">
        <v>220</v>
      </c>
      <c r="W4" s="212"/>
      <c r="X4" s="210" t="s">
        <v>220</v>
      </c>
      <c r="Y4" s="212"/>
      <c r="Z4" s="210" t="s">
        <v>220</v>
      </c>
      <c r="AA4" s="212"/>
      <c r="AB4" s="246" t="s">
        <v>220</v>
      </c>
      <c r="AC4" s="247"/>
      <c r="AD4" s="110"/>
      <c r="AE4" s="111"/>
      <c r="AF4" s="210" t="s">
        <v>220</v>
      </c>
      <c r="AG4" s="212"/>
      <c r="AH4" s="210" t="s">
        <v>220</v>
      </c>
      <c r="AI4" s="212"/>
      <c r="AJ4" s="210" t="s">
        <v>218</v>
      </c>
      <c r="AK4" s="212"/>
      <c r="AL4" s="210" t="s">
        <v>218</v>
      </c>
      <c r="AM4" s="212"/>
      <c r="AN4" s="210" t="s">
        <v>218</v>
      </c>
      <c r="AO4" s="212"/>
      <c r="AP4" s="246" t="s">
        <v>219</v>
      </c>
      <c r="AQ4" s="247"/>
      <c r="AR4" s="210" t="s">
        <v>218</v>
      </c>
      <c r="AS4" s="212"/>
      <c r="AT4" s="210" t="s">
        <v>218</v>
      </c>
      <c r="AU4" s="212"/>
      <c r="AV4" s="246" t="s">
        <v>218</v>
      </c>
      <c r="AW4" s="247"/>
      <c r="AX4" s="210" t="s">
        <v>220</v>
      </c>
      <c r="AY4" s="212"/>
      <c r="AZ4" s="210" t="s">
        <v>218</v>
      </c>
      <c r="BA4" s="212"/>
      <c r="BB4" s="210" t="s">
        <v>218</v>
      </c>
      <c r="BC4" s="212"/>
      <c r="BD4" s="110"/>
      <c r="BE4" s="111"/>
      <c r="BF4" s="110"/>
      <c r="BG4" s="111"/>
      <c r="BH4" s="210" t="s">
        <v>219</v>
      </c>
      <c r="BI4" s="212"/>
      <c r="BJ4" s="210" t="s">
        <v>220</v>
      </c>
      <c r="BK4" s="212"/>
      <c r="BL4" s="210" t="s">
        <v>218</v>
      </c>
      <c r="BM4" s="212"/>
      <c r="BN4" s="210" t="s">
        <v>218</v>
      </c>
      <c r="BO4" s="212"/>
      <c r="BP4" s="210" t="s">
        <v>218</v>
      </c>
      <c r="BQ4" s="212"/>
      <c r="BR4" s="210" t="s">
        <v>218</v>
      </c>
      <c r="BS4" s="212"/>
      <c r="BT4" s="210" t="s">
        <v>218</v>
      </c>
      <c r="BU4" s="212"/>
      <c r="BV4" s="210" t="s">
        <v>218</v>
      </c>
      <c r="BW4" s="212"/>
      <c r="BX4" s="210" t="s">
        <v>218</v>
      </c>
      <c r="BY4" s="212"/>
      <c r="BZ4" s="210" t="s">
        <v>220</v>
      </c>
      <c r="CA4" s="212"/>
      <c r="CB4" s="210" t="s">
        <v>220</v>
      </c>
      <c r="CC4" s="212"/>
      <c r="CD4" s="210" t="s">
        <v>220</v>
      </c>
      <c r="CE4" s="212"/>
      <c r="CF4" s="210" t="s">
        <v>218</v>
      </c>
      <c r="CG4" s="212"/>
      <c r="CH4" s="210" t="s">
        <v>218</v>
      </c>
      <c r="CI4" s="212"/>
      <c r="CJ4" s="210" t="s">
        <v>218</v>
      </c>
      <c r="CK4" s="212"/>
      <c r="CL4" s="210" t="s">
        <v>218</v>
      </c>
      <c r="CM4" s="212"/>
      <c r="CN4" s="110"/>
      <c r="CO4" s="111"/>
      <c r="CP4" s="210" t="s">
        <v>219</v>
      </c>
      <c r="CQ4" s="212"/>
      <c r="CR4" s="210" t="s">
        <v>221</v>
      </c>
      <c r="CS4" s="212"/>
      <c r="CT4" s="210" t="s">
        <v>219</v>
      </c>
      <c r="CU4" s="212"/>
      <c r="CV4" s="210" t="s">
        <v>220</v>
      </c>
      <c r="CW4" s="212"/>
      <c r="CX4" s="210" t="s">
        <v>218</v>
      </c>
      <c r="CY4" s="212"/>
      <c r="CZ4" s="210" t="s">
        <v>218</v>
      </c>
      <c r="DA4" s="212"/>
      <c r="DB4" s="110"/>
      <c r="DC4" s="111"/>
      <c r="DD4" s="210" t="s">
        <v>219</v>
      </c>
      <c r="DE4" s="212"/>
      <c r="DF4" s="210" t="s">
        <v>220</v>
      </c>
      <c r="DG4" s="212"/>
      <c r="DH4" s="210" t="s">
        <v>220</v>
      </c>
      <c r="DI4" s="212"/>
      <c r="DJ4" s="246" t="s">
        <v>219</v>
      </c>
      <c r="DK4" s="247"/>
      <c r="DL4" s="210" t="s">
        <v>218</v>
      </c>
      <c r="DM4" s="212"/>
      <c r="DN4" s="210" t="s">
        <v>218</v>
      </c>
      <c r="DO4" s="212"/>
      <c r="DP4" s="210" t="s">
        <v>218</v>
      </c>
      <c r="DQ4" s="212"/>
      <c r="DR4" s="210" t="s">
        <v>218</v>
      </c>
      <c r="DS4" s="212"/>
      <c r="DT4" s="210" t="s">
        <v>220</v>
      </c>
      <c r="DU4" s="212"/>
      <c r="DV4" s="210" t="s">
        <v>220</v>
      </c>
      <c r="DW4" s="212"/>
      <c r="DX4" s="210" t="s">
        <v>222</v>
      </c>
      <c r="DY4" s="212"/>
      <c r="DZ4" s="210" t="s">
        <v>223</v>
      </c>
      <c r="EA4" s="212"/>
      <c r="EB4" s="210" t="s">
        <v>222</v>
      </c>
      <c r="EC4" s="212"/>
      <c r="ED4" s="210" t="s">
        <v>218</v>
      </c>
      <c r="EE4" s="212"/>
      <c r="EF4" s="210" t="s">
        <v>218</v>
      </c>
      <c r="EG4" s="212"/>
      <c r="EH4" s="210" t="s">
        <v>220</v>
      </c>
      <c r="EI4" s="212"/>
      <c r="EJ4" s="210" t="s">
        <v>220</v>
      </c>
      <c r="EK4" s="212"/>
      <c r="EL4" s="210" t="s">
        <v>218</v>
      </c>
      <c r="EM4" s="212"/>
      <c r="EN4" s="210" t="s">
        <v>218</v>
      </c>
      <c r="EO4" s="212"/>
      <c r="EP4" s="210" t="s">
        <v>218</v>
      </c>
      <c r="EQ4" s="212"/>
      <c r="ER4" s="210" t="s">
        <v>218</v>
      </c>
      <c r="ES4" s="212"/>
      <c r="ET4" s="210" t="s">
        <v>218</v>
      </c>
      <c r="EU4" s="212"/>
      <c r="EV4" s="210" t="s">
        <v>218</v>
      </c>
      <c r="EW4" s="212"/>
      <c r="EX4" s="210" t="s">
        <v>218</v>
      </c>
      <c r="EY4" s="212"/>
      <c r="EZ4" s="210" t="s">
        <v>220</v>
      </c>
      <c r="FA4" s="212"/>
      <c r="FB4" s="210" t="s">
        <v>218</v>
      </c>
      <c r="FC4" s="212"/>
      <c r="FD4" s="210" t="s">
        <v>218</v>
      </c>
      <c r="FE4" s="212"/>
      <c r="FF4" s="210" t="s">
        <v>222</v>
      </c>
      <c r="FG4" s="212"/>
      <c r="FH4" s="210" t="s">
        <v>218</v>
      </c>
      <c r="FI4" s="212"/>
      <c r="FJ4" s="210" t="s">
        <v>222</v>
      </c>
      <c r="FK4" s="212"/>
      <c r="FL4" s="246" t="s">
        <v>218</v>
      </c>
      <c r="FM4" s="247"/>
    </row>
    <row r="5" spans="1:169" s="85" customFormat="1" ht="138.75" customHeight="1">
      <c r="B5" s="250" t="s">
        <v>77</v>
      </c>
      <c r="C5" s="250"/>
      <c r="D5" s="250" t="s">
        <v>224</v>
      </c>
      <c r="E5" s="250"/>
      <c r="F5" s="250" t="s">
        <v>78</v>
      </c>
      <c r="G5" s="250"/>
      <c r="H5" s="250" t="s">
        <v>225</v>
      </c>
      <c r="I5" s="250"/>
      <c r="J5" s="250" t="s">
        <v>226</v>
      </c>
      <c r="K5" s="250"/>
      <c r="L5" s="250" t="s">
        <v>77</v>
      </c>
      <c r="M5" s="250"/>
      <c r="N5" s="250" t="s">
        <v>79</v>
      </c>
      <c r="O5" s="250"/>
      <c r="P5" s="250" t="s">
        <v>227</v>
      </c>
      <c r="Q5" s="250"/>
      <c r="R5" s="250" t="s">
        <v>227</v>
      </c>
      <c r="S5" s="250"/>
      <c r="T5" s="250" t="s">
        <v>67</v>
      </c>
      <c r="U5" s="250"/>
      <c r="V5" s="250" t="s">
        <v>228</v>
      </c>
      <c r="W5" s="250"/>
      <c r="X5" s="250" t="s">
        <v>229</v>
      </c>
      <c r="Y5" s="250"/>
      <c r="Z5" s="250" t="s">
        <v>230</v>
      </c>
      <c r="AA5" s="250"/>
      <c r="AB5" s="251" t="s">
        <v>227</v>
      </c>
      <c r="AC5" s="251"/>
      <c r="AD5" s="250" t="s">
        <v>68</v>
      </c>
      <c r="AE5" s="250"/>
      <c r="AF5" s="250" t="s">
        <v>231</v>
      </c>
      <c r="AG5" s="250"/>
      <c r="AH5" s="250" t="s">
        <v>232</v>
      </c>
      <c r="AI5" s="250"/>
      <c r="AJ5" s="250" t="s">
        <v>233</v>
      </c>
      <c r="AK5" s="250"/>
      <c r="AL5" s="250" t="s">
        <v>225</v>
      </c>
      <c r="AM5" s="250"/>
      <c r="AN5" s="250" t="s">
        <v>234</v>
      </c>
      <c r="AO5" s="250"/>
      <c r="AP5" s="251" t="s">
        <v>235</v>
      </c>
      <c r="AQ5" s="251"/>
      <c r="AR5" s="250" t="s">
        <v>236</v>
      </c>
      <c r="AS5" s="250"/>
      <c r="AT5" s="250" t="s">
        <v>237</v>
      </c>
      <c r="AU5" s="250"/>
      <c r="AV5" s="251" t="s">
        <v>238</v>
      </c>
      <c r="AW5" s="251"/>
      <c r="AX5" s="250" t="s">
        <v>227</v>
      </c>
      <c r="AY5" s="250"/>
      <c r="AZ5" s="250" t="s">
        <v>225</v>
      </c>
      <c r="BA5" s="250"/>
      <c r="BB5" s="250" t="s">
        <v>239</v>
      </c>
      <c r="BC5" s="250"/>
      <c r="BD5" s="250" t="s">
        <v>70</v>
      </c>
      <c r="BE5" s="250"/>
      <c r="BF5" s="250" t="s">
        <v>71</v>
      </c>
      <c r="BG5" s="250"/>
      <c r="BH5" s="250" t="s">
        <v>240</v>
      </c>
      <c r="BI5" s="250"/>
      <c r="BJ5" s="250" t="s">
        <v>241</v>
      </c>
      <c r="BK5" s="250"/>
      <c r="BL5" s="250" t="s">
        <v>242</v>
      </c>
      <c r="BM5" s="250"/>
      <c r="BN5" s="250" t="s">
        <v>243</v>
      </c>
      <c r="BO5" s="250"/>
      <c r="BP5" s="250" t="s">
        <v>244</v>
      </c>
      <c r="BQ5" s="250"/>
      <c r="BR5" s="250" t="s">
        <v>245</v>
      </c>
      <c r="BS5" s="250"/>
      <c r="BT5" s="250" t="s">
        <v>246</v>
      </c>
      <c r="BU5" s="250"/>
      <c r="BV5" s="250" t="s">
        <v>247</v>
      </c>
      <c r="BW5" s="250"/>
      <c r="BX5" s="250" t="s">
        <v>245</v>
      </c>
      <c r="BY5" s="250"/>
      <c r="BZ5" s="250" t="s">
        <v>73</v>
      </c>
      <c r="CA5" s="250"/>
      <c r="CB5" s="250" t="s">
        <v>74</v>
      </c>
      <c r="CC5" s="250"/>
      <c r="CD5" s="250" t="s">
        <v>75</v>
      </c>
      <c r="CE5" s="250"/>
      <c r="CF5" s="250" t="s">
        <v>76</v>
      </c>
      <c r="CG5" s="250"/>
      <c r="CH5" s="250" t="s">
        <v>248</v>
      </c>
      <c r="CI5" s="250"/>
      <c r="CJ5" s="250" t="s">
        <v>248</v>
      </c>
      <c r="CK5" s="250"/>
      <c r="CL5" s="250" t="s">
        <v>249</v>
      </c>
      <c r="CM5" s="250"/>
      <c r="CN5" s="250" t="s">
        <v>69</v>
      </c>
      <c r="CO5" s="250"/>
      <c r="CP5" s="252" t="s">
        <v>250</v>
      </c>
      <c r="CQ5" s="252"/>
      <c r="CR5" s="252" t="s">
        <v>221</v>
      </c>
      <c r="CS5" s="252"/>
      <c r="CT5" s="252" t="s">
        <v>251</v>
      </c>
      <c r="CU5" s="252"/>
      <c r="CV5" s="252" t="s">
        <v>252</v>
      </c>
      <c r="CW5" s="252"/>
      <c r="CX5" s="252" t="s">
        <v>253</v>
      </c>
      <c r="CY5" s="252"/>
      <c r="CZ5" s="252" t="s">
        <v>254</v>
      </c>
      <c r="DA5" s="252"/>
      <c r="DB5" s="250" t="s">
        <v>72</v>
      </c>
      <c r="DC5" s="250"/>
      <c r="DD5" s="250" t="s">
        <v>255</v>
      </c>
      <c r="DE5" s="250"/>
      <c r="DF5" s="250" t="s">
        <v>256</v>
      </c>
      <c r="DG5" s="250"/>
      <c r="DH5" s="250" t="s">
        <v>257</v>
      </c>
      <c r="DI5" s="250"/>
      <c r="DJ5" s="251" t="s">
        <v>255</v>
      </c>
      <c r="DK5" s="251"/>
      <c r="DL5" s="250" t="s">
        <v>258</v>
      </c>
      <c r="DM5" s="250"/>
      <c r="DN5" s="250" t="s">
        <v>258</v>
      </c>
      <c r="DO5" s="250"/>
      <c r="DP5" s="250" t="s">
        <v>259</v>
      </c>
      <c r="DQ5" s="250"/>
      <c r="DR5" s="250" t="s">
        <v>259</v>
      </c>
      <c r="DS5" s="250"/>
      <c r="DT5" s="250" t="s">
        <v>231</v>
      </c>
      <c r="DU5" s="250"/>
      <c r="DV5" s="250" t="s">
        <v>260</v>
      </c>
      <c r="DW5" s="250"/>
      <c r="DX5" s="252" t="s">
        <v>261</v>
      </c>
      <c r="DY5" s="252"/>
      <c r="DZ5" s="250" t="s">
        <v>225</v>
      </c>
      <c r="EA5" s="250"/>
      <c r="EB5" s="252" t="s">
        <v>262</v>
      </c>
      <c r="EC5" s="252"/>
      <c r="ED5" s="252" t="s">
        <v>263</v>
      </c>
      <c r="EE5" s="252"/>
      <c r="EF5" s="252" t="s">
        <v>264</v>
      </c>
      <c r="EG5" s="252"/>
      <c r="EH5" s="252" t="s">
        <v>227</v>
      </c>
      <c r="EI5" s="252"/>
      <c r="EJ5" s="252" t="s">
        <v>265</v>
      </c>
      <c r="EK5" s="252"/>
      <c r="EL5" s="250" t="s">
        <v>266</v>
      </c>
      <c r="EM5" s="250"/>
      <c r="EN5" s="250" t="s">
        <v>267</v>
      </c>
      <c r="EO5" s="250"/>
      <c r="EP5" s="250" t="s">
        <v>268</v>
      </c>
      <c r="EQ5" s="250"/>
      <c r="ER5" s="250" t="s">
        <v>269</v>
      </c>
      <c r="ES5" s="250"/>
      <c r="ET5" s="250" t="s">
        <v>267</v>
      </c>
      <c r="EU5" s="250"/>
      <c r="EV5" s="250" t="s">
        <v>268</v>
      </c>
      <c r="EW5" s="250"/>
      <c r="EX5" s="250" t="s">
        <v>270</v>
      </c>
      <c r="EY5" s="250"/>
      <c r="EZ5" s="250" t="s">
        <v>265</v>
      </c>
      <c r="FA5" s="250"/>
      <c r="FB5" s="250" t="s">
        <v>271</v>
      </c>
      <c r="FC5" s="250"/>
      <c r="FD5" s="250" t="s">
        <v>272</v>
      </c>
      <c r="FE5" s="250"/>
      <c r="FF5" s="250" t="s">
        <v>273</v>
      </c>
      <c r="FG5" s="250"/>
      <c r="FH5" s="250" t="s">
        <v>274</v>
      </c>
      <c r="FI5" s="250"/>
      <c r="FJ5" s="250" t="s">
        <v>275</v>
      </c>
      <c r="FK5" s="250"/>
      <c r="FL5" s="251" t="s">
        <v>276</v>
      </c>
      <c r="FM5" s="251"/>
    </row>
    <row r="6" spans="1:169" s="24" customFormat="1" ht="30" customHeight="1">
      <c r="B6" s="245">
        <v>5065544</v>
      </c>
      <c r="C6" s="245"/>
      <c r="D6" s="210"/>
      <c r="E6" s="212"/>
      <c r="F6" s="245">
        <v>5065541</v>
      </c>
      <c r="G6" s="245"/>
      <c r="H6" s="210"/>
      <c r="I6" s="212"/>
      <c r="J6" s="210"/>
      <c r="K6" s="212"/>
      <c r="L6" s="245">
        <v>5065542</v>
      </c>
      <c r="M6" s="245"/>
      <c r="N6" s="245">
        <v>5065540</v>
      </c>
      <c r="O6" s="245"/>
      <c r="P6" s="210"/>
      <c r="Q6" s="212"/>
      <c r="R6" s="210"/>
      <c r="S6" s="212"/>
      <c r="T6" s="245">
        <v>5065546</v>
      </c>
      <c r="U6" s="245"/>
      <c r="V6" s="210"/>
      <c r="W6" s="212"/>
      <c r="X6" s="210"/>
      <c r="Y6" s="212"/>
      <c r="Z6" s="210"/>
      <c r="AA6" s="212"/>
      <c r="AB6" s="210"/>
      <c r="AC6" s="212"/>
      <c r="AD6" s="245">
        <v>5065547</v>
      </c>
      <c r="AE6" s="245"/>
      <c r="AF6" s="210"/>
      <c r="AG6" s="212"/>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10"/>
      <c r="BI6" s="212"/>
      <c r="BJ6" s="210"/>
      <c r="BK6" s="212"/>
      <c r="BL6" s="210"/>
      <c r="BM6" s="212"/>
      <c r="BN6" s="210"/>
      <c r="BO6" s="212"/>
      <c r="BP6" s="210"/>
      <c r="BQ6" s="212"/>
      <c r="BR6" s="210"/>
      <c r="BS6" s="212"/>
      <c r="BT6" s="210"/>
      <c r="BU6" s="212"/>
      <c r="BV6" s="210"/>
      <c r="BW6" s="212"/>
      <c r="BX6" s="210"/>
      <c r="BY6" s="212"/>
      <c r="BZ6" s="245">
        <v>5018351</v>
      </c>
      <c r="CA6" s="245"/>
      <c r="CB6" s="245">
        <v>5018354</v>
      </c>
      <c r="CC6" s="245"/>
      <c r="CD6" s="245">
        <v>5018350</v>
      </c>
      <c r="CE6" s="245"/>
      <c r="CF6" s="245">
        <v>5065543</v>
      </c>
      <c r="CG6" s="245"/>
      <c r="CH6" s="210"/>
      <c r="CI6" s="212"/>
      <c r="CJ6" s="210"/>
      <c r="CK6" s="212"/>
      <c r="CL6" s="210"/>
      <c r="CM6" s="212"/>
      <c r="CN6" s="245">
        <v>5008272</v>
      </c>
      <c r="CO6" s="245"/>
      <c r="CP6" s="210"/>
      <c r="CQ6" s="212"/>
      <c r="CR6" s="210"/>
      <c r="CS6" s="212"/>
      <c r="CT6" s="210"/>
      <c r="CU6" s="212"/>
      <c r="CV6" s="210"/>
      <c r="CW6" s="212"/>
      <c r="CX6" s="210"/>
      <c r="CY6" s="212"/>
      <c r="CZ6" s="210"/>
      <c r="DA6" s="212"/>
      <c r="DB6" s="245">
        <v>5008273</v>
      </c>
      <c r="DC6" s="245"/>
      <c r="DD6" s="210"/>
      <c r="DE6" s="212"/>
      <c r="DF6" s="210"/>
      <c r="DG6" s="212"/>
      <c r="DH6" s="210"/>
      <c r="DI6" s="212"/>
      <c r="DJ6" s="210"/>
      <c r="DK6" s="212"/>
      <c r="DL6" s="210"/>
      <c r="DM6" s="212"/>
      <c r="DN6" s="210"/>
      <c r="DO6" s="212"/>
      <c r="DP6" s="210"/>
      <c r="DQ6" s="212"/>
      <c r="DR6" s="210"/>
      <c r="DS6" s="212"/>
      <c r="DT6" s="210"/>
      <c r="DU6" s="212"/>
      <c r="DV6" s="210"/>
      <c r="DW6" s="212"/>
      <c r="DX6" s="210"/>
      <c r="DY6" s="212"/>
      <c r="DZ6" s="210"/>
      <c r="EA6" s="212"/>
      <c r="EB6" s="210"/>
      <c r="EC6" s="212"/>
      <c r="ED6" s="210"/>
      <c r="EE6" s="212"/>
      <c r="EF6" s="210"/>
      <c r="EG6" s="212"/>
      <c r="EH6" s="210"/>
      <c r="EI6" s="212"/>
      <c r="EJ6" s="210"/>
      <c r="EK6" s="212"/>
      <c r="EL6" s="210"/>
      <c r="EM6" s="212"/>
      <c r="EN6" s="210"/>
      <c r="EO6" s="212"/>
      <c r="EP6" s="210"/>
      <c r="EQ6" s="212"/>
      <c r="ER6" s="210"/>
      <c r="ES6" s="212"/>
      <c r="ET6" s="210"/>
      <c r="EU6" s="212"/>
      <c r="EV6" s="210"/>
      <c r="EW6" s="212"/>
      <c r="EX6" s="210"/>
      <c r="EY6" s="212"/>
      <c r="EZ6" s="210"/>
      <c r="FA6" s="212"/>
      <c r="FB6" s="210"/>
      <c r="FC6" s="212"/>
      <c r="FD6" s="210"/>
      <c r="FE6" s="212"/>
      <c r="FF6" s="210"/>
      <c r="FG6" s="212"/>
      <c r="FH6" s="210"/>
      <c r="FI6" s="212"/>
      <c r="FJ6" s="210"/>
      <c r="FK6" s="212"/>
      <c r="FL6" s="210"/>
      <c r="FM6" s="212"/>
    </row>
    <row r="7" spans="1:169" s="24" customFormat="1" ht="30" customHeight="1">
      <c r="B7" s="255" t="s">
        <v>91</v>
      </c>
      <c r="C7" s="255"/>
      <c r="D7" s="255" t="s">
        <v>91</v>
      </c>
      <c r="E7" s="255"/>
      <c r="F7" s="256" t="s">
        <v>92</v>
      </c>
      <c r="G7" s="256"/>
      <c r="H7" s="257" t="s">
        <v>93</v>
      </c>
      <c r="I7" s="257"/>
      <c r="J7" s="257" t="s">
        <v>93</v>
      </c>
      <c r="K7" s="257"/>
      <c r="L7" s="257" t="s">
        <v>93</v>
      </c>
      <c r="M7" s="257"/>
      <c r="N7" s="258" t="s">
        <v>94</v>
      </c>
      <c r="O7" s="258"/>
      <c r="P7" s="258" t="s">
        <v>94</v>
      </c>
      <c r="Q7" s="258"/>
      <c r="R7" s="258" t="s">
        <v>94</v>
      </c>
      <c r="S7" s="258"/>
      <c r="T7" s="259" t="s">
        <v>81</v>
      </c>
      <c r="U7" s="259"/>
      <c r="V7" s="259" t="s">
        <v>81</v>
      </c>
      <c r="W7" s="259"/>
      <c r="X7" s="259" t="s">
        <v>81</v>
      </c>
      <c r="Y7" s="259"/>
      <c r="Z7" s="259" t="s">
        <v>81</v>
      </c>
      <c r="AA7" s="259"/>
      <c r="AB7" s="259" t="s">
        <v>81</v>
      </c>
      <c r="AC7" s="259"/>
      <c r="AD7" s="260" t="s">
        <v>82</v>
      </c>
      <c r="AE7" s="260"/>
      <c r="AF7" s="260" t="s">
        <v>82</v>
      </c>
      <c r="AG7" s="260"/>
      <c r="AH7" s="261" t="s">
        <v>84</v>
      </c>
      <c r="AI7" s="261"/>
      <c r="AJ7" s="261" t="s">
        <v>84</v>
      </c>
      <c r="AK7" s="261"/>
      <c r="AL7" s="261" t="s">
        <v>84</v>
      </c>
      <c r="AM7" s="261"/>
      <c r="AN7" s="261" t="s">
        <v>84</v>
      </c>
      <c r="AO7" s="261"/>
      <c r="AP7" s="261" t="s">
        <v>84</v>
      </c>
      <c r="AQ7" s="261"/>
      <c r="AR7" s="261" t="s">
        <v>84</v>
      </c>
      <c r="AS7" s="261"/>
      <c r="AT7" s="261" t="s">
        <v>84</v>
      </c>
      <c r="AU7" s="261"/>
      <c r="AV7" s="261" t="s">
        <v>84</v>
      </c>
      <c r="AW7" s="261"/>
      <c r="AX7" s="261" t="s">
        <v>84</v>
      </c>
      <c r="AY7" s="261"/>
      <c r="AZ7" s="261" t="s">
        <v>84</v>
      </c>
      <c r="BA7" s="261"/>
      <c r="BB7" s="261" t="s">
        <v>84</v>
      </c>
      <c r="BC7" s="261"/>
      <c r="BD7" s="261" t="s">
        <v>84</v>
      </c>
      <c r="BE7" s="261"/>
      <c r="BF7" s="262" t="s">
        <v>85</v>
      </c>
      <c r="BG7" s="262"/>
      <c r="BH7" s="262" t="s">
        <v>85</v>
      </c>
      <c r="BI7" s="262"/>
      <c r="BJ7" s="262" t="s">
        <v>85</v>
      </c>
      <c r="BK7" s="262"/>
      <c r="BL7" s="262" t="s">
        <v>85</v>
      </c>
      <c r="BM7" s="262"/>
      <c r="BN7" s="262" t="s">
        <v>85</v>
      </c>
      <c r="BO7" s="262"/>
      <c r="BP7" s="262" t="s">
        <v>85</v>
      </c>
      <c r="BQ7" s="262"/>
      <c r="BR7" s="262" t="s">
        <v>85</v>
      </c>
      <c r="BS7" s="262"/>
      <c r="BT7" s="262" t="s">
        <v>85</v>
      </c>
      <c r="BU7" s="262"/>
      <c r="BV7" s="262" t="s">
        <v>85</v>
      </c>
      <c r="BW7" s="262"/>
      <c r="BX7" s="262" t="s">
        <v>85</v>
      </c>
      <c r="BY7" s="262"/>
      <c r="BZ7" s="263" t="s">
        <v>87</v>
      </c>
      <c r="CA7" s="263"/>
      <c r="CB7" s="264" t="s">
        <v>88</v>
      </c>
      <c r="CC7" s="264"/>
      <c r="CD7" s="244" t="s">
        <v>89</v>
      </c>
      <c r="CE7" s="244"/>
      <c r="CF7" s="265" t="s">
        <v>90</v>
      </c>
      <c r="CG7" s="265"/>
      <c r="CH7" s="265" t="s">
        <v>90</v>
      </c>
      <c r="CI7" s="265"/>
      <c r="CJ7" s="265" t="s">
        <v>90</v>
      </c>
      <c r="CK7" s="265"/>
      <c r="CL7" s="265" t="s">
        <v>90</v>
      </c>
      <c r="CM7" s="265"/>
      <c r="CN7" s="266" t="s">
        <v>83</v>
      </c>
      <c r="CO7" s="266"/>
      <c r="CP7" s="266" t="s">
        <v>83</v>
      </c>
      <c r="CQ7" s="266"/>
      <c r="CR7" s="266" t="s">
        <v>83</v>
      </c>
      <c r="CS7" s="266"/>
      <c r="CT7" s="266" t="s">
        <v>83</v>
      </c>
      <c r="CU7" s="266"/>
      <c r="CV7" s="266" t="s">
        <v>83</v>
      </c>
      <c r="CW7" s="266"/>
      <c r="CX7" s="266" t="s">
        <v>83</v>
      </c>
      <c r="CY7" s="266"/>
      <c r="CZ7" s="266" t="s">
        <v>83</v>
      </c>
      <c r="DA7" s="266"/>
      <c r="DB7" s="267" t="s">
        <v>86</v>
      </c>
      <c r="DC7" s="267"/>
      <c r="DD7" s="267" t="s">
        <v>86</v>
      </c>
      <c r="DE7" s="267"/>
      <c r="DF7" s="267" t="s">
        <v>86</v>
      </c>
      <c r="DG7" s="267"/>
      <c r="DH7" s="267" t="s">
        <v>86</v>
      </c>
      <c r="DI7" s="267"/>
      <c r="DJ7" s="267" t="s">
        <v>86</v>
      </c>
      <c r="DK7" s="267"/>
      <c r="DL7" s="260" t="s">
        <v>82</v>
      </c>
      <c r="DM7" s="260"/>
      <c r="DN7" s="260" t="s">
        <v>82</v>
      </c>
      <c r="DO7" s="260"/>
      <c r="DP7" s="260" t="s">
        <v>82</v>
      </c>
      <c r="DQ7" s="260"/>
      <c r="DR7" s="260" t="s">
        <v>82</v>
      </c>
      <c r="DS7" s="260"/>
      <c r="DT7" s="260" t="s">
        <v>82</v>
      </c>
      <c r="DU7" s="260"/>
      <c r="DV7" s="260" t="s">
        <v>82</v>
      </c>
      <c r="DW7" s="260"/>
      <c r="DX7" s="259" t="s">
        <v>81</v>
      </c>
      <c r="DY7" s="259"/>
      <c r="DZ7" s="259" t="s">
        <v>81</v>
      </c>
      <c r="EA7" s="259"/>
      <c r="EB7" s="259" t="s">
        <v>81</v>
      </c>
      <c r="EC7" s="259"/>
      <c r="ED7" s="259" t="s">
        <v>81</v>
      </c>
      <c r="EE7" s="259"/>
      <c r="EF7" s="259" t="s">
        <v>81</v>
      </c>
      <c r="EG7" s="259"/>
      <c r="EH7" s="259" t="s">
        <v>81</v>
      </c>
      <c r="EI7" s="259"/>
      <c r="EJ7" s="259" t="s">
        <v>81</v>
      </c>
      <c r="EK7" s="259"/>
      <c r="EL7" s="257" t="s">
        <v>93</v>
      </c>
      <c r="EM7" s="257"/>
      <c r="EN7" s="257" t="s">
        <v>93</v>
      </c>
      <c r="EO7" s="257"/>
      <c r="EP7" s="257" t="s">
        <v>93</v>
      </c>
      <c r="EQ7" s="257"/>
      <c r="ER7" s="255" t="s">
        <v>91</v>
      </c>
      <c r="ES7" s="255"/>
      <c r="ET7" s="255" t="s">
        <v>91</v>
      </c>
      <c r="EU7" s="255"/>
      <c r="EV7" s="255" t="s">
        <v>91</v>
      </c>
      <c r="EW7" s="255"/>
      <c r="EX7" s="256" t="s">
        <v>92</v>
      </c>
      <c r="EY7" s="256"/>
      <c r="EZ7" s="258" t="s">
        <v>94</v>
      </c>
      <c r="FA7" s="258"/>
      <c r="FB7" s="258" t="s">
        <v>94</v>
      </c>
      <c r="FC7" s="258"/>
      <c r="FD7" s="258" t="s">
        <v>94</v>
      </c>
      <c r="FE7" s="258"/>
      <c r="FF7" s="256" t="s">
        <v>92</v>
      </c>
      <c r="FG7" s="256"/>
      <c r="FH7" s="256" t="s">
        <v>92</v>
      </c>
      <c r="FI7" s="256"/>
      <c r="FJ7" s="256" t="s">
        <v>92</v>
      </c>
      <c r="FK7" s="256"/>
      <c r="FL7" s="256" t="s">
        <v>92</v>
      </c>
      <c r="FM7" s="256"/>
    </row>
    <row r="8" spans="1:169" s="24" customFormat="1" ht="30" customHeight="1">
      <c r="B8" s="268"/>
      <c r="C8" s="268"/>
      <c r="D8" s="269" t="s">
        <v>277</v>
      </c>
      <c r="E8" s="270"/>
      <c r="F8" s="268"/>
      <c r="G8" s="268"/>
      <c r="H8" s="269" t="s">
        <v>278</v>
      </c>
      <c r="I8" s="270"/>
      <c r="J8" s="269" t="s">
        <v>279</v>
      </c>
      <c r="K8" s="270"/>
      <c r="L8" s="268"/>
      <c r="M8" s="268"/>
      <c r="N8" s="268"/>
      <c r="O8" s="268"/>
      <c r="P8" s="269" t="s">
        <v>280</v>
      </c>
      <c r="Q8" s="270"/>
      <c r="R8" s="269" t="s">
        <v>281</v>
      </c>
      <c r="S8" s="270"/>
      <c r="T8" s="268"/>
      <c r="U8" s="268"/>
      <c r="V8" s="269" t="s">
        <v>282</v>
      </c>
      <c r="W8" s="270"/>
      <c r="X8" s="269" t="s">
        <v>283</v>
      </c>
      <c r="Y8" s="270"/>
      <c r="Z8" s="269" t="s">
        <v>284</v>
      </c>
      <c r="AA8" s="270"/>
      <c r="AB8" s="269" t="s">
        <v>285</v>
      </c>
      <c r="AC8" s="270"/>
      <c r="AD8" s="268"/>
      <c r="AE8" s="268"/>
      <c r="AF8" s="269" t="s">
        <v>286</v>
      </c>
      <c r="AG8" s="270"/>
      <c r="AH8" s="269" t="s">
        <v>287</v>
      </c>
      <c r="AI8" s="270"/>
      <c r="AJ8" s="269" t="s">
        <v>288</v>
      </c>
      <c r="AK8" s="270"/>
      <c r="AL8" s="269" t="s">
        <v>289</v>
      </c>
      <c r="AM8" s="270"/>
      <c r="AN8" s="269" t="s">
        <v>290</v>
      </c>
      <c r="AO8" s="270"/>
      <c r="AP8" s="269" t="s">
        <v>291</v>
      </c>
      <c r="AQ8" s="270"/>
      <c r="AR8" s="269" t="s">
        <v>292</v>
      </c>
      <c r="AS8" s="270"/>
      <c r="AT8" s="269" t="s">
        <v>293</v>
      </c>
      <c r="AU8" s="270"/>
      <c r="AV8" s="269" t="s">
        <v>294</v>
      </c>
      <c r="AW8" s="270"/>
      <c r="AX8" s="269" t="s">
        <v>295</v>
      </c>
      <c r="AY8" s="270"/>
      <c r="AZ8" s="269" t="s">
        <v>296</v>
      </c>
      <c r="BA8" s="270"/>
      <c r="BB8" s="269" t="s">
        <v>297</v>
      </c>
      <c r="BC8" s="270"/>
      <c r="BD8" s="269"/>
      <c r="BE8" s="270"/>
      <c r="BF8" s="268"/>
      <c r="BG8" s="268"/>
      <c r="BH8" s="269" t="s">
        <v>298</v>
      </c>
      <c r="BI8" s="270"/>
      <c r="BJ8" s="269" t="s">
        <v>299</v>
      </c>
      <c r="BK8" s="270"/>
      <c r="BL8" s="269" t="s">
        <v>300</v>
      </c>
      <c r="BM8" s="270"/>
      <c r="BN8" s="269" t="s">
        <v>301</v>
      </c>
      <c r="BO8" s="270"/>
      <c r="BP8" s="269" t="s">
        <v>302</v>
      </c>
      <c r="BQ8" s="270"/>
      <c r="BR8" s="269" t="s">
        <v>303</v>
      </c>
      <c r="BS8" s="270"/>
      <c r="BT8" s="269" t="s">
        <v>304</v>
      </c>
      <c r="BU8" s="270"/>
      <c r="BV8" s="269" t="s">
        <v>305</v>
      </c>
      <c r="BW8" s="270"/>
      <c r="BX8" s="269" t="s">
        <v>306</v>
      </c>
      <c r="BY8" s="270"/>
      <c r="BZ8" s="268"/>
      <c r="CA8" s="268"/>
      <c r="CB8" s="268"/>
      <c r="CC8" s="268"/>
      <c r="CD8" s="268"/>
      <c r="CE8" s="268"/>
      <c r="CF8" s="268"/>
      <c r="CG8" s="268"/>
      <c r="CH8" s="269" t="s">
        <v>307</v>
      </c>
      <c r="CI8" s="270"/>
      <c r="CJ8" s="269" t="s">
        <v>308</v>
      </c>
      <c r="CK8" s="270"/>
      <c r="CL8" s="269" t="s">
        <v>309</v>
      </c>
      <c r="CM8" s="270"/>
      <c r="CN8" s="268"/>
      <c r="CO8" s="268"/>
      <c r="CP8" s="269" t="s">
        <v>310</v>
      </c>
      <c r="CQ8" s="270"/>
      <c r="CR8" s="269" t="s">
        <v>311</v>
      </c>
      <c r="CS8" s="270"/>
      <c r="CT8" s="269" t="s">
        <v>312</v>
      </c>
      <c r="CU8" s="270"/>
      <c r="CV8" s="269" t="s">
        <v>313</v>
      </c>
      <c r="CW8" s="270"/>
      <c r="CX8" s="269" t="s">
        <v>314</v>
      </c>
      <c r="CY8" s="270"/>
      <c r="CZ8" s="269" t="s">
        <v>315</v>
      </c>
      <c r="DA8" s="270"/>
      <c r="DB8" s="268"/>
      <c r="DC8" s="268"/>
      <c r="DD8" s="269" t="s">
        <v>316</v>
      </c>
      <c r="DE8" s="270"/>
      <c r="DF8" s="269" t="s">
        <v>317</v>
      </c>
      <c r="DG8" s="270"/>
      <c r="DH8" s="269" t="s">
        <v>318</v>
      </c>
      <c r="DI8" s="270"/>
      <c r="DJ8" s="269" t="s">
        <v>319</v>
      </c>
      <c r="DK8" s="270"/>
      <c r="DL8" s="269" t="s">
        <v>320</v>
      </c>
      <c r="DM8" s="270"/>
      <c r="DN8" s="269" t="s">
        <v>321</v>
      </c>
      <c r="DO8" s="270"/>
      <c r="DP8" s="269" t="s">
        <v>322</v>
      </c>
      <c r="DQ8" s="270"/>
      <c r="DR8" s="269" t="s">
        <v>323</v>
      </c>
      <c r="DS8" s="270"/>
      <c r="DT8" s="269" t="s">
        <v>324</v>
      </c>
      <c r="DU8" s="270"/>
      <c r="DV8" s="269" t="s">
        <v>325</v>
      </c>
      <c r="DW8" s="270"/>
      <c r="DX8" s="269" t="s">
        <v>326</v>
      </c>
      <c r="DY8" s="270"/>
      <c r="DZ8" s="269" t="s">
        <v>327</v>
      </c>
      <c r="EA8" s="270"/>
      <c r="EB8" s="269" t="s">
        <v>328</v>
      </c>
      <c r="EC8" s="270"/>
      <c r="ED8" s="269" t="s">
        <v>329</v>
      </c>
      <c r="EE8" s="270"/>
      <c r="EF8" s="269" t="s">
        <v>330</v>
      </c>
      <c r="EG8" s="270"/>
      <c r="EH8" s="269" t="s">
        <v>331</v>
      </c>
      <c r="EI8" s="270"/>
      <c r="EJ8" s="269" t="s">
        <v>332</v>
      </c>
      <c r="EK8" s="270"/>
      <c r="EL8" s="269" t="s">
        <v>333</v>
      </c>
      <c r="EM8" s="270"/>
      <c r="EN8" s="269" t="s">
        <v>334</v>
      </c>
      <c r="EO8" s="270"/>
      <c r="EP8" s="269" t="s">
        <v>335</v>
      </c>
      <c r="EQ8" s="270"/>
      <c r="ER8" s="269" t="s">
        <v>336</v>
      </c>
      <c r="ES8" s="270"/>
      <c r="ET8" s="269" t="s">
        <v>337</v>
      </c>
      <c r="EU8" s="270"/>
      <c r="EV8" s="269" t="s">
        <v>338</v>
      </c>
      <c r="EW8" s="270"/>
      <c r="EX8" s="269" t="s">
        <v>339</v>
      </c>
      <c r="EY8" s="270"/>
      <c r="EZ8" s="269" t="s">
        <v>340</v>
      </c>
      <c r="FA8" s="270"/>
      <c r="FB8" s="269" t="s">
        <v>341</v>
      </c>
      <c r="FC8" s="270"/>
      <c r="FD8" s="269" t="s">
        <v>342</v>
      </c>
      <c r="FE8" s="270"/>
      <c r="FF8" s="269" t="s">
        <v>343</v>
      </c>
      <c r="FG8" s="270"/>
      <c r="FH8" s="269" t="s">
        <v>344</v>
      </c>
      <c r="FI8" s="270"/>
      <c r="FJ8" s="269" t="s">
        <v>345</v>
      </c>
      <c r="FK8" s="270"/>
      <c r="FL8" s="269" t="s">
        <v>346</v>
      </c>
      <c r="FM8" s="270"/>
    </row>
    <row r="9" spans="1:169" s="85" customFormat="1" ht="50.1" customHeight="1">
      <c r="A9" s="114" t="s">
        <v>98</v>
      </c>
      <c r="B9" s="114" t="s">
        <v>99</v>
      </c>
      <c r="C9" s="114" t="s">
        <v>100</v>
      </c>
      <c r="D9" s="114" t="s">
        <v>99</v>
      </c>
      <c r="E9" s="114" t="s">
        <v>100</v>
      </c>
      <c r="F9" s="114" t="s">
        <v>99</v>
      </c>
      <c r="G9" s="114" t="s">
        <v>100</v>
      </c>
      <c r="H9" s="114" t="s">
        <v>99</v>
      </c>
      <c r="I9" s="114" t="s">
        <v>100</v>
      </c>
      <c r="J9" s="114" t="s">
        <v>99</v>
      </c>
      <c r="K9" s="114" t="s">
        <v>100</v>
      </c>
      <c r="L9" s="114" t="s">
        <v>99</v>
      </c>
      <c r="M9" s="114" t="s">
        <v>100</v>
      </c>
      <c r="N9" s="114" t="s">
        <v>99</v>
      </c>
      <c r="O9" s="114" t="s">
        <v>100</v>
      </c>
      <c r="P9" s="114" t="s">
        <v>99</v>
      </c>
      <c r="Q9" s="114" t="s">
        <v>100</v>
      </c>
      <c r="R9" s="114" t="s">
        <v>99</v>
      </c>
      <c r="S9" s="114" t="s">
        <v>100</v>
      </c>
      <c r="T9" s="114" t="s">
        <v>99</v>
      </c>
      <c r="U9" s="114" t="s">
        <v>100</v>
      </c>
      <c r="V9" s="114" t="s">
        <v>99</v>
      </c>
      <c r="W9" s="114" t="s">
        <v>100</v>
      </c>
      <c r="X9" s="114" t="s">
        <v>99</v>
      </c>
      <c r="Y9" s="114" t="s">
        <v>100</v>
      </c>
      <c r="Z9" s="114" t="s">
        <v>99</v>
      </c>
      <c r="AA9" s="114" t="s">
        <v>100</v>
      </c>
      <c r="AB9" s="114" t="s">
        <v>99</v>
      </c>
      <c r="AC9" s="114" t="s">
        <v>100</v>
      </c>
      <c r="AD9" s="114" t="s">
        <v>99</v>
      </c>
      <c r="AE9" s="114" t="s">
        <v>100</v>
      </c>
      <c r="AF9" s="114" t="s">
        <v>99</v>
      </c>
      <c r="AG9" s="114" t="s">
        <v>100</v>
      </c>
      <c r="AH9" s="114" t="s">
        <v>99</v>
      </c>
      <c r="AI9" s="114" t="s">
        <v>100</v>
      </c>
      <c r="AJ9" s="114" t="s">
        <v>99</v>
      </c>
      <c r="AK9" s="114" t="s">
        <v>100</v>
      </c>
      <c r="AL9" s="114" t="s">
        <v>99</v>
      </c>
      <c r="AM9" s="114" t="s">
        <v>100</v>
      </c>
      <c r="AN9" s="114" t="s">
        <v>99</v>
      </c>
      <c r="AO9" s="114" t="s">
        <v>100</v>
      </c>
      <c r="AP9" s="114" t="s">
        <v>99</v>
      </c>
      <c r="AQ9" s="114" t="s">
        <v>100</v>
      </c>
      <c r="AR9" s="114" t="s">
        <v>99</v>
      </c>
      <c r="AS9" s="114" t="s">
        <v>100</v>
      </c>
      <c r="AT9" s="114" t="s">
        <v>99</v>
      </c>
      <c r="AU9" s="114" t="s">
        <v>100</v>
      </c>
      <c r="AV9" s="114" t="s">
        <v>99</v>
      </c>
      <c r="AW9" s="114" t="s">
        <v>100</v>
      </c>
      <c r="AX9" s="114" t="s">
        <v>99</v>
      </c>
      <c r="AY9" s="114" t="s">
        <v>100</v>
      </c>
      <c r="AZ9" s="114" t="s">
        <v>99</v>
      </c>
      <c r="BA9" s="114" t="s">
        <v>100</v>
      </c>
      <c r="BB9" s="114" t="s">
        <v>99</v>
      </c>
      <c r="BC9" s="114" t="s">
        <v>100</v>
      </c>
      <c r="BD9" s="114" t="s">
        <v>99</v>
      </c>
      <c r="BE9" s="114" t="s">
        <v>100</v>
      </c>
      <c r="BF9" s="114" t="s">
        <v>99</v>
      </c>
      <c r="BG9" s="114" t="s">
        <v>100</v>
      </c>
      <c r="BH9" s="114" t="s">
        <v>99</v>
      </c>
      <c r="BI9" s="114" t="s">
        <v>100</v>
      </c>
      <c r="BJ9" s="114" t="s">
        <v>99</v>
      </c>
      <c r="BK9" s="114" t="s">
        <v>100</v>
      </c>
      <c r="BL9" s="114" t="s">
        <v>99</v>
      </c>
      <c r="BM9" s="114" t="s">
        <v>100</v>
      </c>
      <c r="BN9" s="114" t="s">
        <v>99</v>
      </c>
      <c r="BO9" s="114" t="s">
        <v>100</v>
      </c>
      <c r="BP9" s="114" t="s">
        <v>99</v>
      </c>
      <c r="BQ9" s="114" t="s">
        <v>100</v>
      </c>
      <c r="BR9" s="114" t="s">
        <v>99</v>
      </c>
      <c r="BS9" s="114" t="s">
        <v>100</v>
      </c>
      <c r="BT9" s="114" t="s">
        <v>99</v>
      </c>
      <c r="BU9" s="114" t="s">
        <v>100</v>
      </c>
      <c r="BV9" s="114" t="s">
        <v>99</v>
      </c>
      <c r="BW9" s="114" t="s">
        <v>100</v>
      </c>
      <c r="BX9" s="114" t="s">
        <v>99</v>
      </c>
      <c r="BY9" s="114" t="s">
        <v>100</v>
      </c>
      <c r="BZ9" s="114" t="s">
        <v>99</v>
      </c>
      <c r="CA9" s="114" t="s">
        <v>100</v>
      </c>
      <c r="CB9" s="114" t="s">
        <v>99</v>
      </c>
      <c r="CC9" s="114" t="s">
        <v>100</v>
      </c>
      <c r="CD9" s="114" t="s">
        <v>99</v>
      </c>
      <c r="CE9" s="114" t="s">
        <v>100</v>
      </c>
      <c r="CF9" s="114" t="s">
        <v>99</v>
      </c>
      <c r="CG9" s="114" t="s">
        <v>100</v>
      </c>
      <c r="CH9" s="114" t="s">
        <v>99</v>
      </c>
      <c r="CI9" s="114" t="s">
        <v>100</v>
      </c>
      <c r="CJ9" s="114" t="s">
        <v>99</v>
      </c>
      <c r="CK9" s="114" t="s">
        <v>100</v>
      </c>
      <c r="CL9" s="114" t="s">
        <v>99</v>
      </c>
      <c r="CM9" s="114" t="s">
        <v>100</v>
      </c>
      <c r="CN9" s="114" t="s">
        <v>99</v>
      </c>
      <c r="CO9" s="114" t="s">
        <v>100</v>
      </c>
      <c r="CP9" s="114" t="s">
        <v>99</v>
      </c>
      <c r="CQ9" s="114" t="s">
        <v>100</v>
      </c>
      <c r="CR9" s="114" t="s">
        <v>99</v>
      </c>
      <c r="CS9" s="114" t="s">
        <v>100</v>
      </c>
      <c r="CT9" s="114" t="s">
        <v>99</v>
      </c>
      <c r="CU9" s="114" t="s">
        <v>100</v>
      </c>
      <c r="CV9" s="114" t="s">
        <v>99</v>
      </c>
      <c r="CW9" s="114" t="s">
        <v>100</v>
      </c>
      <c r="CX9" s="114" t="s">
        <v>99</v>
      </c>
      <c r="CY9" s="114" t="s">
        <v>100</v>
      </c>
      <c r="CZ9" s="114" t="s">
        <v>99</v>
      </c>
      <c r="DA9" s="114" t="s">
        <v>100</v>
      </c>
      <c r="DB9" s="114" t="s">
        <v>99</v>
      </c>
      <c r="DC9" s="114" t="s">
        <v>100</v>
      </c>
      <c r="DD9" s="114" t="s">
        <v>99</v>
      </c>
      <c r="DE9" s="114" t="s">
        <v>100</v>
      </c>
      <c r="DF9" s="114" t="s">
        <v>99</v>
      </c>
      <c r="DG9" s="114" t="s">
        <v>100</v>
      </c>
      <c r="DH9" s="114" t="s">
        <v>99</v>
      </c>
      <c r="DI9" s="114" t="s">
        <v>100</v>
      </c>
      <c r="DJ9" s="114" t="s">
        <v>99</v>
      </c>
      <c r="DK9" s="114" t="s">
        <v>100</v>
      </c>
      <c r="DL9" s="114" t="s">
        <v>99</v>
      </c>
      <c r="DM9" s="114" t="s">
        <v>100</v>
      </c>
      <c r="DN9" s="114" t="s">
        <v>99</v>
      </c>
      <c r="DO9" s="114" t="s">
        <v>100</v>
      </c>
      <c r="DP9" s="114" t="s">
        <v>99</v>
      </c>
      <c r="DQ9" s="114" t="s">
        <v>100</v>
      </c>
      <c r="DR9" s="114" t="s">
        <v>99</v>
      </c>
      <c r="DS9" s="114" t="s">
        <v>100</v>
      </c>
      <c r="DT9" s="114" t="s">
        <v>99</v>
      </c>
      <c r="DU9" s="114" t="s">
        <v>100</v>
      </c>
      <c r="DV9" s="114" t="s">
        <v>99</v>
      </c>
      <c r="DW9" s="114" t="s">
        <v>100</v>
      </c>
      <c r="DX9" s="114" t="s">
        <v>99</v>
      </c>
      <c r="DY9" s="114" t="s">
        <v>100</v>
      </c>
      <c r="DZ9" s="114" t="s">
        <v>99</v>
      </c>
      <c r="EA9" s="114" t="s">
        <v>100</v>
      </c>
      <c r="EB9" s="114" t="s">
        <v>99</v>
      </c>
      <c r="EC9" s="114" t="s">
        <v>100</v>
      </c>
      <c r="ED9" s="114" t="s">
        <v>99</v>
      </c>
      <c r="EE9" s="114" t="s">
        <v>100</v>
      </c>
      <c r="EF9" s="114" t="s">
        <v>99</v>
      </c>
      <c r="EG9" s="114" t="s">
        <v>100</v>
      </c>
      <c r="EH9" s="114" t="s">
        <v>99</v>
      </c>
      <c r="EI9" s="114" t="s">
        <v>100</v>
      </c>
      <c r="EJ9" s="114" t="s">
        <v>99</v>
      </c>
      <c r="EK9" s="114" t="s">
        <v>100</v>
      </c>
      <c r="EL9" s="114" t="s">
        <v>99</v>
      </c>
      <c r="EM9" s="114" t="s">
        <v>100</v>
      </c>
      <c r="EN9" s="114" t="s">
        <v>99</v>
      </c>
      <c r="EO9" s="114" t="s">
        <v>100</v>
      </c>
      <c r="EP9" s="114" t="s">
        <v>99</v>
      </c>
      <c r="EQ9" s="114" t="s">
        <v>100</v>
      </c>
      <c r="ER9" s="114" t="s">
        <v>99</v>
      </c>
      <c r="ES9" s="114" t="s">
        <v>100</v>
      </c>
      <c r="ET9" s="114" t="s">
        <v>99</v>
      </c>
      <c r="EU9" s="114" t="s">
        <v>100</v>
      </c>
      <c r="EV9" s="114" t="s">
        <v>99</v>
      </c>
      <c r="EW9" s="114" t="s">
        <v>100</v>
      </c>
      <c r="EX9" s="114" t="s">
        <v>99</v>
      </c>
      <c r="EY9" s="114" t="s">
        <v>100</v>
      </c>
      <c r="EZ9" s="114" t="s">
        <v>99</v>
      </c>
      <c r="FA9" s="114" t="s">
        <v>100</v>
      </c>
      <c r="FB9" s="114" t="s">
        <v>99</v>
      </c>
      <c r="FC9" s="114" t="s">
        <v>100</v>
      </c>
      <c r="FD9" s="114" t="s">
        <v>99</v>
      </c>
      <c r="FE9" s="114" t="s">
        <v>100</v>
      </c>
      <c r="FF9" s="114" t="s">
        <v>99</v>
      </c>
      <c r="FG9" s="114" t="s">
        <v>100</v>
      </c>
      <c r="FH9" s="114" t="s">
        <v>99</v>
      </c>
      <c r="FI9" s="114" t="s">
        <v>100</v>
      </c>
      <c r="FJ9" s="114" t="s">
        <v>99</v>
      </c>
      <c r="FK9" s="114" t="s">
        <v>100</v>
      </c>
      <c r="FL9" s="114" t="s">
        <v>99</v>
      </c>
      <c r="FM9" s="114" t="s">
        <v>100</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347</v>
      </c>
      <c r="D2" s="273"/>
      <c r="E2" s="273" t="s">
        <v>348</v>
      </c>
      <c r="F2" s="273"/>
      <c r="G2" s="273" t="s">
        <v>349</v>
      </c>
      <c r="H2" s="273"/>
      <c r="I2" s="273" t="s">
        <v>350</v>
      </c>
      <c r="J2" s="273"/>
      <c r="K2" s="273" t="s">
        <v>351</v>
      </c>
      <c r="L2" s="273"/>
      <c r="M2" s="273" t="s">
        <v>352</v>
      </c>
      <c r="N2" s="273"/>
      <c r="O2" s="273" t="s">
        <v>353</v>
      </c>
      <c r="P2" s="273"/>
      <c r="Q2" s="273" t="s">
        <v>354</v>
      </c>
      <c r="R2" s="273"/>
      <c r="S2" s="273" t="s">
        <v>355</v>
      </c>
      <c r="T2" s="273"/>
      <c r="V2" s="273" t="s">
        <v>356</v>
      </c>
      <c r="W2" s="273"/>
      <c r="X2" s="273" t="s">
        <v>357</v>
      </c>
      <c r="Y2" s="273"/>
      <c r="Z2" s="273" t="s">
        <v>358</v>
      </c>
      <c r="AA2" s="273"/>
      <c r="AB2" s="273" t="s">
        <v>359</v>
      </c>
      <c r="AC2" s="273"/>
      <c r="AD2" s="273" t="s">
        <v>360</v>
      </c>
      <c r="AE2" s="273"/>
      <c r="AF2" s="273" t="s">
        <v>361</v>
      </c>
      <c r="AG2" s="273"/>
      <c r="AH2" s="273" t="s">
        <v>362</v>
      </c>
      <c r="AI2" s="273"/>
      <c r="AJ2" s="273" t="s">
        <v>363</v>
      </c>
      <c r="AK2" s="273"/>
      <c r="AL2" s="273" t="s">
        <v>364</v>
      </c>
      <c r="AM2" s="273"/>
      <c r="AO2" s="273" t="s">
        <v>365</v>
      </c>
      <c r="AP2" s="273"/>
      <c r="AQ2" s="273" t="s">
        <v>366</v>
      </c>
      <c r="AR2" s="273"/>
      <c r="AS2" s="273" t="s">
        <v>367</v>
      </c>
      <c r="AT2" s="273"/>
      <c r="AU2" s="273" t="s">
        <v>368</v>
      </c>
      <c r="AV2" s="273"/>
      <c r="AW2" s="273" t="s">
        <v>369</v>
      </c>
      <c r="AX2" s="273"/>
      <c r="AY2" s="273" t="s">
        <v>370</v>
      </c>
      <c r="AZ2" s="273"/>
      <c r="BA2" s="273" t="s">
        <v>371</v>
      </c>
      <c r="BB2" s="273"/>
      <c r="BC2" s="273" t="s">
        <v>372</v>
      </c>
      <c r="BD2" s="273"/>
      <c r="BE2" s="273" t="s">
        <v>373</v>
      </c>
      <c r="BF2" s="273"/>
      <c r="BH2" s="273" t="s">
        <v>103</v>
      </c>
      <c r="BI2" s="273"/>
      <c r="BJ2" s="273" t="s">
        <v>374</v>
      </c>
      <c r="BK2" s="273"/>
      <c r="BL2" s="273" t="s">
        <v>375</v>
      </c>
      <c r="BM2" s="273"/>
      <c r="BN2" s="273" t="s">
        <v>376</v>
      </c>
      <c r="BO2" s="273"/>
      <c r="BP2" s="273" t="s">
        <v>377</v>
      </c>
      <c r="BQ2" s="273"/>
      <c r="BR2" s="273" t="s">
        <v>378</v>
      </c>
      <c r="BS2" s="273"/>
      <c r="BT2" s="273" t="s">
        <v>379</v>
      </c>
      <c r="BU2" s="273"/>
      <c r="BV2" s="273" t="s">
        <v>380</v>
      </c>
      <c r="BW2" s="273"/>
      <c r="BX2" s="273" t="s">
        <v>381</v>
      </c>
      <c r="BY2" s="273"/>
      <c r="BZ2" s="273" t="s">
        <v>382</v>
      </c>
      <c r="CA2" s="273"/>
      <c r="CB2" s="273" t="s">
        <v>383</v>
      </c>
      <c r="CC2" s="273"/>
      <c r="CD2" s="273" t="s">
        <v>384</v>
      </c>
      <c r="CE2" s="273"/>
      <c r="CF2" s="273" t="s">
        <v>385</v>
      </c>
      <c r="CG2" s="273"/>
      <c r="CH2" s="273" t="s">
        <v>386</v>
      </c>
      <c r="CI2" s="273"/>
      <c r="CJ2" s="273" t="s">
        <v>387</v>
      </c>
      <c r="CK2" s="273"/>
      <c r="CL2" s="273" t="s">
        <v>388</v>
      </c>
      <c r="CM2" s="273"/>
      <c r="CN2" s="273" t="s">
        <v>389</v>
      </c>
      <c r="CO2" s="273"/>
      <c r="CP2" s="273" t="s">
        <v>390</v>
      </c>
      <c r="CQ2" s="273"/>
      <c r="CR2" s="273" t="s">
        <v>391</v>
      </c>
      <c r="CS2" s="273"/>
    </row>
    <row r="3" spans="1:97" s="56" customFormat="1" ht="49.5" customHeight="1">
      <c r="A3" s="115"/>
      <c r="B3" s="70"/>
      <c r="C3" s="271"/>
      <c r="D3" s="271"/>
      <c r="E3" s="274" t="s">
        <v>110</v>
      </c>
      <c r="F3" s="274"/>
      <c r="G3" s="271"/>
      <c r="H3" s="271"/>
      <c r="I3" s="275" t="s">
        <v>112</v>
      </c>
      <c r="J3" s="275"/>
      <c r="K3" s="271"/>
      <c r="L3" s="271"/>
      <c r="M3" s="271"/>
      <c r="N3" s="271"/>
      <c r="O3" s="271"/>
      <c r="P3" s="271"/>
      <c r="Q3" s="272" t="s">
        <v>113</v>
      </c>
      <c r="R3" s="272"/>
      <c r="S3" s="271"/>
      <c r="T3" s="271"/>
      <c r="U3" s="55"/>
      <c r="V3" s="272" t="s">
        <v>108</v>
      </c>
      <c r="W3" s="272"/>
      <c r="X3" s="271"/>
      <c r="Y3" s="271"/>
      <c r="Z3" s="271"/>
      <c r="AA3" s="271"/>
      <c r="AB3" s="271"/>
      <c r="AC3" s="271"/>
      <c r="AD3" s="271"/>
      <c r="AE3" s="271"/>
      <c r="AF3" s="271"/>
      <c r="AG3" s="271"/>
      <c r="AH3" s="271"/>
      <c r="AI3" s="271"/>
      <c r="AJ3" s="271"/>
      <c r="AK3" s="271"/>
      <c r="AL3" s="271"/>
      <c r="AM3" s="271"/>
      <c r="AN3" s="55"/>
      <c r="AO3" s="274" t="s">
        <v>111</v>
      </c>
      <c r="AP3" s="274"/>
      <c r="AQ3" s="271"/>
      <c r="AR3" s="271"/>
      <c r="AS3" s="271"/>
      <c r="AT3" s="271"/>
      <c r="AU3" s="271"/>
      <c r="AV3" s="271"/>
      <c r="AW3" s="271"/>
      <c r="AX3" s="271"/>
      <c r="AY3" s="271"/>
      <c r="AZ3" s="271"/>
      <c r="BA3" s="271"/>
      <c r="BB3" s="271"/>
      <c r="BC3" s="271"/>
      <c r="BD3" s="271"/>
      <c r="BE3" s="271"/>
      <c r="BF3" s="271"/>
      <c r="BG3" s="55"/>
      <c r="BH3" s="274" t="s">
        <v>109</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2022-06-04T08:46:03Z</dcterms:modified>
  <cp:category/>
  <cp:contentStatus/>
</cp:coreProperties>
</file>