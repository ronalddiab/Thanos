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<sst xmlns="http://schemas.openxmlformats.org/spreadsheetml/2006/main" count="105" uniqueCount="38">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</sst>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L30" sqref="L3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9162</v>
      </c>
      <c r="F12" s="25">
        <v>0.11799999999999999</v>
      </c>
      <c r="G12" s="27">
        <f>(('11 - 2019'!E17-'11 - 2019'!E16)+('11 - 2019'!F17-'11 - 2019'!F16)+('11 - 2019'!G17-'11 - 2019'!G16))*1.81</f>
        <v>120.07539999999904</v>
      </c>
      <c r="H12" s="25">
        <v>0.99</v>
      </c>
      <c r="I12" s="27">
        <f>'11 - 2019'!J17-'11 - 2019'!J16</f>
        <v>14944</v>
      </c>
      <c r="J12" s="25">
        <v>8.1000000000000003E-2</v>
      </c>
      <c r="K12" s="27">
        <f>'11 - 2019'!H17-'11 - 2019'!H16</f>
        <v>0</v>
      </c>
      <c r="L12" s="27">
        <f>'11 - 2019'!I17-'11 - 2019'!I16</f>
        <v>119.82000000000698</v>
      </c>
      <c r="M12" s="26">
        <v>4.393629424766913</v>
      </c>
      <c r="N12" s="6">
        <v>73</v>
      </c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10654</v>
      </c>
      <c r="F13" s="25">
        <v>0.11799999999999999</v>
      </c>
      <c r="G13" s="27">
        <f>(('11 - 2019'!E18-'11 - 2019'!E17)+('11 - 2019'!F18-'11 - 2019'!F17)+('11 - 2019'!G18-'11 - 2019'!G17))*1.81</f>
        <v>123.33339999999977</v>
      </c>
      <c r="H13" s="25">
        <v>0.99</v>
      </c>
      <c r="I13" s="27">
        <f>'11 - 2019'!J18-'11 - 2019'!J17</f>
        <v>16092</v>
      </c>
      <c r="J13" s="25">
        <v>8.1000000000000003E-2</v>
      </c>
      <c r="K13" s="27">
        <f>'11 - 2019'!H18-'11 - 2019'!H17</f>
        <v>0</v>
      </c>
      <c r="L13" s="27">
        <f>'11 - 2019'!I18-'11 - 2019'!I17</f>
        <v>150</v>
      </c>
      <c r="M13" s="26">
        <v>4.393629424766913</v>
      </c>
      <c r="N13" s="6">
        <v>60</v>
      </c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9796</v>
      </c>
      <c r="F14" s="25">
        <v>0.11799999999999999</v>
      </c>
      <c r="G14" s="27">
        <f>(('11 - 2019'!E19-'11 - 2019'!E18)+('11 - 2019'!F19-'11 - 2019'!F18)+('11 - 2019'!G19-'11 - 2019'!G18))*1.81</f>
        <v>126.73620000000162</v>
      </c>
      <c r="H14" s="25">
        <v>0.99</v>
      </c>
      <c r="I14" s="27">
        <f>'11 - 2019'!J19-'11 - 2019'!J18</f>
        <v>18578</v>
      </c>
      <c r="J14" s="25">
        <v>8.1000000000000003E-2</v>
      </c>
      <c r="K14" s="27">
        <f>'11 - 2019'!H19-'11 - 2019'!H18</f>
        <v>0</v>
      </c>
      <c r="L14" s="27">
        <f>'11 - 2019'!I19-'11 - 2019'!I18</f>
        <v>112</v>
      </c>
      <c r="M14" s="26">
        <v>4.393629424766913</v>
      </c>
      <c r="N14" s="6">
        <v>77</v>
      </c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10079</v>
      </c>
      <c r="F15" s="25">
        <v>0.11799999999999999</v>
      </c>
      <c r="G15" s="27">
        <f>(('11 - 2019'!E20-'11 - 2019'!E19)+('11 - 2019'!F20-'11 - 2019'!F19)+('11 - 2019'!G20-'11 - 2019'!G19))*1.81</f>
        <v>125.43300000000198</v>
      </c>
      <c r="H15" s="25">
        <v>0.99</v>
      </c>
      <c r="I15" s="27">
        <f>'11 - 2019'!J20-'11 - 2019'!J19</f>
        <v>17315</v>
      </c>
      <c r="J15" s="25">
        <v>8.1000000000000003E-2</v>
      </c>
      <c r="K15" s="27">
        <f>'11 - 2019'!H20-'11 - 2019'!H19</f>
        <v>0</v>
      </c>
      <c r="L15" s="27">
        <f>'11 - 2019'!I20-'11 - 2019'!I19</f>
        <v>125</v>
      </c>
      <c r="M15" s="26">
        <v>4.393629424766913</v>
      </c>
      <c r="N15" s="6">
        <v>89</v>
      </c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10455</v>
      </c>
      <c r="F16" s="25">
        <v>0.11799999999999999</v>
      </c>
      <c r="G16" s="27">
        <f>(('11 - 2019'!E21-'11 - 2019'!E20)+('11 - 2019'!F21-'11 - 2019'!F20)+('11 - 2019'!G21-'11 - 2019'!G20))*1.81</f>
        <v>132.1842999999983</v>
      </c>
      <c r="H16" s="25">
        <v>0.99</v>
      </c>
      <c r="I16" s="27">
        <f>'11 - 2019'!J21-'11 - 2019'!J20</f>
        <v>15951</v>
      </c>
      <c r="J16" s="25">
        <v>8.1000000000000003E-2</v>
      </c>
      <c r="K16" s="27">
        <f>'11 - 2019'!H21-'11 - 2019'!H20</f>
        <v>0</v>
      </c>
      <c r="L16" s="27">
        <f>'11 - 2019'!I21-'11 - 2019'!I20</f>
        <v>112</v>
      </c>
      <c r="M16" s="26">
        <v>4.393629424766913</v>
      </c>
      <c r="N16" s="6">
        <v>82</v>
      </c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10033</v>
      </c>
      <c r="F17" s="25">
        <v>0.11799999999999999</v>
      </c>
      <c r="G17" s="27">
        <f>(('11 - 2019'!E22-'11 - 2019'!E21)+('11 - 2019'!F22-'11 - 2019'!F21)+('11 - 2019'!G22-'11 - 2019'!G21))*1.81</f>
        <v>125.52349999999819</v>
      </c>
      <c r="H17" s="25">
        <v>0.99</v>
      </c>
      <c r="I17" s="27">
        <f>'11 - 2019'!J22-'11 - 2019'!J21</f>
        <v>14198</v>
      </c>
      <c r="J17" s="25">
        <v>8.1000000000000003E-2</v>
      </c>
      <c r="K17" s="27">
        <f>'11 - 2019'!H22-'11 - 2019'!H21</f>
        <v>0</v>
      </c>
      <c r="L17" s="27">
        <f>'11 - 2019'!I22-'11 - 2019'!I21</f>
        <v>134</v>
      </c>
      <c r="M17" s="26">
        <v>4.393629424766913</v>
      </c>
      <c r="N17" s="27">
        <v>91</v>
      </c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10466</v>
      </c>
      <c r="F18" s="25">
        <v>0.11799999999999999</v>
      </c>
      <c r="G18" s="27">
        <f>(('11 - 2019'!E23-'11 - 2019'!E22)+('11 - 2019'!F23-'11 - 2019'!F22)+('11 - 2019'!G23-'11 - 2019'!G22))*1.81</f>
        <v>114.53680000000202</v>
      </c>
      <c r="H18" s="25">
        <v>0.99</v>
      </c>
      <c r="I18" s="27">
        <f>'11 - 2019'!J23-'11 - 2019'!J22</f>
        <v>17220</v>
      </c>
      <c r="J18" s="25">
        <v>8.1000000000000003E-2</v>
      </c>
      <c r="K18" s="27">
        <f>'11 - 2019'!H23-'11 - 2019'!H22</f>
        <v>0</v>
      </c>
      <c r="L18" s="27">
        <f>'11 - 2019'!I23-'11 - 2019'!I22</f>
        <v>119</v>
      </c>
      <c r="M18" s="26">
        <v>4.393629424766913</v>
      </c>
      <c r="N18" s="27">
        <v>93</v>
      </c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10106</v>
      </c>
      <c r="F19" s="25">
        <v>0.11799999999999999</v>
      </c>
      <c r="G19" s="27">
        <f>(('11 - 2019'!E24-'11 - 2019'!E23)+('11 - 2019'!F24-'11 - 2019'!F23)+('11 - 2019'!G24-'11 - 2019'!G23))*1.81</f>
        <v>136.76359999999784</v>
      </c>
      <c r="H19" s="25">
        <v>0.99</v>
      </c>
      <c r="I19" s="27">
        <f>'11 - 2019'!J24-'11 - 2019'!J23</f>
        <v>16151</v>
      </c>
      <c r="J19" s="25">
        <v>8.1000000000000003E-2</v>
      </c>
      <c r="K19" s="27">
        <f>'11 - 2019'!H24-'11 - 2019'!H23</f>
        <v>0</v>
      </c>
      <c r="L19" s="27">
        <f>'11 - 2019'!I24-'11 - 2019'!I23</f>
        <v>89</v>
      </c>
      <c r="M19" s="26">
        <v>4.393629424766913</v>
      </c>
      <c r="N19" s="27">
        <v>87</v>
      </c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9898.7399999999907</v>
      </c>
      <c r="F20" s="25">
        <v>0.11799999999999999</v>
      </c>
      <c r="G20" s="27">
        <f>(('11 - 2019'!E25-'11 - 2019'!E24)+('11 - 2019'!F25-'11 - 2019'!F24)+('11 - 2019'!G25-'11 - 2019'!G24))*1.81</f>
        <v>123.17050000000033</v>
      </c>
      <c r="H20" s="25">
        <v>0.99</v>
      </c>
      <c r="I20" s="27">
        <f>'11 - 2019'!J25-'11 - 2019'!J24</f>
        <v>17777</v>
      </c>
      <c r="J20" s="25">
        <v>8.1000000000000003E-2</v>
      </c>
      <c r="K20" s="27">
        <f>'11 - 2019'!H25-'11 - 2019'!H24</f>
        <v>0</v>
      </c>
      <c r="L20" s="27">
        <f>'11 - 2019'!I25-'11 - 2019'!I24</f>
        <v>110</v>
      </c>
      <c r="M20" s="26">
        <v>4.393629424766913</v>
      </c>
      <c r="N20" s="27">
        <v>102</v>
      </c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9271.4599999999627</v>
      </c>
      <c r="F21" s="25">
        <v>0.11799999999999999</v>
      </c>
      <c r="G21" s="27">
        <f>(('11 - 2019'!E26-'11 - 2019'!E25)+('11 - 2019'!F26-'11 - 2019'!F25)+('11 - 2019'!G26-'11 - 2019'!G25))*1.81</f>
        <v>116.364900000002</v>
      </c>
      <c r="H21" s="25">
        <v>0.99</v>
      </c>
      <c r="I21" s="27">
        <f>'11 - 2019'!J26-'11 - 2019'!J25</f>
        <v>18547</v>
      </c>
      <c r="J21" s="25">
        <v>8.1000000000000003E-2</v>
      </c>
      <c r="K21" s="27">
        <f>'11 - 2019'!H26-'11 - 2019'!H25</f>
        <v>0</v>
      </c>
      <c r="L21" s="27">
        <f>'11 - 2019'!I26-'11 - 2019'!I25</f>
        <v>109</v>
      </c>
      <c r="M21" s="26">
        <v>4.393629424766913</v>
      </c>
      <c r="N21" s="6">
        <v>100</v>
      </c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10050.20000000007</v>
      </c>
      <c r="F22" s="25">
        <v>0.11799999999999999</v>
      </c>
      <c r="G22" s="27">
        <f>(('11 - 2019'!E27-'11 - 2019'!E26)+('11 - 2019'!F27-'11 - 2019'!F26)+('11 - 2019'!G27-'11 - 2019'!G26))*1.81</f>
        <v>72.074199999999891</v>
      </c>
      <c r="H22" s="25">
        <v>0.99</v>
      </c>
      <c r="I22" s="27">
        <f>'11 - 2019'!J27-'11 - 2019'!J26</f>
        <v>16707</v>
      </c>
      <c r="J22" s="25">
        <v>8.1000000000000003E-2</v>
      </c>
      <c r="K22" s="27">
        <f>'11 - 2019'!H27-'11 - 2019'!H26</f>
        <v>0</v>
      </c>
      <c r="L22" s="27">
        <f>'11 - 2019'!I27-'11 - 2019'!I26</f>
        <v>120</v>
      </c>
      <c r="M22" s="26">
        <v>4.393629424766913</v>
      </c>
      <c r="N22" s="6">
        <v>99</v>
      </c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10169.29999999993</v>
      </c>
      <c r="F23" s="25">
        <v>0.11799999999999999</v>
      </c>
      <c r="G23" s="27">
        <f>(('11 - 2019'!E28-'11 - 2019'!E27)+('11 - 2019'!F28-'11 - 2019'!F27)+('11 - 2019'!G28-'11 - 2019'!G27))*1.81</f>
        <v>197.81490000000076</v>
      </c>
      <c r="H23" s="25">
        <v>0.99</v>
      </c>
      <c r="I23" s="27">
        <f>'11 - 2019'!J28-'11 - 2019'!J27</f>
        <v>17989</v>
      </c>
      <c r="J23" s="25">
        <v>8.1000000000000003E-2</v>
      </c>
      <c r="K23" s="27">
        <f>'11 - 2019'!H28-'11 - 2019'!H27</f>
        <v>0</v>
      </c>
      <c r="L23" s="27">
        <f>'11 - 2019'!I28-'11 - 2019'!I27</f>
        <v>154</v>
      </c>
      <c r="M23" s="26">
        <v>4.393629424766913</v>
      </c>
      <c r="N23" s="6">
        <v>100</v>
      </c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10290.100000000093</v>
      </c>
      <c r="F24" s="25">
        <v>0.11799999999999999</v>
      </c>
      <c r="G24" s="27">
        <f>(('11 - 2019'!E29-'11 - 2019'!E28)+('11 - 2019'!F29-'11 - 2019'!F28)+('11 - 2019'!G29-'11 - 2019'!G28))*1.81</f>
        <v>132.36529999999937</v>
      </c>
      <c r="H24" s="25">
        <v>0.99</v>
      </c>
      <c r="I24" s="27">
        <f>'11 - 2019'!J29-'11 - 2019'!J28</f>
        <v>12216</v>
      </c>
      <c r="J24" s="25">
        <v>8.1000000000000003E-2</v>
      </c>
      <c r="K24" s="27">
        <f>'11 - 2019'!H29-'11 - 2019'!H28</f>
        <v>0</v>
      </c>
      <c r="L24" s="27">
        <f>'11 - 2019'!I29-'11 - 2019'!I28</f>
        <v>116</v>
      </c>
      <c r="M24" s="26">
        <v>4.393629424766913</v>
      </c>
      <c r="N24" s="6">
        <v>64</v>
      </c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11036.79999999993</v>
      </c>
      <c r="F25" s="25">
        <v>0.11799999999999999</v>
      </c>
      <c r="G25" s="27">
        <f>(('11 - 2019'!E30-'11 - 2019'!E29)+('11 - 2019'!F30-'11 - 2019'!F29)+('11 - 2019'!G30-'11 - 2019'!G29))*1.81</f>
        <v>143.76830000000135</v>
      </c>
      <c r="H25" s="25">
        <v>0.99</v>
      </c>
      <c r="I25" s="27">
        <f>'11 - 2019'!J30-'11 - 2019'!J29</f>
        <v>15410</v>
      </c>
      <c r="J25" s="25">
        <v>8.1000000000000003E-2</v>
      </c>
      <c r="K25" s="27">
        <f>'11 - 2019'!H30-'11 - 2019'!H29</f>
        <v>0</v>
      </c>
      <c r="L25" s="27">
        <f>'11 - 2019'!I30-'11 - 2019'!I29</f>
        <v>104</v>
      </c>
      <c r="M25" s="26">
        <v>4.393629424766913</v>
      </c>
      <c r="N25" s="6">
        <v>64</v>
      </c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8724.9000000000233</v>
      </c>
      <c r="F26" s="25">
        <v>0.11799999999999999</v>
      </c>
      <c r="G26" s="27">
        <f>(('11 - 2019'!E31-'11 - 2019'!E30)+('11 - 2019'!F31-'11 - 2019'!F30)+('11 - 2019'!G31-'11 - 2019'!G30))*1.81</f>
        <v>97.66759999999924</v>
      </c>
      <c r="H26" s="25">
        <v>0.99</v>
      </c>
      <c r="I26" s="27">
        <f>'11 - 2019'!J31-'11 - 2019'!J30</f>
        <v>12667</v>
      </c>
      <c r="J26" s="25">
        <v>8.1000000000000003E-2</v>
      </c>
      <c r="K26" s="27">
        <f>'11 - 2019'!H31-'11 - 2019'!H30</f>
        <v>0</v>
      </c>
      <c r="L26" s="27">
        <f>'11 - 2019'!I31-'11 - 2019'!I30</f>
        <v>94</v>
      </c>
      <c r="M26" s="26">
        <v>4.393629424766913</v>
      </c>
      <c r="N26" s="6">
        <v>82</v>
      </c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9584.3999999999069</v>
      </c>
      <c r="F27" s="25">
        <v>0.11799999999999999</v>
      </c>
      <c r="G27" s="27">
        <f>(('11 - 2019'!E32-'11 - 2019'!E31)+('11 - 2019'!F32-'11 - 2019'!F31)+('11 - 2019'!G32-'11 - 2019'!G31))*1.81</f>
        <v>123.84019999999725</v>
      </c>
      <c r="H27" s="25">
        <v>0.99</v>
      </c>
      <c r="I27" s="27">
        <f>'11 - 2019'!J32-'11 - 2019'!J31</f>
        <v>13873</v>
      </c>
      <c r="J27" s="25">
        <v>8.1000000000000003E-2</v>
      </c>
      <c r="K27" s="27">
        <f>'11 - 2019'!H32-'11 - 2019'!H31</f>
        <v>0</v>
      </c>
      <c r="L27" s="27">
        <f>'11 - 2019'!I32-'11 - 2019'!I31</f>
        <v>93</v>
      </c>
      <c r="M27" s="26">
        <v>4.393629424766913</v>
      </c>
      <c r="N27" s="6">
        <v>92</v>
      </c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H32" sqref="H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3487</v>
      </c>
      <c r="F12" s="27">
        <f>'11 - 2019'!C17-'11 - 2019'!C16</f>
        <v>5675</v>
      </c>
      <c r="G12" s="25">
        <v>0.11799999999999999</v>
      </c>
      <c r="H12" s="27">
        <f>'11 - 2019'!E17-'11 - 2019'!E16</f>
        <v>27.199999999999818</v>
      </c>
      <c r="I12" s="27">
        <f>'11 - 2019'!F17-'11 - 2019'!F16</f>
        <v>6.6499999999998636</v>
      </c>
      <c r="J12" s="27">
        <f>'11 - 2019'!G17-'11 - 2019'!G16</f>
        <v>32.489999999999782</v>
      </c>
      <c r="K12" s="25">
        <v>0.74</v>
      </c>
      <c r="L12" s="27">
        <v>73</v>
      </c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3974</v>
      </c>
      <c r="F13" s="27">
        <f>'11 - 2019'!C18-'11 - 2019'!C17</f>
        <v>6680</v>
      </c>
      <c r="G13" s="25">
        <v>0.11799999999999999</v>
      </c>
      <c r="H13" s="27">
        <f>'11 - 2019'!E18-'11 - 2019'!E17</f>
        <v>27.210000000000036</v>
      </c>
      <c r="I13" s="27">
        <f>'11 - 2019'!F18-'11 - 2019'!F17</f>
        <v>5.2699999999999818</v>
      </c>
      <c r="J13" s="27">
        <f>'11 - 2019'!G18-'11 - 2019'!G17</f>
        <v>35.659999999999854</v>
      </c>
      <c r="K13" s="25">
        <v>0.74</v>
      </c>
      <c r="L13" s="27">
        <v>60</v>
      </c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3740</v>
      </c>
      <c r="F14" s="27">
        <f>'11 - 2019'!C19-'11 - 2019'!C18</f>
        <v>6056</v>
      </c>
      <c r="G14" s="25">
        <v>0.11799999999999999</v>
      </c>
      <c r="H14" s="27">
        <f>'11 - 2019'!E19-'11 - 2019'!E18</f>
        <v>25.920000000000073</v>
      </c>
      <c r="I14" s="27">
        <f>'11 - 2019'!F19-'11 - 2019'!F18</f>
        <v>4.9000000000000909</v>
      </c>
      <c r="J14" s="27">
        <f>'11 - 2019'!G19-'11 - 2019'!G18</f>
        <v>39.200000000000728</v>
      </c>
      <c r="K14" s="25">
        <v>0.74</v>
      </c>
      <c r="L14" s="6">
        <v>77</v>
      </c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3844</v>
      </c>
      <c r="F15" s="27">
        <f>'11 - 2019'!C20-'11 - 2019'!C19</f>
        <v>6235</v>
      </c>
      <c r="G15" s="25">
        <v>0.11799999999999999</v>
      </c>
      <c r="H15" s="27">
        <f>'11 - 2019'!E20-'11 - 2019'!E19</f>
        <v>23.190000000000509</v>
      </c>
      <c r="I15" s="27">
        <f>'11 - 2019'!F20-'11 - 2019'!F19</f>
        <v>8.3299999999999272</v>
      </c>
      <c r="J15" s="27">
        <f>'11 - 2019'!G20-'11 - 2019'!G19</f>
        <v>37.780000000000655</v>
      </c>
      <c r="K15" s="25">
        <v>0.74</v>
      </c>
      <c r="L15" s="6">
        <v>89</v>
      </c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3924</v>
      </c>
      <c r="F16" s="27">
        <f>'11 - 2019'!C21-'11 - 2019'!C20</f>
        <v>6531</v>
      </c>
      <c r="G16" s="25">
        <v>0.11799999999999999</v>
      </c>
      <c r="H16" s="27">
        <f>'11 - 2019'!E21-'11 - 2019'!E20</f>
        <v>26.899999999999636</v>
      </c>
      <c r="I16" s="27">
        <f>'11 - 2019'!F21-'11 - 2019'!F20</f>
        <v>5.9100000000000819</v>
      </c>
      <c r="J16" s="27">
        <f>'11 - 2019'!G21-'11 - 2019'!G20</f>
        <v>40.219999999999345</v>
      </c>
      <c r="K16" s="25">
        <v>0.74</v>
      </c>
      <c r="L16" s="27">
        <v>82</v>
      </c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3744</v>
      </c>
      <c r="F17" s="27">
        <f>'11 - 2019'!C22-'11 - 2019'!C21</f>
        <v>6289</v>
      </c>
      <c r="G17" s="25">
        <v>0.11799999999999999</v>
      </c>
      <c r="H17" s="27">
        <f>'11 - 2019'!E22-'11 - 2019'!E21</f>
        <v>25.699999999999818</v>
      </c>
      <c r="I17" s="27">
        <f>'11 - 2019'!F22-'11 - 2019'!F21</f>
        <v>4.9400000000000546</v>
      </c>
      <c r="J17" s="27">
        <f>'11 - 2019'!G22-'11 - 2019'!G21</f>
        <v>38.709999999999127</v>
      </c>
      <c r="K17" s="25">
        <v>0.74</v>
      </c>
      <c r="L17" s="27">
        <v>91</v>
      </c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3840</v>
      </c>
      <c r="F18" s="27">
        <f>'11 - 2019'!C23-'11 - 2019'!C22</f>
        <v>6626</v>
      </c>
      <c r="G18" s="25">
        <v>0.11799999999999999</v>
      </c>
      <c r="H18" s="27">
        <f>'11 - 2019'!E23-'11 - 2019'!E22</f>
        <v>25.079999999999927</v>
      </c>
      <c r="I18" s="27">
        <f>'11 - 2019'!F23-'11 - 2019'!F22</f>
        <v>5.7300000000000182</v>
      </c>
      <c r="J18" s="27">
        <f>'11 - 2019'!G23-'11 - 2019'!G22</f>
        <v>32.470000000001164</v>
      </c>
      <c r="K18" s="25">
        <v>0.74</v>
      </c>
      <c r="L18" s="27">
        <v>93</v>
      </c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3701</v>
      </c>
      <c r="F19" s="27">
        <f>'11 - 2019'!C24-'11 - 2019'!C23</f>
        <v>6405</v>
      </c>
      <c r="G19" s="25">
        <v>0.11799999999999999</v>
      </c>
      <c r="H19" s="27">
        <f>'11 - 2019'!E24-'11 - 2019'!E23</f>
        <v>26.199999999999818</v>
      </c>
      <c r="I19" s="27">
        <f>'11 - 2019'!F24-'11 - 2019'!F23</f>
        <v>6.7400000000000091</v>
      </c>
      <c r="J19" s="27">
        <f>'11 - 2019'!G24-'11 - 2019'!G23</f>
        <v>42.619999999998981</v>
      </c>
      <c r="K19" s="25">
        <v>0.74</v>
      </c>
      <c r="L19" s="6">
        <v>87</v>
      </c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3737</v>
      </c>
      <c r="F20" s="27">
        <f>'11 - 2019'!C25-'11 - 2019'!C24</f>
        <v>6161.7399999999907</v>
      </c>
      <c r="G20" s="25">
        <v>0.11799999999999999</v>
      </c>
      <c r="H20" s="27">
        <f>'11 - 2019'!E25-'11 - 2019'!E24</f>
        <v>24.090000000000146</v>
      </c>
      <c r="I20" s="27">
        <f>'11 - 2019'!F25-'11 - 2019'!F24</f>
        <v>5.1999999999998181</v>
      </c>
      <c r="J20" s="27">
        <f>'11 - 2019'!G25-'11 - 2019'!G24</f>
        <v>38.760000000000218</v>
      </c>
      <c r="K20" s="25">
        <v>0.74</v>
      </c>
      <c r="L20" s="6">
        <v>102</v>
      </c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3454</v>
      </c>
      <c r="F21" s="27">
        <f>'11 - 2019'!C26-'11 - 2019'!C25</f>
        <v>5817.4599999999627</v>
      </c>
      <c r="G21" s="25">
        <v>0.11799999999999999</v>
      </c>
      <c r="H21" s="27">
        <f>'11 - 2019'!E26-'11 - 2019'!E25</f>
        <v>24.840000000000146</v>
      </c>
      <c r="I21" s="27">
        <f>'11 - 2019'!F26-'11 - 2019'!F25</f>
        <v>5.2400000000000091</v>
      </c>
      <c r="J21" s="27">
        <f>'11 - 2019'!G26-'11 - 2019'!G25</f>
        <v>34.210000000000946</v>
      </c>
      <c r="K21" s="25">
        <v>0.74</v>
      </c>
      <c r="L21" s="6">
        <v>100</v>
      </c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3797</v>
      </c>
      <c r="F22" s="27">
        <f>'11 - 2019'!C27-'11 - 2019'!C26</f>
        <v>6253.2000000000698</v>
      </c>
      <c r="G22" s="25">
        <v>0.11799999999999999</v>
      </c>
      <c r="H22" s="27">
        <f>'11 - 2019'!E27-'11 - 2019'!E26</f>
        <v>15.869999999999891</v>
      </c>
      <c r="I22" s="27">
        <f>'11 - 2019'!F27-'11 - 2019'!F26</f>
        <v>5.7000000000000455</v>
      </c>
      <c r="J22" s="27">
        <f>'11 - 2019'!G27-'11 - 2019'!G26</f>
        <v>18.25</v>
      </c>
      <c r="K22" s="25">
        <v>0.74</v>
      </c>
      <c r="L22" s="27">
        <v>99</v>
      </c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3781</v>
      </c>
      <c r="F23" s="27">
        <f>'11 - 2019'!C28-'11 - 2019'!C27</f>
        <v>6388.2999999999302</v>
      </c>
      <c r="G23" s="25">
        <v>0.11799999999999999</v>
      </c>
      <c r="H23" s="27">
        <f>'11 - 2019'!E28-'11 - 2019'!E27</f>
        <v>38.980000000000473</v>
      </c>
      <c r="I23" s="27">
        <f>'11 - 2019'!F28-'11 - 2019'!F27</f>
        <v>4.6500000000000909</v>
      </c>
      <c r="J23" s="27">
        <f>'11 - 2019'!G28-'11 - 2019'!G27</f>
        <v>65.659999999999854</v>
      </c>
      <c r="K23" s="25">
        <v>0.74</v>
      </c>
      <c r="L23" s="27">
        <v>100</v>
      </c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3915</v>
      </c>
      <c r="F24" s="27">
        <f>'11 - 2019'!C29-'11 - 2019'!C28</f>
        <v>6375.1000000000931</v>
      </c>
      <c r="G24" s="25">
        <v>0.11799999999999999</v>
      </c>
      <c r="H24" s="27">
        <f>'11 - 2019'!E29-'11 - 2019'!E28</f>
        <v>25.449999999999818</v>
      </c>
      <c r="I24" s="27">
        <f>'11 - 2019'!F29-'11 - 2019'!F28</f>
        <v>5.1799999999998363</v>
      </c>
      <c r="J24" s="27">
        <f>'11 - 2019'!G29-'11 - 2019'!G28</f>
        <v>42.5</v>
      </c>
      <c r="K24" s="25">
        <v>0.74</v>
      </c>
      <c r="L24" s="27">
        <v>64</v>
      </c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4142</v>
      </c>
      <c r="F25" s="27">
        <f>'11 - 2019'!C30-'11 - 2019'!C29</f>
        <v>6894.7999999999302</v>
      </c>
      <c r="G25" s="25">
        <v>0.11799999999999999</v>
      </c>
      <c r="H25" s="27">
        <f>'11 - 2019'!E30-'11 - 2019'!E29</f>
        <v>29.970000000000255</v>
      </c>
      <c r="I25" s="27">
        <f>'11 - 2019'!F30-'11 - 2019'!F29</f>
        <v>5.3600000000001273</v>
      </c>
      <c r="J25" s="27">
        <f>'11 - 2019'!G30-'11 - 2019'!G29</f>
        <v>44.100000000000364</v>
      </c>
      <c r="K25" s="25">
        <v>0.74</v>
      </c>
      <c r="L25" s="6">
        <v>64</v>
      </c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3348</v>
      </c>
      <c r="F26" s="27">
        <f>'11 - 2019'!C31-'11 - 2019'!C30</f>
        <v>5376.9000000000233</v>
      </c>
      <c r="G26" s="25">
        <v>0.11799999999999999</v>
      </c>
      <c r="H26" s="27">
        <f>'11 - 2019'!E31-'11 - 2019'!E30</f>
        <v>21.210000000000036</v>
      </c>
      <c r="I26" s="27">
        <f>'11 - 2019'!F31-'11 - 2019'!F30</f>
        <v>3.9400000000000546</v>
      </c>
      <c r="J26" s="27">
        <f>'11 - 2019'!G31-'11 - 2019'!G30</f>
        <v>28.809999999999491</v>
      </c>
      <c r="K26" s="25">
        <v>0.74</v>
      </c>
      <c r="L26" s="6">
        <v>82</v>
      </c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3595</v>
      </c>
      <c r="F27" s="27">
        <f>'11 - 2019'!C32-'11 - 2019'!C31</f>
        <v>5989.4000000000233</v>
      </c>
      <c r="G27" s="25">
        <v>0.11799999999999999</v>
      </c>
      <c r="H27" s="27">
        <f>'11 - 2019'!E32-'11 - 2019'!E31</f>
        <v>25.639999999999418</v>
      </c>
      <c r="I27" s="27">
        <f>'11 - 2019'!F32-'11 - 2019'!F31</f>
        <v>5.1499999999998636</v>
      </c>
      <c r="J27" s="27">
        <f>'11 - 2019'!G32-'11 - 2019'!G31</f>
        <v>37.6299999999992</v>
      </c>
      <c r="K27" s="25">
        <v>0.74</v>
      </c>
      <c r="L27" s="6">
        <v>92</v>
      </c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I33" sqref="I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>
        <v>181363</v>
      </c>
      <c r="C17" s="16">
        <v>954015</v>
      </c>
      <c r="D17" s="17">
        <v>0.55000000000000004</v>
      </c>
      <c r="E17" s="24">
        <v>7456.2</v>
      </c>
      <c r="F17" s="24">
        <v>1371.83</v>
      </c>
      <c r="G17" s="18">
        <v>13176.14</v>
      </c>
      <c r="H17" s="16">
        <v>14528</v>
      </c>
      <c r="I17" s="16">
        <v>77937</v>
      </c>
      <c r="J17" s="16">
        <v>36458929</v>
      </c>
      <c r="K17" s="19"/>
      <c r="L17" s="34"/>
      <c r="P17" s="27"/>
    </row>
    <row r="18" spans="1:16" ht="12.75" customHeight="1" x14ac:dyDescent="0.25">
      <c r="A18" s="50">
        <v>43781</v>
      </c>
      <c r="B18" s="16">
        <v>185337</v>
      </c>
      <c r="C18" s="16">
        <v>960695</v>
      </c>
      <c r="D18" s="17">
        <v>0.48</v>
      </c>
      <c r="E18" s="24">
        <v>7483.41</v>
      </c>
      <c r="F18" s="24">
        <v>1377.1</v>
      </c>
      <c r="G18" s="18">
        <v>13211.8</v>
      </c>
      <c r="H18" s="16">
        <v>14528</v>
      </c>
      <c r="I18" s="16">
        <v>78087</v>
      </c>
      <c r="J18" s="16">
        <v>36475021</v>
      </c>
      <c r="K18" s="19"/>
      <c r="L18" s="34"/>
      <c r="P18" s="27"/>
    </row>
    <row r="19" spans="1:16" ht="12.75" customHeight="1" x14ac:dyDescent="0.25">
      <c r="A19" s="50">
        <v>43782</v>
      </c>
      <c r="B19" s="16">
        <v>189077</v>
      </c>
      <c r="C19" s="16">
        <v>966751</v>
      </c>
      <c r="D19" s="17">
        <v>0.8</v>
      </c>
      <c r="E19" s="24">
        <v>7509.33</v>
      </c>
      <c r="F19" s="24">
        <v>1382</v>
      </c>
      <c r="G19" s="18">
        <v>13251</v>
      </c>
      <c r="H19" s="16">
        <v>14528</v>
      </c>
      <c r="I19" s="16">
        <v>78199</v>
      </c>
      <c r="J19" s="16">
        <v>36493599</v>
      </c>
      <c r="K19" s="19"/>
      <c r="L19" s="34"/>
    </row>
    <row r="20" spans="1:16" ht="12.75" customHeight="1" x14ac:dyDescent="0.25">
      <c r="A20" s="50">
        <v>43783</v>
      </c>
      <c r="B20" s="16">
        <v>192921</v>
      </c>
      <c r="C20" s="16">
        <v>972986</v>
      </c>
      <c r="D20" s="17">
        <v>0.73</v>
      </c>
      <c r="E20" s="24">
        <v>7532.52</v>
      </c>
      <c r="F20" s="24">
        <v>1390.33</v>
      </c>
      <c r="G20" s="18">
        <v>13288.78</v>
      </c>
      <c r="H20" s="16">
        <v>14528</v>
      </c>
      <c r="I20" s="16">
        <v>78324</v>
      </c>
      <c r="J20" s="16">
        <v>36510914</v>
      </c>
      <c r="K20" s="19"/>
      <c r="L20" s="34"/>
    </row>
    <row r="21" spans="1:16" ht="12.75" customHeight="1" x14ac:dyDescent="0.25">
      <c r="A21" s="50">
        <v>43784</v>
      </c>
      <c r="B21" s="16">
        <v>196845</v>
      </c>
      <c r="C21" s="16">
        <v>979517</v>
      </c>
      <c r="D21" s="17">
        <v>0.66</v>
      </c>
      <c r="E21" s="24">
        <v>7559.42</v>
      </c>
      <c r="F21" s="24">
        <v>1396.24</v>
      </c>
      <c r="G21" s="18">
        <v>13329</v>
      </c>
      <c r="H21" s="16">
        <v>14528</v>
      </c>
      <c r="I21" s="18">
        <v>78436</v>
      </c>
      <c r="J21" s="16">
        <v>36526865</v>
      </c>
      <c r="K21" s="28"/>
      <c r="L21" s="34"/>
    </row>
    <row r="22" spans="1:16" ht="12.75" customHeight="1" x14ac:dyDescent="0.25">
      <c r="A22" s="50">
        <v>43785</v>
      </c>
      <c r="B22" s="22">
        <v>200589</v>
      </c>
      <c r="C22" s="22">
        <v>985806</v>
      </c>
      <c r="D22" s="17">
        <v>0.57999999999999996</v>
      </c>
      <c r="E22" s="30">
        <v>7585.12</v>
      </c>
      <c r="F22" s="30">
        <v>1401.18</v>
      </c>
      <c r="G22" s="18">
        <v>13367.71</v>
      </c>
      <c r="H22" s="16">
        <v>14528</v>
      </c>
      <c r="I22" s="16">
        <v>78570</v>
      </c>
      <c r="J22" s="16">
        <v>36541063</v>
      </c>
      <c r="K22" s="28"/>
      <c r="L22" s="34"/>
    </row>
    <row r="23" spans="1:16" ht="12.75" customHeight="1" x14ac:dyDescent="0.25">
      <c r="A23" s="50">
        <v>43786</v>
      </c>
      <c r="B23" s="22">
        <v>204429</v>
      </c>
      <c r="C23" s="22">
        <v>992432</v>
      </c>
      <c r="D23" s="17">
        <v>0.5</v>
      </c>
      <c r="E23" s="30">
        <v>7610.2</v>
      </c>
      <c r="F23" s="30">
        <v>1406.91</v>
      </c>
      <c r="G23" s="18">
        <v>13400.18</v>
      </c>
      <c r="H23" s="16">
        <v>14528</v>
      </c>
      <c r="I23" s="16">
        <v>78689</v>
      </c>
      <c r="J23" s="16">
        <v>36558283</v>
      </c>
      <c r="K23" s="19"/>
      <c r="L23" s="35"/>
    </row>
    <row r="24" spans="1:16" ht="12.75" customHeight="1" x14ac:dyDescent="0.25">
      <c r="A24" s="50">
        <v>43787</v>
      </c>
      <c r="B24" s="18">
        <v>208130</v>
      </c>
      <c r="C24" s="18">
        <v>998837</v>
      </c>
      <c r="D24" s="29">
        <v>0.43</v>
      </c>
      <c r="E24" s="30">
        <v>7636.4</v>
      </c>
      <c r="F24" s="30">
        <v>1413.65</v>
      </c>
      <c r="G24" s="18">
        <v>13442.8</v>
      </c>
      <c r="H24" s="16">
        <v>14528</v>
      </c>
      <c r="I24" s="16">
        <v>78778</v>
      </c>
      <c r="J24" s="16">
        <v>36574434</v>
      </c>
      <c r="K24" s="28"/>
      <c r="L24" s="35"/>
    </row>
    <row r="25" spans="1:16" ht="12.75" customHeight="1" x14ac:dyDescent="0.25">
      <c r="A25" s="50">
        <v>43788</v>
      </c>
      <c r="B25" s="16">
        <v>211867</v>
      </c>
      <c r="C25" s="16">
        <v>1004998.74</v>
      </c>
      <c r="D25" s="17">
        <v>0.36</v>
      </c>
      <c r="E25" s="30">
        <v>7660.49</v>
      </c>
      <c r="F25" s="30">
        <v>1418.85</v>
      </c>
      <c r="G25" s="18">
        <v>13481.56</v>
      </c>
      <c r="H25" s="16">
        <v>14528</v>
      </c>
      <c r="I25" s="16">
        <v>78888</v>
      </c>
      <c r="J25" s="16">
        <v>36592211</v>
      </c>
      <c r="K25" s="19"/>
      <c r="L25" s="34"/>
    </row>
    <row r="26" spans="1:16" ht="12.75" customHeight="1" x14ac:dyDescent="0.25">
      <c r="A26" s="50">
        <v>43789</v>
      </c>
      <c r="B26" s="16">
        <v>215321</v>
      </c>
      <c r="C26" s="16">
        <v>1010816.2</v>
      </c>
      <c r="D26" s="17">
        <v>0.8</v>
      </c>
      <c r="E26" s="30">
        <v>7685.33</v>
      </c>
      <c r="F26" s="30">
        <v>1424.09</v>
      </c>
      <c r="G26" s="18">
        <v>13515.77</v>
      </c>
      <c r="H26" s="16">
        <v>14528</v>
      </c>
      <c r="I26" s="16">
        <v>78997</v>
      </c>
      <c r="J26" s="16">
        <v>36610758</v>
      </c>
      <c r="K26" s="19"/>
      <c r="L26" s="34"/>
    </row>
    <row r="27" spans="1:16" ht="12.75" customHeight="1" x14ac:dyDescent="0.25">
      <c r="A27" s="50">
        <v>43790</v>
      </c>
      <c r="B27" s="16">
        <v>219118</v>
      </c>
      <c r="C27" s="16">
        <v>1017069.4</v>
      </c>
      <c r="D27" s="17">
        <v>0.75</v>
      </c>
      <c r="E27" s="30">
        <v>7701.2</v>
      </c>
      <c r="F27" s="30">
        <v>1429.79</v>
      </c>
      <c r="G27" s="18">
        <v>13534.02</v>
      </c>
      <c r="H27" s="16">
        <v>14528</v>
      </c>
      <c r="I27" s="16">
        <v>79117</v>
      </c>
      <c r="J27" s="16">
        <v>36627465</v>
      </c>
      <c r="K27" s="19"/>
      <c r="L27" s="34"/>
    </row>
    <row r="28" spans="1:16" ht="12.75" customHeight="1" x14ac:dyDescent="0.25">
      <c r="A28" s="50">
        <v>43791</v>
      </c>
      <c r="B28" s="16">
        <v>222899</v>
      </c>
      <c r="C28" s="16">
        <v>1023457.7</v>
      </c>
      <c r="D28" s="17">
        <v>0.68</v>
      </c>
      <c r="E28" s="30">
        <v>7740.18</v>
      </c>
      <c r="F28" s="30">
        <v>1434.44</v>
      </c>
      <c r="G28" s="18">
        <v>13599.68</v>
      </c>
      <c r="H28" s="16">
        <v>14528</v>
      </c>
      <c r="I28" s="16">
        <v>79271</v>
      </c>
      <c r="J28" s="16">
        <v>36645454</v>
      </c>
      <c r="K28" s="19"/>
      <c r="L28" s="34"/>
      <c r="P28" s="6"/>
    </row>
    <row r="29" spans="1:16" ht="12.75" customHeight="1" x14ac:dyDescent="0.25">
      <c r="A29" s="50">
        <v>43792</v>
      </c>
      <c r="B29" s="16">
        <v>226814</v>
      </c>
      <c r="C29" s="16">
        <v>1029832.8</v>
      </c>
      <c r="D29" s="17">
        <v>0.6</v>
      </c>
      <c r="E29" s="30">
        <v>7765.63</v>
      </c>
      <c r="F29" s="30">
        <v>1439.62</v>
      </c>
      <c r="G29" s="18">
        <v>13642.18</v>
      </c>
      <c r="H29" s="16">
        <v>14528</v>
      </c>
      <c r="I29" s="16">
        <v>79387</v>
      </c>
      <c r="J29" s="16">
        <v>36657670</v>
      </c>
      <c r="K29" s="19"/>
      <c r="L29" s="36"/>
      <c r="P29" s="6"/>
    </row>
    <row r="30" spans="1:16" ht="12.75" customHeight="1" x14ac:dyDescent="0.25">
      <c r="A30" s="50">
        <v>43793</v>
      </c>
      <c r="B30" s="16">
        <v>230956</v>
      </c>
      <c r="C30" s="16">
        <v>1036727.6</v>
      </c>
      <c r="D30" s="17">
        <v>0.52</v>
      </c>
      <c r="E30" s="30">
        <v>7795.6</v>
      </c>
      <c r="F30" s="30">
        <v>1444.98</v>
      </c>
      <c r="G30" s="18">
        <v>13686.28</v>
      </c>
      <c r="H30" s="16">
        <v>14528</v>
      </c>
      <c r="I30" s="16">
        <v>79491</v>
      </c>
      <c r="J30" s="16">
        <v>36673080</v>
      </c>
      <c r="K30" s="19"/>
      <c r="L30" s="36"/>
      <c r="P30" s="6"/>
    </row>
    <row r="31" spans="1:16" ht="12.75" customHeight="1" x14ac:dyDescent="0.25">
      <c r="A31" s="50">
        <v>43794</v>
      </c>
      <c r="B31" s="16">
        <v>234304</v>
      </c>
      <c r="C31" s="16">
        <v>1042104.5</v>
      </c>
      <c r="D31" s="17">
        <v>0.44</v>
      </c>
      <c r="E31" s="30">
        <v>7816.81</v>
      </c>
      <c r="F31" s="30">
        <v>1448.92</v>
      </c>
      <c r="G31" s="18">
        <v>13715.09</v>
      </c>
      <c r="H31" s="16">
        <v>14528</v>
      </c>
      <c r="I31" s="16">
        <v>79585</v>
      </c>
      <c r="J31" s="16">
        <v>36685747</v>
      </c>
      <c r="K31" s="19"/>
      <c r="L31" s="34"/>
      <c r="P31" s="6"/>
    </row>
    <row r="32" spans="1:16" ht="12.75" customHeight="1" x14ac:dyDescent="0.25">
      <c r="A32" s="50">
        <v>43795</v>
      </c>
      <c r="B32" s="18">
        <v>237899</v>
      </c>
      <c r="C32" s="21">
        <v>1048093.9</v>
      </c>
      <c r="D32" s="29">
        <v>0.36</v>
      </c>
      <c r="E32" s="30">
        <v>7842.45</v>
      </c>
      <c r="F32" s="30">
        <v>1454.07</v>
      </c>
      <c r="G32" s="18">
        <v>13752.72</v>
      </c>
      <c r="H32" s="16">
        <v>14528</v>
      </c>
      <c r="I32" s="18">
        <v>79678</v>
      </c>
      <c r="J32" s="18">
        <v>36699620</v>
      </c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dcterms:created xsi:type="dcterms:W3CDTF">2017-04-26T09:20:12Z</dcterms:created>
  <dcterms:modified xsi:type="dcterms:W3CDTF">2019-11-26T06:26:51Z</dcterms:modified>
</cp:coreProperties>
</file>