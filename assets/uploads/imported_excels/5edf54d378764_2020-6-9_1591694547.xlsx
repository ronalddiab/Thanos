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32760" yWindow="32760" windowWidth="19200" windowHeight="6855" activeTab="1"/>
  </bookViews>
  <sheets>
    <sheet name="TOTAL" sheetId="1" r:id="rId1"/>
    <sheet name="Submetering" sheetId="3" r:id="rId2"/>
    <sheet name="Hampshire Daily" sheetId="2" r:id="rId3"/>
  </sheet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E31" i="3"/>
  <c r="E31" i="1"/>
  <c r="F3" i="3"/>
  <c r="F4" i="3"/>
  <c r="F5" i="3"/>
  <c r="F6" i="3"/>
  <c r="F7" i="3"/>
  <c r="F8" i="3"/>
  <c r="F9" i="3"/>
  <c r="E9" i="1"/>
  <c r="F10" i="3"/>
  <c r="F11" i="3"/>
  <c r="E11" i="1"/>
  <c r="F12" i="3"/>
  <c r="F13" i="3"/>
  <c r="F14" i="3"/>
  <c r="F15" i="3"/>
  <c r="F16" i="3"/>
  <c r="F17" i="3"/>
  <c r="F18" i="3"/>
  <c r="E18" i="1"/>
  <c r="F19" i="3"/>
  <c r="F20" i="3"/>
  <c r="F21" i="3"/>
  <c r="F22" i="3"/>
  <c r="F23" i="3"/>
  <c r="F24" i="3"/>
  <c r="E24" i="1"/>
  <c r="F25" i="3"/>
  <c r="F26" i="3"/>
  <c r="F27" i="3"/>
  <c r="F28" i="3"/>
  <c r="F29" i="3"/>
  <c r="F30" i="3"/>
  <c r="F31" i="3"/>
  <c r="F32" i="3"/>
  <c r="E32" i="1"/>
  <c r="F2" i="3"/>
  <c r="E3" i="3"/>
  <c r="E3" i="1"/>
  <c r="E4" i="3"/>
  <c r="E4" i="1"/>
  <c r="E5" i="3"/>
  <c r="E6" i="3"/>
  <c r="E7" i="3"/>
  <c r="E7" i="1"/>
  <c r="E8" i="3"/>
  <c r="E9" i="3"/>
  <c r="E10" i="3"/>
  <c r="E11" i="3"/>
  <c r="E12" i="3"/>
  <c r="E13" i="3"/>
  <c r="E14" i="3"/>
  <c r="E15" i="3"/>
  <c r="E15" i="1"/>
  <c r="E16" i="3"/>
  <c r="E17" i="3"/>
  <c r="E18" i="3"/>
  <c r="E19" i="3"/>
  <c r="E19" i="1"/>
  <c r="E20" i="3"/>
  <c r="E21" i="3"/>
  <c r="E22" i="3"/>
  <c r="E22" i="1"/>
  <c r="E23" i="3"/>
  <c r="E23" i="1"/>
  <c r="E24" i="3"/>
  <c r="E25" i="3"/>
  <c r="E26" i="3"/>
  <c r="E26" i="1"/>
  <c r="E27" i="3"/>
  <c r="E27" i="1"/>
  <c r="E28" i="3"/>
  <c r="E28" i="1"/>
  <c r="E29" i="3"/>
  <c r="E30" i="3"/>
  <c r="E32" i="3"/>
  <c r="E2" i="3"/>
  <c r="G2" i="3"/>
  <c r="H2" i="3"/>
  <c r="I2" i="3"/>
  <c r="J2" i="3"/>
  <c r="K2" i="3"/>
  <c r="L2" i="3"/>
  <c r="M2" i="3"/>
  <c r="G2" i="1"/>
  <c r="O2" i="3"/>
  <c r="P2" i="3"/>
  <c r="Q2" i="3"/>
  <c r="R2" i="3"/>
  <c r="S2" i="3"/>
  <c r="T2" i="3"/>
  <c r="U2" i="3"/>
  <c r="V2" i="3"/>
  <c r="X2" i="3"/>
  <c r="Y2" i="3"/>
  <c r="L2" i="1"/>
  <c r="B3" i="3"/>
  <c r="G3" i="3"/>
  <c r="H3" i="3"/>
  <c r="I3" i="3"/>
  <c r="J3" i="3"/>
  <c r="K3" i="3"/>
  <c r="L3" i="3"/>
  <c r="M3" i="3"/>
  <c r="G3" i="1"/>
  <c r="O3" i="3"/>
  <c r="P3" i="3"/>
  <c r="Q3" i="3"/>
  <c r="R3" i="3"/>
  <c r="S3" i="3"/>
  <c r="T3" i="3"/>
  <c r="U3" i="3"/>
  <c r="V3" i="3"/>
  <c r="X3" i="3"/>
  <c r="Y3" i="3"/>
  <c r="L3" i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G4" i="3"/>
  <c r="H4" i="3"/>
  <c r="I4" i="3"/>
  <c r="J4" i="3"/>
  <c r="L4" i="3"/>
  <c r="M4" i="3"/>
  <c r="G4" i="1"/>
  <c r="N4" i="3"/>
  <c r="O4" i="3"/>
  <c r="P4" i="3"/>
  <c r="Q4" i="3"/>
  <c r="R4" i="3"/>
  <c r="S4" i="3"/>
  <c r="T4" i="3"/>
  <c r="U4" i="3"/>
  <c r="V4" i="3"/>
  <c r="X4" i="3"/>
  <c r="Y4" i="3"/>
  <c r="L4" i="1"/>
  <c r="G5" i="3"/>
  <c r="H5" i="3"/>
  <c r="I5" i="3"/>
  <c r="J5" i="3"/>
  <c r="L5" i="3"/>
  <c r="M5" i="3"/>
  <c r="G5" i="1"/>
  <c r="N5" i="3"/>
  <c r="O5" i="3"/>
  <c r="P5" i="3"/>
  <c r="Q5" i="3"/>
  <c r="R5" i="3"/>
  <c r="S5" i="3"/>
  <c r="T5" i="3"/>
  <c r="U5" i="3"/>
  <c r="V5" i="3"/>
  <c r="X5" i="3"/>
  <c r="Y5" i="3"/>
  <c r="L5" i="1"/>
  <c r="H6" i="3"/>
  <c r="I6" i="3"/>
  <c r="K6" i="3"/>
  <c r="L6" i="3"/>
  <c r="M6" i="3"/>
  <c r="G6" i="1"/>
  <c r="N6" i="3"/>
  <c r="O6" i="3"/>
  <c r="P6" i="3"/>
  <c r="Q6" i="3"/>
  <c r="R6" i="3"/>
  <c r="S6" i="3"/>
  <c r="T6" i="3"/>
  <c r="U6" i="3"/>
  <c r="V6" i="3"/>
  <c r="X6" i="3"/>
  <c r="Y6" i="3"/>
  <c r="L6" i="1"/>
  <c r="H7" i="3"/>
  <c r="I7" i="3"/>
  <c r="L7" i="3"/>
  <c r="M7" i="3"/>
  <c r="N7" i="3"/>
  <c r="O7" i="3"/>
  <c r="P7" i="3"/>
  <c r="Q7" i="3"/>
  <c r="R7" i="3"/>
  <c r="S7" i="3"/>
  <c r="T7" i="3"/>
  <c r="U7" i="3"/>
  <c r="V7" i="3"/>
  <c r="X7" i="3"/>
  <c r="Y7" i="3"/>
  <c r="L7" i="1"/>
  <c r="E8" i="1"/>
  <c r="H8" i="3"/>
  <c r="I8" i="3"/>
  <c r="L8" i="3"/>
  <c r="M8" i="3"/>
  <c r="G8" i="1"/>
  <c r="N8" i="3"/>
  <c r="O8" i="3"/>
  <c r="P8" i="3"/>
  <c r="Q8" i="3"/>
  <c r="R8" i="3"/>
  <c r="S8" i="3"/>
  <c r="T8" i="3"/>
  <c r="U8" i="3"/>
  <c r="V8" i="3"/>
  <c r="X8" i="3"/>
  <c r="Y8" i="3"/>
  <c r="L8" i="1"/>
  <c r="H9" i="3"/>
  <c r="I9" i="3"/>
  <c r="L9" i="3"/>
  <c r="M9" i="3"/>
  <c r="G9" i="1"/>
  <c r="N9" i="3"/>
  <c r="O9" i="3"/>
  <c r="P9" i="3"/>
  <c r="Q9" i="3"/>
  <c r="R9" i="3"/>
  <c r="S9" i="3"/>
  <c r="T9" i="3"/>
  <c r="U9" i="3"/>
  <c r="V9" i="3"/>
  <c r="X9" i="3"/>
  <c r="Y9" i="3"/>
  <c r="L9" i="1"/>
  <c r="H10" i="3"/>
  <c r="I10" i="3"/>
  <c r="L10" i="3"/>
  <c r="M10" i="3"/>
  <c r="G10" i="1"/>
  <c r="N10" i="3"/>
  <c r="O10" i="3"/>
  <c r="P10" i="3"/>
  <c r="Q10" i="3"/>
  <c r="R10" i="3"/>
  <c r="S10" i="3"/>
  <c r="T10" i="3"/>
  <c r="U10" i="3"/>
  <c r="V10" i="3"/>
  <c r="X10" i="3"/>
  <c r="Y10" i="3"/>
  <c r="L10" i="1"/>
  <c r="H11" i="3"/>
  <c r="I11" i="3"/>
  <c r="L11" i="3"/>
  <c r="M11" i="3"/>
  <c r="G11" i="1"/>
  <c r="N11" i="3"/>
  <c r="O11" i="3"/>
  <c r="P11" i="3"/>
  <c r="Q11" i="3"/>
  <c r="R11" i="3"/>
  <c r="S11" i="3"/>
  <c r="T11" i="3"/>
  <c r="U11" i="3"/>
  <c r="V11" i="3"/>
  <c r="X11" i="3"/>
  <c r="Y11" i="3"/>
  <c r="E12" i="1"/>
  <c r="H12" i="3"/>
  <c r="I12" i="3"/>
  <c r="L12" i="3"/>
  <c r="M12" i="3"/>
  <c r="G12" i="1"/>
  <c r="N12" i="3"/>
  <c r="O12" i="3"/>
  <c r="P12" i="3"/>
  <c r="Q12" i="3"/>
  <c r="R12" i="3"/>
  <c r="S12" i="3"/>
  <c r="T12" i="3"/>
  <c r="U12" i="3"/>
  <c r="V12" i="3"/>
  <c r="X12" i="3"/>
  <c r="Y12" i="3"/>
  <c r="L12" i="1"/>
  <c r="H13" i="3"/>
  <c r="I13" i="3"/>
  <c r="L13" i="3"/>
  <c r="M13" i="3"/>
  <c r="G13" i="1"/>
  <c r="N13" i="3"/>
  <c r="O13" i="3"/>
  <c r="P13" i="3"/>
  <c r="Q13" i="3"/>
  <c r="R13" i="3"/>
  <c r="S13" i="3"/>
  <c r="T13" i="3"/>
  <c r="U13" i="3"/>
  <c r="V13" i="3"/>
  <c r="X13" i="3"/>
  <c r="Y13" i="3"/>
  <c r="H14" i="3"/>
  <c r="I14" i="3"/>
  <c r="L14" i="3"/>
  <c r="M14" i="3"/>
  <c r="G14" i="1"/>
  <c r="N14" i="3"/>
  <c r="O14" i="3"/>
  <c r="P14" i="3"/>
  <c r="Q14" i="3"/>
  <c r="R14" i="3"/>
  <c r="S14" i="3"/>
  <c r="T14" i="3"/>
  <c r="U14" i="3"/>
  <c r="V14" i="3"/>
  <c r="X14" i="3"/>
  <c r="Y14" i="3"/>
  <c r="L14" i="1"/>
  <c r="G15" i="3"/>
  <c r="H15" i="3"/>
  <c r="I15" i="3"/>
  <c r="L15" i="3"/>
  <c r="M15" i="3"/>
  <c r="N15" i="3"/>
  <c r="O15" i="3"/>
  <c r="P15" i="3"/>
  <c r="Q15" i="3"/>
  <c r="R15" i="3"/>
  <c r="S15" i="3"/>
  <c r="T15" i="3"/>
  <c r="U15" i="3"/>
  <c r="V15" i="3"/>
  <c r="X15" i="3"/>
  <c r="Y15" i="3"/>
  <c r="E16" i="1"/>
  <c r="G16" i="3"/>
  <c r="H16" i="3"/>
  <c r="I16" i="3"/>
  <c r="J16" i="3"/>
  <c r="L16" i="3"/>
  <c r="M16" i="3"/>
  <c r="G16" i="1"/>
  <c r="N16" i="3"/>
  <c r="O16" i="3"/>
  <c r="P16" i="3"/>
  <c r="Q16" i="3"/>
  <c r="R16" i="3"/>
  <c r="S16" i="3"/>
  <c r="T16" i="3"/>
  <c r="U16" i="3"/>
  <c r="V16" i="3"/>
  <c r="X16" i="3"/>
  <c r="Y16" i="3"/>
  <c r="L16" i="1"/>
  <c r="G17" i="3"/>
  <c r="H17" i="3"/>
  <c r="I17" i="3"/>
  <c r="J17" i="3"/>
  <c r="L17" i="3"/>
  <c r="M17" i="3"/>
  <c r="G17" i="1"/>
  <c r="N17" i="3"/>
  <c r="O17" i="3"/>
  <c r="P17" i="3"/>
  <c r="Q17" i="3"/>
  <c r="R17" i="3"/>
  <c r="S17" i="3"/>
  <c r="T17" i="3"/>
  <c r="U17" i="3"/>
  <c r="V17" i="3"/>
  <c r="X17" i="3"/>
  <c r="Y17" i="3"/>
  <c r="G18" i="3"/>
  <c r="H18" i="3"/>
  <c r="I18" i="3"/>
  <c r="K18" i="3"/>
  <c r="L18" i="3"/>
  <c r="M18" i="3"/>
  <c r="G18" i="1"/>
  <c r="N18" i="3"/>
  <c r="O18" i="3"/>
  <c r="P18" i="3"/>
  <c r="Q18" i="3"/>
  <c r="R18" i="3"/>
  <c r="S18" i="3"/>
  <c r="T18" i="3"/>
  <c r="U18" i="3"/>
  <c r="V18" i="3"/>
  <c r="X18" i="3"/>
  <c r="Y18" i="3"/>
  <c r="L18" i="1"/>
  <c r="G19" i="3"/>
  <c r="H19" i="3"/>
  <c r="I19" i="3"/>
  <c r="K19" i="3"/>
  <c r="L19" i="3"/>
  <c r="M19" i="3"/>
  <c r="G19" i="1"/>
  <c r="N19" i="3"/>
  <c r="O19" i="3"/>
  <c r="P19" i="3"/>
  <c r="Q19" i="3"/>
  <c r="R19" i="3"/>
  <c r="S19" i="3"/>
  <c r="T19" i="3"/>
  <c r="U19" i="3"/>
  <c r="V19" i="3"/>
  <c r="X19" i="3"/>
  <c r="Y19" i="3"/>
  <c r="L19" i="1"/>
  <c r="E20" i="1"/>
  <c r="G20" i="3"/>
  <c r="H20" i="3"/>
  <c r="I20" i="3"/>
  <c r="K20" i="3"/>
  <c r="L20" i="3"/>
  <c r="M20" i="3"/>
  <c r="G20" i="1"/>
  <c r="N20" i="3"/>
  <c r="O20" i="3"/>
  <c r="P20" i="3"/>
  <c r="Q20" i="3"/>
  <c r="R20" i="3"/>
  <c r="S20" i="3"/>
  <c r="T20" i="3"/>
  <c r="U20" i="3"/>
  <c r="V20" i="3"/>
  <c r="X20" i="3"/>
  <c r="Y20" i="3"/>
  <c r="L20" i="1"/>
  <c r="G21" i="3"/>
  <c r="H21" i="3"/>
  <c r="I21" i="3"/>
  <c r="K21" i="3"/>
  <c r="L21" i="3"/>
  <c r="M21" i="3"/>
  <c r="G21" i="1"/>
  <c r="N21" i="3"/>
  <c r="O21" i="3"/>
  <c r="P21" i="3"/>
  <c r="Q21" i="3"/>
  <c r="R21" i="3"/>
  <c r="S21" i="3"/>
  <c r="T21" i="3"/>
  <c r="U21" i="3"/>
  <c r="V21" i="3"/>
  <c r="X21" i="3"/>
  <c r="Y21" i="3"/>
  <c r="L21" i="1"/>
  <c r="G22" i="3"/>
  <c r="H22" i="3"/>
  <c r="I22" i="3"/>
  <c r="K22" i="3"/>
  <c r="L22" i="3"/>
  <c r="M22" i="3"/>
  <c r="G22" i="1"/>
  <c r="N22" i="3"/>
  <c r="O22" i="3"/>
  <c r="P22" i="3"/>
  <c r="Q22" i="3"/>
  <c r="R22" i="3"/>
  <c r="S22" i="3"/>
  <c r="T22" i="3"/>
  <c r="U22" i="3"/>
  <c r="V22" i="3"/>
  <c r="X22" i="3"/>
  <c r="Y22" i="3"/>
  <c r="L22" i="1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X23" i="3"/>
  <c r="Y23" i="3"/>
  <c r="L23" i="1"/>
  <c r="G24" i="3"/>
  <c r="H24" i="3"/>
  <c r="I24" i="3"/>
  <c r="J24" i="3"/>
  <c r="K24" i="3"/>
  <c r="L24" i="3"/>
  <c r="M24" i="3"/>
  <c r="G24" i="1"/>
  <c r="N24" i="3"/>
  <c r="O24" i="3"/>
  <c r="P24" i="3"/>
  <c r="Q24" i="3"/>
  <c r="R24" i="3"/>
  <c r="S24" i="3"/>
  <c r="T24" i="3"/>
  <c r="U24" i="3"/>
  <c r="V24" i="3"/>
  <c r="X24" i="3"/>
  <c r="Y24" i="3"/>
  <c r="L24" i="1"/>
  <c r="G25" i="3"/>
  <c r="H25" i="3"/>
  <c r="I25" i="3"/>
  <c r="J25" i="3"/>
  <c r="K25" i="3"/>
  <c r="L25" i="3"/>
  <c r="M25" i="3"/>
  <c r="G25" i="1"/>
  <c r="N25" i="3"/>
  <c r="O25" i="3"/>
  <c r="P25" i="3"/>
  <c r="Q25" i="3"/>
  <c r="R25" i="3"/>
  <c r="S25" i="3"/>
  <c r="T25" i="3"/>
  <c r="U25" i="3"/>
  <c r="V25" i="3"/>
  <c r="X25" i="3"/>
  <c r="Y25" i="3"/>
  <c r="L25" i="1"/>
  <c r="G26" i="3"/>
  <c r="H26" i="3"/>
  <c r="I26" i="3"/>
  <c r="J26" i="3"/>
  <c r="K26" i="3"/>
  <c r="L26" i="3"/>
  <c r="M26" i="3"/>
  <c r="G26" i="1"/>
  <c r="N26" i="3"/>
  <c r="O26" i="3"/>
  <c r="P26" i="3"/>
  <c r="Q26" i="3"/>
  <c r="R26" i="3"/>
  <c r="S26" i="3"/>
  <c r="T26" i="3"/>
  <c r="U26" i="3"/>
  <c r="V26" i="3"/>
  <c r="X26" i="3"/>
  <c r="Y26" i="3"/>
  <c r="L26" i="1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X27" i="3"/>
  <c r="Y27" i="3"/>
  <c r="L27" i="1"/>
  <c r="G28" i="3"/>
  <c r="H28" i="3"/>
  <c r="I28" i="3"/>
  <c r="J28" i="3"/>
  <c r="K28" i="3"/>
  <c r="L28" i="3"/>
  <c r="M28" i="3"/>
  <c r="G28" i="1"/>
  <c r="N28" i="3"/>
  <c r="O28" i="3"/>
  <c r="P28" i="3"/>
  <c r="Q28" i="3"/>
  <c r="R28" i="3"/>
  <c r="S28" i="3"/>
  <c r="T28" i="3"/>
  <c r="U28" i="3"/>
  <c r="V28" i="3"/>
  <c r="X28" i="3"/>
  <c r="Y28" i="3"/>
  <c r="L28" i="1"/>
  <c r="G29" i="3"/>
  <c r="H29" i="3"/>
  <c r="I29" i="3"/>
  <c r="J29" i="3"/>
  <c r="K29" i="3"/>
  <c r="L29" i="3"/>
  <c r="M29" i="3"/>
  <c r="G29" i="1"/>
  <c r="N29" i="3"/>
  <c r="O29" i="3"/>
  <c r="P29" i="3"/>
  <c r="Q29" i="3"/>
  <c r="R29" i="3"/>
  <c r="S29" i="3"/>
  <c r="T29" i="3"/>
  <c r="U29" i="3"/>
  <c r="V29" i="3"/>
  <c r="X29" i="3"/>
  <c r="Y29" i="3"/>
  <c r="L29" i="1"/>
  <c r="G30" i="3"/>
  <c r="H30" i="3"/>
  <c r="I30" i="3"/>
  <c r="J30" i="3"/>
  <c r="K30" i="3"/>
  <c r="L30" i="3"/>
  <c r="M30" i="3"/>
  <c r="G30" i="1"/>
  <c r="N30" i="3"/>
  <c r="O30" i="3"/>
  <c r="P30" i="3"/>
  <c r="Q30" i="3"/>
  <c r="R30" i="3"/>
  <c r="S30" i="3"/>
  <c r="T30" i="3"/>
  <c r="U30" i="3"/>
  <c r="V30" i="3"/>
  <c r="X30" i="3"/>
  <c r="Y30" i="3"/>
  <c r="L30" i="1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X31" i="3"/>
  <c r="Y31" i="3"/>
  <c r="L31" i="1"/>
  <c r="G32" i="3"/>
  <c r="H32" i="3"/>
  <c r="I32" i="3"/>
  <c r="J32" i="3"/>
  <c r="K32" i="3"/>
  <c r="L32" i="3"/>
  <c r="M32" i="3"/>
  <c r="G32" i="1"/>
  <c r="N32" i="3"/>
  <c r="O32" i="3"/>
  <c r="P32" i="3"/>
  <c r="Q32" i="3"/>
  <c r="R32" i="3"/>
  <c r="S32" i="3"/>
  <c r="T32" i="3"/>
  <c r="U32" i="3"/>
  <c r="V32" i="3"/>
  <c r="X32" i="3"/>
  <c r="Y32" i="3"/>
  <c r="L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G7" i="1"/>
  <c r="L11" i="1"/>
  <c r="L13" i="1"/>
  <c r="G15" i="1"/>
  <c r="L15" i="1"/>
  <c r="E17" i="1"/>
  <c r="L17" i="1"/>
  <c r="G23" i="1"/>
  <c r="G27" i="1"/>
  <c r="E29" i="1"/>
  <c r="G31" i="1"/>
  <c r="E10" i="1"/>
  <c r="J6" i="3"/>
  <c r="K5" i="3"/>
  <c r="K4" i="3"/>
  <c r="G6" i="3"/>
  <c r="N3" i="3"/>
  <c r="N2" i="3"/>
  <c r="K7" i="3"/>
  <c r="J18" i="3"/>
  <c r="J19" i="3"/>
  <c r="K8" i="3"/>
  <c r="G7" i="3"/>
  <c r="J7" i="3"/>
  <c r="K9" i="3"/>
  <c r="G8" i="3"/>
  <c r="J20" i="3"/>
  <c r="J8" i="3"/>
  <c r="J9" i="3"/>
  <c r="G9" i="3"/>
  <c r="J21" i="3"/>
  <c r="J22" i="3"/>
  <c r="K10" i="3"/>
  <c r="K11" i="3"/>
  <c r="J10" i="3"/>
  <c r="G10" i="3"/>
  <c r="J11" i="3"/>
  <c r="G11" i="3"/>
  <c r="K12" i="3"/>
  <c r="G12" i="3"/>
  <c r="J12" i="3"/>
  <c r="K13" i="3"/>
  <c r="J13" i="3"/>
  <c r="K14" i="3"/>
  <c r="G13" i="3"/>
  <c r="G14" i="3"/>
  <c r="K15" i="3"/>
  <c r="J15" i="3"/>
  <c r="J14" i="3"/>
  <c r="K17" i="3"/>
  <c r="K16" i="3"/>
  <c r="E30" i="1"/>
  <c r="E14" i="1"/>
  <c r="E2" i="1"/>
  <c r="E25" i="1"/>
  <c r="E21" i="1"/>
  <c r="E13" i="1"/>
  <c r="E5" i="1"/>
  <c r="E6" i="1"/>
</calcChain>
</file>

<file path=xl/sharedStrings.xml><?xml version="1.0" encoding="utf-8"?>
<sst xmlns="http://schemas.openxmlformats.org/spreadsheetml/2006/main" count="132" uniqueCount="57">
  <si>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</si>
  <si>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</si>
  <si>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</si>
  <si>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</si>
  <si>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</si>
  <si>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</si>
  <si>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</si>
  <si>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 xml:space="preserve">Total Guests </t>
  </si>
  <si>
    <t>Natual Gas (m3)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</si>
  <si>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</si>
  <si>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</si>
  <si>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</si>
  <si>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</si>
  <si>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</si>
  <si>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</si>
  <si>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</si>
  <si>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</si>
  <si>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</si>
  <si>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Engineer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</si>
  <si>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</si>
  <si>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</si>
  <si>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</si>
  <si>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</si>
  <si>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</si>
  <si>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</si>
  <si>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</si>
  <si>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</si>
  <si>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</si>
  <si>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</si>
  <si>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</si>
  <si>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</si>
  <si>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</si>
  <si>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</si>
  <si>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</si>
  <si>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</si>
  <si>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</si>
  <si>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</si>
  <si>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</si>
  <si>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</si>
  <si>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</si>
  <si>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</si>
  <si>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</si>
  <si>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</si>
  <si>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</si>
  <si>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</si>
  <si>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</si>
  <si>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</si>
  <si>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</si>
  <si>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</si>
  <si>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</si>
  <si>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</si>
  <si>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</si>
  <si>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</si>
  <si>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</si>
  <si>
    <t>Electricity Tariff (£/Kwh)</t>
  </si>
  <si>
    <t>Natural Gas £/m3</t>
  </si>
  <si>
    <t>Water Utility Supply (m3) £/m3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</si>
</sst>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center" wrapText="1"/>
    </xf>
    <xf numFmtId="0" fontId="1" fillId="0" borderId="5" xfId="1" applyBorder="1"/>
    <xf numFmtId="165" fontId="2" fillId="0" borderId="5" xfId="1" applyNumberFormat="1" applyFont="1" applyBorder="1" applyAlignment="1">
      <alignment horizontal="center"/>
    </xf>
    <xf numFmtId="165" fontId="0" fillId="0" borderId="0" xfId="0" applyNumberFormat="1"/>
    <xf numFmtId="0" fontId="0" fillId="0" borderId="0" xfId="0" applyBorder="1"/>
    <xf numFmtId="0" fontId="0" fillId="0" borderId="0" xfId="0" applyFont="1" applyAlignment="1">
      <alignment horizontal="center"/>
    </xf>
    <xf numFmtId="165" fontId="2" fillId="0" borderId="6" xfId="1" applyNumberFormat="1" applyFont="1" applyBorder="1" applyAlignment="1">
      <alignment horizontal="center" wrapText="1"/>
    </xf>
    <xf numFmtId="1" fontId="4" fillId="0" borderId="0" xfId="0" applyNumberFormat="1" applyFont="1" applyAlignment="1">
      <alignment horizontal="center"/>
    </xf>
    <xf numFmtId="165" fontId="6" fillId="0" borderId="5" xfId="1" applyNumberFormat="1" applyFont="1" applyBorder="1" applyAlignment="1">
      <alignment horizontal="center"/>
    </xf>
    <xf numFmtId="0" fontId="4" fillId="0" borderId="0" xfId="0" applyFont="1"/>
    <xf numFmtId="0" fontId="1" fillId="2" borderId="4" xfId="1" applyFont="1" applyFill="1" applyBorder="1" applyAlignment="1">
      <alignment horizontal="center"/>
    </xf>
    <xf numFmtId="0" fontId="7" fillId="0" borderId="7" xfId="1" applyFont="1" applyBorder="1" applyAlignment="1">
      <alignment horizontal="center" wrapText="1"/>
    </xf>
    <xf numFmtId="0" fontId="1" fillId="0" borderId="7" xfId="1" applyBorder="1"/>
    <xf numFmtId="0" fontId="1" fillId="0" borderId="7" xfId="1" applyFont="1" applyBorder="1" applyAlignment="1">
      <alignment horizontal="right"/>
    </xf>
    <xf numFmtId="0" fontId="1" fillId="0" borderId="0" xfId="1" applyBorder="1"/>
    <xf numFmtId="2" fontId="0" fillId="0" borderId="0" xfId="0" applyNumberFormat="1"/>
    <xf numFmtId="0" fontId="7" fillId="0" borderId="5" xfId="1" applyFont="1" applyBorder="1"/>
    <xf numFmtId="1" fontId="6" fillId="0" borderId="7" xfId="1" applyNumberFormat="1" applyFont="1" applyBorder="1" applyAlignment="1">
      <alignment horizontal="center"/>
    </xf>
    <xf numFmtId="1" fontId="0" fillId="3" borderId="7" xfId="0" applyNumberFormat="1" applyFill="1" applyBorder="1" applyAlignment="1" applyProtection="1">
      <alignment horizontal="center"/>
      <protection locked="0"/>
    </xf>
    <xf numFmtId="0" fontId="4" fillId="0" borderId="7" xfId="0" applyFont="1" applyBorder="1"/>
    <xf numFmtId="0" fontId="0" fillId="0" borderId="7" xfId="0" applyBorder="1"/>
    <xf numFmtId="0" fontId="2" fillId="2" borderId="3" xfId="1" applyFont="1" applyFill="1" applyBorder="1" applyAlignment="1">
      <alignment horizontal="center" wrapText="1"/>
    </xf>
    <xf numFmtId="0" fontId="2" fillId="2" borderId="8" xfId="1" applyFont="1" applyFill="1" applyBorder="1" applyAlignment="1">
      <alignment horizontal="center" wrapText="1"/>
    </xf>
    <xf numFmtId="2" fontId="2" fillId="2" borderId="3" xfId="1" applyNumberFormat="1" applyFont="1" applyFill="1" applyBorder="1" applyAlignment="1">
      <alignment horizontal="center" wrapText="1"/>
    </xf>
    <xf numFmtId="2" fontId="2" fillId="2" borderId="8" xfId="1" applyNumberFormat="1" applyFont="1" applyFill="1" applyBorder="1" applyAlignment="1">
      <alignment horizontal="center" wrapText="1"/>
    </xf>
    <xf numFmtId="0" fontId="6" fillId="0" borderId="5" xfId="1" applyFont="1" applyBorder="1" applyAlignment="1">
      <alignment horizontal="center" wrapText="1"/>
    </xf>
    <xf numFmtId="0" fontId="7" fillId="0" borderId="9" xfId="1" applyFont="1" applyBorder="1" applyAlignment="1">
      <alignment horizontal="center"/>
    </xf>
    <xf numFmtId="0" fontId="6" fillId="0" borderId="9" xfId="1" applyFont="1" applyBorder="1" applyAlignment="1">
      <alignment horizontal="center" wrapText="1"/>
    </xf>
    <xf numFmtId="0" fontId="6" fillId="0" borderId="8" xfId="1" applyFont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8" xfId="1" applyFill="1" applyBorder="1" applyAlignment="1">
      <alignment horizontal="center"/>
    </xf>
    <xf numFmtId="0" fontId="2" fillId="2" borderId="10" xfId="1" applyFont="1" applyFill="1" applyBorder="1" applyAlignment="1">
      <alignment horizontal="center" wrapText="1"/>
    </xf>
    <xf numFmtId="0" fontId="2" fillId="2" borderId="7" xfId="1" applyFont="1" applyFill="1" applyBorder="1" applyAlignment="1">
      <alignment horizontal="center" wrapText="1"/>
    </xf>
    <xf numFmtId="0" fontId="1" fillId="2" borderId="9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1" fillId="2" borderId="11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center" wrapText="1"/>
    </xf>
    <xf numFmtId="0" fontId="1" fillId="2" borderId="12" xfId="1" applyFont="1" applyFill="1" applyBorder="1" applyAlignment="1">
      <alignment horizontal="center" wrapText="1"/>
    </xf>
    <xf numFmtId="0" fontId="1" fillId="2" borderId="4" xfId="1" applyFont="1" applyFill="1" applyBorder="1" applyAlignment="1">
      <alignment horizontal="center" wrapText="1"/>
    </xf>
    <xf numFmtId="165" fontId="2" fillId="0" borderId="13" xfId="1" applyNumberFormat="1" applyFont="1" applyBorder="1" applyAlignment="1">
      <alignment horizontal="center" wrapText="1"/>
    </xf>
    <xf numFmtId="165" fontId="2" fillId="0" borderId="14" xfId="1" applyNumberFormat="1" applyFont="1" applyBorder="1" applyAlignment="1">
      <alignment horizontal="center" wrapText="1"/>
    </xf>
    <xf numFmtId="165" fontId="1" fillId="0" borderId="15" xfId="1" applyNumberForma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4"/>
  <sheetViews>
    <sheetView workbookViewId="0">
      <selection activeCell="I27" sqref="I27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54</v>
      </c>
      <c r="G1" s="7" t="s">
        <v>8</v>
      </c>
      <c r="H1" s="11" t="s">
        <v>55</v>
      </c>
      <c r="I1" s="7" t="s">
        <v>5</v>
      </c>
      <c r="J1" s="14" t="s">
        <v>56</v>
      </c>
      <c r="K1" s="7" t="s">
        <v>6</v>
      </c>
      <c r="L1" s="7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39</v>
      </c>
      <c r="B2" s="2">
        <v>1</v>
      </c>
      <c r="C2" s="2">
        <v>5</v>
      </c>
      <c r="D2" s="2">
        <v>2020</v>
      </c>
      <c r="E2" s="4">
        <f>(Submetering!E2+Submetering!F2)</f>
        <v>3820</v>
      </c>
      <c r="F2" s="12">
        <v>0.14199999999999999</v>
      </c>
      <c r="G2" s="4">
        <f>Submetering!M2</f>
        <v>1041</v>
      </c>
      <c r="H2" s="12">
        <v>0.12</v>
      </c>
      <c r="I2" s="4">
        <f>Submetering!N2+Submetering!R2+Submetering!S2+Submetering!T2</f>
        <v>44</v>
      </c>
      <c r="J2" s="13">
        <v>2.0499999999999998</v>
      </c>
      <c r="K2" s="4">
        <f>Submetering!X2</f>
        <v>10</v>
      </c>
      <c r="L2" s="4">
        <f>Submetering!Y2</f>
        <v>10</v>
      </c>
    </row>
    <row r="3" spans="1:24" x14ac:dyDescent="0.25">
      <c r="A3" s="3" t="s">
        <v>39</v>
      </c>
      <c r="B3" s="2">
        <f>B2+1</f>
        <v>2</v>
      </c>
      <c r="C3" s="2">
        <v>5</v>
      </c>
      <c r="D3" s="2">
        <v>2020</v>
      </c>
      <c r="E3" s="4">
        <f>Submetering!E3+Submetering!F3</f>
        <v>4130</v>
      </c>
      <c r="F3" s="12">
        <v>0.14199999999999999</v>
      </c>
      <c r="G3" s="4">
        <f>Submetering!M3</f>
        <v>988</v>
      </c>
      <c r="H3" s="12">
        <v>0.12</v>
      </c>
      <c r="I3" s="4">
        <f>Submetering!N3+Submetering!R3+Submetering!S3+Submetering!T3</f>
        <v>33.08499999999998</v>
      </c>
      <c r="J3" s="13">
        <v>2.0499999999999998</v>
      </c>
      <c r="K3" s="4">
        <f>Submetering!X3</f>
        <v>10</v>
      </c>
      <c r="L3" s="4">
        <f>Submetering!Y3</f>
        <v>10</v>
      </c>
    </row>
    <row r="4" spans="1:24" x14ac:dyDescent="0.25">
      <c r="A4" s="3" t="s">
        <v>39</v>
      </c>
      <c r="B4" s="2">
        <f t="shared" ref="B4:B32" si="0">B3+1</f>
        <v>3</v>
      </c>
      <c r="C4" s="2">
        <v>5</v>
      </c>
      <c r="D4" s="2">
        <v>2020</v>
      </c>
      <c r="E4" s="4">
        <f>Submetering!E4+Submetering!F4</f>
        <v>3960</v>
      </c>
      <c r="F4" s="12">
        <v>0.14199999999999999</v>
      </c>
      <c r="G4" s="4">
        <f>Submetering!M4</f>
        <v>988</v>
      </c>
      <c r="H4" s="12">
        <v>0.12</v>
      </c>
      <c r="I4" s="4">
        <f>Submetering!N4+Submetering!R4+Submetering!S4+Submetering!T4</f>
        <v>67.209000000000003</v>
      </c>
      <c r="J4" s="13">
        <v>2.0499999999999998</v>
      </c>
      <c r="K4" s="4">
        <f>Submetering!X4</f>
        <v>10</v>
      </c>
      <c r="L4" s="4">
        <f>Submetering!Y4</f>
        <v>10</v>
      </c>
    </row>
    <row r="5" spans="1:24" x14ac:dyDescent="0.25">
      <c r="A5" s="3" t="s">
        <v>39</v>
      </c>
      <c r="B5" s="2">
        <f t="shared" si="0"/>
        <v>4</v>
      </c>
      <c r="C5" s="2">
        <v>5</v>
      </c>
      <c r="D5" s="2">
        <v>2020</v>
      </c>
      <c r="E5" s="4">
        <f>Submetering!E5+Submetering!F5</f>
        <v>3870</v>
      </c>
      <c r="F5" s="12">
        <v>0.14199999999999999</v>
      </c>
      <c r="G5" s="4">
        <f>Submetering!M5</f>
        <v>923</v>
      </c>
      <c r="H5" s="12">
        <v>0.12</v>
      </c>
      <c r="I5" s="4">
        <f>Submetering!N5+Submetering!R5+Submetering!S5+Submetering!T5</f>
        <v>35.227000000000032</v>
      </c>
      <c r="J5" s="13">
        <v>2.0499999999999998</v>
      </c>
      <c r="K5" s="4">
        <f>Submetering!X5</f>
        <v>10</v>
      </c>
      <c r="L5" s="4">
        <f>Submetering!Y5</f>
        <v>10</v>
      </c>
    </row>
    <row r="6" spans="1:24" x14ac:dyDescent="0.25">
      <c r="A6" s="3" t="s">
        <v>39</v>
      </c>
      <c r="B6" s="2">
        <f t="shared" si="0"/>
        <v>5</v>
      </c>
      <c r="C6" s="2">
        <v>5</v>
      </c>
      <c r="D6" s="2">
        <v>2020</v>
      </c>
      <c r="E6" s="4">
        <f>Submetering!E6+Submetering!F6</f>
        <v>4000</v>
      </c>
      <c r="F6" s="12">
        <v>0.14199999999999999</v>
      </c>
      <c r="G6" s="4">
        <f>Submetering!M6</f>
        <v>885</v>
      </c>
      <c r="H6" s="12">
        <v>0.12</v>
      </c>
      <c r="I6" s="4">
        <f>Submetering!N6+Submetering!R6+Submetering!S6+Submetering!T6</f>
        <v>77.23599999999999</v>
      </c>
      <c r="J6" s="13">
        <v>2.0499999999999998</v>
      </c>
      <c r="K6" s="4">
        <f>Submetering!X6</f>
        <v>10</v>
      </c>
      <c r="L6" s="4">
        <f>Submetering!Y6</f>
        <v>10</v>
      </c>
    </row>
    <row r="7" spans="1:24" x14ac:dyDescent="0.25">
      <c r="A7" s="3" t="s">
        <v>39</v>
      </c>
      <c r="B7" s="2">
        <f t="shared" si="0"/>
        <v>6</v>
      </c>
      <c r="C7" s="2">
        <v>5</v>
      </c>
      <c r="D7" s="2">
        <v>2020</v>
      </c>
      <c r="E7" s="4">
        <f>Submetering!E7+Submetering!F7</f>
        <v>4050</v>
      </c>
      <c r="F7" s="12">
        <v>0.14199999999999999</v>
      </c>
      <c r="G7" s="4">
        <f>Submetering!M7</f>
        <v>965</v>
      </c>
      <c r="H7" s="12">
        <v>0.12</v>
      </c>
      <c r="I7" s="4">
        <f>Submetering!N7+Submetering!R7+Submetering!S7+Submetering!T7</f>
        <v>33.23599999999999</v>
      </c>
      <c r="J7" s="13">
        <v>2.0499999999999998</v>
      </c>
      <c r="K7" s="4">
        <f>Submetering!X7</f>
        <v>10</v>
      </c>
      <c r="L7" s="4">
        <f>Submetering!Y7</f>
        <v>10</v>
      </c>
    </row>
    <row r="8" spans="1:24" x14ac:dyDescent="0.25">
      <c r="A8" s="3" t="s">
        <v>39</v>
      </c>
      <c r="B8" s="2">
        <f t="shared" si="0"/>
        <v>7</v>
      </c>
      <c r="C8" s="2">
        <v>5</v>
      </c>
      <c r="D8" s="2">
        <v>2020</v>
      </c>
      <c r="E8" s="4">
        <f>Submetering!E8+Submetering!F8</f>
        <v>3510</v>
      </c>
      <c r="F8" s="12">
        <v>0.14199999999999999</v>
      </c>
      <c r="G8" s="4">
        <f>Submetering!M8</f>
        <v>772</v>
      </c>
      <c r="H8" s="12">
        <v>0.12</v>
      </c>
      <c r="I8" s="4">
        <f>Submetering!N8+Submetering!R8+Submetering!S8+Submetering!T8</f>
        <v>20.201999999999998</v>
      </c>
      <c r="J8" s="13">
        <v>2.0499999999999998</v>
      </c>
      <c r="K8" s="4">
        <f>Submetering!X8</f>
        <v>10</v>
      </c>
      <c r="L8" s="4">
        <f>Submetering!Y8</f>
        <v>10</v>
      </c>
    </row>
    <row r="9" spans="1:24" x14ac:dyDescent="0.25">
      <c r="A9" s="3" t="s">
        <v>39</v>
      </c>
      <c r="B9" s="2">
        <f t="shared" si="0"/>
        <v>8</v>
      </c>
      <c r="C9" s="2">
        <v>5</v>
      </c>
      <c r="D9" s="2">
        <v>2020</v>
      </c>
      <c r="E9" s="4">
        <f>Submetering!E9+Submetering!F9</f>
        <v>3560</v>
      </c>
      <c r="F9" s="12">
        <v>0.14199999999999999</v>
      </c>
      <c r="G9" s="4">
        <f>Submetering!M9</f>
        <v>672</v>
      </c>
      <c r="H9" s="12">
        <v>0.12</v>
      </c>
      <c r="I9" s="4">
        <f>Submetering!N9+Submetering!R9+Submetering!S9+Submetering!T9</f>
        <v>56.240999999999985</v>
      </c>
      <c r="J9" s="13">
        <v>2.0499999999999998</v>
      </c>
      <c r="K9" s="4">
        <f>Submetering!X9</f>
        <v>10</v>
      </c>
      <c r="L9" s="4">
        <f>Submetering!Y9</f>
        <v>10</v>
      </c>
    </row>
    <row r="10" spans="1:24" x14ac:dyDescent="0.25">
      <c r="A10" s="3" t="s">
        <v>39</v>
      </c>
      <c r="B10" s="2">
        <f t="shared" si="0"/>
        <v>9</v>
      </c>
      <c r="C10" s="2">
        <v>5</v>
      </c>
      <c r="D10" s="2">
        <v>2020</v>
      </c>
      <c r="E10" s="4">
        <f>Submetering!E10+Submetering!F10</f>
        <v>3650</v>
      </c>
      <c r="F10" s="12">
        <v>0.14199999999999999</v>
      </c>
      <c r="G10" s="4">
        <f>Submetering!M10</f>
        <v>568</v>
      </c>
      <c r="H10" s="12">
        <v>0.12</v>
      </c>
      <c r="I10" s="4">
        <f>Submetering!N10+Submetering!R10+Submetering!S10+Submetering!T10</f>
        <v>25.276999999999987</v>
      </c>
      <c r="J10" s="13">
        <v>2.0499999999999998</v>
      </c>
      <c r="K10" s="4">
        <f>Submetering!X10</f>
        <v>10</v>
      </c>
      <c r="L10" s="4">
        <f>Submetering!Y10</f>
        <v>10</v>
      </c>
    </row>
    <row r="11" spans="1:24" x14ac:dyDescent="0.25">
      <c r="A11" s="3" t="s">
        <v>39</v>
      </c>
      <c r="B11" s="2">
        <f t="shared" si="0"/>
        <v>10</v>
      </c>
      <c r="C11" s="2">
        <v>5</v>
      </c>
      <c r="D11" s="2">
        <v>2020</v>
      </c>
      <c r="E11" s="4">
        <f>Submetering!E11+Submetering!F11</f>
        <v>4160</v>
      </c>
      <c r="F11" s="12">
        <v>0.14199999999999999</v>
      </c>
      <c r="G11" s="4">
        <f>Submetering!M11</f>
        <v>548</v>
      </c>
      <c r="H11" s="12">
        <v>0.12</v>
      </c>
      <c r="I11" s="4">
        <f>Submetering!N11+Submetering!R11+Submetering!S11+Submetering!T11</f>
        <v>36.255000000000052</v>
      </c>
      <c r="J11" s="13">
        <v>2.0499999999999998</v>
      </c>
      <c r="K11" s="4">
        <f>Submetering!X11</f>
        <v>10</v>
      </c>
      <c r="L11" s="4">
        <f>Submetering!Y11</f>
        <v>10</v>
      </c>
    </row>
    <row r="12" spans="1:24" x14ac:dyDescent="0.25">
      <c r="A12" s="3" t="s">
        <v>39</v>
      </c>
      <c r="B12" s="2">
        <f t="shared" si="0"/>
        <v>11</v>
      </c>
      <c r="C12" s="2">
        <v>5</v>
      </c>
      <c r="D12" s="2">
        <v>2020</v>
      </c>
      <c r="E12" s="4">
        <f>Submetering!E12+Submetering!F12</f>
        <v>4200</v>
      </c>
      <c r="F12" s="12">
        <v>0.14199999999999999</v>
      </c>
      <c r="G12" s="4">
        <f>Submetering!M12</f>
        <v>1006</v>
      </c>
      <c r="H12" s="12">
        <v>0.12</v>
      </c>
      <c r="I12" s="4">
        <f>Submetering!N12+Submetering!R12+Submetering!S12+Submetering!T12</f>
        <v>63.33499999999998</v>
      </c>
      <c r="J12" s="13">
        <v>2.0499999999999998</v>
      </c>
      <c r="K12" s="4">
        <f>Submetering!X12</f>
        <v>10</v>
      </c>
      <c r="L12" s="4">
        <f>Submetering!Y12</f>
        <v>10</v>
      </c>
    </row>
    <row r="13" spans="1:24" x14ac:dyDescent="0.25">
      <c r="A13" s="3" t="s">
        <v>39</v>
      </c>
      <c r="B13" s="2">
        <f t="shared" si="0"/>
        <v>12</v>
      </c>
      <c r="C13" s="2">
        <v>5</v>
      </c>
      <c r="D13" s="2">
        <v>2020</v>
      </c>
      <c r="E13" s="4">
        <f>Submetering!E13+Submetering!F13</f>
        <v>3710</v>
      </c>
      <c r="F13" s="12">
        <v>0.14199999999999999</v>
      </c>
      <c r="G13" s="4">
        <f>Submetering!M13</f>
        <v>1008</v>
      </c>
      <c r="H13" s="12">
        <v>0.12</v>
      </c>
      <c r="I13" s="4">
        <f>Submetering!N13+Submetering!R13+Submetering!S13+Submetering!T13</f>
        <v>33.257000000000005</v>
      </c>
      <c r="J13" s="13">
        <v>2.0499999999999998</v>
      </c>
      <c r="K13" s="4">
        <f>Submetering!X13</f>
        <v>10</v>
      </c>
      <c r="L13" s="4">
        <f>Submetering!Y13</f>
        <v>10</v>
      </c>
    </row>
    <row r="14" spans="1:24" x14ac:dyDescent="0.25">
      <c r="A14" s="3" t="s">
        <v>39</v>
      </c>
      <c r="B14" s="2">
        <f t="shared" si="0"/>
        <v>13</v>
      </c>
      <c r="C14" s="2">
        <v>5</v>
      </c>
      <c r="D14" s="2">
        <v>2020</v>
      </c>
      <c r="E14" s="4">
        <f>Submetering!E14+Submetering!F14</f>
        <v>3490</v>
      </c>
      <c r="F14" s="12">
        <v>0.14199999999999999</v>
      </c>
      <c r="G14" s="4">
        <f>Submetering!M14</f>
        <v>794</v>
      </c>
      <c r="H14" s="12">
        <v>0.12</v>
      </c>
      <c r="I14" s="4">
        <f>Submetering!N14+Submetering!R14+Submetering!S14+Submetering!T14</f>
        <v>33.22199999999998</v>
      </c>
      <c r="J14" s="13">
        <v>2.0499999999999998</v>
      </c>
      <c r="K14" s="4">
        <f>Submetering!X14</f>
        <v>10</v>
      </c>
      <c r="L14" s="4">
        <f>Submetering!Y14</f>
        <v>10</v>
      </c>
    </row>
    <row r="15" spans="1:24" x14ac:dyDescent="0.25">
      <c r="A15" s="3" t="s">
        <v>39</v>
      </c>
      <c r="B15" s="2">
        <f t="shared" si="0"/>
        <v>14</v>
      </c>
      <c r="C15" s="2">
        <v>5</v>
      </c>
      <c r="D15" s="2">
        <v>2020</v>
      </c>
      <c r="E15" s="4">
        <f>Submetering!E15+Submetering!F15</f>
        <v>3770</v>
      </c>
      <c r="F15" s="12">
        <v>0.14199999999999999</v>
      </c>
      <c r="G15" s="4">
        <f>Submetering!M15</f>
        <v>820</v>
      </c>
      <c r="H15" s="12">
        <v>0.12</v>
      </c>
      <c r="I15" s="4">
        <f>Submetering!N15+Submetering!R15+Submetering!S15+Submetering!T15</f>
        <v>48.28000000000003</v>
      </c>
      <c r="J15" s="13">
        <v>2.0499999999999998</v>
      </c>
      <c r="K15" s="4">
        <f>Submetering!X15</f>
        <v>10</v>
      </c>
      <c r="L15" s="4">
        <f>Submetering!Y15</f>
        <v>10</v>
      </c>
    </row>
    <row r="16" spans="1:24" x14ac:dyDescent="0.25">
      <c r="A16" s="3" t="s">
        <v>39</v>
      </c>
      <c r="B16" s="2">
        <f t="shared" si="0"/>
        <v>15</v>
      </c>
      <c r="C16" s="2">
        <v>5</v>
      </c>
      <c r="D16" s="2">
        <v>2020</v>
      </c>
      <c r="E16" s="4">
        <f>Submetering!E16+Submetering!F16</f>
        <v>3840</v>
      </c>
      <c r="F16" s="12">
        <v>0.14199999999999999</v>
      </c>
      <c r="G16" s="4">
        <f>Submetering!M16</f>
        <v>854</v>
      </c>
      <c r="H16" s="12">
        <v>0.12</v>
      </c>
      <c r="I16" s="4">
        <f>Submetering!N16+Submetering!R16+Submetering!S16+Submetering!T16</f>
        <v>33.358000000000004</v>
      </c>
      <c r="J16" s="13">
        <v>2.0499999999999998</v>
      </c>
      <c r="K16" s="4">
        <f>Submetering!X16</f>
        <v>10</v>
      </c>
      <c r="L16" s="4">
        <f>Submetering!Y16</f>
        <v>10</v>
      </c>
    </row>
    <row r="17" spans="1:12" x14ac:dyDescent="0.25">
      <c r="A17" s="3" t="s">
        <v>39</v>
      </c>
      <c r="B17" s="2">
        <f t="shared" si="0"/>
        <v>16</v>
      </c>
      <c r="C17" s="2">
        <v>5</v>
      </c>
      <c r="D17" s="2">
        <v>2020</v>
      </c>
      <c r="E17" s="4">
        <f>Submetering!E17+Submetering!F17</f>
        <v>4210</v>
      </c>
      <c r="F17" s="12">
        <v>0.14199999999999999</v>
      </c>
      <c r="G17" s="4">
        <f>Submetering!M17</f>
        <v>806</v>
      </c>
      <c r="H17" s="12">
        <v>0.12</v>
      </c>
      <c r="I17" s="4">
        <f>Submetering!N17+Submetering!R17+Submetering!S17+Submetering!T17</f>
        <v>43.415999999999997</v>
      </c>
      <c r="J17" s="13">
        <v>2.0499999999999998</v>
      </c>
      <c r="K17" s="4">
        <f>Submetering!X17</f>
        <v>10</v>
      </c>
      <c r="L17" s="4">
        <f>Submetering!Y17</f>
        <v>10</v>
      </c>
    </row>
    <row r="18" spans="1:12" x14ac:dyDescent="0.25">
      <c r="A18" s="3" t="s">
        <v>39</v>
      </c>
      <c r="B18" s="2">
        <f t="shared" si="0"/>
        <v>17</v>
      </c>
      <c r="C18" s="2">
        <v>5</v>
      </c>
      <c r="D18" s="2">
        <v>2020</v>
      </c>
      <c r="E18" s="4">
        <f>Submetering!E18+Submetering!F18</f>
        <v>3170</v>
      </c>
      <c r="F18" s="12">
        <v>0.14199999999999999</v>
      </c>
      <c r="G18" s="4">
        <f>Submetering!M18</f>
        <v>619</v>
      </c>
      <c r="H18" s="12">
        <v>0.12</v>
      </c>
      <c r="I18" s="4">
        <f>Submetering!N18+Submetering!R18+Submetering!S18+Submetering!T18</f>
        <v>20.257999999999981</v>
      </c>
      <c r="J18" s="13">
        <v>2.0499999999999998</v>
      </c>
      <c r="K18" s="4">
        <f>Submetering!X18</f>
        <v>10</v>
      </c>
      <c r="L18" s="4">
        <f>Submetering!Y18</f>
        <v>10</v>
      </c>
    </row>
    <row r="19" spans="1:12" x14ac:dyDescent="0.25">
      <c r="A19" s="3" t="s">
        <v>39</v>
      </c>
      <c r="B19" s="2">
        <f t="shared" si="0"/>
        <v>18</v>
      </c>
      <c r="C19" s="2">
        <v>5</v>
      </c>
      <c r="D19" s="2">
        <v>2020</v>
      </c>
      <c r="E19" s="4">
        <f>Submetering!E19+Submetering!F19</f>
        <v>3620</v>
      </c>
      <c r="F19" s="12">
        <v>0.14199999999999999</v>
      </c>
      <c r="G19" s="4">
        <f>Submetering!M19</f>
        <v>1077</v>
      </c>
      <c r="H19" s="12">
        <v>0.12</v>
      </c>
      <c r="I19" s="4">
        <f>Submetering!N19+Submetering!R19+Submetering!S19+Submetering!T19</f>
        <v>47.34899999999999</v>
      </c>
      <c r="J19" s="13">
        <v>2.0499999999999998</v>
      </c>
      <c r="K19" s="4">
        <f>Submetering!X19</f>
        <v>10</v>
      </c>
      <c r="L19" s="4">
        <f>Submetering!Y19</f>
        <v>10</v>
      </c>
    </row>
    <row r="20" spans="1:12" x14ac:dyDescent="0.25">
      <c r="A20" s="3" t="s">
        <v>39</v>
      </c>
      <c r="B20" s="2">
        <f t="shared" si="0"/>
        <v>19</v>
      </c>
      <c r="C20" s="2">
        <v>5</v>
      </c>
      <c r="D20" s="2">
        <v>2020</v>
      </c>
      <c r="E20" s="4">
        <f>Submetering!E20+Submetering!F20</f>
        <v>3330</v>
      </c>
      <c r="F20" s="12">
        <v>0.14199999999999999</v>
      </c>
      <c r="G20" s="4">
        <f>Submetering!M20</f>
        <v>189</v>
      </c>
      <c r="H20" s="12">
        <v>0.12</v>
      </c>
      <c r="I20" s="4">
        <f>Submetering!N20+Submetering!R20+Submetering!S20+Submetering!T20</f>
        <v>26.016999999999996</v>
      </c>
      <c r="J20" s="13">
        <v>2.0499999999999998</v>
      </c>
      <c r="K20" s="4">
        <f>Submetering!X20</f>
        <v>10</v>
      </c>
      <c r="L20" s="4">
        <f>Submetering!Y20</f>
        <v>10</v>
      </c>
    </row>
    <row r="21" spans="1:12" x14ac:dyDescent="0.25">
      <c r="A21" s="3" t="s">
        <v>39</v>
      </c>
      <c r="B21" s="2">
        <f t="shared" si="0"/>
        <v>20</v>
      </c>
      <c r="C21" s="2">
        <v>5</v>
      </c>
      <c r="D21" s="2">
        <v>2020</v>
      </c>
      <c r="E21" s="4">
        <f>Submetering!E21+Submetering!F21</f>
        <v>3620</v>
      </c>
      <c r="F21" s="12">
        <v>0.14199999999999999</v>
      </c>
      <c r="G21" s="4">
        <f>Submetering!M21</f>
        <v>296</v>
      </c>
      <c r="H21" s="12">
        <v>0.12</v>
      </c>
      <c r="I21" s="4">
        <f>Submetering!N21+Submetering!R21+Submetering!S21+Submetering!T21</f>
        <v>27.420999999999992</v>
      </c>
      <c r="J21" s="13">
        <v>2.0499999999999998</v>
      </c>
      <c r="K21" s="4">
        <f>Submetering!X21</f>
        <v>10</v>
      </c>
      <c r="L21" s="4">
        <f>Submetering!Y21</f>
        <v>10</v>
      </c>
    </row>
    <row r="22" spans="1:12" x14ac:dyDescent="0.25">
      <c r="A22" s="3" t="s">
        <v>39</v>
      </c>
      <c r="B22" s="2">
        <f t="shared" si="0"/>
        <v>21</v>
      </c>
      <c r="C22" s="2">
        <v>5</v>
      </c>
      <c r="D22" s="2">
        <v>2020</v>
      </c>
      <c r="E22" s="4">
        <f>Submetering!E22+Submetering!F22</f>
        <v>3820</v>
      </c>
      <c r="F22" s="12">
        <v>0.14199999999999999</v>
      </c>
      <c r="G22" s="4">
        <f>Submetering!M22</f>
        <v>475</v>
      </c>
      <c r="H22" s="12">
        <v>0.12</v>
      </c>
      <c r="I22" s="4">
        <f>Submetering!N22+Submetering!R22+Submetering!S22+Submetering!T22</f>
        <v>76.256000000000029</v>
      </c>
      <c r="J22" s="13">
        <v>2.0499999999999998</v>
      </c>
      <c r="K22" s="4">
        <f>Submetering!X22</f>
        <v>10</v>
      </c>
      <c r="L22" s="4">
        <f>Submetering!Y22</f>
        <v>10</v>
      </c>
    </row>
    <row r="23" spans="1:12" x14ac:dyDescent="0.25">
      <c r="A23" s="3" t="s">
        <v>39</v>
      </c>
      <c r="B23" s="2">
        <f t="shared" si="0"/>
        <v>22</v>
      </c>
      <c r="C23" s="2">
        <v>5</v>
      </c>
      <c r="D23" s="2">
        <v>2020</v>
      </c>
      <c r="E23" s="4">
        <f>Submetering!E23+Submetering!F23</f>
        <v>3650</v>
      </c>
      <c r="F23" s="12">
        <v>0.14199999999999999</v>
      </c>
      <c r="G23" s="4">
        <f>Submetering!M23</f>
        <v>434</v>
      </c>
      <c r="H23" s="12">
        <v>0.12</v>
      </c>
      <c r="I23" s="4">
        <f>Submetering!N23+Submetering!R23+Submetering!S23+Submetering!T23</f>
        <v>30.180000000000007</v>
      </c>
      <c r="J23" s="13">
        <v>2.0499999999999998</v>
      </c>
      <c r="K23" s="4">
        <f>Submetering!X23</f>
        <v>10</v>
      </c>
      <c r="L23" s="4">
        <f>Submetering!Y23</f>
        <v>10</v>
      </c>
    </row>
    <row r="24" spans="1:12" x14ac:dyDescent="0.25">
      <c r="A24" s="3" t="s">
        <v>39</v>
      </c>
      <c r="B24" s="2">
        <f t="shared" si="0"/>
        <v>23</v>
      </c>
      <c r="C24" s="2">
        <v>5</v>
      </c>
      <c r="D24" s="2">
        <v>2020</v>
      </c>
      <c r="E24" s="4">
        <f>Submetering!E24+Submetering!F24</f>
        <v>3580</v>
      </c>
      <c r="F24" s="12">
        <v>0.14199999999999999</v>
      </c>
      <c r="G24" s="4">
        <f>Submetering!M24</f>
        <v>471</v>
      </c>
      <c r="H24" s="12">
        <v>0.12</v>
      </c>
      <c r="I24" s="4">
        <f>Submetering!N24+Submetering!R24+Submetering!S24+Submetering!T24</f>
        <v>34.13900000000001</v>
      </c>
      <c r="J24" s="13">
        <v>2.0499999999999998</v>
      </c>
      <c r="K24" s="4">
        <f>Submetering!X24</f>
        <v>10</v>
      </c>
      <c r="L24" s="4">
        <f>Submetering!Y24</f>
        <v>10</v>
      </c>
    </row>
    <row r="25" spans="1:12" x14ac:dyDescent="0.25">
      <c r="A25" s="3" t="s">
        <v>39</v>
      </c>
      <c r="B25" s="2">
        <f t="shared" si="0"/>
        <v>24</v>
      </c>
      <c r="C25" s="2">
        <v>5</v>
      </c>
      <c r="D25" s="2">
        <v>2020</v>
      </c>
      <c r="E25" s="4">
        <f>Submetering!E25+Submetering!F25</f>
        <v>3820</v>
      </c>
      <c r="F25" s="12">
        <v>0.14199999999999999</v>
      </c>
      <c r="G25" s="4">
        <f>Submetering!M25</f>
        <v>458</v>
      </c>
      <c r="H25" s="12">
        <v>0.12</v>
      </c>
      <c r="I25" s="4">
        <f>Submetering!N25+Submetering!R25+Submetering!S25+Submetering!T25</f>
        <v>34.000999999999976</v>
      </c>
      <c r="J25" s="13">
        <v>2.0499999999999998</v>
      </c>
      <c r="K25" s="4">
        <f>Submetering!X25</f>
        <v>10</v>
      </c>
      <c r="L25" s="4">
        <f>Submetering!Y25</f>
        <v>10</v>
      </c>
    </row>
    <row r="26" spans="1:12" x14ac:dyDescent="0.25">
      <c r="A26" s="3" t="s">
        <v>39</v>
      </c>
      <c r="B26" s="2">
        <f>B25+1</f>
        <v>25</v>
      </c>
      <c r="C26" s="2">
        <v>5</v>
      </c>
      <c r="D26" s="2">
        <v>2020</v>
      </c>
      <c r="E26" s="4">
        <f>Submetering!E26+Submetering!F26</f>
        <v>3450</v>
      </c>
      <c r="F26" s="12">
        <v>0.14199999999999999</v>
      </c>
      <c r="G26" s="4">
        <f>Submetering!M26</f>
        <v>473</v>
      </c>
      <c r="H26" s="12">
        <v>0.12</v>
      </c>
      <c r="I26" s="4">
        <f>Submetering!N26+Submetering!R26+Submetering!S26+Submetering!T26</f>
        <v>27.211000000000013</v>
      </c>
      <c r="J26" s="13">
        <v>2.0499999999999998</v>
      </c>
      <c r="K26" s="4">
        <f>Submetering!X26</f>
        <v>10</v>
      </c>
      <c r="L26" s="4">
        <f>Submetering!Y26</f>
        <v>10</v>
      </c>
    </row>
    <row r="27" spans="1:12" x14ac:dyDescent="0.25">
      <c r="A27" s="3" t="s">
        <v>39</v>
      </c>
      <c r="B27" s="2">
        <f t="shared" si="0"/>
        <v>26</v>
      </c>
      <c r="C27" s="2">
        <v>5</v>
      </c>
      <c r="D27" s="2">
        <v>2020</v>
      </c>
      <c r="E27" s="4">
        <f>Submetering!E27+Submetering!F27</f>
        <v>3830</v>
      </c>
      <c r="F27" s="12">
        <v>0.14199999999999999</v>
      </c>
      <c r="G27" s="4">
        <f>Submetering!M27</f>
        <v>481</v>
      </c>
      <c r="H27" s="12">
        <v>0.12</v>
      </c>
      <c r="I27" s="4">
        <f>Submetering!N27+Submetering!R27+Submetering!S27+Submetering!T27</f>
        <v>45.209000000000003</v>
      </c>
      <c r="J27" s="13">
        <v>2.0499999999999998</v>
      </c>
      <c r="K27" s="4">
        <f>Submetering!X27</f>
        <v>10</v>
      </c>
      <c r="L27" s="4">
        <f>Submetering!Y27</f>
        <v>10</v>
      </c>
    </row>
    <row r="28" spans="1:12" x14ac:dyDescent="0.25">
      <c r="A28" s="3" t="s">
        <v>39</v>
      </c>
      <c r="B28" s="2">
        <f t="shared" si="0"/>
        <v>27</v>
      </c>
      <c r="C28" s="2">
        <v>5</v>
      </c>
      <c r="D28" s="2">
        <v>2020</v>
      </c>
      <c r="E28" s="4">
        <f>Submetering!E28+Submetering!F28</f>
        <v>3700</v>
      </c>
      <c r="F28" s="12">
        <v>0.14199999999999999</v>
      </c>
      <c r="G28" s="4">
        <f>Submetering!M28</f>
        <v>434</v>
      </c>
      <c r="H28" s="12">
        <v>0.12</v>
      </c>
      <c r="I28" s="4">
        <f>Submetering!N28+Submetering!R28+Submetering!S28+Submetering!T28</f>
        <v>45.194999999999993</v>
      </c>
      <c r="J28" s="13">
        <v>2.0499999999999998</v>
      </c>
      <c r="K28" s="4">
        <f>Submetering!X28</f>
        <v>10</v>
      </c>
      <c r="L28" s="4">
        <f>Submetering!Y28</f>
        <v>10</v>
      </c>
    </row>
    <row r="29" spans="1:12" x14ac:dyDescent="0.25">
      <c r="A29" s="3" t="s">
        <v>39</v>
      </c>
      <c r="B29" s="2">
        <f t="shared" si="0"/>
        <v>28</v>
      </c>
      <c r="C29" s="2">
        <v>5</v>
      </c>
      <c r="D29" s="2">
        <v>2020</v>
      </c>
      <c r="E29" s="4">
        <f>Submetering!E29+Submetering!F29</f>
        <v>3500</v>
      </c>
      <c r="F29" s="12">
        <v>0.14199999999999999</v>
      </c>
      <c r="G29" s="4">
        <f>Submetering!M29</f>
        <v>414</v>
      </c>
      <c r="H29" s="12">
        <v>0.12</v>
      </c>
      <c r="I29" s="4">
        <f>Submetering!N29+Submetering!R29+Submetering!S29+Submetering!T29</f>
        <v>36.209000000000003</v>
      </c>
      <c r="J29" s="13">
        <v>2.0499999999999998</v>
      </c>
      <c r="K29" s="4">
        <f>Submetering!X29</f>
        <v>10</v>
      </c>
      <c r="L29" s="4">
        <f>Submetering!Y29</f>
        <v>10</v>
      </c>
    </row>
    <row r="30" spans="1:12" x14ac:dyDescent="0.25">
      <c r="A30" s="3" t="s">
        <v>39</v>
      </c>
      <c r="B30" s="2">
        <f t="shared" si="0"/>
        <v>29</v>
      </c>
      <c r="C30" s="2">
        <v>5</v>
      </c>
      <c r="D30" s="2">
        <v>2020</v>
      </c>
      <c r="E30" s="4">
        <f>Submetering!E30+Submetering!F30</f>
        <v>4130</v>
      </c>
      <c r="F30" s="12">
        <v>0.14199999999999999</v>
      </c>
      <c r="G30" s="4">
        <f>Submetering!M30</f>
        <v>513</v>
      </c>
      <c r="H30" s="12">
        <v>0.12</v>
      </c>
      <c r="I30" s="4">
        <f>Submetering!N30+Submetering!R30+Submetering!S30+Submetering!T30</f>
        <v>50.204000000000008</v>
      </c>
      <c r="J30" s="13">
        <v>2.0499999999999998</v>
      </c>
      <c r="K30" s="4">
        <f>Submetering!X30</f>
        <v>10</v>
      </c>
      <c r="L30" s="4">
        <f>Submetering!Y30</f>
        <v>10</v>
      </c>
    </row>
    <row r="31" spans="1:12" x14ac:dyDescent="0.25">
      <c r="A31" s="3" t="s">
        <v>39</v>
      </c>
      <c r="B31" s="2">
        <f t="shared" si="0"/>
        <v>30</v>
      </c>
      <c r="C31" s="2">
        <v>5</v>
      </c>
      <c r="D31" s="2">
        <v>2020</v>
      </c>
      <c r="E31" s="4">
        <f>Submetering!E31+Submetering!F31</f>
        <v>3770</v>
      </c>
      <c r="F31" s="12">
        <v>0.14199999999999999</v>
      </c>
      <c r="G31" s="4">
        <f>Submetering!M31</f>
        <v>459</v>
      </c>
      <c r="H31" s="12">
        <v>0.12</v>
      </c>
      <c r="I31" s="4">
        <f>Submetering!N31+Submetering!R31+Submetering!S31+Submetering!T31</f>
        <v>42.197999999999979</v>
      </c>
      <c r="J31" s="13">
        <v>2.0499999999999998</v>
      </c>
      <c r="K31" s="4">
        <f>Submetering!X31</f>
        <v>10</v>
      </c>
      <c r="L31" s="4">
        <f>Submetering!Y31</f>
        <v>10</v>
      </c>
    </row>
    <row r="32" spans="1:12" x14ac:dyDescent="0.25">
      <c r="A32" s="3" t="s">
        <v>39</v>
      </c>
      <c r="B32" s="2">
        <f t="shared" si="0"/>
        <v>31</v>
      </c>
      <c r="C32" s="2">
        <v>5</v>
      </c>
      <c r="D32" s="2">
        <v>2020</v>
      </c>
      <c r="E32" s="4">
        <f>Submetering!E32+Submetering!F32</f>
        <v>3770</v>
      </c>
      <c r="F32" s="12">
        <v>0.14199999999999999</v>
      </c>
      <c r="G32" s="4">
        <f>Submetering!M32</f>
        <v>469</v>
      </c>
      <c r="H32" s="12">
        <v>0.12</v>
      </c>
      <c r="I32" s="4">
        <f>Submetering!N32+Submetering!R32+Submetering!S32+Submetering!T32</f>
        <v>28.19599999999997</v>
      </c>
      <c r="J32" s="13">
        <v>2.0499999999999998</v>
      </c>
      <c r="K32" s="4">
        <f>Submetering!X32</f>
        <v>10</v>
      </c>
      <c r="L32" s="4">
        <f>Submetering!Y32</f>
        <v>10</v>
      </c>
    </row>
    <row r="34" spans="5:5" x14ac:dyDescent="0.25">
      <c r="E3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32"/>
  <sheetViews>
    <sheetView tabSelected="1" zoomScaleNormal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W33" sqref="W33"/>
    </sheetView>
  </sheetViews>
  <sheetFormatPr defaultColWidth="11.5703125" defaultRowHeight="15" x14ac:dyDescent="0.25"/>
  <cols>
    <col min="1" max="1" width="13.85546875" style="3" customWidth="1"/>
    <col min="2" max="2" width="11.5703125" style="1" customWidth="1"/>
    <col min="3" max="3" width="11.5703125" style="23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51</v>
      </c>
      <c r="V1" s="9" t="s">
        <v>49</v>
      </c>
      <c r="W1" s="10" t="s">
        <v>50</v>
      </c>
      <c r="X1" s="10" t="s">
        <v>6</v>
      </c>
      <c r="Y1" s="9" t="s">
        <v>7</v>
      </c>
    </row>
    <row r="2" spans="1:31" x14ac:dyDescent="0.25">
      <c r="A2" s="3" t="s">
        <v>39</v>
      </c>
      <c r="B2" s="1">
        <v>1</v>
      </c>
      <c r="C2" s="23">
        <v>5</v>
      </c>
      <c r="D2" s="1">
        <v>2020</v>
      </c>
      <c r="E2" s="4">
        <f>IF(('Hampshire Daily'!D5-'Hampshire Daily'!D4&lt;0), "0",('Hampshire Daily'!D5-'Hampshire Daily'!D4)*10)</f>
        <v>1650</v>
      </c>
      <c r="F2" s="4">
        <f>IF(('Hampshire Daily'!F5-'Hampshire Daily'!F4&lt;0), "0",('Hampshire Daily'!F5-'Hampshire Daily'!F4)*10)</f>
        <v>2170</v>
      </c>
      <c r="G2" s="4">
        <f>IF(('Hampshire Daily'!H5-'Hampshire Daily'!H4&lt;0), "0",'Hampshire Daily'!H5-'Hampshire Daily'!H4)</f>
        <v>323</v>
      </c>
      <c r="H2" s="4" t="str">
        <f>IF(('Hampshire Daily'!I5-'Hampshire Daily'!I4&lt;0), "0",'Hampshire Daily'!I5-'Hampshire Daily'!I4)</f>
        <v>0</v>
      </c>
      <c r="I2" s="4" t="str">
        <f>IF(('Hampshire Daily'!J5-'Hampshire Daily'!J4&lt;0), "0",'Hampshire Daily'!J5-'Hampshire Daily'!J4)</f>
        <v>0</v>
      </c>
      <c r="J2" s="4" t="str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74</v>
      </c>
      <c r="L2" s="4">
        <f>IF(('Hampshire Daily'!M5-'Hampshire Daily'!M4&lt;0), "0",'Hampshire Daily'!M5-'Hampshire Daily'!M4)</f>
        <v>344</v>
      </c>
      <c r="M2" s="4">
        <f>IF(('Hampshire Daily'!N5-'Hampshire Daily'!N4&lt;0), "0",'Hampshire Daily'!N5-'Hampshire Daily'!N4)</f>
        <v>1041</v>
      </c>
      <c r="N2" s="4">
        <f>IF(('Hampshire Daily'!O5-'Hampshire Daily'!O4&lt;0), "0",'Hampshire Daily'!O5-'Hampshire Daily'!O4)</f>
        <v>41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0</v>
      </c>
      <c r="Q2" s="4">
        <f>IF(('Hampshire Daily'!R5-'Hampshire Daily'!R4&lt;0), "0",'Hampshire Daily'!R5-'Hampshire Daily'!R4)</f>
        <v>0</v>
      </c>
      <c r="R2" s="4">
        <f>IF(('Hampshire Daily'!U5-'Hampshire Daily'!U4&lt;0), "0",'Hampshire Daily'!U5-'Hampshire Daily'!U4)</f>
        <v>2</v>
      </c>
      <c r="S2" s="4">
        <f>IF(('Hampshire Daily'!V5-'Hampshire Daily'!V4&lt;0), "0",'Hampshire Daily'!V5-'Hampshire Daily'!V4)</f>
        <v>1</v>
      </c>
      <c r="T2" s="4">
        <f>IF(('Hampshire Daily'!X5-'Hampshire Daily'!X4&lt;0), "0",'Hampshire Daily'!X5-'Hampshire Daily'!X4)</f>
        <v>0</v>
      </c>
      <c r="U2" s="4">
        <f>IF(('Hampshire Daily'!Y5-'Hampshire Daily'!Y4&lt;0), "0",'Hampshire Daily'!Y5-'Hampshire Daily'!Y4)</f>
        <v>0.12700000000006639</v>
      </c>
      <c r="V2" s="4">
        <f>IF(('Hampshire Daily'!Z5-'Hampshire Daily'!Z4&lt;0), "0",'Hampshire Daily'!Z5-'Hampshire Daily'!Z4)</f>
        <v>0</v>
      </c>
      <c r="W2" s="4">
        <v>0</v>
      </c>
      <c r="X2" s="4">
        <f>'Hampshire Daily'!B5</f>
        <v>10</v>
      </c>
      <c r="Y2" s="4">
        <f>'Hampshire Daily'!C5</f>
        <v>10</v>
      </c>
    </row>
    <row r="3" spans="1:31" x14ac:dyDescent="0.25">
      <c r="A3" s="3" t="s">
        <v>39</v>
      </c>
      <c r="B3" s="1">
        <f>B2+1</f>
        <v>2</v>
      </c>
      <c r="C3" s="23">
        <v>5</v>
      </c>
      <c r="D3" s="1">
        <v>2020</v>
      </c>
      <c r="E3" s="4">
        <f>IF(('Hampshire Daily'!D6-'Hampshire Daily'!D5&lt;0), "0",('Hampshire Daily'!D6-'Hampshire Daily'!D5)*10)</f>
        <v>1810</v>
      </c>
      <c r="F3" s="4">
        <f>IF(('Hampshire Daily'!F6-'Hampshire Daily'!F5&lt;0), "0",('Hampshire Daily'!F6-'Hampshire Daily'!F5)*10)</f>
        <v>2320</v>
      </c>
      <c r="G3" s="25">
        <f>IF(('Hampshire Daily'!H6-'Hampshire Daily'!H5&lt;0), "0",'Hampshire Daily'!H6-'Hampshire Daily'!H5)</f>
        <v>379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25">
        <f>IF(('Hampshire Daily'!L6-'Hampshire Daily'!L5&lt;0), "0",'Hampshire Daily'!L6-'Hampshire Daily'!L5)</f>
        <v>89</v>
      </c>
      <c r="L3" s="25">
        <f>IF(('Hampshire Daily'!M6-'Hampshire Daily'!M5&lt;0), "0",'Hampshire Daily'!M6-'Hampshire Daily'!M5)</f>
        <v>318</v>
      </c>
      <c r="M3" s="25">
        <f>IF(('Hampshire Daily'!N6-'Hampshire Daily'!N5&lt;0), "0",'Hampshire Daily'!N6-'Hampshire Daily'!N5)</f>
        <v>988</v>
      </c>
      <c r="N3" s="4">
        <f>IF(('Hampshire Daily'!O6-'Hampshire Daily'!O5&lt;0), "0",'Hampshire Daily'!O6-'Hampshire Daily'!O5)</f>
        <v>30</v>
      </c>
      <c r="O3" s="4">
        <f>IF(('Hampshire Daily'!P6-'Hampshire Daily'!P5&lt;0), "0",'Hampshire Daily'!P6-'Hampshire Daily'!P5)</f>
        <v>0</v>
      </c>
      <c r="P3" s="4">
        <f>IF(('Hampshire Daily'!Q6-'Hampshire Daily'!Q5&lt;0), "0",'Hampshire Daily'!Q6-'Hampshire Daily'!Q5)</f>
        <v>0</v>
      </c>
      <c r="Q3" s="4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1</v>
      </c>
      <c r="S3" s="4">
        <f>IF(('Hampshire Daily'!V6-'Hampshire Daily'!V5&lt;0), "0",'Hampshire Daily'!V6-'Hampshire Daily'!V5)</f>
        <v>2</v>
      </c>
      <c r="T3" s="4">
        <f>IF(('Hampshire Daily'!X6-'Hampshire Daily'!X5&lt;0), "0",'Hampshire Daily'!X6-'Hampshire Daily'!X5)</f>
        <v>8.4999999999979536E-2</v>
      </c>
      <c r="U3" s="4">
        <f>IF(('Hampshire Daily'!Y6-'Hampshire Daily'!Y5&lt;0), "0",'Hampshire Daily'!Y6-'Hampshire Daily'!Y5)</f>
        <v>0.15999999999996817</v>
      </c>
      <c r="V3" s="4">
        <f>IF(('Hampshire Daily'!Z6-'Hampshire Daily'!Z5&lt;0), "0",'Hampshire Daily'!Z6-'Hampshire Daily'!Z5)</f>
        <v>0</v>
      </c>
      <c r="W3" s="4">
        <v>0</v>
      </c>
      <c r="X3" s="4">
        <f>'Hampshire Daily'!B6</f>
        <v>10</v>
      </c>
      <c r="Y3" s="4">
        <f>'Hampshire Daily'!C6</f>
        <v>10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 spans="1:31" x14ac:dyDescent="0.25">
      <c r="A4" s="3" t="s">
        <v>39</v>
      </c>
      <c r="B4" s="1">
        <f t="shared" ref="B4:B32" si="0">B3+1</f>
        <v>3</v>
      </c>
      <c r="C4" s="23">
        <v>5</v>
      </c>
      <c r="D4" s="1">
        <v>2020</v>
      </c>
      <c r="E4" s="4">
        <f>IF(('Hampshire Daily'!D7-'Hampshire Daily'!D6&lt;0), "0",('Hampshire Daily'!D7-'Hampshire Daily'!D6)*10)</f>
        <v>1680</v>
      </c>
      <c r="F4" s="4">
        <f>IF(('Hampshire Daily'!F7-'Hampshire Daily'!F6&lt;0), "0",('Hampshire Daily'!F7-'Hampshire Daily'!F6)*10)</f>
        <v>2280</v>
      </c>
      <c r="G4" s="4">
        <f>IF(('Hampshire Daily'!H7-'Hampshire Daily'!H6&lt;0), "0",'Hampshire Daily'!H7-'Hampshire Daily'!H6)</f>
        <v>369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4">
        <f>IF(('Hampshire Daily'!L7-'Hampshire Daily'!L6&lt;0), "0",'Hampshire Daily'!L7-'Hampshire Daily'!L6)</f>
        <v>89</v>
      </c>
      <c r="L4" s="4">
        <f>IF(('Hampshire Daily'!M7-'Hampshire Daily'!M6&lt;0), "0",'Hampshire Daily'!M7-'Hampshire Daily'!M6)</f>
        <v>320</v>
      </c>
      <c r="M4" s="4">
        <f>IF(('Hampshire Daily'!N7-'Hampshire Daily'!N6&lt;0), "0",'Hampshire Daily'!N7-'Hampshire Daily'!N6)</f>
        <v>988</v>
      </c>
      <c r="N4" s="4">
        <f>IF(('Hampshire Daily'!O7-'Hampshire Daily'!O6&lt;0), "0",'Hampshire Daily'!O7-'Hampshire Daily'!O6)</f>
        <v>55</v>
      </c>
      <c r="O4" s="4">
        <f>IF(('Hampshire Daily'!P7-'Hampshire Daily'!P6&lt;0), "0",'Hampshire Daily'!P7-'Hampshire Daily'!P6)</f>
        <v>0</v>
      </c>
      <c r="P4" s="4">
        <f>IF(('Hampshire Daily'!Q7-'Hampshire Daily'!Q6&lt;0), "0",'Hampshire Daily'!Q7-'Hampshire Daily'!Q6)</f>
        <v>0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2</v>
      </c>
      <c r="S4" s="4">
        <f>IF(('Hampshire Daily'!V7-'Hampshire Daily'!V6&lt;0), "0",'Hampshire Daily'!V7-'Hampshire Daily'!V6)</f>
        <v>10</v>
      </c>
      <c r="T4" s="4">
        <f>IF(('Hampshire Daily'!X7-'Hampshire Daily'!X6&lt;0), "0",'Hampshire Daily'!X7-'Hampshire Daily'!X6)</f>
        <v>0.20900000000000318</v>
      </c>
      <c r="U4" s="4">
        <f>IF(('Hampshire Daily'!Y7-'Hampshire Daily'!Y6&lt;0), "0",'Hampshire Daily'!Y7-'Hampshire Daily'!Y6)</f>
        <v>0.29899999999997817</v>
      </c>
      <c r="V4" s="4">
        <f>IF(('Hampshire Daily'!Z7-'Hampshire Daily'!Z6&lt;0), "0",'Hampshire Daily'!Z7-'Hampshire Daily'!Z6)</f>
        <v>0</v>
      </c>
      <c r="W4" s="4">
        <v>0</v>
      </c>
      <c r="X4" s="4">
        <f>'Hampshire Daily'!B7</f>
        <v>10</v>
      </c>
      <c r="Y4" s="4">
        <f>'Hampshire Daily'!C7</f>
        <v>10</v>
      </c>
      <c r="AB4" t="s">
        <v>40</v>
      </c>
    </row>
    <row r="5" spans="1:31" x14ac:dyDescent="0.25">
      <c r="A5" s="3" t="s">
        <v>39</v>
      </c>
      <c r="B5" s="1">
        <f t="shared" si="0"/>
        <v>4</v>
      </c>
      <c r="C5" s="23">
        <v>5</v>
      </c>
      <c r="D5" s="1">
        <v>2020</v>
      </c>
      <c r="E5" s="4">
        <f>IF(('Hampshire Daily'!D8-'Hampshire Daily'!D7&lt;0), "0",('Hampshire Daily'!D8-'Hampshire Daily'!D7)*10)</f>
        <v>1660</v>
      </c>
      <c r="F5" s="4">
        <f>IF(('Hampshire Daily'!F8-'Hampshire Daily'!F7&lt;0), "0",('Hampshire Daily'!F8-'Hampshire Daily'!F7)*10)</f>
        <v>2210</v>
      </c>
      <c r="G5" s="4">
        <f>IF(('Hampshire Daily'!H8-'Hampshire Daily'!H7&lt;0), "0",'Hampshire Daily'!H8-'Hampshire Daily'!H7)</f>
        <v>352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4">
        <f>IF(('Hampshire Daily'!L8-'Hampshire Daily'!L7&lt;0), "0",'Hampshire Daily'!L8-'Hampshire Daily'!L7)</f>
        <v>89</v>
      </c>
      <c r="L5" s="4">
        <f>IF(('Hampshire Daily'!M8-'Hampshire Daily'!M7&lt;0), "0",'Hampshire Daily'!M8-'Hampshire Daily'!M7)</f>
        <v>316</v>
      </c>
      <c r="M5" s="4">
        <f>IF(('Hampshire Daily'!N8-'Hampshire Daily'!N7&lt;0), "0",'Hampshire Daily'!N8-'Hampshire Daily'!N7)</f>
        <v>923</v>
      </c>
      <c r="N5" s="4">
        <f>IF(('Hampshire Daily'!O8-'Hampshire Daily'!O7&lt;0), "0",'Hampshire Daily'!O8-'Hampshire Daily'!O7)</f>
        <v>33</v>
      </c>
      <c r="O5" s="4">
        <f>IF(('Hampshire Daily'!P8-'Hampshire Daily'!P7&lt;0), "0",'Hampshire Daily'!P8-'Hampshire Daily'!P7)</f>
        <v>0</v>
      </c>
      <c r="P5" s="4">
        <f>IF(('Hampshire Daily'!Q8-'Hampshire Daily'!Q7&lt;0), "0",'Hampshire Daily'!Q8-'Hampshire Daily'!Q7)</f>
        <v>0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1</v>
      </c>
      <c r="S5" s="4">
        <f>IF(('Hampshire Daily'!V8-'Hampshire Daily'!V7&lt;0), "0",'Hampshire Daily'!V8-'Hampshire Daily'!V7)</f>
        <v>1</v>
      </c>
      <c r="T5" s="4">
        <f>IF(('Hampshire Daily'!X8-'Hampshire Daily'!X7&lt;0), "0",'Hampshire Daily'!X8-'Hampshire Daily'!X7)</f>
        <v>0.22700000000003229</v>
      </c>
      <c r="U5" s="4">
        <f>IF(('Hampshire Daily'!Y8-'Hampshire Daily'!Y7&lt;0), "0",'Hampshire Daily'!Y8-'Hampshire Daily'!Y7)</f>
        <v>0.45299999999997453</v>
      </c>
      <c r="V5" s="4">
        <f>IF(('Hampshire Daily'!Z8-'Hampshire Daily'!Z7&lt;0), "0",'Hampshire Daily'!Z8-'Hampshire Daily'!Z7)</f>
        <v>0</v>
      </c>
      <c r="W5" s="4">
        <v>0</v>
      </c>
      <c r="X5" s="4">
        <f>'Hampshire Daily'!B8</f>
        <v>10</v>
      </c>
      <c r="Y5" s="4">
        <f>'Hampshire Daily'!C8</f>
        <v>10</v>
      </c>
    </row>
    <row r="6" spans="1:31" x14ac:dyDescent="0.25">
      <c r="A6" s="3" t="s">
        <v>39</v>
      </c>
      <c r="B6" s="1">
        <f t="shared" si="0"/>
        <v>5</v>
      </c>
      <c r="C6" s="23">
        <v>5</v>
      </c>
      <c r="D6" s="1">
        <v>2020</v>
      </c>
      <c r="E6" s="4">
        <f>IF(('Hampshire Daily'!D9-'Hampshire Daily'!D8&lt;0), "0",('Hampshire Daily'!D9-'Hampshire Daily'!D8)*10)</f>
        <v>1750</v>
      </c>
      <c r="F6" s="4">
        <f>IF(('Hampshire Daily'!F9-'Hampshire Daily'!F8&lt;0), "0",('Hampshire Daily'!F9-'Hampshire Daily'!F8)*10)</f>
        <v>2250</v>
      </c>
      <c r="G6" s="4">
        <f>IF(('Hampshire Daily'!H9-'Hampshire Daily'!H8&lt;0), "0",'Hampshire Daily'!H9-'Hampshire Daily'!H8)</f>
        <v>400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89</v>
      </c>
      <c r="L6" s="4">
        <f>IF(('Hampshire Daily'!M9-'Hampshire Daily'!M8&lt;0), "0",'Hampshire Daily'!M9-'Hampshire Daily'!M8)</f>
        <v>321</v>
      </c>
      <c r="M6" s="4">
        <f>IF(('Hampshire Daily'!N9-'Hampshire Daily'!N8&lt;0), "0",'Hampshire Daily'!N9-'Hampshire Daily'!N8)</f>
        <v>885</v>
      </c>
      <c r="N6" s="4">
        <f>IF(('Hampshire Daily'!O9-'Hampshire Daily'!O8&lt;0), "0",'Hampshire Daily'!O9-'Hampshire Daily'!O8)</f>
        <v>73</v>
      </c>
      <c r="O6" s="4">
        <f>IF(('Hampshire Daily'!P9-'Hampshire Daily'!P8&lt;0), "0",'Hampshire Daily'!P9-'Hampshire Daily'!P8)</f>
        <v>0</v>
      </c>
      <c r="P6" s="4">
        <f>IF(('Hampshire Daily'!Q9-'Hampshire Daily'!Q8&lt;0), "0",'Hampshire Daily'!Q9-'Hampshire Daily'!Q8)</f>
        <v>0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2</v>
      </c>
      <c r="S6" s="4">
        <f>IF(('Hampshire Daily'!V9-'Hampshire Daily'!V8&lt;0), "0",'Hampshire Daily'!V9-'Hampshire Daily'!V8)</f>
        <v>2</v>
      </c>
      <c r="T6" s="4">
        <f>IF(('Hampshire Daily'!X9-'Hampshire Daily'!X8&lt;0), "0",'Hampshire Daily'!X9-'Hampshire Daily'!X8)</f>
        <v>0.23599999999999</v>
      </c>
      <c r="U6" s="4">
        <f>IF(('Hampshire Daily'!Y9-'Hampshire Daily'!Y8&lt;0), "0",'Hampshire Daily'!Y9-'Hampshire Daily'!Y8)</f>
        <v>0.46400000000005548</v>
      </c>
      <c r="V6" s="4">
        <f>IF(('Hampshire Daily'!Z9-'Hampshire Daily'!Z8&lt;0), "0",'Hampshire Daily'!Z9-'Hampshire Daily'!Z8)</f>
        <v>0</v>
      </c>
      <c r="W6" s="4">
        <v>0</v>
      </c>
      <c r="X6" s="4">
        <f>'Hampshire Daily'!B9</f>
        <v>10</v>
      </c>
      <c r="Y6" s="4">
        <f>'Hampshire Daily'!C9</f>
        <v>10</v>
      </c>
    </row>
    <row r="7" spans="1:31" x14ac:dyDescent="0.25">
      <c r="A7" s="3" t="s">
        <v>39</v>
      </c>
      <c r="B7" s="1">
        <f t="shared" si="0"/>
        <v>6</v>
      </c>
      <c r="C7" s="23">
        <v>5</v>
      </c>
      <c r="D7" s="1">
        <v>2020</v>
      </c>
      <c r="E7" s="4">
        <f>IF(('Hampshire Daily'!D10-'Hampshire Daily'!D9&lt;0), "0",('Hampshire Daily'!D10-'Hampshire Daily'!D9)*10)</f>
        <v>1770</v>
      </c>
      <c r="F7" s="4">
        <f>IF(('Hampshire Daily'!F10-'Hampshire Daily'!F9&lt;0), "0",('Hampshire Daily'!F10-'Hampshire Daily'!F9)*10)</f>
        <v>2280</v>
      </c>
      <c r="G7" s="4">
        <f>IF(('Hampshire Daily'!H10-'Hampshire Daily'!H9&lt;0), "0",'Hampshire Daily'!H10-'Hampshire Daily'!H9)</f>
        <v>397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89</v>
      </c>
      <c r="L7" s="4">
        <f>IF(('Hampshire Daily'!M10-'Hampshire Daily'!M9&lt;0), "0",'Hampshire Daily'!M10-'Hampshire Daily'!M9)</f>
        <v>321</v>
      </c>
      <c r="M7" s="4">
        <f>IF(('Hampshire Daily'!N10-'Hampshire Daily'!N9&lt;0), "0",'Hampshire Daily'!N10-'Hampshire Daily'!N9)</f>
        <v>965</v>
      </c>
      <c r="N7" s="4">
        <f>IF(('Hampshire Daily'!O10-'Hampshire Daily'!O9&lt;0), "0",'Hampshire Daily'!O10-'Hampshire Daily'!O9)</f>
        <v>29</v>
      </c>
      <c r="O7" s="4">
        <f>IF(('Hampshire Daily'!P10-'Hampshire Daily'!P9&lt;0), "0",'Hampshire Daily'!P10-'Hampshire Daily'!P9)</f>
        <v>0</v>
      </c>
      <c r="P7" s="4">
        <f>IF(('Hampshire Daily'!Q10-'Hampshire Daily'!Q9&lt;0), "0",'Hampshire Daily'!Q10-'Hampshire Daily'!Q9)</f>
        <v>0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3</v>
      </c>
      <c r="S7" s="4">
        <f>IF(('Hampshire Daily'!V10-'Hampshire Daily'!V9&lt;0), "0",'Hampshire Daily'!V10-'Hampshire Daily'!V9)</f>
        <v>1</v>
      </c>
      <c r="T7" s="4">
        <f>IF(('Hampshire Daily'!X10-'Hampshire Daily'!X9&lt;0), "0",'Hampshire Daily'!X10-'Hampshire Daily'!X9)</f>
        <v>0.23599999999999</v>
      </c>
      <c r="U7" s="4">
        <f>IF(('Hampshire Daily'!Y10-'Hampshire Daily'!Y9&lt;0), "0",'Hampshire Daily'!Y10-'Hampshire Daily'!Y9)</f>
        <v>0.43899999999996453</v>
      </c>
      <c r="V7" s="4">
        <f>IF(('Hampshire Daily'!Z10-'Hampshire Daily'!Z9&lt;0), "0",'Hampshire Daily'!Z10-'Hampshire Daily'!Z9)</f>
        <v>0</v>
      </c>
      <c r="W7" s="4">
        <v>0</v>
      </c>
      <c r="X7" s="4">
        <f>'Hampshire Daily'!B10</f>
        <v>10</v>
      </c>
      <c r="Y7" s="4">
        <f>'Hampshire Daily'!C10</f>
        <v>10</v>
      </c>
    </row>
    <row r="8" spans="1:31" x14ac:dyDescent="0.25">
      <c r="A8" s="3" t="s">
        <v>39</v>
      </c>
      <c r="B8" s="1">
        <f t="shared" si="0"/>
        <v>7</v>
      </c>
      <c r="C8" s="23">
        <v>5</v>
      </c>
      <c r="D8" s="1">
        <v>2020</v>
      </c>
      <c r="E8" s="4">
        <f>IF(('Hampshire Daily'!D11-'Hampshire Daily'!D10&lt;0), "0",('Hampshire Daily'!D11-'Hampshire Daily'!D10)*10)</f>
        <v>1630</v>
      </c>
      <c r="F8" s="4">
        <f>IF(('Hampshire Daily'!F11-'Hampshire Daily'!F10&lt;0), "0",('Hampshire Daily'!F11-'Hampshire Daily'!F10)*10)</f>
        <v>1880</v>
      </c>
      <c r="G8" s="4">
        <f>IF(('Hampshire Daily'!H11-'Hampshire Daily'!H10&lt;0), "0",'Hampshire Daily'!H11-'Hampshire Daily'!H10)</f>
        <v>377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163</v>
      </c>
      <c r="L8" s="4">
        <f>IF(('Hampshire Daily'!M11-'Hampshire Daily'!M10&lt;0), "0",'Hampshire Daily'!M11-'Hampshire Daily'!M10)</f>
        <v>321</v>
      </c>
      <c r="M8" s="25">
        <f>IF(('Hampshire Daily'!N11-'Hampshire Daily'!N10&lt;0), "0",'Hampshire Daily'!N11-'Hampshire Daily'!N10)</f>
        <v>772</v>
      </c>
      <c r="N8" s="4">
        <f>IF(('Hampshire Daily'!O11-'Hampshire Daily'!O10&lt;0), "0",'Hampshire Daily'!O11-'Hampshire Daily'!O10)</f>
        <v>20</v>
      </c>
      <c r="O8" s="4">
        <f>IF(('Hampshire Daily'!P11-'Hampshire Daily'!P10&lt;0), "0",'Hampshire Daily'!P11-'Hampshire Daily'!P10)</f>
        <v>0</v>
      </c>
      <c r="P8" s="4">
        <f>IF(('Hampshire Daily'!Q11-'Hampshire Daily'!Q10&lt;0), "0",'Hampshire Daily'!Q11-'Hampshire Daily'!Q10)</f>
        <v>0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0</v>
      </c>
      <c r="S8" s="4">
        <f>IF(('Hampshire Daily'!V11-'Hampshire Daily'!V10&lt;0), "0",'Hampshire Daily'!V11-'Hampshire Daily'!V10)</f>
        <v>0</v>
      </c>
      <c r="T8" s="4">
        <f>IF(('Hampshire Daily'!X11-'Hampshire Daily'!X10&lt;0), "0",'Hampshire Daily'!X11-'Hampshire Daily'!X10)</f>
        <v>0.20199999999999818</v>
      </c>
      <c r="U8" s="4">
        <f>IF(('Hampshire Daily'!Y11-'Hampshire Daily'!Y10&lt;0), "0",'Hampshire Daily'!Y11-'Hampshire Daily'!Y10)</f>
        <v>0.48400000000003729</v>
      </c>
      <c r="V8" s="4">
        <f>IF(('Hampshire Daily'!Z11-'Hampshire Daily'!Z10&lt;0), "0",'Hampshire Daily'!Z11-'Hampshire Daily'!Z10)</f>
        <v>0</v>
      </c>
      <c r="W8" s="4">
        <v>0</v>
      </c>
      <c r="X8" s="4">
        <f>'Hampshire Daily'!B11</f>
        <v>10</v>
      </c>
      <c r="Y8" s="4">
        <f>'Hampshire Daily'!C11</f>
        <v>10</v>
      </c>
    </row>
    <row r="9" spans="1:31" x14ac:dyDescent="0.25">
      <c r="A9" s="3" t="s">
        <v>39</v>
      </c>
      <c r="B9" s="1">
        <f t="shared" si="0"/>
        <v>8</v>
      </c>
      <c r="C9" s="23">
        <v>5</v>
      </c>
      <c r="D9" s="1">
        <v>2020</v>
      </c>
      <c r="E9" s="4">
        <f>IF(('Hampshire Daily'!D12-'Hampshire Daily'!D11&lt;0), "0",('Hampshire Daily'!D12-'Hampshire Daily'!D11)*10)</f>
        <v>1670</v>
      </c>
      <c r="F9" s="4">
        <f>IF(('Hampshire Daily'!F12-'Hampshire Daily'!F11&lt;0), "0",('Hampshire Daily'!F12-'Hampshire Daily'!F11)*10)</f>
        <v>1890</v>
      </c>
      <c r="G9" s="4">
        <f>IF(('Hampshire Daily'!H12-'Hampshire Daily'!H11&lt;0), "0",'Hampshire Daily'!H12-'Hampshire Daily'!H11)</f>
        <v>298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25">
        <f>IF(('Hampshire Daily'!L12-'Hampshire Daily'!L11&lt;0), "0",'Hampshire Daily'!L12-'Hampshire Daily'!L11)</f>
        <v>89</v>
      </c>
      <c r="L9" s="4">
        <f>IF(('Hampshire Daily'!M12-'Hampshire Daily'!M11&lt;0), "0",'Hampshire Daily'!M12-'Hampshire Daily'!M11)</f>
        <v>311</v>
      </c>
      <c r="M9" s="4">
        <f>IF(('Hampshire Daily'!N12-'Hampshire Daily'!N11&lt;0), "0",'Hampshire Daily'!N12-'Hampshire Daily'!N11)</f>
        <v>672</v>
      </c>
      <c r="N9" s="4">
        <f>IF(('Hampshire Daily'!O12-'Hampshire Daily'!O11&lt;0), "0",'Hampshire Daily'!O12-'Hampshire Daily'!O11)</f>
        <v>55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0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1</v>
      </c>
      <c r="S9" s="4">
        <f>IF(('Hampshire Daily'!V12-'Hampshire Daily'!V11&lt;0), "0",'Hampshire Daily'!V12-'Hampshire Daily'!V11)</f>
        <v>0</v>
      </c>
      <c r="T9" s="4">
        <f>IF(('Hampshire Daily'!X12-'Hampshire Daily'!X11&lt;0), "0",'Hampshire Daily'!X12-'Hampshire Daily'!X11)</f>
        <v>0.24099999999998545</v>
      </c>
      <c r="U9" s="4">
        <f>IF(('Hampshire Daily'!Y12-'Hampshire Daily'!Y11&lt;0), "0",'Hampshire Daily'!Y12-'Hampshire Daily'!Y11)</f>
        <v>0.34399999999993724</v>
      </c>
      <c r="V9" s="4">
        <f>IF(('Hampshire Daily'!Z12-'Hampshire Daily'!Z11&lt;0), "0",'Hampshire Daily'!Z12-'Hampshire Daily'!Z11)</f>
        <v>0</v>
      </c>
      <c r="W9" s="4">
        <v>0</v>
      </c>
      <c r="X9" s="4">
        <f>'Hampshire Daily'!B12</f>
        <v>10</v>
      </c>
      <c r="Y9" s="4">
        <f>'Hampshire Daily'!C12</f>
        <v>10</v>
      </c>
    </row>
    <row r="10" spans="1:31" x14ac:dyDescent="0.25">
      <c r="A10" s="3" t="s">
        <v>39</v>
      </c>
      <c r="B10" s="1">
        <f t="shared" si="0"/>
        <v>9</v>
      </c>
      <c r="C10" s="23">
        <v>5</v>
      </c>
      <c r="D10" s="1">
        <v>2020</v>
      </c>
      <c r="E10" s="4">
        <f>IF(('Hampshire Daily'!D13-'Hampshire Daily'!D12&lt;0), "0",('Hampshire Daily'!D13-'Hampshire Daily'!D12)*10)</f>
        <v>1640</v>
      </c>
      <c r="F10" s="4">
        <f>IF(('Hampshire Daily'!F13-'Hampshire Daily'!F12&lt;0), "0",('Hampshire Daily'!F13-'Hampshire Daily'!F12)*10)</f>
        <v>2010</v>
      </c>
      <c r="G10" s="4">
        <f>IF(('Hampshire Daily'!H13-'Hampshire Daily'!H12&lt;0), "0",'Hampshire Daily'!H13-'Hampshire Daily'!H12)</f>
        <v>311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89</v>
      </c>
      <c r="L10" s="4">
        <f>IF(('Hampshire Daily'!M13-'Hampshire Daily'!M12&lt;0), "0",'Hampshire Daily'!M13-'Hampshire Daily'!M12)</f>
        <v>313</v>
      </c>
      <c r="M10" s="4">
        <f>IF(('Hampshire Daily'!N13-'Hampshire Daily'!N12&lt;0), "0",'Hampshire Daily'!N13-'Hampshire Daily'!N12)</f>
        <v>568</v>
      </c>
      <c r="N10" s="4">
        <f>IF(('Hampshire Daily'!O13-'Hampshire Daily'!O12&lt;0), "0",'Hampshire Daily'!O13-'Hampshire Daily'!O12)</f>
        <v>25</v>
      </c>
      <c r="O10" s="4">
        <f>IF(('Hampshire Daily'!P13-'Hampshire Daily'!P12&lt;0), "0",'Hampshire Daily'!P13-'Hampshire Daily'!P12)</f>
        <v>0</v>
      </c>
      <c r="P10" s="4">
        <f>IF(('Hampshire Daily'!Q13-'Hampshire Daily'!Q12&lt;0), "0",'Hampshire Daily'!Q13-'Hampshire Daily'!Q12)</f>
        <v>0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0</v>
      </c>
      <c r="S10" s="4">
        <f>IF(('Hampshire Daily'!V13-'Hampshire Daily'!V12&lt;0), "0",'Hampshire Daily'!V13-'Hampshire Daily'!V12)</f>
        <v>0</v>
      </c>
      <c r="T10" s="4">
        <f>IF(('Hampshire Daily'!X13-'Hampshire Daily'!X12&lt;0), "0",'Hampshire Daily'!X13-'Hampshire Daily'!X12)</f>
        <v>0.27699999999998681</v>
      </c>
      <c r="U10" s="4">
        <f>IF(('Hampshire Daily'!Y13-'Hampshire Daily'!Y12&lt;0), "0",'Hampshire Daily'!Y13-'Hampshire Daily'!Y12)</f>
        <v>0.33699999999998909</v>
      </c>
      <c r="V10" s="4">
        <f>IF(('Hampshire Daily'!Z13-'Hampshire Daily'!Z12&lt;0), "0",'Hampshire Daily'!Z13-'Hampshire Daily'!Z12)</f>
        <v>0</v>
      </c>
      <c r="W10" s="4">
        <v>0</v>
      </c>
      <c r="X10" s="4">
        <f>'Hampshire Daily'!B13</f>
        <v>10</v>
      </c>
      <c r="Y10" s="4">
        <f>'Hampshire Daily'!C13</f>
        <v>10</v>
      </c>
    </row>
    <row r="11" spans="1:31" x14ac:dyDescent="0.25">
      <c r="A11" s="3" t="s">
        <v>39</v>
      </c>
      <c r="B11" s="1">
        <f t="shared" si="0"/>
        <v>10</v>
      </c>
      <c r="C11" s="23">
        <v>5</v>
      </c>
      <c r="D11" s="1">
        <v>2020</v>
      </c>
      <c r="E11" s="4">
        <f>IF(('Hampshire Daily'!D14-'Hampshire Daily'!D13&lt;0), "0",('Hampshire Daily'!D14-'Hampshire Daily'!D13)*10)</f>
        <v>2040</v>
      </c>
      <c r="F11" s="4">
        <f>IF(('Hampshire Daily'!F14-'Hampshire Daily'!F13&lt;0), "0",('Hampshire Daily'!F14-'Hampshire Daily'!F13)*10)</f>
        <v>2120</v>
      </c>
      <c r="G11" s="4">
        <f>IF(('Hampshire Daily'!H14-'Hampshire Daily'!H13&lt;0), "0",'Hampshire Daily'!H14-'Hampshire Daily'!H13)</f>
        <v>287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89</v>
      </c>
      <c r="L11" s="4">
        <f>IF(('Hampshire Daily'!M14-'Hampshire Daily'!M13&lt;0), "0",'Hampshire Daily'!M14-'Hampshire Daily'!M13)</f>
        <v>314</v>
      </c>
      <c r="M11" s="4">
        <f>IF(('Hampshire Daily'!N14-'Hampshire Daily'!N13&lt;0), "0",'Hampshire Daily'!N14-'Hampshire Daily'!N13)</f>
        <v>548</v>
      </c>
      <c r="N11" s="4">
        <f>IF(('Hampshire Daily'!O14-'Hampshire Daily'!O13&lt;0), "0",'Hampshire Daily'!O14-'Hampshire Daily'!O13)</f>
        <v>36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109</v>
      </c>
      <c r="Q11" s="4">
        <f>IF(('Hampshire Daily'!R14-'Hampshire Daily'!R13&lt;0), "0",'Hampshire Daily'!R14-'Hampshire Daily'!R13)</f>
        <v>1</v>
      </c>
      <c r="R11" s="4">
        <f>IF(('Hampshire Daily'!U14-'Hampshire Daily'!U13&lt;0), "0",'Hampshire Daily'!U14-'Hampshire Daily'!U13)</f>
        <v>0</v>
      </c>
      <c r="S11" s="4">
        <f>IF(('Hampshire Daily'!V14-'Hampshire Daily'!V13&lt;0), "0",'Hampshire Daily'!V14-'Hampshire Daily'!V13)</f>
        <v>0</v>
      </c>
      <c r="T11" s="4">
        <f>IF(('Hampshire Daily'!X14-'Hampshire Daily'!X13&lt;0), "0",'Hampshire Daily'!X14-'Hampshire Daily'!X13)</f>
        <v>0.2550000000000523</v>
      </c>
      <c r="U11" s="4">
        <f>IF(('Hampshire Daily'!Y14-'Hampshire Daily'!Y13&lt;0), "0",'Hampshire Daily'!Y14-'Hampshire Daily'!Y13)</f>
        <v>0.30500000000006366</v>
      </c>
      <c r="V11" s="4">
        <f>IF(('Hampshire Daily'!Z14-'Hampshire Daily'!Z13&lt;0), "0",'Hampshire Daily'!Z14-'Hampshire Daily'!Z13)</f>
        <v>0</v>
      </c>
      <c r="W11" s="4">
        <v>0</v>
      </c>
      <c r="X11" s="4">
        <f>'Hampshire Daily'!B14</f>
        <v>10</v>
      </c>
      <c r="Y11" s="4">
        <f>'Hampshire Daily'!C14</f>
        <v>10</v>
      </c>
    </row>
    <row r="12" spans="1:31" x14ac:dyDescent="0.25">
      <c r="A12" s="3" t="s">
        <v>39</v>
      </c>
      <c r="B12" s="1">
        <f t="shared" si="0"/>
        <v>11</v>
      </c>
      <c r="C12" s="23">
        <v>5</v>
      </c>
      <c r="D12" s="1">
        <v>2020</v>
      </c>
      <c r="E12" s="4">
        <f>IF(('Hampshire Daily'!D15-'Hampshire Daily'!D14&lt;0), "0",('Hampshire Daily'!D15-'Hampshire Daily'!D14)*10)</f>
        <v>1870</v>
      </c>
      <c r="F12" s="4">
        <f>IF(('Hampshire Daily'!F15-'Hampshire Daily'!F14&lt;0), "0",('Hampshire Daily'!F15-'Hampshire Daily'!F14)*10)</f>
        <v>2330</v>
      </c>
      <c r="G12" s="4">
        <f>IF(('Hampshire Daily'!H15-'Hampshire Daily'!H14&lt;0), "0",'Hampshire Daily'!H15-'Hampshire Daily'!H14)</f>
        <v>428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89</v>
      </c>
      <c r="L12" s="4">
        <f>IF(('Hampshire Daily'!M15-'Hampshire Daily'!M14&lt;0), "0",'Hampshire Daily'!M15-'Hampshire Daily'!M14)</f>
        <v>352</v>
      </c>
      <c r="M12" s="4">
        <f>IF(('Hampshire Daily'!N15-'Hampshire Daily'!N14&lt;0), "0",'Hampshire Daily'!N15-'Hampshire Daily'!N14)</f>
        <v>1006</v>
      </c>
      <c r="N12" s="4">
        <f>IF(('Hampshire Daily'!O15-'Hampshire Daily'!O14&lt;0), "0",'Hampshire Daily'!O15-'Hampshire Daily'!O14)</f>
        <v>50</v>
      </c>
      <c r="O12" s="4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0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0</v>
      </c>
      <c r="S12" s="4">
        <f>IF(('Hampshire Daily'!V15-'Hampshire Daily'!V14&lt;0), "0",'Hampshire Daily'!V15-'Hampshire Daily'!V14)</f>
        <v>13</v>
      </c>
      <c r="T12" s="4">
        <f>IF(('Hampshire Daily'!X15-'Hampshire Daily'!X14&lt;0), "0",'Hampshire Daily'!X15-'Hampshire Daily'!X14)</f>
        <v>0.33499999999997954</v>
      </c>
      <c r="U12" s="4">
        <f>IF(('Hampshire Daily'!Y15-'Hampshire Daily'!Y14&lt;0), "0",'Hampshire Daily'!Y15-'Hampshire Daily'!Y14)</f>
        <v>1.9000000000005457E-2</v>
      </c>
      <c r="V12" s="4">
        <f>IF(('Hampshire Daily'!Z15-'Hampshire Daily'!Z14&lt;0), "0",'Hampshire Daily'!Z15-'Hampshire Daily'!Z14)</f>
        <v>0</v>
      </c>
      <c r="W12" s="4">
        <v>0</v>
      </c>
      <c r="X12" s="4">
        <f>'Hampshire Daily'!B15</f>
        <v>10</v>
      </c>
      <c r="Y12" s="4">
        <f>'Hampshire Daily'!C15</f>
        <v>10</v>
      </c>
    </row>
    <row r="13" spans="1:31" x14ac:dyDescent="0.25">
      <c r="A13" s="3" t="s">
        <v>39</v>
      </c>
      <c r="B13" s="1">
        <f t="shared" si="0"/>
        <v>12</v>
      </c>
      <c r="C13" s="23">
        <v>5</v>
      </c>
      <c r="D13" s="1">
        <v>2020</v>
      </c>
      <c r="E13" s="4">
        <f>IF(('Hampshire Daily'!D16-'Hampshire Daily'!D15&lt;0), "0",('Hampshire Daily'!D16-'Hampshire Daily'!D15)*10)</f>
        <v>1630</v>
      </c>
      <c r="F13" s="4">
        <f>IF(('Hampshire Daily'!F16-'Hampshire Daily'!F15&lt;0), "0",('Hampshire Daily'!F16-'Hampshire Daily'!F15)*10)</f>
        <v>2080</v>
      </c>
      <c r="G13" s="4">
        <f>IF(('Hampshire Daily'!H16-'Hampshire Daily'!H15&lt;0), "0",'Hampshire Daily'!H16-'Hampshire Daily'!H15)</f>
        <v>389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89</v>
      </c>
      <c r="L13" s="4">
        <f>IF(('Hampshire Daily'!M16-'Hampshire Daily'!M15&lt;0), "0",'Hampshire Daily'!M16-'Hampshire Daily'!M15)</f>
        <v>315</v>
      </c>
      <c r="M13" s="4">
        <f>IF(('Hampshire Daily'!N16-'Hampshire Daily'!N15&lt;0), "0",'Hampshire Daily'!N16-'Hampshire Daily'!N15)</f>
        <v>1008</v>
      </c>
      <c r="N13" s="4">
        <f>IF(('Hampshire Daily'!O16-'Hampshire Daily'!O15&lt;0), "0",'Hampshire Daily'!O16-'Hampshire Daily'!O15)</f>
        <v>33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0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0</v>
      </c>
      <c r="S13" s="4">
        <f>IF(('Hampshire Daily'!V16-'Hampshire Daily'!V15&lt;0), "0",'Hampshire Daily'!V16-'Hampshire Daily'!V15)</f>
        <v>0</v>
      </c>
      <c r="T13" s="4">
        <f>IF(('Hampshire Daily'!X16-'Hampshire Daily'!X15&lt;0), "0",'Hampshire Daily'!X16-'Hampshire Daily'!X15)</f>
        <v>0.257000000000005</v>
      </c>
      <c r="U13" s="4">
        <f>IF(('Hampshire Daily'!Y16-'Hampshire Daily'!Y15&lt;0), "0",'Hampshire Daily'!Y16-'Hampshire Daily'!Y15)</f>
        <v>6.100000000003547E-2</v>
      </c>
      <c r="V13" s="4">
        <f>IF(('Hampshire Daily'!Z16-'Hampshire Daily'!Z15&lt;0), "0",'Hampshire Daily'!Z16-'Hampshire Daily'!Z15)</f>
        <v>0</v>
      </c>
      <c r="W13" s="4">
        <v>0</v>
      </c>
      <c r="X13" s="4">
        <f>'Hampshire Daily'!B16</f>
        <v>10</v>
      </c>
      <c r="Y13" s="4">
        <f>'Hampshire Daily'!C16</f>
        <v>10</v>
      </c>
    </row>
    <row r="14" spans="1:31" x14ac:dyDescent="0.25">
      <c r="A14" s="3" t="s">
        <v>39</v>
      </c>
      <c r="B14" s="1">
        <f t="shared" si="0"/>
        <v>13</v>
      </c>
      <c r="C14" s="23">
        <v>5</v>
      </c>
      <c r="D14" s="1">
        <v>2020</v>
      </c>
      <c r="E14" s="4">
        <f>IF(('Hampshire Daily'!D17-'Hampshire Daily'!D16&lt;0), "0",('Hampshire Daily'!D17-'Hampshire Daily'!D16)*10)</f>
        <v>1640</v>
      </c>
      <c r="F14" s="4">
        <f>IF(('Hampshire Daily'!F17-'Hampshire Daily'!F16&lt;0), "0",('Hampshire Daily'!F17-'Hampshire Daily'!F16)*10)</f>
        <v>1850</v>
      </c>
      <c r="G14" s="4">
        <f>IF(('Hampshire Daily'!H17-'Hampshire Daily'!H16&lt;0), "0",'Hampshire Daily'!H17-'Hampshire Daily'!H16)</f>
        <v>341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89</v>
      </c>
      <c r="L14" s="4">
        <f>IF(('Hampshire Daily'!M17-'Hampshire Daily'!M16&lt;0), "0",'Hampshire Daily'!M17-'Hampshire Daily'!M16)</f>
        <v>315</v>
      </c>
      <c r="M14" s="4">
        <f>IF(('Hampshire Daily'!N17-'Hampshire Daily'!N16&lt;0), "0",'Hampshire Daily'!N17-'Hampshire Daily'!N16)</f>
        <v>794</v>
      </c>
      <c r="N14" s="4">
        <f>IF(('Hampshire Daily'!O17-'Hampshire Daily'!O16&lt;0), "0",'Hampshire Daily'!O17-'Hampshire Daily'!O16)</f>
        <v>33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0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0</v>
      </c>
      <c r="S14" s="4">
        <f>IF(('Hampshire Daily'!V17-'Hampshire Daily'!V16&lt;0), "0",'Hampshire Daily'!V17-'Hampshire Daily'!V16)</f>
        <v>0</v>
      </c>
      <c r="T14" s="4">
        <f>IF(('Hampshire Daily'!X17-'Hampshire Daily'!X16&lt;0), "0",'Hampshire Daily'!X17-'Hampshire Daily'!X16)</f>
        <v>0.22199999999997999</v>
      </c>
      <c r="U14" s="4">
        <f>IF(('Hampshire Daily'!Y17-'Hampshire Daily'!Y16&lt;0), "0",'Hampshire Daily'!Y17-'Hampshire Daily'!Y16)</f>
        <v>7.6999999999998181E-2</v>
      </c>
      <c r="V14" s="4">
        <f>IF(('Hampshire Daily'!Z17-'Hampshire Daily'!Z16&lt;0), "0",'Hampshire Daily'!Z17-'Hampshire Daily'!Z16)</f>
        <v>0</v>
      </c>
      <c r="W14" s="4">
        <v>0</v>
      </c>
      <c r="X14" s="4">
        <f>'Hampshire Daily'!B17</f>
        <v>10</v>
      </c>
      <c r="Y14" s="4">
        <f>'Hampshire Daily'!C17</f>
        <v>10</v>
      </c>
    </row>
    <row r="15" spans="1:31" x14ac:dyDescent="0.25">
      <c r="A15" s="3" t="s">
        <v>39</v>
      </c>
      <c r="B15" s="1">
        <f t="shared" si="0"/>
        <v>14</v>
      </c>
      <c r="C15" s="23">
        <v>5</v>
      </c>
      <c r="D15" s="1">
        <v>2020</v>
      </c>
      <c r="E15" s="4">
        <f>IF(('Hampshire Daily'!D18-'Hampshire Daily'!D17&lt;0), "0",('Hampshire Daily'!D18-'Hampshire Daily'!D17)*10)</f>
        <v>1700</v>
      </c>
      <c r="F15" s="4">
        <f>IF(('Hampshire Daily'!F18-'Hampshire Daily'!F17&lt;0), "0",('Hampshire Daily'!F18-'Hampshire Daily'!F17)*10)</f>
        <v>2070</v>
      </c>
      <c r="G15" s="4">
        <f>IF(('Hampshire Daily'!H18-'Hampshire Daily'!H17&lt;0), "0",'Hampshire Daily'!H18-'Hampshire Daily'!H17)</f>
        <v>404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89</v>
      </c>
      <c r="L15" s="4">
        <f>IF(('Hampshire Daily'!M18-'Hampshire Daily'!M17&lt;0), "0",'Hampshire Daily'!M18-'Hampshire Daily'!M17)</f>
        <v>327</v>
      </c>
      <c r="M15" s="4">
        <f>IF(('Hampshire Daily'!N18-'Hampshire Daily'!N17&lt;0), "0",'Hampshire Daily'!N18-'Hampshire Daily'!N17)</f>
        <v>820</v>
      </c>
      <c r="N15" s="4">
        <f>IF(('Hampshire Daily'!O18-'Hampshire Daily'!O17&lt;0), "0",'Hampshire Daily'!O18-'Hampshire Daily'!O17)</f>
        <v>48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0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0</v>
      </c>
      <c r="S15" s="4">
        <f>IF(('Hampshire Daily'!V18-'Hampshire Daily'!V17&lt;0), "0",'Hampshire Daily'!V18-'Hampshire Daily'!V17)</f>
        <v>0</v>
      </c>
      <c r="T15" s="4">
        <f>IF(('Hampshire Daily'!X18-'Hampshire Daily'!X17&lt;0), "0",'Hampshire Daily'!X18-'Hampshire Daily'!X17)</f>
        <v>0.28000000000002956</v>
      </c>
      <c r="U15" s="4">
        <f>IF(('Hampshire Daily'!Y18-'Hampshire Daily'!Y17&lt;0), "0",'Hampshire Daily'!Y18-'Hampshire Daily'!Y17)</f>
        <v>0.1049999999999045</v>
      </c>
      <c r="V15" s="4">
        <f>IF(('Hampshire Daily'!Z18-'Hampshire Daily'!Z17&lt;0), "0",'Hampshire Daily'!Z18-'Hampshire Daily'!Z17)</f>
        <v>0</v>
      </c>
      <c r="W15" s="4">
        <v>0</v>
      </c>
      <c r="X15" s="4">
        <f>'Hampshire Daily'!B18</f>
        <v>10</v>
      </c>
      <c r="Y15" s="4">
        <f>'Hampshire Daily'!C18</f>
        <v>10</v>
      </c>
    </row>
    <row r="16" spans="1:31" x14ac:dyDescent="0.25">
      <c r="A16" s="3" t="s">
        <v>39</v>
      </c>
      <c r="B16" s="1">
        <f t="shared" si="0"/>
        <v>15</v>
      </c>
      <c r="C16" s="23">
        <v>5</v>
      </c>
      <c r="D16" s="1">
        <v>2020</v>
      </c>
      <c r="E16" s="4">
        <f>IF(('Hampshire Daily'!D19-'Hampshire Daily'!D18&lt;0), "0",('Hampshire Daily'!D19-'Hampshire Daily'!D18)*10)</f>
        <v>1830</v>
      </c>
      <c r="F16" s="4">
        <f>IF(('Hampshire Daily'!F19-'Hampshire Daily'!F18&lt;0), "0",('Hampshire Daily'!F19-'Hampshire Daily'!F18)*10)</f>
        <v>2010</v>
      </c>
      <c r="G16" s="4">
        <f>IF(('Hampshire Daily'!H19-'Hampshire Daily'!H18&lt;0), "0",'Hampshire Daily'!H19-'Hampshire Daily'!H18)</f>
        <v>430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89</v>
      </c>
      <c r="L16" s="4">
        <f>IF(('Hampshire Daily'!M19-'Hampshire Daily'!M18&lt;0), "0",'Hampshire Daily'!M19-'Hampshire Daily'!M18)</f>
        <v>321</v>
      </c>
      <c r="M16" s="4">
        <f>IF(('Hampshire Daily'!N19-'Hampshire Daily'!N18&lt;0), "0",'Hampshire Daily'!N19-'Hampshire Daily'!N18)</f>
        <v>854</v>
      </c>
      <c r="N16" s="4">
        <f>IF(('Hampshire Daily'!O19-'Hampshire Daily'!O18&lt;0), "0",'Hampshire Daily'!O19-'Hampshire Daily'!O18)</f>
        <v>32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45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1</v>
      </c>
      <c r="S16" s="4">
        <f>IF(('Hampshire Daily'!V19-'Hampshire Daily'!V18&lt;0), "0",'Hampshire Daily'!V19-'Hampshire Daily'!V18)</f>
        <v>0</v>
      </c>
      <c r="T16" s="4">
        <f>IF(('Hampshire Daily'!X19-'Hampshire Daily'!X18&lt;0), "0",'Hampshire Daily'!X19-'Hampshire Daily'!X18)</f>
        <v>0.35800000000000409</v>
      </c>
      <c r="U16" s="4">
        <f>IF(('Hampshire Daily'!Y19-'Hampshire Daily'!Y18&lt;0), "0",'Hampshire Daily'!Y19-'Hampshire Daily'!Y18)</f>
        <v>0.12600000000009004</v>
      </c>
      <c r="V16" s="4">
        <f>IF(('Hampshire Daily'!Z19-'Hampshire Daily'!Z18&lt;0), "0",'Hampshire Daily'!Z19-'Hampshire Daily'!Z18)</f>
        <v>0</v>
      </c>
      <c r="W16" s="4">
        <v>0</v>
      </c>
      <c r="X16" s="4">
        <f>'Hampshire Daily'!B19</f>
        <v>10</v>
      </c>
      <c r="Y16" s="4">
        <f>'Hampshire Daily'!C19</f>
        <v>10</v>
      </c>
    </row>
    <row r="17" spans="1:25" x14ac:dyDescent="0.25">
      <c r="A17" s="3" t="s">
        <v>39</v>
      </c>
      <c r="B17" s="1">
        <f t="shared" si="0"/>
        <v>16</v>
      </c>
      <c r="C17" s="23">
        <v>5</v>
      </c>
      <c r="D17" s="1">
        <v>2020</v>
      </c>
      <c r="E17" s="4">
        <f>IF(('Hampshire Daily'!D20-'Hampshire Daily'!D19&lt;0), "0",('Hampshire Daily'!D20-'Hampshire Daily'!D19)*10)</f>
        <v>2010</v>
      </c>
      <c r="F17" s="4">
        <f>IF(('Hampshire Daily'!F20-'Hampshire Daily'!F19&lt;0), "0",('Hampshire Daily'!F20-'Hampshire Daily'!F19)*10)</f>
        <v>2200</v>
      </c>
      <c r="G17" s="4">
        <f>IF(('Hampshire Daily'!H20-'Hampshire Daily'!H19&lt;0), "0",'Hampshire Daily'!H20-'Hampshire Daily'!H19)</f>
        <v>426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89</v>
      </c>
      <c r="L17" s="4">
        <f>IF(('Hampshire Daily'!M20-'Hampshire Daily'!M19&lt;0), "0",'Hampshire Daily'!M20-'Hampshire Daily'!M19)</f>
        <v>321</v>
      </c>
      <c r="M17" s="4">
        <f>IF(('Hampshire Daily'!N20-'Hampshire Daily'!N19&lt;0), "0",'Hampshire Daily'!N20-'Hampshire Daily'!N19)</f>
        <v>806</v>
      </c>
      <c r="N17" s="4">
        <f>IF(('Hampshire Daily'!O20-'Hampshire Daily'!O19&lt;0), "0",'Hampshire Daily'!O20-'Hampshire Daily'!O19)</f>
        <v>43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117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0</v>
      </c>
      <c r="S17" s="4">
        <f>IF(('Hampshire Daily'!V20-'Hampshire Daily'!V19&lt;0), "0",'Hampshire Daily'!V20-'Hampshire Daily'!V19)</f>
        <v>0</v>
      </c>
      <c r="T17" s="4">
        <f>IF(('Hampshire Daily'!X20-'Hampshire Daily'!X19&lt;0), "0",'Hampshire Daily'!X20-'Hampshire Daily'!X19)</f>
        <v>0.41599999999999682</v>
      </c>
      <c r="U17" s="4">
        <f>IF(('Hampshire Daily'!Y20-'Hampshire Daily'!Y19&lt;0), "0",'Hampshire Daily'!Y20-'Hampshire Daily'!Y19)</f>
        <v>3.6999999999920874E-2</v>
      </c>
      <c r="V17" s="4">
        <f>IF(('Hampshire Daily'!Z20-'Hampshire Daily'!Z19&lt;0), "0",'Hampshire Daily'!Z20-'Hampshire Daily'!Z19)</f>
        <v>0</v>
      </c>
      <c r="W17" s="4">
        <v>0</v>
      </c>
      <c r="X17" s="4">
        <f>'Hampshire Daily'!B20</f>
        <v>10</v>
      </c>
      <c r="Y17" s="4">
        <f>'Hampshire Daily'!C20</f>
        <v>10</v>
      </c>
    </row>
    <row r="18" spans="1:25" x14ac:dyDescent="0.25">
      <c r="A18" s="3" t="s">
        <v>39</v>
      </c>
      <c r="B18" s="1">
        <f t="shared" si="0"/>
        <v>17</v>
      </c>
      <c r="C18" s="23">
        <v>5</v>
      </c>
      <c r="D18" s="1">
        <v>2020</v>
      </c>
      <c r="E18" s="4">
        <f>IF(('Hampshire Daily'!D21-'Hampshire Daily'!D20&lt;0), "0",('Hampshire Daily'!D21-'Hampshire Daily'!D20)*10)</f>
        <v>1520</v>
      </c>
      <c r="F18" s="4">
        <f>IF(('Hampshire Daily'!F21-'Hampshire Daily'!F20&lt;0), "0",('Hampshire Daily'!F21-'Hampshire Daily'!F20)*10)</f>
        <v>1650</v>
      </c>
      <c r="G18" s="4">
        <f>IF(('Hampshire Daily'!H21-'Hampshire Daily'!H20&lt;0), "0",'Hampshire Daily'!H21-'Hampshire Daily'!H20)</f>
        <v>361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82</v>
      </c>
      <c r="L18" s="4">
        <f>IF(('Hampshire Daily'!M21-'Hampshire Daily'!M20&lt;0), "0",'Hampshire Daily'!M21-'Hampshire Daily'!M20)</f>
        <v>372</v>
      </c>
      <c r="M18" s="4">
        <f>IF(('Hampshire Daily'!N21-'Hampshire Daily'!N20&lt;0), "0",'Hampshire Daily'!N21-'Hampshire Daily'!N20)</f>
        <v>619</v>
      </c>
      <c r="N18" s="4">
        <f>IF(('Hampshire Daily'!O21-'Hampshire Daily'!O20&lt;0), "0",'Hampshire Daily'!O21-'Hampshire Daily'!O20)</f>
        <v>20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0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0</v>
      </c>
      <c r="S18" s="4">
        <f>IF(('Hampshire Daily'!V21-'Hampshire Daily'!V20&lt;0), "0",'Hampshire Daily'!V21-'Hampshire Daily'!V20)</f>
        <v>0</v>
      </c>
      <c r="T18" s="4">
        <f>IF(('Hampshire Daily'!X21-'Hampshire Daily'!X20&lt;0), "0",'Hampshire Daily'!X21-'Hampshire Daily'!X20)</f>
        <v>0.25799999999998136</v>
      </c>
      <c r="U18" s="4">
        <f>IF(('Hampshire Daily'!Y21-'Hampshire Daily'!Y20&lt;0), "0",'Hampshire Daily'!Y21-'Hampshire Daily'!Y20)</f>
        <v>8.0000000000381988E-3</v>
      </c>
      <c r="V18" s="4">
        <f>IF(('Hampshire Daily'!Z21-'Hampshire Daily'!Z20&lt;0), "0",'Hampshire Daily'!Z21-'Hampshire Daily'!Z20)</f>
        <v>0</v>
      </c>
      <c r="W18" s="4">
        <v>0</v>
      </c>
      <c r="X18" s="4">
        <f>'Hampshire Daily'!B21</f>
        <v>10</v>
      </c>
      <c r="Y18" s="4">
        <f>'Hampshire Daily'!C21</f>
        <v>10</v>
      </c>
    </row>
    <row r="19" spans="1:25" x14ac:dyDescent="0.25">
      <c r="A19" s="3" t="s">
        <v>39</v>
      </c>
      <c r="B19" s="1">
        <f t="shared" si="0"/>
        <v>18</v>
      </c>
      <c r="C19" s="23">
        <v>5</v>
      </c>
      <c r="D19" s="1">
        <v>2020</v>
      </c>
      <c r="E19" s="4">
        <f>IF(('Hampshire Daily'!D22-'Hampshire Daily'!D21&lt;0), "0",('Hampshire Daily'!D22-'Hampshire Daily'!D21)*10)</f>
        <v>1730</v>
      </c>
      <c r="F19" s="4">
        <f>IF(('Hampshire Daily'!F22-'Hampshire Daily'!F21&lt;0), "0",('Hampshire Daily'!F22-'Hampshire Daily'!F21)*10)</f>
        <v>1890</v>
      </c>
      <c r="G19" s="4">
        <f>IF(('Hampshire Daily'!H22-'Hampshire Daily'!H21&lt;0), "0",'Hampshire Daily'!H22-'Hampshire Daily'!H21)</f>
        <v>382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89</v>
      </c>
      <c r="L19" s="4">
        <f>IF(('Hampshire Daily'!M22-'Hampshire Daily'!M21&lt;0), "0",'Hampshire Daily'!M22-'Hampshire Daily'!M21)</f>
        <v>340</v>
      </c>
      <c r="M19" s="4">
        <f>IF(('Hampshire Daily'!N22-'Hampshire Daily'!N21&lt;0), "0",'Hampshire Daily'!N22-'Hampshire Daily'!N21)</f>
        <v>1077</v>
      </c>
      <c r="N19" s="4">
        <f>IF(('Hampshire Daily'!O22-'Hampshire Daily'!O21&lt;0), "0",'Hampshire Daily'!O22-'Hampshire Daily'!O21)</f>
        <v>41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0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0</v>
      </c>
      <c r="S19" s="4">
        <f>IF(('Hampshire Daily'!V22-'Hampshire Daily'!V21&lt;0), "0",'Hampshire Daily'!V22-'Hampshire Daily'!V21)</f>
        <v>6</v>
      </c>
      <c r="T19" s="4">
        <f>IF(('Hampshire Daily'!X22-'Hampshire Daily'!X21&lt;0), "0",'Hampshire Daily'!X22-'Hampshire Daily'!X21)</f>
        <v>0.34899999999998954</v>
      </c>
      <c r="U19" s="4">
        <f>IF(('Hampshire Daily'!Y22-'Hampshire Daily'!Y21&lt;0), "0",'Hampshire Daily'!Y22-'Hampshire Daily'!Y21)</f>
        <v>8.0000000000040927E-2</v>
      </c>
      <c r="V19" s="4">
        <f>IF(('Hampshire Daily'!Z22-'Hampshire Daily'!Z21&lt;0), "0",'Hampshire Daily'!Z22-'Hampshire Daily'!Z21)</f>
        <v>0</v>
      </c>
      <c r="W19" s="4">
        <v>0</v>
      </c>
      <c r="X19" s="4">
        <f>'Hampshire Daily'!B22</f>
        <v>10</v>
      </c>
      <c r="Y19" s="4">
        <f>'Hampshire Daily'!C22</f>
        <v>10</v>
      </c>
    </row>
    <row r="20" spans="1:25" x14ac:dyDescent="0.25">
      <c r="A20" s="3" t="s">
        <v>39</v>
      </c>
      <c r="B20" s="1">
        <f t="shared" si="0"/>
        <v>19</v>
      </c>
      <c r="C20" s="23">
        <v>5</v>
      </c>
      <c r="D20" s="1">
        <v>2020</v>
      </c>
      <c r="E20" s="4">
        <f>IF(('Hampshire Daily'!D23-'Hampshire Daily'!D22&lt;0), "0",('Hampshire Daily'!D23-'Hampshire Daily'!D22)*10)</f>
        <v>1670</v>
      </c>
      <c r="F20" s="4">
        <f>IF(('Hampshire Daily'!F23-'Hampshire Daily'!F22&lt;0), "0",('Hampshire Daily'!F23-'Hampshire Daily'!F22)*10)</f>
        <v>1660</v>
      </c>
      <c r="G20" s="4">
        <f>IF(('Hampshire Daily'!H23-'Hampshire Daily'!H22&lt;0), "0",'Hampshire Daily'!H23-'Hampshire Daily'!H22)</f>
        <v>314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89</v>
      </c>
      <c r="L20" s="4">
        <f>IF(('Hampshire Daily'!M23-'Hampshire Daily'!M22&lt;0), "0",'Hampshire Daily'!M23-'Hampshire Daily'!M22)</f>
        <v>340</v>
      </c>
      <c r="M20" s="4">
        <f>IF(('Hampshire Daily'!N23-'Hampshire Daily'!N22&lt;0), "0",'Hampshire Daily'!N23-'Hampshire Daily'!N22)</f>
        <v>189</v>
      </c>
      <c r="N20" s="4">
        <f>IF(('Hampshire Daily'!O23-'Hampshire Daily'!O22&lt;0), "0",'Hampshire Daily'!O23-'Hampshire Daily'!O22)</f>
        <v>26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0</v>
      </c>
      <c r="S20" s="4">
        <f>IF(('Hampshire Daily'!V23-'Hampshire Daily'!V22&lt;0), "0",'Hampshire Daily'!V23-'Hampshire Daily'!V22)</f>
        <v>0</v>
      </c>
      <c r="T20" s="4">
        <f>IF(('Hampshire Daily'!X23-'Hampshire Daily'!X22&lt;0), "0",'Hampshire Daily'!X23-'Hampshire Daily'!X22)</f>
        <v>1.6999999999995907E-2</v>
      </c>
      <c r="U20" s="4">
        <f>IF(('Hampshire Daily'!Y23-'Hampshire Daily'!Y22&lt;0), "0",'Hampshire Daily'!Y23-'Hampshire Daily'!Y22)</f>
        <v>0.20199999999999818</v>
      </c>
      <c r="V20" s="4">
        <f>IF(('Hampshire Daily'!Z23-'Hampshire Daily'!Z22&lt;0), "0",'Hampshire Daily'!Z23-'Hampshire Daily'!Z22)</f>
        <v>0</v>
      </c>
      <c r="W20" s="4">
        <v>0</v>
      </c>
      <c r="X20" s="4">
        <f>'Hampshire Daily'!B23</f>
        <v>10</v>
      </c>
      <c r="Y20" s="4">
        <f>'Hampshire Daily'!C23</f>
        <v>10</v>
      </c>
    </row>
    <row r="21" spans="1:25" x14ac:dyDescent="0.25">
      <c r="A21" s="3" t="s">
        <v>39</v>
      </c>
      <c r="B21" s="1">
        <f t="shared" si="0"/>
        <v>20</v>
      </c>
      <c r="C21" s="23">
        <v>5</v>
      </c>
      <c r="D21" s="1">
        <v>2020</v>
      </c>
      <c r="E21" s="4">
        <f>IF(('Hampshire Daily'!D24-'Hampshire Daily'!D23&lt;0), "0",('Hampshire Daily'!D24-'Hampshire Daily'!D23)*10)</f>
        <v>1730</v>
      </c>
      <c r="F21" s="4">
        <f>IF(('Hampshire Daily'!F24-'Hampshire Daily'!F23&lt;0), "0",('Hampshire Daily'!F24-'Hampshire Daily'!F23)*10)</f>
        <v>1890</v>
      </c>
      <c r="G21" s="4">
        <f>IF(('Hampshire Daily'!H24-'Hampshire Daily'!H23&lt;0), "0",'Hampshire Daily'!H24-'Hampshire Daily'!H23)</f>
        <v>277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89</v>
      </c>
      <c r="L21" s="4">
        <f>IF(('Hampshire Daily'!M24-'Hampshire Daily'!M23&lt;0), "0",'Hampshire Daily'!M24-'Hampshire Daily'!M23)</f>
        <v>318</v>
      </c>
      <c r="M21" s="4">
        <f>IF(('Hampshire Daily'!N24-'Hampshire Daily'!N23&lt;0), "0",'Hampshire Daily'!N24-'Hampshire Daily'!N23)</f>
        <v>296</v>
      </c>
      <c r="N21" s="4">
        <f>IF(('Hampshire Daily'!O24-'Hampshire Daily'!O23&lt;0), "0",'Hampshire Daily'!O24-'Hampshire Daily'!O23)</f>
        <v>25</v>
      </c>
      <c r="O21" s="4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0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2</v>
      </c>
      <c r="S21" s="4">
        <f>IF(('Hampshire Daily'!V24-'Hampshire Daily'!V23&lt;0), "0",'Hampshire Daily'!V24-'Hampshire Daily'!V23)</f>
        <v>0</v>
      </c>
      <c r="T21" s="4">
        <f>IF(('Hampshire Daily'!X24-'Hampshire Daily'!X23&lt;0), "0",'Hampshire Daily'!X24-'Hampshire Daily'!X23)</f>
        <v>0.42099999999999227</v>
      </c>
      <c r="U21" s="4">
        <f>IF(('Hampshire Daily'!Y24-'Hampshire Daily'!Y23&lt;0), "0",'Hampshire Daily'!Y24-'Hampshire Daily'!Y23)</f>
        <v>1.9000000000005457E-2</v>
      </c>
      <c r="V21" s="4">
        <f>IF(('Hampshire Daily'!Z24-'Hampshire Daily'!Z23&lt;0), "0",'Hampshire Daily'!Z24-'Hampshire Daily'!Z23)</f>
        <v>0</v>
      </c>
      <c r="W21" s="4">
        <v>0</v>
      </c>
      <c r="X21" s="4">
        <f>'Hampshire Daily'!B24</f>
        <v>10</v>
      </c>
      <c r="Y21" s="4">
        <f>'Hampshire Daily'!C24</f>
        <v>10</v>
      </c>
    </row>
    <row r="22" spans="1:25" x14ac:dyDescent="0.25">
      <c r="A22" s="3" t="s">
        <v>39</v>
      </c>
      <c r="B22" s="1">
        <f t="shared" si="0"/>
        <v>21</v>
      </c>
      <c r="C22" s="23">
        <v>5</v>
      </c>
      <c r="D22" s="1">
        <v>2020</v>
      </c>
      <c r="E22" s="4">
        <f>IF(('Hampshire Daily'!D25-'Hampshire Daily'!D24&lt;0), "0",('Hampshire Daily'!D25-'Hampshire Daily'!D24)*10)</f>
        <v>1740</v>
      </c>
      <c r="F22" s="4">
        <f>IF(('Hampshire Daily'!F25-'Hampshire Daily'!F24&lt;0), "0",('Hampshire Daily'!F25-'Hampshire Daily'!F24)*10)</f>
        <v>2080</v>
      </c>
      <c r="G22" s="4">
        <f>IF(('Hampshire Daily'!H25-'Hampshire Daily'!H24&lt;0), "0",'Hampshire Daily'!H25-'Hampshire Daily'!H24)</f>
        <v>285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89</v>
      </c>
      <c r="L22" s="4">
        <f>IF(('Hampshire Daily'!M25-'Hampshire Daily'!M24&lt;0), "0",'Hampshire Daily'!M25-'Hampshire Daily'!M24)</f>
        <v>333</v>
      </c>
      <c r="M22" s="4">
        <f>IF(('Hampshire Daily'!N25-'Hampshire Daily'!N24&lt;0), "0",'Hampshire Daily'!N25-'Hampshire Daily'!N24)</f>
        <v>475</v>
      </c>
      <c r="N22" s="4">
        <f>IF(('Hampshire Daily'!O25-'Hampshire Daily'!O24&lt;0), "0",'Hampshire Daily'!O25-'Hampshire Daily'!O24)</f>
        <v>54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0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1</v>
      </c>
      <c r="S22" s="4">
        <f>IF(('Hampshire Daily'!V25-'Hampshire Daily'!V24&lt;0), "0",'Hampshire Daily'!V25-'Hampshire Daily'!V24)</f>
        <v>21</v>
      </c>
      <c r="T22" s="4">
        <f>IF(('Hampshire Daily'!X25-'Hampshire Daily'!X24&lt;0), "0",'Hampshire Daily'!X25-'Hampshire Daily'!X24)</f>
        <v>0.25600000000002865</v>
      </c>
      <c r="U22" s="4">
        <f>IF(('Hampshire Daily'!Y25-'Hampshire Daily'!Y24&lt;0), "0",'Hampshire Daily'!Y25-'Hampshire Daily'!Y24)</f>
        <v>0.24899999999990996</v>
      </c>
      <c r="V22" s="4">
        <f>IF(('Hampshire Daily'!Z25-'Hampshire Daily'!Z24&lt;0), "0",'Hampshire Daily'!Z25-'Hampshire Daily'!Z24)</f>
        <v>0</v>
      </c>
      <c r="W22" s="4">
        <v>0</v>
      </c>
      <c r="X22" s="4">
        <f>'Hampshire Daily'!B25</f>
        <v>10</v>
      </c>
      <c r="Y22" s="4">
        <f>'Hampshire Daily'!C25</f>
        <v>10</v>
      </c>
    </row>
    <row r="23" spans="1:25" x14ac:dyDescent="0.25">
      <c r="A23" s="3" t="s">
        <v>39</v>
      </c>
      <c r="B23" s="1">
        <f t="shared" si="0"/>
        <v>22</v>
      </c>
      <c r="C23" s="23">
        <v>5</v>
      </c>
      <c r="D23" s="1">
        <v>2020</v>
      </c>
      <c r="E23" s="4">
        <f>IF(('Hampshire Daily'!D26-'Hampshire Daily'!D25&lt;0), "0",('Hampshire Daily'!D26-'Hampshire Daily'!D25)*10)</f>
        <v>1680</v>
      </c>
      <c r="F23" s="4">
        <f>IF(('Hampshire Daily'!F26-'Hampshire Daily'!F25&lt;0), "0",('Hampshire Daily'!F26-'Hampshire Daily'!F25)*10)</f>
        <v>1970</v>
      </c>
      <c r="G23" s="4">
        <f>IF(('Hampshire Daily'!H26-'Hampshire Daily'!H25&lt;0), "0",'Hampshire Daily'!H26-'Hampshire Daily'!H25)</f>
        <v>276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89</v>
      </c>
      <c r="L23" s="4">
        <f>IF(('Hampshire Daily'!M26-'Hampshire Daily'!M25&lt;0), "0",'Hampshire Daily'!M26-'Hampshire Daily'!M25)</f>
        <v>319</v>
      </c>
      <c r="M23" s="4">
        <f>IF(('Hampshire Daily'!N26-'Hampshire Daily'!N25&lt;0), "0",'Hampshire Daily'!N26-'Hampshire Daily'!N25)</f>
        <v>434</v>
      </c>
      <c r="N23" s="4">
        <f>IF(('Hampshire Daily'!O26-'Hampshire Daily'!O25&lt;0), "0",'Hampshire Daily'!O26-'Hampshire Daily'!O25)</f>
        <v>30</v>
      </c>
      <c r="O23" s="4">
        <f>IF(('Hampshire Daily'!P26-'Hampshire Daily'!P25&lt;0), "0",'Hampshire Daily'!P26-'Hampshire Daily'!P25)</f>
        <v>0</v>
      </c>
      <c r="P23" s="4">
        <f>IF(('Hampshire Daily'!Q26-'Hampshire Daily'!Q25&lt;0), "0",'Hampshire Daily'!Q26-'Hampshire Daily'!Q25)</f>
        <v>0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0</v>
      </c>
      <c r="S23" s="4">
        <f>IF(('Hampshire Daily'!V26-'Hampshire Daily'!V25&lt;0), "0",'Hampshire Daily'!V26-'Hampshire Daily'!V25)</f>
        <v>0</v>
      </c>
      <c r="T23" s="4">
        <f>IF(('Hampshire Daily'!X26-'Hampshire Daily'!X25&lt;0), "0",'Hampshire Daily'!X26-'Hampshire Daily'!X25)</f>
        <v>0.18000000000000682</v>
      </c>
      <c r="U23" s="4">
        <f>IF(('Hampshire Daily'!Y26-'Hampshire Daily'!Y25&lt;0), "0",'Hampshire Daily'!Y26-'Hampshire Daily'!Y25)</f>
        <v>0.25700000000006185</v>
      </c>
      <c r="V23" s="4">
        <f>IF(('Hampshire Daily'!Z26-'Hampshire Daily'!Z25&lt;0), "0",'Hampshire Daily'!Z26-'Hampshire Daily'!Z25)</f>
        <v>0</v>
      </c>
      <c r="W23" s="4">
        <v>0</v>
      </c>
      <c r="X23" s="4">
        <f>'Hampshire Daily'!B26</f>
        <v>10</v>
      </c>
      <c r="Y23" s="4">
        <f>'Hampshire Daily'!C26</f>
        <v>10</v>
      </c>
    </row>
    <row r="24" spans="1:25" x14ac:dyDescent="0.25">
      <c r="A24" s="3" t="s">
        <v>39</v>
      </c>
      <c r="B24" s="1">
        <f t="shared" si="0"/>
        <v>23</v>
      </c>
      <c r="C24" s="23">
        <v>5</v>
      </c>
      <c r="D24" s="1">
        <v>2020</v>
      </c>
      <c r="E24" s="4">
        <f>IF(('Hampshire Daily'!D27-'Hampshire Daily'!D26&lt;0), "0",('Hampshire Daily'!D27-'Hampshire Daily'!D26)*10)</f>
        <v>1740</v>
      </c>
      <c r="F24" s="4">
        <f>IF(('Hampshire Daily'!F27-'Hampshire Daily'!F26&lt;0), "0",('Hampshire Daily'!F27-'Hampshire Daily'!F26)*10)</f>
        <v>1840</v>
      </c>
      <c r="G24" s="4">
        <f>IF(('Hampshire Daily'!H27-'Hampshire Daily'!H26&lt;0), "0",'Hampshire Daily'!H27-'Hampshire Daily'!H26)</f>
        <v>207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89</v>
      </c>
      <c r="L24" s="4">
        <f>IF(('Hampshire Daily'!M27-'Hampshire Daily'!M26&lt;0), "0",'Hampshire Daily'!M27-'Hampshire Daily'!M26)</f>
        <v>331</v>
      </c>
      <c r="M24" s="4">
        <f>IF(('Hampshire Daily'!N27-'Hampshire Daily'!N26&lt;0), "0",'Hampshire Daily'!N27-'Hampshire Daily'!N26)</f>
        <v>471</v>
      </c>
      <c r="N24" s="4">
        <f>IF(('Hampshire Daily'!O27-'Hampshire Daily'!O26&lt;0), "0",'Hampshire Daily'!O27-'Hampshire Daily'!O26)</f>
        <v>34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0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0</v>
      </c>
      <c r="S24" s="4">
        <f>IF(('Hampshire Daily'!V27-'Hampshire Daily'!V26&lt;0), "0",'Hampshire Daily'!V27-'Hampshire Daily'!V26)</f>
        <v>0</v>
      </c>
      <c r="T24" s="4">
        <f>IF(('Hampshire Daily'!X27-'Hampshire Daily'!X26&lt;0), "0",'Hampshire Daily'!X27-'Hampshire Daily'!X26)</f>
        <v>0.13900000000001</v>
      </c>
      <c r="U24" s="4">
        <f>IF(('Hampshire Daily'!Y27-'Hampshire Daily'!Y26&lt;0), "0",'Hampshire Daily'!Y27-'Hampshire Daily'!Y26)</f>
        <v>0.26499999999998636</v>
      </c>
      <c r="V24" s="4">
        <f>IF(('Hampshire Daily'!Z27-'Hampshire Daily'!Z26&lt;0), "0",'Hampshire Daily'!Z27-'Hampshire Daily'!Z26)</f>
        <v>0</v>
      </c>
      <c r="W24" s="4">
        <v>0</v>
      </c>
      <c r="X24" s="4">
        <f>'Hampshire Daily'!B27</f>
        <v>10</v>
      </c>
      <c r="Y24" s="4">
        <f>'Hampshire Daily'!C27</f>
        <v>10</v>
      </c>
    </row>
    <row r="25" spans="1:25" x14ac:dyDescent="0.25">
      <c r="A25" s="3" t="s">
        <v>39</v>
      </c>
      <c r="B25" s="1">
        <f t="shared" si="0"/>
        <v>24</v>
      </c>
      <c r="C25" s="23">
        <v>5</v>
      </c>
      <c r="D25" s="1">
        <v>2020</v>
      </c>
      <c r="E25" s="4">
        <f>IF(('Hampshire Daily'!D28-'Hampshire Daily'!D27&lt;0), "0",('Hampshire Daily'!D28-'Hampshire Daily'!D27)*10)</f>
        <v>1820</v>
      </c>
      <c r="F25" s="4">
        <f>IF(('Hampshire Daily'!F28-'Hampshire Daily'!F27&lt;0), "0",('Hampshire Daily'!F28-'Hampshire Daily'!F27)*10)</f>
        <v>2000</v>
      </c>
      <c r="G25" s="4">
        <f>IF(('Hampshire Daily'!H28-'Hampshire Daily'!H27&lt;0), "0",'Hampshire Daily'!H28-'Hampshire Daily'!H27)</f>
        <v>254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89</v>
      </c>
      <c r="L25" s="4">
        <f>IF(('Hampshire Daily'!M28-'Hampshire Daily'!M27&lt;0), "0",'Hampshire Daily'!M28-'Hampshire Daily'!M27)</f>
        <v>352</v>
      </c>
      <c r="M25" s="4">
        <f>IF(('Hampshire Daily'!N28-'Hampshire Daily'!N27&lt;0), "0",'Hampshire Daily'!N28-'Hampshire Daily'!N27)</f>
        <v>458</v>
      </c>
      <c r="N25" s="4">
        <f>IF(('Hampshire Daily'!O28-'Hampshire Daily'!O27&lt;0), "0",'Hampshire Daily'!O28-'Hampshire Daily'!O27)</f>
        <v>34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0</v>
      </c>
      <c r="Q25" s="4">
        <f>IF(('Hampshire Daily'!R28-'Hampshire Daily'!R27&lt;0), "0",'Hampshire Daily'!R28-'Hampshire Daily'!R27)</f>
        <v>0</v>
      </c>
      <c r="R25" s="4">
        <f>IF(('Hampshire Daily'!U28-'Hampshire Daily'!U27&lt;0), "0",'Hampshire Daily'!U28-'Hampshire Daily'!U27)</f>
        <v>0</v>
      </c>
      <c r="S25" s="4">
        <f>IF(('Hampshire Daily'!V28-'Hampshire Daily'!V27&lt;0), "0",'Hampshire Daily'!V28-'Hampshire Daily'!V27)</f>
        <v>0</v>
      </c>
      <c r="T25" s="4">
        <f>IF(('Hampshire Daily'!X28-'Hampshire Daily'!X27&lt;0), "0",'Hampshire Daily'!X28-'Hampshire Daily'!X27)</f>
        <v>9.9999999997635314E-4</v>
      </c>
      <c r="U25" s="4">
        <f>IF(('Hampshire Daily'!Y28-'Hampshire Daily'!Y27&lt;0), "0",'Hampshire Daily'!Y28-'Hampshire Daily'!Y27)</f>
        <v>0.2720000000000482</v>
      </c>
      <c r="V25" s="4">
        <f>IF(('Hampshire Daily'!Z28-'Hampshire Daily'!Z27&lt;0), "0",'Hampshire Daily'!Z28-'Hampshire Daily'!Z27)</f>
        <v>0</v>
      </c>
      <c r="W25" s="4">
        <v>0</v>
      </c>
      <c r="X25" s="4">
        <f>'Hampshire Daily'!B28</f>
        <v>10</v>
      </c>
      <c r="Y25" s="4">
        <f>'Hampshire Daily'!C28</f>
        <v>10</v>
      </c>
    </row>
    <row r="26" spans="1:25" x14ac:dyDescent="0.25">
      <c r="A26" s="3" t="s">
        <v>39</v>
      </c>
      <c r="B26" s="1">
        <f>B25+1</f>
        <v>25</v>
      </c>
      <c r="C26" s="23">
        <v>5</v>
      </c>
      <c r="D26" s="1">
        <v>2020</v>
      </c>
      <c r="E26" s="4">
        <f>IF(('Hampshire Daily'!D29-'Hampshire Daily'!D28&lt;0), "0",('Hampshire Daily'!D29-'Hampshire Daily'!D28)*10)</f>
        <v>1620</v>
      </c>
      <c r="F26" s="4">
        <f>IF(('Hampshire Daily'!F29-'Hampshire Daily'!F28&lt;0), "0",('Hampshire Daily'!F29-'Hampshire Daily'!F28)*10)</f>
        <v>1830</v>
      </c>
      <c r="G26" s="4">
        <f>IF(('Hampshire Daily'!H29-'Hampshire Daily'!H28&lt;0), "0",'Hampshire Daily'!H29-'Hampshire Daily'!H28)</f>
        <v>271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89</v>
      </c>
      <c r="L26" s="4">
        <f>IF(('Hampshire Daily'!M29-'Hampshire Daily'!M28&lt;0), "0",'Hampshire Daily'!M29-'Hampshire Daily'!M28)</f>
        <v>321</v>
      </c>
      <c r="M26" s="4">
        <f>IF(('Hampshire Daily'!N29-'Hampshire Daily'!N28&lt;0), "0",'Hampshire Daily'!N29-'Hampshire Daily'!N28)</f>
        <v>473</v>
      </c>
      <c r="N26" s="4">
        <f>IF(('Hampshire Daily'!O29-'Hampshire Daily'!O28&lt;0), "0",'Hampshire Daily'!O29-'Hampshire Daily'!O28)</f>
        <v>27</v>
      </c>
      <c r="O26" s="4">
        <f>IF(('Hampshire Daily'!P29-'Hampshire Daily'!P28&lt;0), "0",'Hampshire Daily'!P29-'Hampshire Daily'!P28)</f>
        <v>0</v>
      </c>
      <c r="P26" s="4">
        <f>IF(('Hampshire Daily'!Q29-'Hampshire Daily'!Q28&lt;0), "0",'Hampshire Daily'!Q29-'Hampshire Daily'!Q28)</f>
        <v>0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0</v>
      </c>
      <c r="S26" s="4">
        <f>IF(('Hampshire Daily'!V29-'Hampshire Daily'!V28&lt;0), "0",'Hampshire Daily'!V29-'Hampshire Daily'!V28)</f>
        <v>0</v>
      </c>
      <c r="T26" s="4">
        <f>IF(('Hampshire Daily'!X29-'Hampshire Daily'!X28&lt;0), "0",'Hampshire Daily'!X29-'Hampshire Daily'!X28)</f>
        <v>0.21100000000001273</v>
      </c>
      <c r="U26" s="4">
        <f>IF(('Hampshire Daily'!Y29-'Hampshire Daily'!Y28&lt;0), "0",'Hampshire Daily'!Y29-'Hampshire Daily'!Y28)</f>
        <v>9.9999999997635314E-4</v>
      </c>
      <c r="V26" s="4">
        <f>IF(('Hampshire Daily'!Z29-'Hampshire Daily'!Z28&lt;0), "0",'Hampshire Daily'!Z29-'Hampshire Daily'!Z28)</f>
        <v>0</v>
      </c>
      <c r="W26" s="4">
        <v>0</v>
      </c>
      <c r="X26" s="4">
        <f>'Hampshire Daily'!B29</f>
        <v>10</v>
      </c>
      <c r="Y26" s="4">
        <f>'Hampshire Daily'!C29</f>
        <v>10</v>
      </c>
    </row>
    <row r="27" spans="1:25" x14ac:dyDescent="0.25">
      <c r="A27" s="3" t="s">
        <v>39</v>
      </c>
      <c r="B27" s="1">
        <f t="shared" si="0"/>
        <v>26</v>
      </c>
      <c r="C27" s="23">
        <v>5</v>
      </c>
      <c r="D27" s="1">
        <v>2020</v>
      </c>
      <c r="E27" s="4">
        <f>IF(('Hampshire Daily'!D30-'Hampshire Daily'!D29&lt;0), "0",('Hampshire Daily'!D30-'Hampshire Daily'!D29)*10)</f>
        <v>1780</v>
      </c>
      <c r="F27" s="4">
        <f>IF(('Hampshire Daily'!F30-'Hampshire Daily'!F29&lt;0), "0",('Hampshire Daily'!F30-'Hampshire Daily'!F29)*10)</f>
        <v>2050</v>
      </c>
      <c r="G27" s="4">
        <f>IF(('Hampshire Daily'!H30-'Hampshire Daily'!H29&lt;0), "0",'Hampshire Daily'!H30-'Hampshire Daily'!H29)</f>
        <v>249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89</v>
      </c>
      <c r="L27" s="4">
        <f>IF(('Hampshire Daily'!M30-'Hampshire Daily'!M29&lt;0), "0",'Hampshire Daily'!M30-'Hampshire Daily'!M29)</f>
        <v>321</v>
      </c>
      <c r="M27" s="4">
        <f>IF(('Hampshire Daily'!N30-'Hampshire Daily'!N29&lt;0), "0",'Hampshire Daily'!N30-'Hampshire Daily'!N29)</f>
        <v>481</v>
      </c>
      <c r="N27" s="4">
        <f>IF(('Hampshire Daily'!O30-'Hampshire Daily'!O29&lt;0), "0",'Hampshire Daily'!O30-'Hampshire Daily'!O29)</f>
        <v>31</v>
      </c>
      <c r="O27" s="4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0</v>
      </c>
      <c r="Q27" s="4">
        <f>IF(('Hampshire Daily'!R30-'Hampshire Daily'!R29&lt;0), "0",'Hampshire Daily'!R30-'Hampshire Daily'!R29)</f>
        <v>0</v>
      </c>
      <c r="R27" s="4">
        <f>IF(('Hampshire Daily'!U30-'Hampshire Daily'!U29&lt;0), "0",'Hampshire Daily'!U30-'Hampshire Daily'!U29)</f>
        <v>1</v>
      </c>
      <c r="S27" s="4">
        <f>IF(('Hampshire Daily'!V30-'Hampshire Daily'!V29&lt;0), "0",'Hampshire Daily'!V30-'Hampshire Daily'!V29)</f>
        <v>13</v>
      </c>
      <c r="T27" s="4">
        <f>IF(('Hampshire Daily'!X30-'Hampshire Daily'!X29&lt;0), "0",'Hampshire Daily'!X30-'Hampshire Daily'!X29)</f>
        <v>0.20900000000000318</v>
      </c>
      <c r="U27" s="4">
        <f>IF(('Hampshire Daily'!Y30-'Hampshire Daily'!Y29&lt;0), "0",'Hampshire Daily'!Y30-'Hampshire Daily'!Y29)</f>
        <v>5.9999999999718057E-3</v>
      </c>
      <c r="V27" s="4">
        <f>IF(('Hampshire Daily'!Z30-'Hampshire Daily'!Z29&lt;0), "0",'Hampshire Daily'!Z30-'Hampshire Daily'!Z29)</f>
        <v>0</v>
      </c>
      <c r="W27" s="4">
        <v>0</v>
      </c>
      <c r="X27" s="4">
        <f>'Hampshire Daily'!B30</f>
        <v>10</v>
      </c>
      <c r="Y27" s="4">
        <f>'Hampshire Daily'!C30</f>
        <v>10</v>
      </c>
    </row>
    <row r="28" spans="1:25" x14ac:dyDescent="0.25">
      <c r="A28" s="3" t="s">
        <v>39</v>
      </c>
      <c r="B28" s="1">
        <f t="shared" si="0"/>
        <v>27</v>
      </c>
      <c r="C28" s="23">
        <v>5</v>
      </c>
      <c r="D28" s="1">
        <v>2020</v>
      </c>
      <c r="E28" s="4">
        <f>IF(('Hampshire Daily'!D31-'Hampshire Daily'!D30&lt;0), "0",('Hampshire Daily'!D31-'Hampshire Daily'!D30)*10)</f>
        <v>1740</v>
      </c>
      <c r="F28" s="4">
        <f>IF(('Hampshire Daily'!F31-'Hampshire Daily'!F30&lt;0), "0",('Hampshire Daily'!F31-'Hampshire Daily'!F30)*10)</f>
        <v>1960</v>
      </c>
      <c r="G28" s="4">
        <f>IF(('Hampshire Daily'!H31-'Hampshire Daily'!H30&lt;0), "0",'Hampshire Daily'!H31-'Hampshire Daily'!H30)</f>
        <v>250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176</v>
      </c>
      <c r="L28" s="4">
        <f>IF(('Hampshire Daily'!M31-'Hampshire Daily'!M30&lt;0), "0",'Hampshire Daily'!M31-'Hampshire Daily'!M30)</f>
        <v>339</v>
      </c>
      <c r="M28" s="4">
        <f>IF(('Hampshire Daily'!N31-'Hampshire Daily'!N30&lt;0), "0",'Hampshire Daily'!N31-'Hampshire Daily'!N30)</f>
        <v>434</v>
      </c>
      <c r="N28" s="4">
        <f>IF(('Hampshire Daily'!O31-'Hampshire Daily'!O30&lt;0), "0",'Hampshire Daily'!O31-'Hampshire Daily'!O30)</f>
        <v>45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0</v>
      </c>
      <c r="Q28" s="4">
        <f>IF(('Hampshire Daily'!R31-'Hampshire Daily'!R30&lt;0), "0",'Hampshire Daily'!R31-'Hampshire Daily'!R30)</f>
        <v>0</v>
      </c>
      <c r="R28" s="4">
        <f>IF(('Hampshire Daily'!U31-'Hampshire Daily'!U30&lt;0), "0",'Hampshire Daily'!U31-'Hampshire Daily'!U30)</f>
        <v>0</v>
      </c>
      <c r="S28" s="4">
        <f>IF(('Hampshire Daily'!V31-'Hampshire Daily'!V30&lt;0), "0",'Hampshire Daily'!V31-'Hampshire Daily'!V30)</f>
        <v>0</v>
      </c>
      <c r="T28" s="4">
        <f>IF(('Hampshire Daily'!X31-'Hampshire Daily'!X30&lt;0), "0",'Hampshire Daily'!X31-'Hampshire Daily'!X30)</f>
        <v>0.19499999999999318</v>
      </c>
      <c r="U28" s="4">
        <f>IF(('Hampshire Daily'!Y31-'Hampshire Daily'!Y30&lt;0), "0",'Hampshire Daily'!Y31-'Hampshire Daily'!Y30)</f>
        <v>3.0000000000427463E-3</v>
      </c>
      <c r="V28" s="4">
        <f>IF(('Hampshire Daily'!Z31-'Hampshire Daily'!Z30&lt;0), "0",'Hampshire Daily'!Z31-'Hampshire Daily'!Z30)</f>
        <v>0</v>
      </c>
      <c r="W28" s="4">
        <v>0</v>
      </c>
      <c r="X28" s="4">
        <f>'Hampshire Daily'!B31</f>
        <v>10</v>
      </c>
      <c r="Y28" s="4">
        <f>'Hampshire Daily'!C31</f>
        <v>10</v>
      </c>
    </row>
    <row r="29" spans="1:25" x14ac:dyDescent="0.25">
      <c r="A29" s="3" t="s">
        <v>39</v>
      </c>
      <c r="B29" s="1">
        <f t="shared" si="0"/>
        <v>28</v>
      </c>
      <c r="C29" s="23">
        <v>5</v>
      </c>
      <c r="D29" s="1">
        <v>2020</v>
      </c>
      <c r="E29" s="4">
        <f>IF(('Hampshire Daily'!D32-'Hampshire Daily'!D31&lt;0), "0",('Hampshire Daily'!D32-'Hampshire Daily'!D31)*10)</f>
        <v>1660</v>
      </c>
      <c r="F29" s="4">
        <f>IF(('Hampshire Daily'!F32-'Hampshire Daily'!F31&lt;0), "0",('Hampshire Daily'!F32-'Hampshire Daily'!F31)*10)</f>
        <v>1840</v>
      </c>
      <c r="G29" s="4">
        <f>IF(('Hampshire Daily'!H32-'Hampshire Daily'!H31&lt;0), "0",'Hampshire Daily'!H32-'Hampshire Daily'!H31)</f>
        <v>264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87</v>
      </c>
      <c r="L29" s="4">
        <f>IF(('Hampshire Daily'!M32-'Hampshire Daily'!M31&lt;0), "0",'Hampshire Daily'!M32-'Hampshire Daily'!M31)</f>
        <v>342</v>
      </c>
      <c r="M29" s="4">
        <f>IF(('Hampshire Daily'!N32-'Hampshire Daily'!N31&lt;0), "0",'Hampshire Daily'!N32-'Hampshire Daily'!N31)</f>
        <v>414</v>
      </c>
      <c r="N29" s="4">
        <f>IF(('Hampshire Daily'!O32-'Hampshire Daily'!O31&lt;0), "0",'Hampshire Daily'!O32-'Hampshire Daily'!O31)</f>
        <v>35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0</v>
      </c>
      <c r="Q29" s="4">
        <f>IF(('Hampshire Daily'!R32-'Hampshire Daily'!R31&lt;0), "0",'Hampshire Daily'!R32-'Hampshire Daily'!R31)</f>
        <v>0</v>
      </c>
      <c r="R29" s="4">
        <f>IF(('Hampshire Daily'!U32-'Hampshire Daily'!U31&lt;0), "0",'Hampshire Daily'!U32-'Hampshire Daily'!U31)</f>
        <v>1</v>
      </c>
      <c r="S29" s="4">
        <f>IF(('Hampshire Daily'!V32-'Hampshire Daily'!V31&lt;0), "0",'Hampshire Daily'!V32-'Hampshire Daily'!V31)</f>
        <v>0</v>
      </c>
      <c r="T29" s="4">
        <f>IF(('Hampshire Daily'!X32-'Hampshire Daily'!X31&lt;0), "0",'Hampshire Daily'!X32-'Hampshire Daily'!X31)</f>
        <v>0.20900000000000318</v>
      </c>
      <c r="U29" s="4">
        <f>IF(('Hampshire Daily'!Y32-'Hampshire Daily'!Y31&lt;0), "0",'Hampshire Daily'!Y32-'Hampshire Daily'!Y31)</f>
        <v>3.9999999999054126E-3</v>
      </c>
      <c r="V29" s="4">
        <f>IF(('Hampshire Daily'!Z32-'Hampshire Daily'!Z31&lt;0), "0",'Hampshire Daily'!Z32-'Hampshire Daily'!Z31)</f>
        <v>0</v>
      </c>
      <c r="W29" s="4">
        <v>0</v>
      </c>
      <c r="X29" s="4">
        <f>'Hampshire Daily'!B32</f>
        <v>10</v>
      </c>
      <c r="Y29" s="4">
        <f>'Hampshire Daily'!C32</f>
        <v>10</v>
      </c>
    </row>
    <row r="30" spans="1:25" x14ac:dyDescent="0.25">
      <c r="A30" s="3" t="s">
        <v>39</v>
      </c>
      <c r="B30" s="1">
        <f t="shared" si="0"/>
        <v>29</v>
      </c>
      <c r="C30" s="23">
        <v>5</v>
      </c>
      <c r="D30" s="1">
        <v>2020</v>
      </c>
      <c r="E30" s="4">
        <f>IF(('Hampshire Daily'!D33-'Hampshire Daily'!D32&lt;0), "0",('Hampshire Daily'!D33-'Hampshire Daily'!D32)*10)</f>
        <v>2040</v>
      </c>
      <c r="F30" s="4">
        <f>IF(('Hampshire Daily'!F33-'Hampshire Daily'!F32&lt;0), "0",('Hampshire Daily'!F33-'Hampshire Daily'!F32)*10)</f>
        <v>2090</v>
      </c>
      <c r="G30" s="4">
        <f>IF(('Hampshire Daily'!H33-'Hampshire Daily'!H32&lt;0), "0",'Hampshire Daily'!H33-'Hampshire Daily'!H32)</f>
        <v>285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89</v>
      </c>
      <c r="L30" s="4">
        <f>IF(('Hampshire Daily'!M33-'Hampshire Daily'!M32&lt;0), "0",'Hampshire Daily'!M33-'Hampshire Daily'!M32)</f>
        <v>339</v>
      </c>
      <c r="M30" s="4">
        <f>IF(('Hampshire Daily'!N33-'Hampshire Daily'!N32&lt;0), "0",'Hampshire Daily'!N33-'Hampshire Daily'!N32)</f>
        <v>513</v>
      </c>
      <c r="N30" s="4">
        <f>IF(('Hampshire Daily'!O33-'Hampshire Daily'!O32&lt;0), "0",'Hampshire Daily'!O33-'Hampshire Daily'!O32)</f>
        <v>38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0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0</v>
      </c>
      <c r="S30" s="4">
        <f>IF(('Hampshire Daily'!V33-'Hampshire Daily'!V32&lt;0), "0",'Hampshire Daily'!V33-'Hampshire Daily'!V32)</f>
        <v>12</v>
      </c>
      <c r="T30" s="4">
        <f>IF(('Hampshire Daily'!X33-'Hampshire Daily'!X32&lt;0), "0",'Hampshire Daily'!X33-'Hampshire Daily'!X32)</f>
        <v>0.20400000000000773</v>
      </c>
      <c r="U30" s="4">
        <f>IF(('Hampshire Daily'!Y33-'Hampshire Daily'!Y32&lt;0), "0",'Hampshire Daily'!Y33-'Hampshire Daily'!Y32)</f>
        <v>7.0000000000618456E-3</v>
      </c>
      <c r="V30" s="4">
        <f>IF(('Hampshire Daily'!Z33-'Hampshire Daily'!Z32&lt;0), "0",'Hampshire Daily'!Z33-'Hampshire Daily'!Z32)</f>
        <v>0</v>
      </c>
      <c r="W30" s="4">
        <v>0</v>
      </c>
      <c r="X30" s="4">
        <f>'Hampshire Daily'!B33</f>
        <v>10</v>
      </c>
      <c r="Y30" s="4">
        <f>'Hampshire Daily'!C33</f>
        <v>10</v>
      </c>
    </row>
    <row r="31" spans="1:25" x14ac:dyDescent="0.25">
      <c r="A31" s="3" t="s">
        <v>39</v>
      </c>
      <c r="B31" s="1">
        <f t="shared" si="0"/>
        <v>30</v>
      </c>
      <c r="C31" s="23">
        <v>5</v>
      </c>
      <c r="D31" s="1">
        <v>2020</v>
      </c>
      <c r="E31" s="4">
        <f>IF(('Hampshire Daily'!D34-'Hampshire Daily'!D33&lt;0), "0",('Hampshire Daily'!D34-'Hampshire Daily'!D33)*10)</f>
        <v>1810</v>
      </c>
      <c r="F31" s="4">
        <f>IF(('Hampshire Daily'!F34-'Hampshire Daily'!F33&lt;0), "0",('Hampshire Daily'!F34-'Hampshire Daily'!F33)*10)</f>
        <v>1960</v>
      </c>
      <c r="G31" s="4">
        <f>IF(('Hampshire Daily'!H34-'Hampshire Daily'!H33&lt;0), "0",'Hampshire Daily'!H34-'Hampshire Daily'!H33)</f>
        <v>259</v>
      </c>
      <c r="H31" s="4">
        <f>IF(('Hampshire Daily'!I34-'Hampshire Daily'!I33&lt;0), "0",'Hampshire Daily'!I34-'Hampshire Daily'!I33)</f>
        <v>0</v>
      </c>
      <c r="I31" s="4">
        <f>IF(('Hampshire Daily'!J34-'Hampshire Daily'!J33&lt;0), "0",'Hampshire Daily'!J34-'Hampshire Daily'!J33)</f>
        <v>0</v>
      </c>
      <c r="J31" s="4">
        <f>IF(('Hampshire Daily'!K34-'Hampshire Daily'!K33&lt;0), "0",'Hampshire Daily'!K34-'Hampshire Daily'!K33)</f>
        <v>0</v>
      </c>
      <c r="K31" s="4">
        <f>IF(('Hampshire Daily'!L34-'Hampshire Daily'!L33&lt;0), "0",'Hampshire Daily'!L34-'Hampshire Daily'!L33)</f>
        <v>94</v>
      </c>
      <c r="L31" s="4">
        <f>IF(('Hampshire Daily'!M34-'Hampshire Daily'!M33&lt;0), "0",'Hampshire Daily'!M34-'Hampshire Daily'!M33)</f>
        <v>338</v>
      </c>
      <c r="M31" s="4">
        <f>IF(('Hampshire Daily'!N34-'Hampshire Daily'!N33&lt;0), "0",'Hampshire Daily'!N34-'Hampshire Daily'!N33)</f>
        <v>459</v>
      </c>
      <c r="N31" s="4">
        <f>IF(('Hampshire Daily'!O34-'Hampshire Daily'!O33&lt;0), "0",'Hampshire Daily'!O34-'Hampshire Daily'!O33)</f>
        <v>42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0</v>
      </c>
      <c r="Q31" s="4">
        <f>IF(('Hampshire Daily'!R34-'Hampshire Daily'!R33&lt;0), "0",'Hampshire Daily'!R34-'Hampshire Daily'!R33)</f>
        <v>0</v>
      </c>
      <c r="R31" s="4">
        <f>IF(('Hampshire Daily'!U34-'Hampshire Daily'!U33&lt;0), "0",'Hampshire Daily'!U34-'Hampshire Daily'!U33)</f>
        <v>0</v>
      </c>
      <c r="S31" s="4">
        <f>IF(('Hampshire Daily'!V34-'Hampshire Daily'!V33&lt;0), "0",'Hampshire Daily'!V34-'Hampshire Daily'!V33)</f>
        <v>0</v>
      </c>
      <c r="T31" s="4">
        <f>IF(('Hampshire Daily'!X34-'Hampshire Daily'!X33&lt;0), "0",'Hampshire Daily'!X34-'Hampshire Daily'!X33)</f>
        <v>0.19799999999997908</v>
      </c>
      <c r="U31" s="4">
        <f>IF(('Hampshire Daily'!Y34-'Hampshire Daily'!Y33&lt;0), "0",'Hampshire Daily'!Y34-'Hampshire Daily'!Y33)</f>
        <v>1.9999999999527063E-3</v>
      </c>
      <c r="V31" s="4">
        <f>IF(('Hampshire Daily'!Z34-'Hampshire Daily'!Z33&lt;0), "0",'Hampshire Daily'!Z34-'Hampshire Daily'!Z33)</f>
        <v>0</v>
      </c>
      <c r="W31" s="4">
        <v>0</v>
      </c>
      <c r="X31" s="4">
        <f>'Hampshire Daily'!B34</f>
        <v>10</v>
      </c>
      <c r="Y31" s="4">
        <f>'Hampshire Daily'!C34</f>
        <v>10</v>
      </c>
    </row>
    <row r="32" spans="1:25" x14ac:dyDescent="0.25">
      <c r="A32" s="3" t="s">
        <v>39</v>
      </c>
      <c r="B32" s="1">
        <f t="shared" si="0"/>
        <v>31</v>
      </c>
      <c r="C32" s="23">
        <v>5</v>
      </c>
      <c r="D32" s="1">
        <v>2020</v>
      </c>
      <c r="E32" s="4">
        <f>IF(('Hampshire Daily'!D35-'Hampshire Daily'!D34&lt;0), "0",('Hampshire Daily'!D35-'Hampshire Daily'!D34)*10)</f>
        <v>1750</v>
      </c>
      <c r="F32" s="4">
        <f>IF(('Hampshire Daily'!F35-'Hampshire Daily'!F34&lt;0), "0",('Hampshire Daily'!F35-'Hampshire Daily'!F34)*10)</f>
        <v>2020</v>
      </c>
      <c r="G32" s="4">
        <f>IF(('Hampshire Daily'!H35-'Hampshire Daily'!H34&lt;0), "0",'Hampshire Daily'!H35-'Hampshire Daily'!H34)</f>
        <v>253</v>
      </c>
      <c r="H32" s="4">
        <f>IF(('Hampshire Daily'!I35-'Hampshire Daily'!I34&lt;0), "0",'Hampshire Daily'!I35-'Hampshire Daily'!I34)</f>
        <v>6537553</v>
      </c>
      <c r="I32" s="4">
        <f>IF(('Hampshire Daily'!J35-'Hampshire Daily'!J34&lt;0), "0",'Hampshire Daily'!J35-'Hampshire Daily'!J34)</f>
        <v>31845</v>
      </c>
      <c r="J32" s="4">
        <f>IF(('Hampshire Daily'!K35-'Hampshire Daily'!K34&lt;0), "0",'Hampshire Daily'!K35-'Hampshire Daily'!K34)</f>
        <v>4436707</v>
      </c>
      <c r="K32" s="4">
        <f>IF(('Hampshire Daily'!L35-'Hampshire Daily'!L34&lt;0), "0",'Hampshire Daily'!L35-'Hampshire Daily'!L34)</f>
        <v>75</v>
      </c>
      <c r="L32" s="4">
        <f>IF(('Hampshire Daily'!M35-'Hampshire Daily'!M34&lt;0), "0",'Hampshire Daily'!M35-'Hampshire Daily'!M34)</f>
        <v>337</v>
      </c>
      <c r="M32" s="4">
        <f>IF(('Hampshire Daily'!N35-'Hampshire Daily'!N34&lt;0), "0",'Hampshire Daily'!N35-'Hampshire Daily'!N34)</f>
        <v>469</v>
      </c>
      <c r="N32" s="4">
        <f>IF(('Hampshire Daily'!O35-'Hampshire Daily'!O34&lt;0), "0",'Hampshire Daily'!O35-'Hampshire Daily'!O34)</f>
        <v>28</v>
      </c>
      <c r="O32" s="4">
        <f>IF(('Hampshire Daily'!P35-'Hampshire Daily'!P34&lt;0), "0",'Hampshire Daily'!P35-'Hampshire Daily'!P34)</f>
        <v>0</v>
      </c>
      <c r="P32" s="4">
        <f>IF(('Hampshire Daily'!Q35-'Hampshire Daily'!Q34&lt;0), "0",'Hampshire Daily'!Q35-'Hampshire Daily'!Q34)</f>
        <v>0</v>
      </c>
      <c r="Q32" s="4">
        <f>IF(('Hampshire Daily'!R35-'Hampshire Daily'!R34&lt;0), "0",'Hampshire Daily'!R35-'Hampshire Daily'!R34)</f>
        <v>0</v>
      </c>
      <c r="R32" s="4">
        <f>IF(('Hampshire Daily'!U35-'Hampshire Daily'!U34&lt;0), "0",'Hampshire Daily'!U35-'Hampshire Daily'!U34)</f>
        <v>0</v>
      </c>
      <c r="S32" s="4">
        <f>IF(('Hampshire Daily'!V35-'Hampshire Daily'!V34&lt;0), "0",'Hampshire Daily'!V35-'Hampshire Daily'!V34)</f>
        <v>0</v>
      </c>
      <c r="T32" s="4">
        <f>IF(('Hampshire Daily'!X35-'Hampshire Daily'!X34&lt;0), "0",'Hampshire Daily'!X35-'Hampshire Daily'!X34)</f>
        <v>0.19599999999996953</v>
      </c>
      <c r="U32" s="4">
        <f>IF(('Hampshire Daily'!Y35-'Hampshire Daily'!Y34&lt;0), "0",'Hampshire Daily'!Y35-'Hampshire Daily'!Y34)</f>
        <v>0</v>
      </c>
      <c r="V32" s="4">
        <f>IF(('Hampshire Daily'!Z35-'Hampshire Daily'!Z34&lt;0), "0",'Hampshire Daily'!Z35-'Hampshire Daily'!Z34)</f>
        <v>0</v>
      </c>
      <c r="W32" s="4">
        <v>0</v>
      </c>
      <c r="X32" s="4">
        <f>'Hampshire Daily'!B35</f>
        <v>10</v>
      </c>
      <c r="Y32" s="4">
        <f>'Hampshire Daily'!C35</f>
        <v>10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zoomScale="85" zoomScaleNormal="85" workbookViewId="0">
      <pane xSplit="1" topLeftCell="B1" activePane="topRight" state="frozen"/>
      <selection pane="topRight" activeCell="P5" sqref="P5"/>
    </sheetView>
  </sheetViews>
  <sheetFormatPr defaultRowHeight="15" x14ac:dyDescent="0.25"/>
  <cols>
    <col min="1" max="3" width="8.85546875" style="21" customWidth="1"/>
    <col min="26" max="26" width="10.42578125" style="33" bestFit="1" customWidth="1"/>
  </cols>
  <sheetData>
    <row r="1" spans="1:29" x14ac:dyDescent="0.25">
      <c r="A1" s="57"/>
      <c r="B1" s="24"/>
      <c r="C1" s="24"/>
      <c r="D1" s="60" t="s">
        <v>9</v>
      </c>
      <c r="E1" s="60"/>
      <c r="F1" s="60"/>
      <c r="G1" s="60"/>
      <c r="H1" s="60"/>
      <c r="I1" s="60"/>
      <c r="J1" s="60"/>
      <c r="K1" s="60"/>
      <c r="L1" s="60"/>
      <c r="M1" s="60"/>
      <c r="N1" s="47" t="s">
        <v>10</v>
      </c>
      <c r="O1" s="49" t="s">
        <v>11</v>
      </c>
      <c r="P1" s="16"/>
      <c r="Q1" s="16"/>
      <c r="R1" s="16"/>
      <c r="S1" s="52" t="s">
        <v>12</v>
      </c>
      <c r="T1" s="53"/>
      <c r="U1" s="49" t="s">
        <v>13</v>
      </c>
      <c r="V1" s="49" t="s">
        <v>14</v>
      </c>
      <c r="W1" s="17"/>
      <c r="X1" s="39" t="s">
        <v>15</v>
      </c>
      <c r="Y1" s="39" t="s">
        <v>16</v>
      </c>
      <c r="Z1" s="41" t="s">
        <v>17</v>
      </c>
      <c r="AA1" s="39" t="s">
        <v>18</v>
      </c>
    </row>
    <row r="2" spans="1:29" x14ac:dyDescent="0.25">
      <c r="A2" s="58"/>
      <c r="B2" s="43" t="s">
        <v>52</v>
      </c>
      <c r="C2" s="43" t="s">
        <v>53</v>
      </c>
      <c r="D2" s="43" t="s">
        <v>19</v>
      </c>
      <c r="E2" s="43" t="s">
        <v>20</v>
      </c>
      <c r="F2" s="43" t="s">
        <v>21</v>
      </c>
      <c r="G2" s="43" t="s">
        <v>22</v>
      </c>
      <c r="H2" s="45" t="s">
        <v>23</v>
      </c>
      <c r="I2" s="45" t="s">
        <v>24</v>
      </c>
      <c r="J2" s="45" t="s">
        <v>25</v>
      </c>
      <c r="K2" s="45" t="s">
        <v>26</v>
      </c>
      <c r="L2" s="45" t="s">
        <v>27</v>
      </c>
      <c r="M2" s="45" t="s">
        <v>28</v>
      </c>
      <c r="N2" s="48"/>
      <c r="O2" s="50"/>
      <c r="P2" s="18" t="s">
        <v>29</v>
      </c>
      <c r="Q2" s="18" t="s">
        <v>29</v>
      </c>
      <c r="R2" s="18" t="s">
        <v>29</v>
      </c>
      <c r="S2" s="54"/>
      <c r="T2" s="55"/>
      <c r="U2" s="50"/>
      <c r="V2" s="50"/>
      <c r="W2" s="40" t="s">
        <v>30</v>
      </c>
      <c r="X2" s="40"/>
      <c r="Y2" s="40"/>
      <c r="Z2" s="42"/>
      <c r="AA2" s="40"/>
    </row>
    <row r="3" spans="1:29" ht="27" customHeight="1" thickBot="1" x14ac:dyDescent="0.3">
      <c r="A3" s="59"/>
      <c r="B3" s="44"/>
      <c r="C3" s="44"/>
      <c r="D3" s="44"/>
      <c r="E3" s="44"/>
      <c r="F3" s="44"/>
      <c r="G3" s="44"/>
      <c r="H3" s="46"/>
      <c r="I3" s="46"/>
      <c r="J3" s="46"/>
      <c r="K3" s="46"/>
      <c r="L3" s="46"/>
      <c r="M3" s="61"/>
      <c r="N3" s="48"/>
      <c r="O3" s="51"/>
      <c r="P3" s="28">
        <v>2</v>
      </c>
      <c r="Q3" s="28">
        <v>3</v>
      </c>
      <c r="R3" s="28">
        <v>4</v>
      </c>
      <c r="S3" s="56"/>
      <c r="T3" s="55"/>
      <c r="U3" s="51"/>
      <c r="V3" s="51"/>
      <c r="W3" s="40"/>
      <c r="X3" s="40"/>
      <c r="Y3" s="40"/>
      <c r="Z3" s="42"/>
      <c r="AA3" s="40"/>
    </row>
    <row r="4" spans="1:29" s="27" customFormat="1" ht="19.7" customHeight="1" x14ac:dyDescent="0.25">
      <c r="A4" s="26">
        <v>121</v>
      </c>
      <c r="B4" s="35">
        <v>10</v>
      </c>
      <c r="C4" s="35">
        <v>10</v>
      </c>
      <c r="D4" s="30">
        <v>886126</v>
      </c>
      <c r="E4" s="30">
        <v>888604</v>
      </c>
      <c r="F4" s="30">
        <v>115356</v>
      </c>
      <c r="G4" s="30">
        <v>114615</v>
      </c>
      <c r="H4" s="30">
        <v>78541</v>
      </c>
      <c r="I4" s="30">
        <v>6510352</v>
      </c>
      <c r="J4" s="30">
        <v>31845</v>
      </c>
      <c r="K4" s="30">
        <v>4413538</v>
      </c>
      <c r="L4" s="30">
        <v>435223</v>
      </c>
      <c r="M4" s="30">
        <v>2569532</v>
      </c>
      <c r="N4" s="30">
        <v>324178</v>
      </c>
      <c r="O4" s="30">
        <v>325815</v>
      </c>
      <c r="P4" s="30">
        <v>1438607</v>
      </c>
      <c r="Q4" s="30">
        <v>447980</v>
      </c>
      <c r="R4" s="30">
        <v>480</v>
      </c>
      <c r="S4" s="30">
        <v>316394</v>
      </c>
      <c r="T4" s="30">
        <v>12773</v>
      </c>
      <c r="U4" s="30">
        <v>48789</v>
      </c>
      <c r="V4" s="30">
        <v>29963</v>
      </c>
      <c r="W4" s="37"/>
      <c r="X4" s="30">
        <v>335.00200000000001</v>
      </c>
      <c r="Y4" s="30">
        <v>798.40499999999997</v>
      </c>
      <c r="Z4" s="30">
        <v>3875.306</v>
      </c>
      <c r="AA4" s="29"/>
    </row>
    <row r="5" spans="1:29" s="22" customFormat="1" x14ac:dyDescent="0.25">
      <c r="A5" s="20">
        <v>122</v>
      </c>
      <c r="B5" s="36">
        <v>10</v>
      </c>
      <c r="C5" s="36">
        <v>10</v>
      </c>
      <c r="D5" s="30">
        <v>886291</v>
      </c>
      <c r="E5" s="30">
        <v>888770</v>
      </c>
      <c r="F5" s="30">
        <v>115573</v>
      </c>
      <c r="G5" s="30">
        <v>114833</v>
      </c>
      <c r="H5" s="30">
        <v>78864</v>
      </c>
      <c r="I5" s="30"/>
      <c r="J5" s="30"/>
      <c r="K5" s="30"/>
      <c r="L5" s="30">
        <v>435297</v>
      </c>
      <c r="M5" s="30">
        <v>2569876</v>
      </c>
      <c r="N5" s="30">
        <v>325219</v>
      </c>
      <c r="O5" s="30">
        <v>325856</v>
      </c>
      <c r="P5" s="30">
        <v>1438607</v>
      </c>
      <c r="Q5" s="30">
        <v>447980</v>
      </c>
      <c r="R5" s="30">
        <v>480</v>
      </c>
      <c r="S5" s="30">
        <v>316410</v>
      </c>
      <c r="T5" s="30">
        <v>12790</v>
      </c>
      <c r="U5" s="30">
        <v>48791</v>
      </c>
      <c r="V5" s="30">
        <v>29964</v>
      </c>
      <c r="W5" s="38"/>
      <c r="X5" s="30">
        <v>335.00200000000001</v>
      </c>
      <c r="Y5" s="30">
        <v>798.53200000000004</v>
      </c>
      <c r="Z5" s="30">
        <v>3875.306</v>
      </c>
      <c r="AA5" s="30"/>
    </row>
    <row r="6" spans="1:29" x14ac:dyDescent="0.25">
      <c r="A6" s="20">
        <v>123</v>
      </c>
      <c r="B6" s="36">
        <v>10</v>
      </c>
      <c r="C6" s="36">
        <v>10</v>
      </c>
      <c r="D6" s="30">
        <v>886472</v>
      </c>
      <c r="E6" s="30">
        <v>888951</v>
      </c>
      <c r="F6" s="30">
        <v>115805</v>
      </c>
      <c r="G6" s="30">
        <v>115064</v>
      </c>
      <c r="H6" s="30">
        <v>79243</v>
      </c>
      <c r="I6" s="30"/>
      <c r="J6" s="30"/>
      <c r="K6" s="30"/>
      <c r="L6" s="30">
        <v>435386</v>
      </c>
      <c r="M6" s="30">
        <v>2570194</v>
      </c>
      <c r="N6" s="30">
        <v>326207</v>
      </c>
      <c r="O6" s="30">
        <v>325886</v>
      </c>
      <c r="P6" s="30">
        <v>1438607</v>
      </c>
      <c r="Q6" s="30">
        <v>447980</v>
      </c>
      <c r="R6" s="30">
        <v>480</v>
      </c>
      <c r="S6" s="30">
        <v>316436</v>
      </c>
      <c r="T6" s="30">
        <v>12819</v>
      </c>
      <c r="U6" s="30">
        <v>48792</v>
      </c>
      <c r="V6" s="30">
        <v>29966</v>
      </c>
      <c r="W6" s="38"/>
      <c r="X6" s="30">
        <v>335.08699999999999</v>
      </c>
      <c r="Y6" s="30">
        <v>798.69200000000001</v>
      </c>
      <c r="Z6" s="30">
        <v>3875.306</v>
      </c>
      <c r="AA6" s="30"/>
    </row>
    <row r="7" spans="1:29" x14ac:dyDescent="0.25">
      <c r="A7" s="20">
        <v>124</v>
      </c>
      <c r="B7" s="36">
        <v>10</v>
      </c>
      <c r="C7" s="36">
        <v>10</v>
      </c>
      <c r="D7" s="30">
        <v>886640</v>
      </c>
      <c r="E7" s="30">
        <v>889119</v>
      </c>
      <c r="F7" s="30">
        <v>116033</v>
      </c>
      <c r="G7" s="30">
        <v>115293</v>
      </c>
      <c r="H7" s="30">
        <v>79612</v>
      </c>
      <c r="I7" s="30"/>
      <c r="J7" s="30"/>
      <c r="K7" s="30"/>
      <c r="L7" s="30">
        <v>435475</v>
      </c>
      <c r="M7" s="30">
        <v>2570514</v>
      </c>
      <c r="N7" s="30">
        <v>327195</v>
      </c>
      <c r="O7" s="30">
        <v>325941</v>
      </c>
      <c r="P7" s="30">
        <v>1438607</v>
      </c>
      <c r="Q7" s="30">
        <v>447980</v>
      </c>
      <c r="R7" s="30">
        <v>480</v>
      </c>
      <c r="S7" s="30">
        <v>316451</v>
      </c>
      <c r="T7" s="30">
        <v>12835</v>
      </c>
      <c r="U7" s="30">
        <v>48794</v>
      </c>
      <c r="V7" s="30">
        <v>29976</v>
      </c>
      <c r="W7" s="38"/>
      <c r="X7" s="30">
        <v>335.29599999999999</v>
      </c>
      <c r="Y7" s="30">
        <v>798.99099999999999</v>
      </c>
      <c r="Z7" s="30">
        <v>3875.306</v>
      </c>
      <c r="AA7" s="30"/>
    </row>
    <row r="8" spans="1:29" x14ac:dyDescent="0.25">
      <c r="A8" s="20">
        <v>125</v>
      </c>
      <c r="B8" s="36">
        <v>10</v>
      </c>
      <c r="C8" s="36">
        <v>10</v>
      </c>
      <c r="D8" s="30">
        <v>886806</v>
      </c>
      <c r="E8" s="30">
        <v>889286</v>
      </c>
      <c r="F8" s="30">
        <v>116254</v>
      </c>
      <c r="G8" s="30">
        <v>115513</v>
      </c>
      <c r="H8" s="30">
        <v>79964</v>
      </c>
      <c r="I8" s="30"/>
      <c r="J8" s="30"/>
      <c r="K8" s="30"/>
      <c r="L8" s="30">
        <v>435564</v>
      </c>
      <c r="M8" s="30">
        <v>2570830</v>
      </c>
      <c r="N8" s="30">
        <v>328118</v>
      </c>
      <c r="O8" s="30">
        <v>325974</v>
      </c>
      <c r="P8" s="30">
        <v>1438607</v>
      </c>
      <c r="Q8" s="30">
        <v>447980</v>
      </c>
      <c r="R8" s="30">
        <v>480</v>
      </c>
      <c r="S8" s="30">
        <v>316472</v>
      </c>
      <c r="T8" s="30">
        <v>12856</v>
      </c>
      <c r="U8" s="30">
        <v>48795</v>
      </c>
      <c r="V8" s="30">
        <v>29977</v>
      </c>
      <c r="W8" s="38"/>
      <c r="X8" s="30">
        <v>335.52300000000002</v>
      </c>
      <c r="Y8" s="30">
        <v>799.44399999999996</v>
      </c>
      <c r="Z8" s="30">
        <v>3875.306</v>
      </c>
      <c r="AA8" s="30"/>
      <c r="AC8" s="22"/>
    </row>
    <row r="9" spans="1:29" x14ac:dyDescent="0.25">
      <c r="A9" s="20">
        <v>126</v>
      </c>
      <c r="B9" s="36">
        <v>10</v>
      </c>
      <c r="C9" s="36">
        <v>10</v>
      </c>
      <c r="D9" s="30">
        <v>886981</v>
      </c>
      <c r="E9" s="30">
        <v>889461</v>
      </c>
      <c r="F9" s="30">
        <v>116479</v>
      </c>
      <c r="G9" s="30">
        <v>115738</v>
      </c>
      <c r="H9" s="30">
        <v>80364</v>
      </c>
      <c r="I9" s="30"/>
      <c r="J9" s="30"/>
      <c r="K9" s="30"/>
      <c r="L9" s="30">
        <v>435653</v>
      </c>
      <c r="M9" s="30">
        <v>2571151</v>
      </c>
      <c r="N9" s="30">
        <v>329003</v>
      </c>
      <c r="O9" s="30">
        <v>326047</v>
      </c>
      <c r="P9" s="30">
        <v>1438607</v>
      </c>
      <c r="Q9" s="30">
        <v>447980</v>
      </c>
      <c r="R9" s="30">
        <v>480</v>
      </c>
      <c r="S9" s="30">
        <v>316491</v>
      </c>
      <c r="T9" s="30">
        <v>12878</v>
      </c>
      <c r="U9" s="30">
        <v>48797</v>
      </c>
      <c r="V9" s="30">
        <v>29979</v>
      </c>
      <c r="W9" s="38"/>
      <c r="X9" s="30">
        <v>335.75900000000001</v>
      </c>
      <c r="Y9" s="30">
        <v>799.90800000000002</v>
      </c>
      <c r="Z9" s="30">
        <v>3875.306</v>
      </c>
      <c r="AA9" s="30"/>
      <c r="AC9" s="22"/>
    </row>
    <row r="10" spans="1:29" x14ac:dyDescent="0.25">
      <c r="A10" s="20">
        <v>127</v>
      </c>
      <c r="B10" s="36">
        <v>10</v>
      </c>
      <c r="C10" s="36">
        <v>10</v>
      </c>
      <c r="D10" s="30">
        <v>887158</v>
      </c>
      <c r="E10" s="30">
        <v>889638</v>
      </c>
      <c r="F10" s="30">
        <v>116707</v>
      </c>
      <c r="G10" s="30">
        <v>115966</v>
      </c>
      <c r="H10" s="30">
        <v>80761</v>
      </c>
      <c r="I10" s="30"/>
      <c r="J10" s="30"/>
      <c r="K10" s="30"/>
      <c r="L10" s="30">
        <v>435742</v>
      </c>
      <c r="M10" s="30">
        <v>2571472</v>
      </c>
      <c r="N10" s="30">
        <v>329968</v>
      </c>
      <c r="O10" s="30">
        <v>326076</v>
      </c>
      <c r="P10" s="30">
        <v>1438607</v>
      </c>
      <c r="Q10" s="30">
        <v>447980</v>
      </c>
      <c r="R10" s="30">
        <v>480</v>
      </c>
      <c r="S10" s="30">
        <v>316505</v>
      </c>
      <c r="T10" s="30">
        <v>12904</v>
      </c>
      <c r="U10" s="30">
        <v>48800</v>
      </c>
      <c r="V10" s="30">
        <v>29980</v>
      </c>
      <c r="W10" s="38"/>
      <c r="X10" s="30">
        <v>335.995</v>
      </c>
      <c r="Y10" s="30">
        <v>800.34699999999998</v>
      </c>
      <c r="Z10" s="30">
        <v>3875.306</v>
      </c>
      <c r="AA10" s="30"/>
      <c r="AC10" s="32"/>
    </row>
    <row r="11" spans="1:29" x14ac:dyDescent="0.25">
      <c r="A11" s="20">
        <v>128</v>
      </c>
      <c r="B11" s="36">
        <v>10</v>
      </c>
      <c r="C11" s="36">
        <v>10</v>
      </c>
      <c r="D11" s="30">
        <v>887321</v>
      </c>
      <c r="E11" s="30">
        <v>889800</v>
      </c>
      <c r="F11" s="30">
        <v>116895</v>
      </c>
      <c r="G11" s="30">
        <v>116154</v>
      </c>
      <c r="H11" s="30">
        <v>81138</v>
      </c>
      <c r="I11" s="30"/>
      <c r="J11" s="30"/>
      <c r="K11" s="30"/>
      <c r="L11" s="30">
        <v>435905</v>
      </c>
      <c r="M11" s="30">
        <v>2571793</v>
      </c>
      <c r="N11" s="30">
        <v>330740</v>
      </c>
      <c r="O11" s="30">
        <v>326096</v>
      </c>
      <c r="P11" s="30">
        <v>1438607</v>
      </c>
      <c r="Q11" s="30">
        <v>447980</v>
      </c>
      <c r="R11" s="30">
        <v>480</v>
      </c>
      <c r="S11" s="30">
        <v>316507</v>
      </c>
      <c r="T11" s="30">
        <v>12911</v>
      </c>
      <c r="U11" s="30">
        <v>48800</v>
      </c>
      <c r="V11" s="30">
        <v>29980</v>
      </c>
      <c r="W11" s="38"/>
      <c r="X11" s="30">
        <v>336.197</v>
      </c>
      <c r="Y11" s="30">
        <v>800.83100000000002</v>
      </c>
      <c r="Z11" s="30">
        <v>3875.306</v>
      </c>
      <c r="AA11" s="30"/>
      <c r="AC11" s="32"/>
    </row>
    <row r="12" spans="1:29" x14ac:dyDescent="0.25">
      <c r="A12" s="20">
        <v>129</v>
      </c>
      <c r="B12" s="36">
        <v>10</v>
      </c>
      <c r="C12" s="36">
        <v>10</v>
      </c>
      <c r="D12" s="30">
        <v>887488</v>
      </c>
      <c r="E12" s="30">
        <v>889968</v>
      </c>
      <c r="F12" s="30">
        <v>117084</v>
      </c>
      <c r="G12" s="30">
        <v>116343</v>
      </c>
      <c r="H12" s="30">
        <v>81436</v>
      </c>
      <c r="I12" s="30"/>
      <c r="J12" s="30"/>
      <c r="K12" s="30"/>
      <c r="L12" s="30">
        <v>435994</v>
      </c>
      <c r="M12" s="30">
        <v>2572104</v>
      </c>
      <c r="N12" s="30">
        <v>331412</v>
      </c>
      <c r="O12" s="30">
        <v>326151</v>
      </c>
      <c r="P12" s="30">
        <v>1438607</v>
      </c>
      <c r="Q12" s="30">
        <v>447980</v>
      </c>
      <c r="R12" s="30">
        <v>480</v>
      </c>
      <c r="S12" s="30">
        <v>316522</v>
      </c>
      <c r="T12" s="30">
        <v>12946</v>
      </c>
      <c r="U12" s="30">
        <v>48801</v>
      </c>
      <c r="V12" s="30">
        <v>29980</v>
      </c>
      <c r="W12" s="38"/>
      <c r="X12" s="30">
        <v>336.43799999999999</v>
      </c>
      <c r="Y12" s="30">
        <v>801.17499999999995</v>
      </c>
      <c r="Z12" s="30">
        <v>3875.306</v>
      </c>
      <c r="AA12" s="30"/>
      <c r="AC12" s="32"/>
    </row>
    <row r="13" spans="1:29" x14ac:dyDescent="0.25">
      <c r="A13" s="20">
        <v>130</v>
      </c>
      <c r="B13" s="36">
        <v>10</v>
      </c>
      <c r="C13" s="36">
        <v>10</v>
      </c>
      <c r="D13" s="30">
        <v>887652</v>
      </c>
      <c r="E13" s="30">
        <v>890132</v>
      </c>
      <c r="F13" s="30">
        <v>117285</v>
      </c>
      <c r="G13" s="30">
        <v>116544</v>
      </c>
      <c r="H13" s="30">
        <v>81747</v>
      </c>
      <c r="I13" s="30"/>
      <c r="J13" s="30"/>
      <c r="K13" s="30"/>
      <c r="L13" s="30">
        <v>436083</v>
      </c>
      <c r="M13" s="30">
        <v>2572417</v>
      </c>
      <c r="N13" s="30">
        <v>331980</v>
      </c>
      <c r="O13" s="30">
        <v>326176</v>
      </c>
      <c r="P13" s="30">
        <v>1438607</v>
      </c>
      <c r="Q13" s="30">
        <v>447980</v>
      </c>
      <c r="R13" s="30">
        <v>480</v>
      </c>
      <c r="S13" s="30">
        <v>316522</v>
      </c>
      <c r="T13" s="30">
        <v>12965</v>
      </c>
      <c r="U13" s="30">
        <v>48801</v>
      </c>
      <c r="V13" s="30">
        <v>29980</v>
      </c>
      <c r="W13" s="38"/>
      <c r="X13" s="30">
        <v>336.71499999999997</v>
      </c>
      <c r="Y13" s="30">
        <v>801.51199999999994</v>
      </c>
      <c r="Z13" s="30">
        <v>3875.306</v>
      </c>
      <c r="AA13" s="30"/>
      <c r="AC13" s="32"/>
    </row>
    <row r="14" spans="1:29" x14ac:dyDescent="0.25">
      <c r="A14" s="20">
        <v>131</v>
      </c>
      <c r="B14" s="36">
        <v>10</v>
      </c>
      <c r="C14" s="36">
        <v>10</v>
      </c>
      <c r="D14" s="30">
        <v>887856</v>
      </c>
      <c r="E14" s="30">
        <v>890336</v>
      </c>
      <c r="F14" s="30">
        <v>117497</v>
      </c>
      <c r="G14" s="30">
        <v>116756</v>
      </c>
      <c r="H14" s="30">
        <v>82034</v>
      </c>
      <c r="I14" s="30"/>
      <c r="J14" s="30"/>
      <c r="K14" s="30"/>
      <c r="L14" s="30">
        <v>436172</v>
      </c>
      <c r="M14" s="30">
        <v>2572731</v>
      </c>
      <c r="N14" s="30">
        <v>332528</v>
      </c>
      <c r="O14" s="30">
        <v>326212</v>
      </c>
      <c r="P14" s="30">
        <v>1438607</v>
      </c>
      <c r="Q14" s="30">
        <v>448089</v>
      </c>
      <c r="R14" s="30">
        <v>481</v>
      </c>
      <c r="S14" s="30">
        <v>316522</v>
      </c>
      <c r="T14" s="30">
        <v>12985</v>
      </c>
      <c r="U14" s="30">
        <v>48801</v>
      </c>
      <c r="V14" s="30">
        <v>29980</v>
      </c>
      <c r="W14" s="38"/>
      <c r="X14" s="30">
        <v>336.97</v>
      </c>
      <c r="Y14" s="30">
        <v>801.81700000000001</v>
      </c>
      <c r="Z14" s="30">
        <v>3875.306</v>
      </c>
      <c r="AA14" s="30"/>
      <c r="AC14" s="32"/>
    </row>
    <row r="15" spans="1:29" x14ac:dyDescent="0.25">
      <c r="A15" s="20">
        <v>132</v>
      </c>
      <c r="B15" s="36">
        <v>10</v>
      </c>
      <c r="C15" s="36">
        <v>10</v>
      </c>
      <c r="D15" s="30">
        <v>888043</v>
      </c>
      <c r="E15" s="30">
        <v>890523</v>
      </c>
      <c r="F15" s="30">
        <v>117730</v>
      </c>
      <c r="G15" s="30">
        <v>116989</v>
      </c>
      <c r="H15" s="30">
        <v>82462</v>
      </c>
      <c r="I15" s="30"/>
      <c r="J15" s="30"/>
      <c r="K15" s="30"/>
      <c r="L15" s="30">
        <v>436261</v>
      </c>
      <c r="M15" s="30">
        <v>2573083</v>
      </c>
      <c r="N15" s="30">
        <v>333534</v>
      </c>
      <c r="O15" s="30">
        <v>326262</v>
      </c>
      <c r="P15" s="30">
        <v>1438607</v>
      </c>
      <c r="Q15" s="30">
        <v>448089</v>
      </c>
      <c r="R15" s="30">
        <v>481</v>
      </c>
      <c r="S15" s="30">
        <v>316528</v>
      </c>
      <c r="T15" s="30">
        <v>13011</v>
      </c>
      <c r="U15" s="30">
        <v>48801</v>
      </c>
      <c r="V15" s="30">
        <v>29993</v>
      </c>
      <c r="W15" s="38"/>
      <c r="X15" s="30">
        <v>337.30500000000001</v>
      </c>
      <c r="Y15" s="30">
        <v>801.83600000000001</v>
      </c>
      <c r="Z15" s="30">
        <v>3875.306</v>
      </c>
      <c r="AA15" s="30"/>
      <c r="AC15" s="32"/>
    </row>
    <row r="16" spans="1:29" x14ac:dyDescent="0.25">
      <c r="A16" s="20">
        <v>133</v>
      </c>
      <c r="B16" s="36">
        <v>10</v>
      </c>
      <c r="C16" s="36">
        <v>10</v>
      </c>
      <c r="D16" s="30">
        <v>888206</v>
      </c>
      <c r="E16" s="30">
        <v>890687</v>
      </c>
      <c r="F16" s="30">
        <v>117938</v>
      </c>
      <c r="G16" s="30">
        <v>117197</v>
      </c>
      <c r="H16" s="30">
        <v>82851</v>
      </c>
      <c r="I16" s="30"/>
      <c r="J16" s="30"/>
      <c r="K16" s="30"/>
      <c r="L16" s="30">
        <v>436350</v>
      </c>
      <c r="M16" s="30">
        <v>2573398</v>
      </c>
      <c r="N16" s="30">
        <v>334542</v>
      </c>
      <c r="O16" s="30">
        <v>326295</v>
      </c>
      <c r="P16" s="30">
        <v>1438607</v>
      </c>
      <c r="Q16" s="30">
        <v>448089</v>
      </c>
      <c r="R16" s="30">
        <v>481</v>
      </c>
      <c r="S16" s="30">
        <v>316528</v>
      </c>
      <c r="T16" s="30">
        <v>13030</v>
      </c>
      <c r="U16" s="30">
        <v>48801</v>
      </c>
      <c r="V16" s="30">
        <v>29993</v>
      </c>
      <c r="W16" s="38"/>
      <c r="X16" s="30">
        <v>337.56200000000001</v>
      </c>
      <c r="Y16" s="30">
        <v>801.89700000000005</v>
      </c>
      <c r="Z16" s="30">
        <v>3875.306</v>
      </c>
      <c r="AA16" s="30"/>
      <c r="AC16" s="32"/>
    </row>
    <row r="17" spans="1:29" x14ac:dyDescent="0.25">
      <c r="A17" s="20">
        <v>134</v>
      </c>
      <c r="B17" s="36">
        <v>10</v>
      </c>
      <c r="C17" s="36">
        <v>10</v>
      </c>
      <c r="D17" s="19">
        <v>888370</v>
      </c>
      <c r="E17" s="19">
        <v>890851</v>
      </c>
      <c r="F17" s="19">
        <v>118123</v>
      </c>
      <c r="G17" s="19">
        <v>117382</v>
      </c>
      <c r="H17" s="19">
        <v>83192</v>
      </c>
      <c r="I17" s="30"/>
      <c r="J17" s="30"/>
      <c r="K17" s="19"/>
      <c r="L17" s="19">
        <v>436439</v>
      </c>
      <c r="M17" s="19">
        <v>2573713</v>
      </c>
      <c r="N17" s="19">
        <v>335336</v>
      </c>
      <c r="O17" s="19">
        <v>326328</v>
      </c>
      <c r="P17" s="19">
        <v>1438607</v>
      </c>
      <c r="Q17" s="19">
        <v>448089</v>
      </c>
      <c r="R17" s="19">
        <v>481</v>
      </c>
      <c r="S17" s="19">
        <v>316528</v>
      </c>
      <c r="T17" s="19">
        <v>13048</v>
      </c>
      <c r="U17" s="19">
        <v>48801</v>
      </c>
      <c r="V17" s="19">
        <v>29993</v>
      </c>
      <c r="W17" s="38"/>
      <c r="X17" s="19">
        <v>337.78399999999999</v>
      </c>
      <c r="Y17" s="19">
        <v>801.97400000000005</v>
      </c>
      <c r="Z17" s="19">
        <v>3875.306</v>
      </c>
      <c r="AA17" s="31"/>
      <c r="AC17" s="32"/>
    </row>
    <row r="18" spans="1:29" x14ac:dyDescent="0.25">
      <c r="A18" s="20">
        <v>135</v>
      </c>
      <c r="B18" s="36">
        <v>10</v>
      </c>
      <c r="C18" s="36">
        <v>10</v>
      </c>
      <c r="D18" s="19">
        <v>888540</v>
      </c>
      <c r="E18" s="19">
        <v>891020</v>
      </c>
      <c r="F18" s="19">
        <v>118330</v>
      </c>
      <c r="G18" s="19">
        <v>117589</v>
      </c>
      <c r="H18" s="19">
        <v>83596</v>
      </c>
      <c r="I18" s="30"/>
      <c r="J18" s="30"/>
      <c r="K18" s="19"/>
      <c r="L18" s="19">
        <v>436528</v>
      </c>
      <c r="M18" s="19">
        <v>2574040</v>
      </c>
      <c r="N18" s="19">
        <v>336156</v>
      </c>
      <c r="O18" s="19">
        <v>326376</v>
      </c>
      <c r="P18" s="19">
        <v>1438607</v>
      </c>
      <c r="Q18" s="19">
        <v>448089</v>
      </c>
      <c r="R18" s="19">
        <v>481</v>
      </c>
      <c r="S18" s="19">
        <v>316534</v>
      </c>
      <c r="T18" s="19">
        <v>13070</v>
      </c>
      <c r="U18" s="19">
        <v>48801</v>
      </c>
      <c r="V18" s="19">
        <v>29993</v>
      </c>
      <c r="W18" s="38"/>
      <c r="X18" s="19">
        <v>338.06400000000002</v>
      </c>
      <c r="Y18" s="19">
        <v>802.07899999999995</v>
      </c>
      <c r="Z18" s="19">
        <v>3875.306</v>
      </c>
      <c r="AA18" s="31"/>
      <c r="AC18" s="32"/>
    </row>
    <row r="19" spans="1:29" x14ac:dyDescent="0.25">
      <c r="A19" s="20">
        <v>136</v>
      </c>
      <c r="B19" s="36">
        <v>10</v>
      </c>
      <c r="C19" s="36">
        <v>10</v>
      </c>
      <c r="D19" s="19">
        <v>888723</v>
      </c>
      <c r="E19" s="19">
        <v>891204</v>
      </c>
      <c r="F19" s="19">
        <v>118531</v>
      </c>
      <c r="G19" s="19">
        <v>117790</v>
      </c>
      <c r="H19" s="34">
        <v>84026</v>
      </c>
      <c r="I19" s="19"/>
      <c r="J19" s="19"/>
      <c r="K19" s="19"/>
      <c r="L19" s="19">
        <v>436617</v>
      </c>
      <c r="M19" s="19">
        <v>2574361</v>
      </c>
      <c r="N19" s="19">
        <v>337010</v>
      </c>
      <c r="O19" s="19">
        <v>326408</v>
      </c>
      <c r="P19" s="19">
        <v>1438607</v>
      </c>
      <c r="Q19" s="19">
        <v>448134</v>
      </c>
      <c r="R19" s="19">
        <v>481</v>
      </c>
      <c r="S19" s="19">
        <v>316535</v>
      </c>
      <c r="T19" s="19">
        <v>13091</v>
      </c>
      <c r="U19" s="19">
        <v>48802</v>
      </c>
      <c r="V19" s="19">
        <v>29993</v>
      </c>
      <c r="W19" s="38"/>
      <c r="X19" s="19">
        <v>338.42200000000003</v>
      </c>
      <c r="Y19" s="19">
        <v>802.20500000000004</v>
      </c>
      <c r="Z19" s="19">
        <v>3875.306</v>
      </c>
      <c r="AA19" s="31"/>
      <c r="AC19" s="32"/>
    </row>
    <row r="20" spans="1:29" x14ac:dyDescent="0.25">
      <c r="A20" s="20">
        <v>137</v>
      </c>
      <c r="B20" s="36">
        <v>10</v>
      </c>
      <c r="C20" s="36">
        <v>10</v>
      </c>
      <c r="D20" s="19">
        <v>888924</v>
      </c>
      <c r="E20" s="19">
        <v>891406</v>
      </c>
      <c r="F20" s="19">
        <v>118751</v>
      </c>
      <c r="G20" s="19">
        <v>118009</v>
      </c>
      <c r="H20" s="19">
        <v>84452</v>
      </c>
      <c r="I20" s="19"/>
      <c r="J20" s="19"/>
      <c r="K20" s="19"/>
      <c r="L20" s="19">
        <v>436706</v>
      </c>
      <c r="M20" s="19">
        <v>2574682</v>
      </c>
      <c r="N20" s="19">
        <v>337816</v>
      </c>
      <c r="O20" s="19">
        <v>326451</v>
      </c>
      <c r="P20" s="19">
        <v>1438607</v>
      </c>
      <c r="Q20" s="19">
        <v>448251</v>
      </c>
      <c r="R20" s="19">
        <v>481</v>
      </c>
      <c r="S20" s="19">
        <v>316537</v>
      </c>
      <c r="T20" s="19">
        <v>13112</v>
      </c>
      <c r="U20" s="19">
        <v>48802</v>
      </c>
      <c r="V20" s="19">
        <v>29993</v>
      </c>
      <c r="W20" s="38"/>
      <c r="X20" s="19">
        <v>338.83800000000002</v>
      </c>
      <c r="Y20" s="19">
        <v>802.24199999999996</v>
      </c>
      <c r="Z20" s="19">
        <v>3875.306</v>
      </c>
      <c r="AA20" s="31"/>
      <c r="AC20" s="32"/>
    </row>
    <row r="21" spans="1:29" x14ac:dyDescent="0.25">
      <c r="A21" s="20">
        <v>138</v>
      </c>
      <c r="B21" s="36">
        <v>10</v>
      </c>
      <c r="C21" s="36">
        <v>10</v>
      </c>
      <c r="D21" s="19">
        <v>889076</v>
      </c>
      <c r="E21" s="19">
        <v>891557</v>
      </c>
      <c r="F21" s="19">
        <v>118916</v>
      </c>
      <c r="G21" s="19">
        <v>118174</v>
      </c>
      <c r="H21" s="19">
        <v>84813</v>
      </c>
      <c r="I21" s="19"/>
      <c r="J21" s="19"/>
      <c r="K21" s="19"/>
      <c r="L21" s="19">
        <v>436788</v>
      </c>
      <c r="M21" s="19">
        <v>2575054</v>
      </c>
      <c r="N21" s="19">
        <v>338435</v>
      </c>
      <c r="O21" s="19">
        <v>326471</v>
      </c>
      <c r="P21" s="19">
        <v>1438607</v>
      </c>
      <c r="Q21" s="19">
        <v>448251</v>
      </c>
      <c r="R21" s="19">
        <v>481</v>
      </c>
      <c r="S21" s="19">
        <v>316545</v>
      </c>
      <c r="T21" s="19">
        <v>13134</v>
      </c>
      <c r="U21" s="19">
        <v>48802</v>
      </c>
      <c r="V21" s="19">
        <v>29993</v>
      </c>
      <c r="W21" s="38"/>
      <c r="X21" s="19">
        <v>339.096</v>
      </c>
      <c r="Y21" s="19">
        <v>802.25</v>
      </c>
      <c r="Z21" s="19">
        <v>3875.306</v>
      </c>
      <c r="AA21" s="31"/>
      <c r="AC21" s="22"/>
    </row>
    <row r="22" spans="1:29" x14ac:dyDescent="0.25">
      <c r="A22" s="20">
        <v>139</v>
      </c>
      <c r="B22" s="36">
        <v>10</v>
      </c>
      <c r="C22" s="36">
        <v>10</v>
      </c>
      <c r="D22" s="19">
        <v>889249</v>
      </c>
      <c r="E22" s="19">
        <v>891730</v>
      </c>
      <c r="F22" s="19">
        <v>119105</v>
      </c>
      <c r="G22" s="19">
        <v>118364</v>
      </c>
      <c r="H22" s="19">
        <v>85195</v>
      </c>
      <c r="I22" s="19"/>
      <c r="J22" s="19"/>
      <c r="K22" s="19"/>
      <c r="L22" s="19">
        <v>436877</v>
      </c>
      <c r="M22" s="19">
        <v>2575394</v>
      </c>
      <c r="N22" s="19">
        <v>339512</v>
      </c>
      <c r="O22" s="19">
        <v>326512</v>
      </c>
      <c r="P22" s="19">
        <v>1438607</v>
      </c>
      <c r="Q22" s="19">
        <v>448251</v>
      </c>
      <c r="R22" s="19">
        <v>481</v>
      </c>
      <c r="S22" s="19">
        <v>316548</v>
      </c>
      <c r="T22" s="19">
        <v>13155</v>
      </c>
      <c r="U22" s="19">
        <v>48802</v>
      </c>
      <c r="V22" s="19">
        <v>29999</v>
      </c>
      <c r="W22" s="38"/>
      <c r="X22" s="19">
        <v>339.44499999999999</v>
      </c>
      <c r="Y22" s="19">
        <v>802.33</v>
      </c>
      <c r="Z22" s="19">
        <v>3875.306</v>
      </c>
      <c r="AA22" s="31"/>
    </row>
    <row r="23" spans="1:29" x14ac:dyDescent="0.25">
      <c r="A23" s="20">
        <v>140</v>
      </c>
      <c r="B23" s="36">
        <v>10</v>
      </c>
      <c r="C23" s="36">
        <v>10</v>
      </c>
      <c r="D23" s="19">
        <v>889416</v>
      </c>
      <c r="E23" s="19">
        <v>891898</v>
      </c>
      <c r="F23" s="19">
        <v>119271</v>
      </c>
      <c r="G23" s="19">
        <v>118529</v>
      </c>
      <c r="H23" s="19">
        <v>85509</v>
      </c>
      <c r="I23" s="19"/>
      <c r="J23" s="19"/>
      <c r="K23" s="19"/>
      <c r="L23" s="19">
        <v>436966</v>
      </c>
      <c r="M23" s="19">
        <v>2575734</v>
      </c>
      <c r="N23" s="19">
        <v>339701</v>
      </c>
      <c r="O23" s="19">
        <v>326538</v>
      </c>
      <c r="P23" s="19">
        <v>1438607</v>
      </c>
      <c r="Q23" s="19">
        <v>448251</v>
      </c>
      <c r="R23" s="19">
        <v>481</v>
      </c>
      <c r="S23" s="19">
        <v>316549</v>
      </c>
      <c r="T23" s="19">
        <v>13174</v>
      </c>
      <c r="U23" s="19">
        <v>48802</v>
      </c>
      <c r="V23" s="19">
        <v>29999</v>
      </c>
      <c r="W23" s="38"/>
      <c r="X23" s="19">
        <v>339.46199999999999</v>
      </c>
      <c r="Y23" s="19">
        <v>802.53200000000004</v>
      </c>
      <c r="Z23" s="19">
        <v>3875.306</v>
      </c>
      <c r="AA23" s="31"/>
    </row>
    <row r="24" spans="1:29" x14ac:dyDescent="0.25">
      <c r="A24" s="20">
        <v>141</v>
      </c>
      <c r="B24" s="36">
        <v>10</v>
      </c>
      <c r="C24" s="36">
        <v>10</v>
      </c>
      <c r="D24" s="19">
        <v>889589</v>
      </c>
      <c r="E24" s="19">
        <v>892071</v>
      </c>
      <c r="F24" s="19">
        <v>119460</v>
      </c>
      <c r="G24" s="19">
        <v>118718</v>
      </c>
      <c r="H24" s="19">
        <v>85786</v>
      </c>
      <c r="I24" s="19"/>
      <c r="J24" s="19"/>
      <c r="K24" s="19"/>
      <c r="L24" s="19">
        <v>437055</v>
      </c>
      <c r="M24" s="19">
        <v>2576052</v>
      </c>
      <c r="N24" s="19">
        <v>339997</v>
      </c>
      <c r="O24" s="19">
        <v>326563</v>
      </c>
      <c r="P24" s="19">
        <v>1438607</v>
      </c>
      <c r="Q24" s="19">
        <v>448251</v>
      </c>
      <c r="R24" s="19">
        <v>481</v>
      </c>
      <c r="S24" s="19">
        <v>316552</v>
      </c>
      <c r="T24" s="19">
        <v>13194</v>
      </c>
      <c r="U24" s="19">
        <v>48804</v>
      </c>
      <c r="V24" s="19">
        <v>29999</v>
      </c>
      <c r="W24" s="38"/>
      <c r="X24" s="19">
        <v>339.88299999999998</v>
      </c>
      <c r="Y24" s="19">
        <v>802.55100000000004</v>
      </c>
      <c r="Z24" s="19">
        <v>3875.306</v>
      </c>
      <c r="AA24" s="31"/>
    </row>
    <row r="25" spans="1:29" x14ac:dyDescent="0.25">
      <c r="A25" s="20">
        <v>142</v>
      </c>
      <c r="B25" s="36">
        <v>10</v>
      </c>
      <c r="C25" s="36">
        <v>10</v>
      </c>
      <c r="D25" s="19">
        <v>889763</v>
      </c>
      <c r="E25" s="19">
        <v>892245</v>
      </c>
      <c r="F25" s="19">
        <v>119668</v>
      </c>
      <c r="G25" s="19">
        <v>118926</v>
      </c>
      <c r="H25" s="19">
        <v>86071</v>
      </c>
      <c r="I25" s="19"/>
      <c r="J25" s="19"/>
      <c r="K25" s="19"/>
      <c r="L25" s="19">
        <v>437144</v>
      </c>
      <c r="M25" s="19">
        <v>2576385</v>
      </c>
      <c r="N25" s="19">
        <v>340472</v>
      </c>
      <c r="O25" s="19">
        <v>326617</v>
      </c>
      <c r="P25" s="19">
        <v>1438607</v>
      </c>
      <c r="Q25" s="19">
        <v>448251</v>
      </c>
      <c r="R25" s="19">
        <v>481</v>
      </c>
      <c r="S25" s="19">
        <v>316556</v>
      </c>
      <c r="T25" s="19">
        <v>13215</v>
      </c>
      <c r="U25" s="19">
        <v>48805</v>
      </c>
      <c r="V25" s="19">
        <v>30020</v>
      </c>
      <c r="W25" s="38"/>
      <c r="X25" s="19">
        <v>340.13900000000001</v>
      </c>
      <c r="Y25" s="19">
        <v>802.8</v>
      </c>
      <c r="Z25" s="19">
        <v>3875.306</v>
      </c>
      <c r="AA25" s="31"/>
    </row>
    <row r="26" spans="1:29" x14ac:dyDescent="0.25">
      <c r="A26" s="20">
        <v>143</v>
      </c>
      <c r="B26" s="36">
        <v>10</v>
      </c>
      <c r="C26" s="36">
        <v>10</v>
      </c>
      <c r="D26" s="19">
        <v>889931</v>
      </c>
      <c r="E26" s="19">
        <v>892413</v>
      </c>
      <c r="F26" s="19">
        <v>119865</v>
      </c>
      <c r="G26" s="19">
        <v>119123</v>
      </c>
      <c r="H26" s="19">
        <v>86347</v>
      </c>
      <c r="I26" s="19"/>
      <c r="J26" s="19"/>
      <c r="K26" s="19"/>
      <c r="L26" s="19">
        <v>437233</v>
      </c>
      <c r="M26" s="19">
        <v>2576704</v>
      </c>
      <c r="N26" s="19">
        <v>340906</v>
      </c>
      <c r="O26" s="19">
        <v>326647</v>
      </c>
      <c r="P26" s="19">
        <v>1438607</v>
      </c>
      <c r="Q26" s="19">
        <v>448251</v>
      </c>
      <c r="R26" s="19">
        <v>481</v>
      </c>
      <c r="S26" s="19">
        <v>316560</v>
      </c>
      <c r="T26" s="19">
        <v>13236</v>
      </c>
      <c r="U26" s="19">
        <v>48805</v>
      </c>
      <c r="V26" s="19">
        <v>30020</v>
      </c>
      <c r="W26" s="38"/>
      <c r="X26" s="19">
        <v>340.31900000000002</v>
      </c>
      <c r="Y26" s="19">
        <v>803.05700000000002</v>
      </c>
      <c r="Z26" s="19">
        <v>3875.306</v>
      </c>
      <c r="AA26" s="31"/>
    </row>
    <row r="27" spans="1:29" x14ac:dyDescent="0.25">
      <c r="A27" s="20">
        <v>144</v>
      </c>
      <c r="B27" s="36">
        <v>10</v>
      </c>
      <c r="C27" s="36">
        <v>10</v>
      </c>
      <c r="D27" s="19">
        <v>890105</v>
      </c>
      <c r="E27" s="19">
        <v>892587</v>
      </c>
      <c r="F27" s="19">
        <v>120049</v>
      </c>
      <c r="G27" s="19">
        <v>119307</v>
      </c>
      <c r="H27" s="19">
        <v>86554</v>
      </c>
      <c r="I27" s="19"/>
      <c r="J27" s="19"/>
      <c r="K27" s="19"/>
      <c r="L27" s="19">
        <v>437322</v>
      </c>
      <c r="M27" s="19">
        <v>2577035</v>
      </c>
      <c r="N27" s="19">
        <v>341377</v>
      </c>
      <c r="O27" s="19">
        <v>326681</v>
      </c>
      <c r="P27" s="19">
        <v>1438607</v>
      </c>
      <c r="Q27" s="19">
        <v>448251</v>
      </c>
      <c r="R27" s="19">
        <v>481</v>
      </c>
      <c r="S27" s="19">
        <v>316566</v>
      </c>
      <c r="T27" s="19">
        <v>13261</v>
      </c>
      <c r="U27" s="19">
        <v>48805</v>
      </c>
      <c r="V27" s="19">
        <v>30020</v>
      </c>
      <c r="W27" s="38"/>
      <c r="X27" s="19">
        <v>340.45800000000003</v>
      </c>
      <c r="Y27" s="19">
        <v>803.322</v>
      </c>
      <c r="Z27" s="19">
        <v>3875.306</v>
      </c>
      <c r="AA27" s="31"/>
    </row>
    <row r="28" spans="1:29" x14ac:dyDescent="0.25">
      <c r="A28" s="20">
        <v>145</v>
      </c>
      <c r="B28" s="36">
        <v>10</v>
      </c>
      <c r="C28" s="36">
        <v>10</v>
      </c>
      <c r="D28" s="19">
        <v>890287</v>
      </c>
      <c r="E28" s="19">
        <v>892769</v>
      </c>
      <c r="F28" s="19">
        <v>120249</v>
      </c>
      <c r="G28" s="19">
        <v>119507</v>
      </c>
      <c r="H28" s="19">
        <v>86808</v>
      </c>
      <c r="I28" s="19"/>
      <c r="J28" s="19"/>
      <c r="K28" s="19"/>
      <c r="L28" s="19">
        <v>437411</v>
      </c>
      <c r="M28" s="19">
        <v>2577387</v>
      </c>
      <c r="N28" s="19">
        <v>341835</v>
      </c>
      <c r="O28" s="19">
        <v>326715</v>
      </c>
      <c r="P28" s="19">
        <v>1438607</v>
      </c>
      <c r="Q28" s="19">
        <v>448251</v>
      </c>
      <c r="R28" s="19">
        <v>481</v>
      </c>
      <c r="S28" s="19">
        <v>316571</v>
      </c>
      <c r="T28" s="19">
        <v>13286</v>
      </c>
      <c r="U28" s="19">
        <v>48805</v>
      </c>
      <c r="V28" s="19">
        <v>30020</v>
      </c>
      <c r="W28" s="38"/>
      <c r="X28" s="19">
        <v>340.459</v>
      </c>
      <c r="Y28" s="19">
        <v>803.59400000000005</v>
      </c>
      <c r="Z28" s="19">
        <v>3875.306</v>
      </c>
      <c r="AA28" s="31"/>
    </row>
    <row r="29" spans="1:29" x14ac:dyDescent="0.25">
      <c r="A29" s="20">
        <v>146</v>
      </c>
      <c r="B29" s="36">
        <v>10</v>
      </c>
      <c r="C29" s="36">
        <v>10</v>
      </c>
      <c r="D29" s="19">
        <v>890449</v>
      </c>
      <c r="E29" s="19">
        <v>892931</v>
      </c>
      <c r="F29" s="19">
        <v>120432</v>
      </c>
      <c r="G29" s="19">
        <v>119690</v>
      </c>
      <c r="H29" s="19">
        <v>87079</v>
      </c>
      <c r="I29" s="19"/>
      <c r="J29" s="19"/>
      <c r="K29" s="19"/>
      <c r="L29" s="19">
        <v>437500</v>
      </c>
      <c r="M29" s="19">
        <v>2577708</v>
      </c>
      <c r="N29" s="19">
        <v>342308</v>
      </c>
      <c r="O29" s="19">
        <v>326742</v>
      </c>
      <c r="P29" s="19">
        <v>1438607</v>
      </c>
      <c r="Q29" s="19">
        <v>448251</v>
      </c>
      <c r="R29" s="19">
        <v>481</v>
      </c>
      <c r="S29" s="19">
        <v>316571</v>
      </c>
      <c r="T29" s="19">
        <v>13304</v>
      </c>
      <c r="U29" s="19">
        <v>48805</v>
      </c>
      <c r="V29" s="19">
        <v>30020</v>
      </c>
      <c r="W29" s="38"/>
      <c r="X29" s="19">
        <v>340.67</v>
      </c>
      <c r="Y29" s="19">
        <v>803.59500000000003</v>
      </c>
      <c r="Z29" s="19">
        <v>3875.306</v>
      </c>
      <c r="AA29" s="31"/>
    </row>
    <row r="30" spans="1:29" x14ac:dyDescent="0.25">
      <c r="A30" s="20">
        <v>147</v>
      </c>
      <c r="B30" s="36">
        <v>10</v>
      </c>
      <c r="C30" s="36">
        <v>10</v>
      </c>
      <c r="D30" s="19">
        <v>890627</v>
      </c>
      <c r="E30" s="19">
        <v>893110</v>
      </c>
      <c r="F30" s="19">
        <v>120637</v>
      </c>
      <c r="G30" s="19">
        <v>119895</v>
      </c>
      <c r="H30" s="19">
        <v>87328</v>
      </c>
      <c r="I30" s="19"/>
      <c r="J30" s="19"/>
      <c r="K30" s="19"/>
      <c r="L30" s="19">
        <v>437589</v>
      </c>
      <c r="M30" s="19">
        <v>2578029</v>
      </c>
      <c r="N30" s="19">
        <v>342789</v>
      </c>
      <c r="O30" s="19">
        <v>326773</v>
      </c>
      <c r="P30" s="19">
        <v>1438607</v>
      </c>
      <c r="Q30" s="19">
        <v>448251</v>
      </c>
      <c r="R30" s="19">
        <v>481</v>
      </c>
      <c r="S30" s="19">
        <v>316575</v>
      </c>
      <c r="T30" s="19">
        <v>13328</v>
      </c>
      <c r="U30" s="19">
        <v>48806</v>
      </c>
      <c r="V30" s="19">
        <v>30033</v>
      </c>
      <c r="W30" s="38"/>
      <c r="X30" s="19">
        <v>340.87900000000002</v>
      </c>
      <c r="Y30" s="19">
        <v>803.601</v>
      </c>
      <c r="Z30" s="19">
        <v>3875.306</v>
      </c>
      <c r="AA30" s="31"/>
    </row>
    <row r="31" spans="1:29" x14ac:dyDescent="0.25">
      <c r="A31" s="20">
        <v>148</v>
      </c>
      <c r="B31" s="36">
        <v>10</v>
      </c>
      <c r="C31" s="36">
        <v>10</v>
      </c>
      <c r="D31" s="19">
        <v>890801</v>
      </c>
      <c r="E31" s="19">
        <v>893284</v>
      </c>
      <c r="F31" s="19">
        <v>120833</v>
      </c>
      <c r="G31" s="19">
        <v>120091</v>
      </c>
      <c r="H31" s="19">
        <v>87578</v>
      </c>
      <c r="I31" s="19"/>
      <c r="J31" s="19"/>
      <c r="K31" s="19"/>
      <c r="L31" s="19">
        <v>437765</v>
      </c>
      <c r="M31" s="19">
        <v>2578368</v>
      </c>
      <c r="N31" s="19">
        <v>343223</v>
      </c>
      <c r="O31" s="19">
        <v>326818</v>
      </c>
      <c r="P31" s="19">
        <v>1438607</v>
      </c>
      <c r="Q31" s="19">
        <v>448251</v>
      </c>
      <c r="R31" s="19">
        <v>481</v>
      </c>
      <c r="S31" s="19">
        <v>316577</v>
      </c>
      <c r="T31" s="19">
        <v>13348</v>
      </c>
      <c r="U31" s="19">
        <v>48806</v>
      </c>
      <c r="V31" s="19">
        <v>30033</v>
      </c>
      <c r="W31" s="38"/>
      <c r="X31" s="19">
        <v>341.07400000000001</v>
      </c>
      <c r="Y31" s="19">
        <v>803.60400000000004</v>
      </c>
      <c r="Z31" s="19">
        <v>3875.306</v>
      </c>
      <c r="AA31" s="31"/>
    </row>
    <row r="32" spans="1:29" x14ac:dyDescent="0.25">
      <c r="A32" s="20">
        <v>149</v>
      </c>
      <c r="B32" s="36">
        <v>10</v>
      </c>
      <c r="C32" s="36">
        <v>10</v>
      </c>
      <c r="D32" s="19">
        <v>890967</v>
      </c>
      <c r="E32" s="19">
        <v>893450</v>
      </c>
      <c r="F32" s="19">
        <v>121017</v>
      </c>
      <c r="G32" s="19">
        <v>120275</v>
      </c>
      <c r="H32" s="19">
        <v>87842</v>
      </c>
      <c r="I32" s="19"/>
      <c r="J32" s="19"/>
      <c r="K32" s="19"/>
      <c r="L32" s="19">
        <v>437852</v>
      </c>
      <c r="M32" s="19">
        <v>2578710</v>
      </c>
      <c r="N32" s="19">
        <v>343637</v>
      </c>
      <c r="O32" s="19">
        <v>326853</v>
      </c>
      <c r="P32" s="19">
        <v>1438607</v>
      </c>
      <c r="Q32" s="19">
        <v>448251</v>
      </c>
      <c r="R32" s="19">
        <v>481</v>
      </c>
      <c r="S32" s="19">
        <v>316584</v>
      </c>
      <c r="T32" s="19">
        <v>13373</v>
      </c>
      <c r="U32" s="19">
        <v>48807</v>
      </c>
      <c r="V32" s="19">
        <v>30033</v>
      </c>
      <c r="W32" s="38"/>
      <c r="X32" s="19">
        <v>341.28300000000002</v>
      </c>
      <c r="Y32" s="19">
        <v>803.60799999999995</v>
      </c>
      <c r="Z32" s="19">
        <v>3875.306</v>
      </c>
      <c r="AA32" s="31"/>
    </row>
    <row r="33" spans="1:27" x14ac:dyDescent="0.25">
      <c r="A33" s="20">
        <v>150</v>
      </c>
      <c r="B33" s="36">
        <v>10</v>
      </c>
      <c r="C33" s="36">
        <v>10</v>
      </c>
      <c r="D33" s="19">
        <v>891171</v>
      </c>
      <c r="E33" s="19">
        <v>893654</v>
      </c>
      <c r="F33" s="19">
        <v>121226</v>
      </c>
      <c r="G33" s="19">
        <v>120484</v>
      </c>
      <c r="H33" s="19">
        <v>88127</v>
      </c>
      <c r="I33" s="19"/>
      <c r="J33" s="19"/>
      <c r="K33" s="19"/>
      <c r="L33" s="19">
        <v>437941</v>
      </c>
      <c r="M33" s="19">
        <v>2579049</v>
      </c>
      <c r="N33" s="19">
        <v>344150</v>
      </c>
      <c r="O33" s="19">
        <v>326891</v>
      </c>
      <c r="P33" s="19">
        <v>1438607</v>
      </c>
      <c r="Q33" s="19">
        <v>448251</v>
      </c>
      <c r="R33" s="19">
        <v>481</v>
      </c>
      <c r="S33" s="19">
        <v>316590</v>
      </c>
      <c r="T33" s="19">
        <v>13401</v>
      </c>
      <c r="U33" s="19">
        <v>48807</v>
      </c>
      <c r="V33" s="19">
        <v>30045</v>
      </c>
      <c r="W33" s="38"/>
      <c r="X33" s="19">
        <v>341.48700000000002</v>
      </c>
      <c r="Y33" s="19">
        <v>803.61500000000001</v>
      </c>
      <c r="Z33" s="19">
        <v>3875.306</v>
      </c>
      <c r="AA33" s="31"/>
    </row>
    <row r="34" spans="1:27" x14ac:dyDescent="0.25">
      <c r="A34" s="20">
        <v>151</v>
      </c>
      <c r="B34" s="36">
        <v>10</v>
      </c>
      <c r="C34" s="36">
        <v>10</v>
      </c>
      <c r="D34" s="19">
        <v>891352</v>
      </c>
      <c r="E34" s="19">
        <v>893836</v>
      </c>
      <c r="F34" s="19">
        <v>121422</v>
      </c>
      <c r="G34" s="19">
        <v>120680</v>
      </c>
      <c r="H34" s="19">
        <v>88386</v>
      </c>
      <c r="I34" s="19"/>
      <c r="J34" s="19"/>
      <c r="K34" s="19"/>
      <c r="L34" s="19">
        <v>438035</v>
      </c>
      <c r="M34" s="19">
        <v>2579387</v>
      </c>
      <c r="N34" s="19">
        <v>344609</v>
      </c>
      <c r="O34" s="19">
        <v>326933</v>
      </c>
      <c r="P34" s="19">
        <v>1438607</v>
      </c>
      <c r="Q34" s="19">
        <v>448251</v>
      </c>
      <c r="R34" s="19">
        <v>481</v>
      </c>
      <c r="S34" s="19">
        <v>316592</v>
      </c>
      <c r="T34" s="19">
        <v>13421</v>
      </c>
      <c r="U34" s="19">
        <v>48807</v>
      </c>
      <c r="V34" s="19">
        <v>30045</v>
      </c>
      <c r="W34" s="38"/>
      <c r="X34" s="19">
        <v>341.685</v>
      </c>
      <c r="Y34" s="19">
        <v>803.61699999999996</v>
      </c>
      <c r="Z34" s="19">
        <v>3875.306</v>
      </c>
      <c r="AA34" s="31"/>
    </row>
    <row r="35" spans="1:27" x14ac:dyDescent="0.25">
      <c r="A35" s="20">
        <v>152</v>
      </c>
      <c r="B35" s="36">
        <v>10</v>
      </c>
      <c r="C35" s="36">
        <v>10</v>
      </c>
      <c r="D35" s="19">
        <v>891527</v>
      </c>
      <c r="E35" s="19">
        <v>894011</v>
      </c>
      <c r="F35" s="19">
        <v>121624</v>
      </c>
      <c r="G35" s="19">
        <v>120882</v>
      </c>
      <c r="H35" s="19">
        <v>88639</v>
      </c>
      <c r="I35" s="19">
        <v>6537553</v>
      </c>
      <c r="J35" s="19">
        <v>31845</v>
      </c>
      <c r="K35" s="19">
        <v>4436707</v>
      </c>
      <c r="L35" s="19">
        <v>438110</v>
      </c>
      <c r="M35" s="19">
        <v>2579724</v>
      </c>
      <c r="N35" s="19">
        <v>345078</v>
      </c>
      <c r="O35" s="19">
        <v>326961</v>
      </c>
      <c r="P35" s="19">
        <v>1438607</v>
      </c>
      <c r="Q35" s="19">
        <v>448251</v>
      </c>
      <c r="R35" s="19">
        <v>481</v>
      </c>
      <c r="S35" s="19">
        <v>316592</v>
      </c>
      <c r="T35" s="19">
        <v>13441</v>
      </c>
      <c r="U35" s="19">
        <v>48807</v>
      </c>
      <c r="V35" s="19">
        <v>30045</v>
      </c>
      <c r="W35" s="38"/>
      <c r="X35" s="19">
        <v>341.88099999999997</v>
      </c>
      <c r="Y35" s="19">
        <v>803.61699999999996</v>
      </c>
      <c r="Z35" s="19">
        <v>3875.306</v>
      </c>
      <c r="AA35" s="31"/>
    </row>
  </sheetData>
  <mergeCells count="24">
    <mergeCell ref="W2:W3"/>
    <mergeCell ref="A1:A3"/>
    <mergeCell ref="D1:M1"/>
    <mergeCell ref="K2:K3"/>
    <mergeCell ref="L2:L3"/>
    <mergeCell ref="M2:M3"/>
    <mergeCell ref="B2:B3"/>
    <mergeCell ref="C2:C3"/>
    <mergeCell ref="Y1:Y3"/>
    <mergeCell ref="Z1:Z3"/>
    <mergeCell ref="AA1:AA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X1:X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2020-06-09T09:16:33Z</dcterms:modified>
</cp:coreProperties>
</file>