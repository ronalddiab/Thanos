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C3BF36DC-7DA2-4422-AE1F-E41AF68EFDD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2" i="3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18" i="2" l="1"/>
  <c r="G18" i="3" s="1"/>
  <c r="U16" i="2"/>
  <c r="G16" i="3" s="1"/>
  <c r="U14" i="2"/>
  <c r="G14" i="3" s="1"/>
  <c r="U12" i="2"/>
  <c r="G12" i="3" s="1"/>
  <c r="U10" i="2"/>
  <c r="G10" i="3" s="1"/>
  <c r="U8" i="2"/>
  <c r="G8" i="3" s="1"/>
  <c r="U6" i="2"/>
  <c r="G6" i="3" s="1"/>
  <c r="U2" i="2"/>
  <c r="G2" i="3" s="1"/>
  <c r="U4" i="2"/>
  <c r="G4" i="3" s="1"/>
  <c r="H23" i="2"/>
  <c r="I23" i="2" s="1"/>
  <c r="U20" i="2"/>
  <c r="G20" i="3" s="1"/>
  <c r="U3" i="2"/>
  <c r="G3" i="3" s="1"/>
  <c r="U5" i="2"/>
  <c r="G5" i="3" s="1"/>
  <c r="U7" i="2"/>
  <c r="G7" i="3" s="1"/>
  <c r="U9" i="2"/>
  <c r="G9" i="3" s="1"/>
  <c r="U11" i="2"/>
  <c r="G11" i="3" s="1"/>
  <c r="U13" i="2"/>
  <c r="G13" i="3" s="1"/>
  <c r="U15" i="2"/>
  <c r="G15" i="3" s="1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J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6" i="2"/>
  <c r="I5" i="2"/>
  <c r="C34" i="2"/>
  <c r="J11" i="2" l="1"/>
  <c r="J10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<sst xmlns="http://schemas.openxmlformats.org/spreadsheetml/2006/main" count="77" uniqueCount="40">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</sst>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A8" workbookViewId="0">
      <selection activeCell="S34" sqref="S3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8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3" x14ac:dyDescent="0.25">
      <c r="A3" s="102" t="s">
        <v>37</v>
      </c>
      <c r="B3" s="5">
        <f>B2+1</f>
        <v>2</v>
      </c>
      <c r="C3" s="129">
        <v>8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8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3" x14ac:dyDescent="0.25">
      <c r="A5" s="102" t="s">
        <v>37</v>
      </c>
      <c r="B5" s="5">
        <f t="shared" si="0"/>
        <v>4</v>
      </c>
      <c r="C5" s="129">
        <v>8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3" x14ac:dyDescent="0.25">
      <c r="A6" s="102" t="s">
        <v>37</v>
      </c>
      <c r="B6" s="5">
        <f t="shared" si="0"/>
        <v>5</v>
      </c>
      <c r="C6" s="129">
        <v>8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3" x14ac:dyDescent="0.25">
      <c r="A7" s="102" t="s">
        <v>37</v>
      </c>
      <c r="B7" s="5">
        <f t="shared" si="0"/>
        <v>6</v>
      </c>
      <c r="C7" s="129">
        <v>8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3" x14ac:dyDescent="0.25">
      <c r="A8" s="102" t="s">
        <v>37</v>
      </c>
      <c r="B8" s="5">
        <f t="shared" si="0"/>
        <v>7</v>
      </c>
      <c r="C8" s="129">
        <v>8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 t="str">
        <f>October!U8</f>
        <v>0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183</v>
      </c>
      <c r="P8" s="107">
        <f>October!AD8</f>
        <v>344</v>
      </c>
    </row>
    <row r="9" spans="1:16" ht="14.3" x14ac:dyDescent="0.25">
      <c r="A9" s="102" t="s">
        <v>37</v>
      </c>
      <c r="B9" s="5">
        <f t="shared" si="0"/>
        <v>8</v>
      </c>
      <c r="C9" s="129">
        <v>8</v>
      </c>
      <c r="D9" s="4">
        <v>2024</v>
      </c>
      <c r="E9" s="103">
        <f>IF(October!C9&lt;0,"0",October!C9)+(IF(October!E9&lt;0,"0",October!E9)-(IF(October!G9&lt;0,"0",October!G9)))</f>
        <v>8508</v>
      </c>
      <c r="F9" s="117">
        <f>(October!C9*0.27)/(October!C9+October!E9)</f>
        <v>0.26485895627644573</v>
      </c>
      <c r="G9" s="104" t="str">
        <f>October!U9</f>
        <v>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174</v>
      </c>
      <c r="P9" s="107">
        <f>October!AD9</f>
        <v>333</v>
      </c>
    </row>
    <row r="10" spans="1:16" ht="14.3" x14ac:dyDescent="0.25">
      <c r="A10" s="102" t="s">
        <v>37</v>
      </c>
      <c r="B10" s="5">
        <f t="shared" si="0"/>
        <v>9</v>
      </c>
      <c r="C10" s="129">
        <v>8</v>
      </c>
      <c r="D10" s="4">
        <v>2024</v>
      </c>
      <c r="E10" s="103">
        <f>IF(October!C10&lt;0,"0",October!C10)+(IF(October!E10&lt;0,"0",October!E10)-(IF(October!G10&lt;0,"0",October!G10)))</f>
        <v>8007</v>
      </c>
      <c r="F10" s="117">
        <f>(October!C10*0.27)/(October!C10+October!E10)</f>
        <v>0.2549269389284376</v>
      </c>
      <c r="G10" s="104">
        <f>October!U10</f>
        <v>85</v>
      </c>
      <c r="H10" s="120">
        <v>0.62</v>
      </c>
      <c r="I10" s="105">
        <f>October!W10</f>
        <v>102</v>
      </c>
      <c r="J10" s="106">
        <v>2.42</v>
      </c>
      <c r="K10" s="113">
        <f>October!AB10*5.04</f>
        <v>-80841.600000000006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215</v>
      </c>
      <c r="P10" s="107">
        <f>October!AD10</f>
        <v>404</v>
      </c>
    </row>
    <row r="11" spans="1:16" ht="14.3" x14ac:dyDescent="0.25">
      <c r="A11" s="102" t="s">
        <v>37</v>
      </c>
      <c r="B11" s="5">
        <f t="shared" si="0"/>
        <v>10</v>
      </c>
      <c r="C11" s="129">
        <v>8</v>
      </c>
      <c r="D11" s="4">
        <v>2024</v>
      </c>
      <c r="E11" s="103">
        <f>IF(October!C11&lt;0,"0",October!C11)+(IF(October!E11&lt;0,"0",October!E11)-(IF(October!G11&lt;0,"0",October!G11)))</f>
        <v>8192</v>
      </c>
      <c r="F11" s="117">
        <f>(October!C11*0.27)/(October!C11+October!E11)</f>
        <v>0.23595336914062501</v>
      </c>
      <c r="G11" s="104">
        <f>October!U11</f>
        <v>45</v>
      </c>
      <c r="H11" s="120">
        <v>0.62</v>
      </c>
      <c r="I11" s="105">
        <f>October!W11</f>
        <v>118</v>
      </c>
      <c r="J11" s="106">
        <v>2.42</v>
      </c>
      <c r="K11" s="113">
        <f>October!AB11*5.04</f>
        <v>2142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216</v>
      </c>
      <c r="P11" s="107">
        <f>October!AD11</f>
        <v>408</v>
      </c>
    </row>
    <row r="12" spans="1:16" ht="14.3" x14ac:dyDescent="0.25">
      <c r="A12" s="102" t="s">
        <v>37</v>
      </c>
      <c r="B12" s="5">
        <f t="shared" si="0"/>
        <v>11</v>
      </c>
      <c r="C12" s="129">
        <v>8</v>
      </c>
      <c r="D12" s="4">
        <v>2024</v>
      </c>
      <c r="E12" s="103">
        <f>IF(October!C12&lt;0,"0",October!C12)+(IF(October!E12&lt;0,"0",October!E12)-(IF(October!G12&lt;0,"0",October!G12)))</f>
        <v>8065</v>
      </c>
      <c r="F12" s="117">
        <f>(October!C12*0.27)/(October!C12+October!E12)</f>
        <v>0.24274891506509613</v>
      </c>
      <c r="G12" s="104">
        <f>October!U12</f>
        <v>195</v>
      </c>
      <c r="H12" s="120">
        <v>0.62</v>
      </c>
      <c r="I12" s="105">
        <f>October!W12</f>
        <v>121</v>
      </c>
      <c r="J12" s="106">
        <v>2.42</v>
      </c>
      <c r="K12" s="113">
        <f>October!AB12*5.04</f>
        <v>1512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219</v>
      </c>
      <c r="P12" s="107">
        <f>October!AD12</f>
        <v>429</v>
      </c>
    </row>
    <row r="13" spans="1:16" ht="14.3" x14ac:dyDescent="0.25">
      <c r="A13" s="102" t="s">
        <v>37</v>
      </c>
      <c r="B13" s="5">
        <f t="shared" si="0"/>
        <v>12</v>
      </c>
      <c r="C13" s="129">
        <v>8</v>
      </c>
      <c r="D13" s="4">
        <v>2024</v>
      </c>
      <c r="E13" s="103">
        <f>IF(October!C13&lt;0,"0",October!C13)+(IF(October!E13&lt;0,"0",October!E13)-(IF(October!G13&lt;0,"0",October!G13)))</f>
        <v>8133</v>
      </c>
      <c r="F13" s="117">
        <f>(October!C13*0.27)/(October!C13+October!E13)</f>
        <v>0.23706750276650684</v>
      </c>
      <c r="G13" s="104">
        <f>October!U13</f>
        <v>135</v>
      </c>
      <c r="H13" s="120">
        <v>0.62</v>
      </c>
      <c r="I13" s="105">
        <f>October!W13</f>
        <v>126</v>
      </c>
      <c r="J13" s="106">
        <v>2.42</v>
      </c>
      <c r="K13" s="113">
        <f>October!AB13*5.04</f>
        <v>806.4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230</v>
      </c>
      <c r="P13" s="107">
        <f>October!AD13</f>
        <v>458</v>
      </c>
    </row>
    <row r="14" spans="1:16" ht="14.3" x14ac:dyDescent="0.25">
      <c r="A14" s="102" t="s">
        <v>37</v>
      </c>
      <c r="B14" s="5">
        <f t="shared" si="0"/>
        <v>13</v>
      </c>
      <c r="C14" s="129">
        <v>8</v>
      </c>
      <c r="D14" s="4">
        <v>2024</v>
      </c>
      <c r="E14" s="103">
        <f>IF(October!C14&lt;0,"0",October!C14)+(IF(October!E14&lt;0,"0",October!E14)-(IF(October!G14&lt;0,"0",October!G14)))</f>
        <v>8233</v>
      </c>
      <c r="F14" s="117">
        <f>(October!C14*0.27)/(October!C14+October!E14)</f>
        <v>0.23950078950564802</v>
      </c>
      <c r="G14" s="104">
        <f>October!U14</f>
        <v>20</v>
      </c>
      <c r="H14" s="120">
        <v>0.62</v>
      </c>
      <c r="I14" s="105">
        <f>October!W14</f>
        <v>116</v>
      </c>
      <c r="J14" s="106">
        <v>2.42</v>
      </c>
      <c r="K14" s="113">
        <f>October!AB14*5.04</f>
        <v>1335.6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210</v>
      </c>
      <c r="P14" s="107">
        <f>October!AD14</f>
        <v>418</v>
      </c>
    </row>
    <row r="15" spans="1:16" ht="14.3" x14ac:dyDescent="0.25">
      <c r="A15" s="102" t="s">
        <v>37</v>
      </c>
      <c r="B15" s="5">
        <f t="shared" si="0"/>
        <v>14</v>
      </c>
      <c r="C15" s="129">
        <v>8</v>
      </c>
      <c r="D15" s="4">
        <v>2024</v>
      </c>
      <c r="E15" s="103">
        <f>IF(October!C15&lt;0,"0",October!C15)+(IF(October!E15&lt;0,"0",October!E15)-(IF(October!G15&lt;0,"0",October!G15)))</f>
        <v>8334</v>
      </c>
      <c r="F15" s="117">
        <f>(October!C15*0.27)/(October!C15+October!E15)</f>
        <v>0.23812095032397412</v>
      </c>
      <c r="G15" s="104">
        <f>October!U15</f>
        <v>108</v>
      </c>
      <c r="H15" s="120">
        <v>0.62</v>
      </c>
      <c r="I15" s="105">
        <f>October!W15</f>
        <v>109</v>
      </c>
      <c r="J15" s="106">
        <v>2.42</v>
      </c>
      <c r="K15" s="113">
        <f>October!AB15*5.04</f>
        <v>2167.1999999999998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212</v>
      </c>
      <c r="P15" s="107">
        <f>October!AD15</f>
        <v>415</v>
      </c>
    </row>
    <row r="16" spans="1:16" ht="14.3" x14ac:dyDescent="0.25">
      <c r="A16" s="102" t="s">
        <v>37</v>
      </c>
      <c r="B16" s="5">
        <f t="shared" si="0"/>
        <v>15</v>
      </c>
      <c r="C16" s="129">
        <v>8</v>
      </c>
      <c r="D16" s="4">
        <v>2024</v>
      </c>
      <c r="E16" s="103">
        <f>IF(October!C16&lt;0,"0",October!C16)+(IF(October!E16&lt;0,"0",October!E16)-(IF(October!G16&lt;0,"0",October!G16)))</f>
        <v>8059</v>
      </c>
      <c r="F16" s="117">
        <f>(October!C16*0.27)/(October!C16+October!E16)</f>
        <v>0.24001489018488648</v>
      </c>
      <c r="G16" s="104" t="str">
        <f>October!U16</f>
        <v>0</v>
      </c>
      <c r="H16" s="120">
        <v>0.62</v>
      </c>
      <c r="I16" s="105">
        <f>October!W16</f>
        <v>130</v>
      </c>
      <c r="J16" s="106">
        <v>2.42</v>
      </c>
      <c r="K16" s="113">
        <f>October!AB16*5.04</f>
        <v>2167.1999999999998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218</v>
      </c>
      <c r="P16" s="107">
        <f>October!AD16</f>
        <v>430</v>
      </c>
    </row>
    <row r="17" spans="1:16" ht="14.3" x14ac:dyDescent="0.25">
      <c r="A17" s="102" t="s">
        <v>37</v>
      </c>
      <c r="B17" s="5">
        <f t="shared" si="0"/>
        <v>16</v>
      </c>
      <c r="C17" s="129">
        <v>8</v>
      </c>
      <c r="D17" s="4">
        <v>2024</v>
      </c>
      <c r="E17" s="103">
        <f>IF(October!C17&lt;0,"0",October!C17)+(IF(October!E17&lt;0,"0",October!E17)-(IF(October!G17&lt;0,"0",October!G17)))</f>
        <v>8229</v>
      </c>
      <c r="F17" s="117">
        <f>(October!C17*0.27)/(October!C17+October!E17)</f>
        <v>0.24434196135617936</v>
      </c>
      <c r="G17" s="104">
        <f>October!U17</f>
        <v>140</v>
      </c>
      <c r="H17" s="120">
        <v>0.62</v>
      </c>
      <c r="I17" s="105">
        <f>October!W17</f>
        <v>98</v>
      </c>
      <c r="J17" s="106">
        <v>2.42</v>
      </c>
      <c r="K17" s="113">
        <f>October!AB17*5.04</f>
        <v>1713.6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198</v>
      </c>
      <c r="P17" s="107">
        <f>October!AD17</f>
        <v>393</v>
      </c>
    </row>
    <row r="18" spans="1:16" ht="14.3" x14ac:dyDescent="0.25">
      <c r="A18" s="102" t="s">
        <v>37</v>
      </c>
      <c r="B18" s="5">
        <f t="shared" si="0"/>
        <v>17</v>
      </c>
      <c r="C18" s="129">
        <v>8</v>
      </c>
      <c r="D18" s="4">
        <v>2024</v>
      </c>
      <c r="E18" s="103">
        <f>IF(October!C18&lt;0,"0",October!C18)+(IF(October!E18&lt;0,"0",October!E18)-(IF(October!G18&lt;0,"0",October!G18)))</f>
        <v>8167</v>
      </c>
      <c r="F18" s="117">
        <f>(October!C18*0.27)/(October!C18+October!E18)</f>
        <v>0.2404444716542182</v>
      </c>
      <c r="G18" s="104">
        <f>October!U18</f>
        <v>185</v>
      </c>
      <c r="H18" s="120">
        <v>0.62</v>
      </c>
      <c r="I18" s="105">
        <f>October!W18</f>
        <v>79</v>
      </c>
      <c r="J18" s="106">
        <v>2.42</v>
      </c>
      <c r="K18" s="113">
        <f>October!AB18*5.04</f>
        <v>1411.2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210</v>
      </c>
      <c r="P18" s="107">
        <f>October!AD18</f>
        <v>419</v>
      </c>
    </row>
    <row r="19" spans="1:16" ht="14.3" x14ac:dyDescent="0.25">
      <c r="A19" s="102" t="s">
        <v>37</v>
      </c>
      <c r="B19" s="5">
        <f t="shared" si="0"/>
        <v>18</v>
      </c>
      <c r="C19" s="129">
        <v>8</v>
      </c>
      <c r="D19" s="4">
        <v>2024</v>
      </c>
      <c r="E19" s="103">
        <f>IF(October!C19&lt;0,"0",October!C19)+(IF(October!E19&lt;0,"0",October!E19)-(IF(October!G19&lt;0,"0",October!G19)))</f>
        <v>7426</v>
      </c>
      <c r="F19" s="117">
        <f>(October!C19*0.27)/(October!C19+October!E19)</f>
        <v>0.23600457850794507</v>
      </c>
      <c r="G19" s="104">
        <f>October!U19</f>
        <v>150</v>
      </c>
      <c r="H19" s="120">
        <v>0.62</v>
      </c>
      <c r="I19" s="105">
        <f>October!W19</f>
        <v>94</v>
      </c>
      <c r="J19" s="106">
        <v>2.42</v>
      </c>
      <c r="K19" s="113">
        <f>October!AB19*5.04</f>
        <v>2268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216</v>
      </c>
      <c r="P19" s="107">
        <f>October!AD19</f>
        <v>425</v>
      </c>
    </row>
    <row r="20" spans="1:16" ht="14.3" x14ac:dyDescent="0.25">
      <c r="A20" s="102" t="s">
        <v>37</v>
      </c>
      <c r="B20" s="5">
        <f t="shared" si="0"/>
        <v>19</v>
      </c>
      <c r="C20" s="129">
        <v>8</v>
      </c>
      <c r="D20" s="4">
        <v>2024</v>
      </c>
      <c r="E20" s="103">
        <f>IF(October!C20&lt;0,"0",October!C20)+(IF(October!E20&lt;0,"0",October!E20)-(IF(October!G20&lt;0,"0",October!G20)))</f>
        <v>7188</v>
      </c>
      <c r="F20" s="117">
        <f>(October!C20*0.27)/(October!C20+October!E20)</f>
        <v>0.23472871452420702</v>
      </c>
      <c r="G20" s="104">
        <f>October!U20</f>
        <v>120</v>
      </c>
      <c r="H20" s="120">
        <v>0.62</v>
      </c>
      <c r="I20" s="105">
        <f>October!W20</f>
        <v>94</v>
      </c>
      <c r="J20" s="106">
        <v>2.42</v>
      </c>
      <c r="K20" s="113">
        <f>October!AB20*5.04</f>
        <v>2016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238</v>
      </c>
      <c r="P20" s="107">
        <f>October!AD20</f>
        <v>473</v>
      </c>
    </row>
    <row r="21" spans="1:16" ht="14.3" x14ac:dyDescent="0.25">
      <c r="A21" s="102" t="s">
        <v>37</v>
      </c>
      <c r="B21" s="5">
        <f t="shared" si="0"/>
        <v>20</v>
      </c>
      <c r="C21" s="129">
        <v>8</v>
      </c>
      <c r="D21" s="4">
        <v>2024</v>
      </c>
      <c r="E21" s="103">
        <f>IF(October!C21&lt;0,"0",October!C21)+(IF(October!E21&lt;0,"0",October!E21)-(IF(October!G21&lt;0,"0",October!G21)))</f>
        <v>6999</v>
      </c>
      <c r="F21" s="117">
        <f>(October!C21*0.27)/(October!C21+October!E21)</f>
        <v>0.23346763823403346</v>
      </c>
      <c r="G21" s="104">
        <f>October!U21</f>
        <v>100</v>
      </c>
      <c r="H21" s="120">
        <v>0.62</v>
      </c>
      <c r="I21" s="105">
        <f>October!W21</f>
        <v>86</v>
      </c>
      <c r="J21" s="106">
        <v>2.42</v>
      </c>
      <c r="K21" s="113">
        <f>October!AB21*5.04</f>
        <v>2368.8000000000002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236</v>
      </c>
      <c r="P21" s="107">
        <f>October!AD21</f>
        <v>486</v>
      </c>
    </row>
    <row r="22" spans="1:16" ht="14.3" x14ac:dyDescent="0.25">
      <c r="A22" s="102" t="s">
        <v>37</v>
      </c>
      <c r="B22" s="5">
        <f t="shared" si="0"/>
        <v>21</v>
      </c>
      <c r="C22" s="129">
        <v>8</v>
      </c>
      <c r="D22" s="4">
        <v>2024</v>
      </c>
      <c r="E22" s="103">
        <f>IF(October!C22&lt;0,"0",October!C22)+(IF(October!E22&lt;0,"0",October!E22)-(IF(October!G22&lt;0,"0",October!G22)))</f>
        <v>0</v>
      </c>
      <c r="F22" s="117">
        <f>(October!C22*0.27)/(October!C22+October!E22)</f>
        <v>0.25862963990091864</v>
      </c>
      <c r="G22" s="104">
        <f>October!U22</f>
        <v>4331.55</v>
      </c>
      <c r="H22" s="120">
        <v>0.62</v>
      </c>
      <c r="I22" s="105" t="str">
        <f>October!W22</f>
        <v>0</v>
      </c>
      <c r="J22" s="106">
        <v>2.42</v>
      </c>
      <c r="K22" s="113">
        <f>October!AB22*5.04</f>
        <v>0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0</v>
      </c>
      <c r="P22" s="107">
        <f>October!AD22</f>
        <v>0</v>
      </c>
    </row>
    <row r="23" spans="1:16" ht="14.3" x14ac:dyDescent="0.25">
      <c r="A23" s="102" t="s">
        <v>37</v>
      </c>
      <c r="B23" s="5">
        <f t="shared" si="0"/>
        <v>22</v>
      </c>
      <c r="C23" s="129">
        <v>8</v>
      </c>
      <c r="D23" s="4">
        <v>2024</v>
      </c>
      <c r="E23" s="103">
        <f>IF(October!C23&lt;0,"0",October!C23)+(IF(October!E23&lt;0,"0",October!E23)-(IF(October!G23&lt;0,"0",October!G23)))</f>
        <v>0</v>
      </c>
      <c r="F23" s="117" t="e">
        <f>(October!C23*0.27)/(October!C23+October!E23)</f>
        <v>#DIV/0!</v>
      </c>
      <c r="G23" s="104">
        <f>October!U23</f>
        <v>0</v>
      </c>
      <c r="H23" s="120">
        <v>0.62</v>
      </c>
      <c r="I23" s="105">
        <f>October!W23</f>
        <v>0</v>
      </c>
      <c r="J23" s="106">
        <v>2.42</v>
      </c>
      <c r="K23" s="113">
        <f>October!AB23*5.04</f>
        <v>0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0</v>
      </c>
      <c r="P23" s="107">
        <f>October!AD23</f>
        <v>0</v>
      </c>
    </row>
    <row r="24" spans="1:16" ht="14.3" x14ac:dyDescent="0.25">
      <c r="A24" s="102" t="s">
        <v>37</v>
      </c>
      <c r="B24" s="5">
        <f t="shared" si="0"/>
        <v>23</v>
      </c>
      <c r="C24" s="129">
        <v>8</v>
      </c>
      <c r="D24" s="4">
        <v>2024</v>
      </c>
      <c r="E24" s="103">
        <f>IF(October!C24&lt;0,"0",October!C24)+(IF(October!E24&lt;0,"0",October!E24)-(IF(October!G24&lt;0,"0",October!G24)))</f>
        <v>0</v>
      </c>
      <c r="F24" s="117" t="e">
        <f>(October!C24*0.27)/(October!C24+October!E24)</f>
        <v>#DIV/0!</v>
      </c>
      <c r="G24" s="104">
        <f>October!U24</f>
        <v>0</v>
      </c>
      <c r="H24" s="120">
        <v>0.62</v>
      </c>
      <c r="I24" s="105">
        <f>October!W24</f>
        <v>0</v>
      </c>
      <c r="J24" s="106">
        <v>2.42</v>
      </c>
      <c r="K24" s="113">
        <f>October!AB24*5.04</f>
        <v>0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0</v>
      </c>
      <c r="P24" s="107">
        <f>October!AD24</f>
        <v>0</v>
      </c>
    </row>
    <row r="25" spans="1:16" ht="14.3" x14ac:dyDescent="0.25">
      <c r="A25" s="102" t="s">
        <v>37</v>
      </c>
      <c r="B25" s="5">
        <f t="shared" si="0"/>
        <v>24</v>
      </c>
      <c r="C25" s="129">
        <v>8</v>
      </c>
      <c r="D25" s="4">
        <v>2024</v>
      </c>
      <c r="E25" s="103">
        <f>IF(October!C25&lt;0,"0",October!C25)+(IF(October!E25&lt;0,"0",October!E25)-(IF(October!G25&lt;0,"0",October!G25)))</f>
        <v>0</v>
      </c>
      <c r="F25" s="117" t="e">
        <f>(October!C25*0.27)/(October!C25+October!E25)</f>
        <v>#DIV/0!</v>
      </c>
      <c r="G25" s="104">
        <f>October!U25</f>
        <v>0</v>
      </c>
      <c r="H25" s="120">
        <v>0.62</v>
      </c>
      <c r="I25" s="105">
        <f>October!W25</f>
        <v>0</v>
      </c>
      <c r="J25" s="106">
        <v>2.42</v>
      </c>
      <c r="K25" s="113">
        <f>October!AB25*5.04</f>
        <v>0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0</v>
      </c>
      <c r="P25" s="107">
        <f>October!AD25</f>
        <v>0</v>
      </c>
    </row>
    <row r="26" spans="1:16" ht="14.3" x14ac:dyDescent="0.25">
      <c r="A26" s="102" t="s">
        <v>37</v>
      </c>
      <c r="B26" s="5">
        <f>B25+1</f>
        <v>25</v>
      </c>
      <c r="C26" s="129">
        <v>8</v>
      </c>
      <c r="D26" s="4">
        <v>2024</v>
      </c>
      <c r="E26" s="103">
        <f>IF(October!C26&lt;0,"0",October!C26)+(IF(October!E26&lt;0,"0",October!E26)-(IF(October!G26&lt;0,"0",October!G26)))</f>
        <v>0</v>
      </c>
      <c r="F26" s="117" t="e">
        <f>(October!C26*0.27)/(October!C26+October!E26)</f>
        <v>#DIV/0!</v>
      </c>
      <c r="G26" s="104">
        <f>October!U26</f>
        <v>0</v>
      </c>
      <c r="H26" s="120">
        <v>0.62</v>
      </c>
      <c r="I26" s="105">
        <f>October!W26</f>
        <v>0</v>
      </c>
      <c r="J26" s="106">
        <v>2.42</v>
      </c>
      <c r="K26" s="113">
        <f>October!AB26*5.04</f>
        <v>0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0</v>
      </c>
      <c r="P26" s="107">
        <f>October!AD26</f>
        <v>0</v>
      </c>
    </row>
    <row r="27" spans="1:16" ht="14.3" x14ac:dyDescent="0.25">
      <c r="A27" s="102" t="s">
        <v>37</v>
      </c>
      <c r="B27" s="5">
        <f t="shared" si="0"/>
        <v>26</v>
      </c>
      <c r="C27" s="129">
        <v>8</v>
      </c>
      <c r="D27" s="4">
        <v>2024</v>
      </c>
      <c r="E27" s="103">
        <f>IF(October!C27&lt;0,"0",October!C27)+(IF(October!E27&lt;0,"0",October!E27)-(IF(October!G27&lt;0,"0",October!G27)))</f>
        <v>0</v>
      </c>
      <c r="F27" s="117" t="e">
        <f>(October!C27*0.27)/(October!C27+October!E27)</f>
        <v>#DIV/0!</v>
      </c>
      <c r="G27" s="104">
        <f>October!U27</f>
        <v>0</v>
      </c>
      <c r="H27" s="120">
        <v>0.62</v>
      </c>
      <c r="I27" s="105">
        <f>October!W27</f>
        <v>0</v>
      </c>
      <c r="J27" s="106">
        <v>2.42</v>
      </c>
      <c r="K27" s="113">
        <f>October!AB27*5.04</f>
        <v>0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0</v>
      </c>
      <c r="P27" s="107">
        <f>October!AD27</f>
        <v>0</v>
      </c>
    </row>
    <row r="28" spans="1:16" ht="14.3" x14ac:dyDescent="0.25">
      <c r="A28" s="102" t="s">
        <v>37</v>
      </c>
      <c r="B28" s="5">
        <f t="shared" si="0"/>
        <v>27</v>
      </c>
      <c r="C28" s="129">
        <v>8</v>
      </c>
      <c r="D28" s="4">
        <v>2024</v>
      </c>
      <c r="E28" s="103">
        <f>IF(October!C28&lt;0,"0",October!C28)+(IF(October!E28&lt;0,"0",October!E28)-(IF(October!G28&lt;0,"0",October!G28)))</f>
        <v>0</v>
      </c>
      <c r="F28" s="117" t="e">
        <f>(October!C28*0.27)/(October!C28+October!E28)</f>
        <v>#DIV/0!</v>
      </c>
      <c r="G28" s="104">
        <f>October!U28</f>
        <v>0</v>
      </c>
      <c r="H28" s="120">
        <v>0.62</v>
      </c>
      <c r="I28" s="105">
        <f>October!W28</f>
        <v>0</v>
      </c>
      <c r="J28" s="106">
        <v>2.42</v>
      </c>
      <c r="K28" s="113">
        <f>October!AB28*5.04</f>
        <v>0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0</v>
      </c>
      <c r="P28" s="107">
        <f>October!AD28</f>
        <v>0</v>
      </c>
    </row>
    <row r="29" spans="1:16" ht="14.3" x14ac:dyDescent="0.25">
      <c r="A29" s="102" t="s">
        <v>37</v>
      </c>
      <c r="B29" s="5">
        <f t="shared" si="0"/>
        <v>28</v>
      </c>
      <c r="C29" s="129">
        <v>8</v>
      </c>
      <c r="D29" s="4">
        <v>2024</v>
      </c>
      <c r="E29" s="103">
        <f>IF(October!C29&lt;0,"0",October!C29)+(IF(October!E29&lt;0,"0",October!E29)-(IF(October!G29&lt;0,"0",October!G29)))</f>
        <v>0</v>
      </c>
      <c r="F29" s="117" t="e">
        <f>(October!C29*0.27)/(October!C29+October!E29)</f>
        <v>#DIV/0!</v>
      </c>
      <c r="G29" s="104">
        <f>October!U29</f>
        <v>0</v>
      </c>
      <c r="H29" s="120">
        <v>0.62</v>
      </c>
      <c r="I29" s="105">
        <f>October!W29</f>
        <v>0</v>
      </c>
      <c r="J29" s="106">
        <v>2.42</v>
      </c>
      <c r="K29" s="113">
        <f>October!AB29*5.04</f>
        <v>0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0</v>
      </c>
      <c r="P29" s="107">
        <f>October!AD29</f>
        <v>0</v>
      </c>
    </row>
    <row r="30" spans="1:16" ht="14.3" x14ac:dyDescent="0.25">
      <c r="A30" s="102" t="s">
        <v>37</v>
      </c>
      <c r="B30" s="5">
        <f t="shared" si="0"/>
        <v>29</v>
      </c>
      <c r="C30" s="129">
        <v>8</v>
      </c>
      <c r="D30" s="4">
        <v>2024</v>
      </c>
      <c r="E30" s="103">
        <f>IF(October!C30&lt;0,"0",October!C30)+(IF(October!E30&lt;0,"0",October!E30)-(IF(October!G30&lt;0,"0",October!G30)))</f>
        <v>0</v>
      </c>
      <c r="F30" s="117" t="e">
        <f>(October!C30*0.27)/(October!C30+October!E30)</f>
        <v>#DIV/0!</v>
      </c>
      <c r="G30" s="104">
        <f>October!U30</f>
        <v>0</v>
      </c>
      <c r="H30" s="120">
        <v>0.62</v>
      </c>
      <c r="I30" s="105">
        <f>October!W30</f>
        <v>0</v>
      </c>
      <c r="J30" s="106">
        <v>2.42</v>
      </c>
      <c r="K30" s="113">
        <f>October!AB30*5.04</f>
        <v>0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0</v>
      </c>
      <c r="P30" s="107">
        <f>October!AD30</f>
        <v>0</v>
      </c>
    </row>
    <row r="31" spans="1:16" ht="14.3" x14ac:dyDescent="0.25">
      <c r="A31" s="102" t="s">
        <v>37</v>
      </c>
      <c r="B31" s="5">
        <f t="shared" si="0"/>
        <v>30</v>
      </c>
      <c r="C31" s="129">
        <v>8</v>
      </c>
      <c r="D31" s="4">
        <v>2024</v>
      </c>
      <c r="E31" s="103">
        <f>IF(October!C31&lt;0,"0",October!C31)+(IF(October!E31&lt;0,"0",October!E31)-(IF(October!G31&lt;0,"0",October!G31)))</f>
        <v>0</v>
      </c>
      <c r="F31" s="117" t="e">
        <f>(October!C31*0.27)/(October!C31+October!E31)</f>
        <v>#DIV/0!</v>
      </c>
      <c r="G31" s="104">
        <f>October!U31</f>
        <v>0</v>
      </c>
      <c r="H31" s="120">
        <v>0.62</v>
      </c>
      <c r="I31" s="105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3" x14ac:dyDescent="0.25">
      <c r="A32" s="102" t="s">
        <v>37</v>
      </c>
      <c r="B32" s="5">
        <f t="shared" si="0"/>
        <v>31</v>
      </c>
      <c r="C32" s="129">
        <v>8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V16" sqref="V1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38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>
        <v>227</v>
      </c>
      <c r="AD2" s="17">
        <v>395</v>
      </c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38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IF((Z3-Z4-AA3)=Z3,"0",(Z3-Z4-AA3))</f>
        <v>245</v>
      </c>
      <c r="AC3" s="13">
        <v>234</v>
      </c>
      <c r="AD3" s="18">
        <v>409</v>
      </c>
    </row>
    <row r="4" spans="1:30" ht="20.7" customHeight="1" x14ac:dyDescent="0.2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38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" customHeight="1" x14ac:dyDescent="0.2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38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" customHeight="1" x14ac:dyDescent="0.2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38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0" ht="20.7" customHeight="1" x14ac:dyDescent="0.2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38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0" ht="20.7" customHeight="1" x14ac:dyDescent="0.2">
      <c r="A8" s="20">
        <v>45572</v>
      </c>
      <c r="B8" s="10">
        <v>12983838</v>
      </c>
      <c r="C8" s="14">
        <f t="shared" si="3"/>
        <v>7233</v>
      </c>
      <c r="D8" s="11">
        <v>563397</v>
      </c>
      <c r="E8" s="14">
        <f t="shared" si="4"/>
        <v>1066</v>
      </c>
      <c r="F8" s="27">
        <v>1704</v>
      </c>
      <c r="G8" s="74">
        <f t="shared" si="5"/>
        <v>0</v>
      </c>
      <c r="H8" s="76">
        <f t="shared" si="6"/>
        <v>8299</v>
      </c>
      <c r="I8" s="80">
        <f t="shared" si="7"/>
        <v>-37274.200000000004</v>
      </c>
      <c r="J8" s="32">
        <f t="shared" si="0"/>
        <v>207.55000000000291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38">
        <v>796</v>
      </c>
      <c r="U8" s="32" t="str">
        <f t="shared" si="2"/>
        <v>0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183</v>
      </c>
      <c r="AD8" s="18">
        <v>344</v>
      </c>
    </row>
    <row r="9" spans="1:30" ht="20.7" customHeight="1" x14ac:dyDescent="0.2">
      <c r="A9" s="20">
        <v>45573</v>
      </c>
      <c r="B9" s="10">
        <v>12991071</v>
      </c>
      <c r="C9" s="14">
        <f t="shared" si="3"/>
        <v>8346</v>
      </c>
      <c r="D9" s="11">
        <v>564463</v>
      </c>
      <c r="E9" s="14">
        <f t="shared" si="4"/>
        <v>162</v>
      </c>
      <c r="F9" s="27">
        <v>1704</v>
      </c>
      <c r="G9" s="74">
        <f t="shared" si="5"/>
        <v>0</v>
      </c>
      <c r="H9" s="76">
        <f t="shared" si="6"/>
        <v>8508</v>
      </c>
      <c r="I9" s="80">
        <f t="shared" si="7"/>
        <v>-37066.65</v>
      </c>
      <c r="J9" s="32">
        <f t="shared" si="0"/>
        <v>-501.93000000000029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8"/>
        <v>4760</v>
      </c>
      <c r="T9" s="38"/>
      <c r="U9" s="32" t="str">
        <f t="shared" si="2"/>
        <v>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 t="shared" si="11"/>
        <v>250</v>
      </c>
      <c r="AC9" s="13">
        <v>174</v>
      </c>
      <c r="AD9" s="18">
        <v>333</v>
      </c>
    </row>
    <row r="10" spans="1:30" ht="20.7" customHeight="1" x14ac:dyDescent="0.2">
      <c r="A10" s="20">
        <v>45574</v>
      </c>
      <c r="B10" s="10">
        <v>12999417</v>
      </c>
      <c r="C10" s="14">
        <f t="shared" si="3"/>
        <v>7560</v>
      </c>
      <c r="D10" s="11">
        <v>564625</v>
      </c>
      <c r="E10" s="14">
        <f t="shared" si="4"/>
        <v>447</v>
      </c>
      <c r="F10" s="27">
        <v>1704</v>
      </c>
      <c r="G10" s="74">
        <f t="shared" si="5"/>
        <v>0</v>
      </c>
      <c r="H10" s="76">
        <f t="shared" si="6"/>
        <v>8007</v>
      </c>
      <c r="I10" s="80">
        <f t="shared" si="7"/>
        <v>-37568.58</v>
      </c>
      <c r="J10" s="32">
        <f t="shared" si="0"/>
        <v>184.02999999999884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8"/>
        <v>4640</v>
      </c>
      <c r="T10" s="38"/>
      <c r="U10" s="32">
        <f t="shared" si="2"/>
        <v>85</v>
      </c>
      <c r="V10" s="44">
        <v>118364</v>
      </c>
      <c r="W10" s="32">
        <f t="shared" si="9"/>
        <v>102</v>
      </c>
      <c r="X10" s="47">
        <v>60948</v>
      </c>
      <c r="Y10" s="32">
        <f t="shared" si="10"/>
        <v>11</v>
      </c>
      <c r="Z10" s="50">
        <v>820</v>
      </c>
      <c r="AA10" s="56">
        <v>8100</v>
      </c>
      <c r="AB10" s="32">
        <f t="shared" si="11"/>
        <v>-16040</v>
      </c>
      <c r="AC10" s="13">
        <v>215</v>
      </c>
      <c r="AD10" s="18">
        <v>404</v>
      </c>
    </row>
    <row r="11" spans="1:30" ht="20.7" customHeight="1" x14ac:dyDescent="0.2">
      <c r="A11" s="20">
        <v>45575</v>
      </c>
      <c r="B11" s="10">
        <v>13006977</v>
      </c>
      <c r="C11" s="14">
        <f t="shared" si="3"/>
        <v>7159</v>
      </c>
      <c r="D11" s="11">
        <v>565072</v>
      </c>
      <c r="E11" s="14">
        <f t="shared" si="4"/>
        <v>1033</v>
      </c>
      <c r="F11" s="27">
        <v>1704</v>
      </c>
      <c r="G11" s="74">
        <f t="shared" si="5"/>
        <v>0</v>
      </c>
      <c r="H11" s="76">
        <f t="shared" si="6"/>
        <v>8192</v>
      </c>
      <c r="I11" s="80">
        <f t="shared" si="7"/>
        <v>-37384.550000000003</v>
      </c>
      <c r="J11" s="32">
        <f t="shared" si="0"/>
        <v>-128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>
        <v>0.76</v>
      </c>
      <c r="P11" s="93">
        <v>0.76</v>
      </c>
      <c r="Q11" s="92">
        <v>0.79</v>
      </c>
      <c r="R11" s="93">
        <v>0.72</v>
      </c>
      <c r="S11" s="39">
        <f t="shared" si="8"/>
        <v>4555</v>
      </c>
      <c r="T11" s="38"/>
      <c r="U11" s="32">
        <f t="shared" si="2"/>
        <v>45</v>
      </c>
      <c r="V11" s="44">
        <v>118466</v>
      </c>
      <c r="W11" s="32">
        <f t="shared" si="9"/>
        <v>118</v>
      </c>
      <c r="X11" s="47">
        <v>60959</v>
      </c>
      <c r="Y11" s="32">
        <f t="shared" si="10"/>
        <v>7</v>
      </c>
      <c r="Z11" s="50">
        <v>8760</v>
      </c>
      <c r="AA11" s="56">
        <v>0</v>
      </c>
      <c r="AB11" s="32">
        <f t="shared" si="11"/>
        <v>425</v>
      </c>
      <c r="AC11" s="13">
        <v>216</v>
      </c>
      <c r="AD11" s="18">
        <v>408</v>
      </c>
    </row>
    <row r="12" spans="1:30" ht="20.7" customHeight="1" x14ac:dyDescent="0.2">
      <c r="A12" s="20">
        <v>45576</v>
      </c>
      <c r="B12" s="10">
        <v>13014136</v>
      </c>
      <c r="C12" s="14">
        <f t="shared" si="3"/>
        <v>7251</v>
      </c>
      <c r="D12" s="11">
        <v>566105</v>
      </c>
      <c r="E12" s="14">
        <f t="shared" si="4"/>
        <v>814</v>
      </c>
      <c r="F12" s="27">
        <v>1704</v>
      </c>
      <c r="G12" s="74">
        <f t="shared" si="5"/>
        <v>0</v>
      </c>
      <c r="H12" s="76">
        <f t="shared" si="6"/>
        <v>8065</v>
      </c>
      <c r="I12" s="80">
        <f t="shared" si="7"/>
        <v>-37512.550000000003</v>
      </c>
      <c r="J12" s="32">
        <f t="shared" si="0"/>
        <v>67.130000000004657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>
        <v>0.76</v>
      </c>
      <c r="P12" s="93">
        <v>0.75</v>
      </c>
      <c r="Q12" s="92">
        <v>0.79</v>
      </c>
      <c r="R12" s="93">
        <v>0.68</v>
      </c>
      <c r="S12" s="39">
        <f t="shared" si="8"/>
        <v>4510</v>
      </c>
      <c r="T12" s="38"/>
      <c r="U12" s="32">
        <f t="shared" si="2"/>
        <v>195</v>
      </c>
      <c r="V12" s="44">
        <v>118584</v>
      </c>
      <c r="W12" s="32">
        <f t="shared" si="9"/>
        <v>121</v>
      </c>
      <c r="X12" s="47">
        <v>60966</v>
      </c>
      <c r="Y12" s="32">
        <f t="shared" si="10"/>
        <v>4</v>
      </c>
      <c r="Z12" s="50">
        <v>8335</v>
      </c>
      <c r="AA12" s="56">
        <v>0</v>
      </c>
      <c r="AB12" s="32">
        <f t="shared" si="11"/>
        <v>300</v>
      </c>
      <c r="AC12" s="13">
        <v>219</v>
      </c>
      <c r="AD12" s="18">
        <v>429</v>
      </c>
    </row>
    <row r="13" spans="1:30" ht="20.7" customHeight="1" x14ac:dyDescent="0.2">
      <c r="A13" s="20">
        <v>45577</v>
      </c>
      <c r="B13" s="10">
        <v>13021387</v>
      </c>
      <c r="C13" s="14">
        <f t="shared" si="3"/>
        <v>7141</v>
      </c>
      <c r="D13" s="11">
        <v>566919</v>
      </c>
      <c r="E13" s="14">
        <f t="shared" si="4"/>
        <v>992</v>
      </c>
      <c r="F13" s="27">
        <v>1704</v>
      </c>
      <c r="G13" s="74">
        <f t="shared" si="5"/>
        <v>0</v>
      </c>
      <c r="H13" s="76">
        <f t="shared" si="6"/>
        <v>8133</v>
      </c>
      <c r="I13" s="80">
        <f t="shared" si="7"/>
        <v>-37445.42</v>
      </c>
      <c r="J13" s="32">
        <f t="shared" si="0"/>
        <v>99.059999999997672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>
        <v>0.74</v>
      </c>
      <c r="P13" s="93">
        <v>0.72</v>
      </c>
      <c r="Q13" s="92">
        <v>0.68</v>
      </c>
      <c r="R13" s="93">
        <v>0.65</v>
      </c>
      <c r="S13" s="39">
        <f t="shared" si="8"/>
        <v>4315</v>
      </c>
      <c r="T13" s="38"/>
      <c r="U13" s="32">
        <f t="shared" si="2"/>
        <v>135</v>
      </c>
      <c r="V13" s="44">
        <v>118705</v>
      </c>
      <c r="W13" s="32">
        <f t="shared" si="9"/>
        <v>126</v>
      </c>
      <c r="X13" s="47">
        <v>60970</v>
      </c>
      <c r="Y13" s="32">
        <f t="shared" si="10"/>
        <v>14</v>
      </c>
      <c r="Z13" s="50">
        <v>8035</v>
      </c>
      <c r="AA13" s="56">
        <v>0</v>
      </c>
      <c r="AB13" s="32">
        <f t="shared" si="11"/>
        <v>160</v>
      </c>
      <c r="AC13" s="13">
        <v>230</v>
      </c>
      <c r="AD13" s="18">
        <v>458</v>
      </c>
    </row>
    <row r="14" spans="1:30" ht="20.7" customHeight="1" x14ac:dyDescent="0.2">
      <c r="A14" s="20">
        <v>45578</v>
      </c>
      <c r="B14" s="10">
        <v>13028528</v>
      </c>
      <c r="C14" s="14">
        <f t="shared" si="3"/>
        <v>7303</v>
      </c>
      <c r="D14" s="11">
        <v>567911</v>
      </c>
      <c r="E14" s="14">
        <f t="shared" si="4"/>
        <v>930</v>
      </c>
      <c r="F14" s="27">
        <v>1704</v>
      </c>
      <c r="G14" s="74">
        <f t="shared" si="5"/>
        <v>0</v>
      </c>
      <c r="H14" s="76">
        <f t="shared" si="6"/>
        <v>8233</v>
      </c>
      <c r="I14" s="80">
        <f t="shared" si="7"/>
        <v>-37346.36</v>
      </c>
      <c r="J14" s="32">
        <f t="shared" si="0"/>
        <v>100.03000000000611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>
        <v>0.72</v>
      </c>
      <c r="P14" s="93">
        <v>0.7</v>
      </c>
      <c r="Q14" s="92">
        <v>0.64</v>
      </c>
      <c r="R14" s="93">
        <v>0.62</v>
      </c>
      <c r="S14" s="39">
        <f t="shared" si="8"/>
        <v>4180</v>
      </c>
      <c r="T14" s="38"/>
      <c r="U14" s="32">
        <f t="shared" si="2"/>
        <v>20</v>
      </c>
      <c r="V14" s="44">
        <v>118831</v>
      </c>
      <c r="W14" s="32">
        <f t="shared" si="9"/>
        <v>116</v>
      </c>
      <c r="X14" s="47">
        <v>60984</v>
      </c>
      <c r="Y14" s="32">
        <f t="shared" si="10"/>
        <v>7</v>
      </c>
      <c r="Z14" s="50">
        <v>7875</v>
      </c>
      <c r="AA14" s="56">
        <v>0</v>
      </c>
      <c r="AB14" s="32">
        <f t="shared" si="11"/>
        <v>265</v>
      </c>
      <c r="AC14" s="13">
        <v>210</v>
      </c>
      <c r="AD14" s="18">
        <v>418</v>
      </c>
    </row>
    <row r="15" spans="1:30" ht="20.7" customHeight="1" x14ac:dyDescent="0.2">
      <c r="A15" s="20">
        <v>45579</v>
      </c>
      <c r="B15" s="10">
        <v>13035831</v>
      </c>
      <c r="C15" s="14">
        <f t="shared" si="3"/>
        <v>7350</v>
      </c>
      <c r="D15" s="11">
        <v>568841</v>
      </c>
      <c r="E15" s="14">
        <f t="shared" si="4"/>
        <v>984</v>
      </c>
      <c r="F15" s="27">
        <v>1704</v>
      </c>
      <c r="G15" s="74">
        <f t="shared" si="5"/>
        <v>0</v>
      </c>
      <c r="H15" s="76">
        <f t="shared" si="6"/>
        <v>8334</v>
      </c>
      <c r="I15" s="80">
        <f t="shared" si="7"/>
        <v>-37246.329999999994</v>
      </c>
      <c r="J15" s="32">
        <f t="shared" si="0"/>
        <v>-276.32000000000698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>
        <v>0.7</v>
      </c>
      <c r="P15" s="93">
        <v>0.72</v>
      </c>
      <c r="Q15" s="92">
        <v>0.63</v>
      </c>
      <c r="R15" s="93">
        <v>0.59</v>
      </c>
      <c r="S15" s="39">
        <f t="shared" si="8"/>
        <v>4160</v>
      </c>
      <c r="T15" s="38">
        <v>728</v>
      </c>
      <c r="U15" s="32">
        <f t="shared" si="2"/>
        <v>108</v>
      </c>
      <c r="V15" s="44">
        <v>118947</v>
      </c>
      <c r="W15" s="32">
        <f t="shared" si="9"/>
        <v>109</v>
      </c>
      <c r="X15" s="47">
        <v>60991</v>
      </c>
      <c r="Y15" s="32">
        <f t="shared" si="10"/>
        <v>8</v>
      </c>
      <c r="Z15" s="50">
        <v>7610</v>
      </c>
      <c r="AA15" s="56">
        <v>0</v>
      </c>
      <c r="AB15" s="32">
        <f t="shared" si="11"/>
        <v>430</v>
      </c>
      <c r="AC15" s="13">
        <v>212</v>
      </c>
      <c r="AD15" s="18">
        <v>415</v>
      </c>
    </row>
    <row r="16" spans="1:30" ht="20.7" customHeight="1" x14ac:dyDescent="0.2">
      <c r="A16" s="20">
        <v>45580</v>
      </c>
      <c r="B16" s="10">
        <v>13043181</v>
      </c>
      <c r="C16" s="14">
        <f t="shared" si="3"/>
        <v>7164</v>
      </c>
      <c r="D16" s="11">
        <v>569825</v>
      </c>
      <c r="E16" s="14">
        <f t="shared" si="4"/>
        <v>895</v>
      </c>
      <c r="F16" s="27">
        <v>1704</v>
      </c>
      <c r="G16" s="74">
        <f t="shared" si="5"/>
        <v>0</v>
      </c>
      <c r="H16" s="76">
        <f t="shared" si="6"/>
        <v>8059</v>
      </c>
      <c r="I16" s="80">
        <f t="shared" si="7"/>
        <v>-37522.65</v>
      </c>
      <c r="J16" s="32">
        <f t="shared" si="0"/>
        <v>169.0199999999968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>
        <v>0.8</v>
      </c>
      <c r="P16" s="93">
        <v>0.78</v>
      </c>
      <c r="Q16" s="92">
        <v>0.85</v>
      </c>
      <c r="R16" s="93">
        <v>0.81</v>
      </c>
      <c r="S16" s="39">
        <f t="shared" si="8"/>
        <v>4780</v>
      </c>
      <c r="T16" s="38"/>
      <c r="U16" s="32" t="str">
        <f t="shared" si="2"/>
        <v>0</v>
      </c>
      <c r="V16" s="44">
        <v>119056</v>
      </c>
      <c r="W16" s="32">
        <f t="shared" si="9"/>
        <v>130</v>
      </c>
      <c r="X16" s="47">
        <v>60999</v>
      </c>
      <c r="Y16" s="32">
        <f t="shared" si="10"/>
        <v>7</v>
      </c>
      <c r="Z16" s="50">
        <v>7180</v>
      </c>
      <c r="AA16" s="56">
        <v>0</v>
      </c>
      <c r="AB16" s="32">
        <f t="shared" si="11"/>
        <v>430</v>
      </c>
      <c r="AC16" s="13">
        <v>218</v>
      </c>
      <c r="AD16" s="18">
        <v>430</v>
      </c>
    </row>
    <row r="17" spans="1:30" ht="20.7" customHeight="1" x14ac:dyDescent="0.2">
      <c r="A17" s="20">
        <v>45581</v>
      </c>
      <c r="B17" s="10">
        <v>13050345</v>
      </c>
      <c r="C17" s="14">
        <f t="shared" si="3"/>
        <v>7447</v>
      </c>
      <c r="D17" s="11">
        <v>570720</v>
      </c>
      <c r="E17" s="14">
        <f t="shared" si="4"/>
        <v>782</v>
      </c>
      <c r="F17" s="27">
        <v>1704</v>
      </c>
      <c r="G17" s="74">
        <f t="shared" si="5"/>
        <v>0</v>
      </c>
      <c r="H17" s="76">
        <f t="shared" si="6"/>
        <v>8229</v>
      </c>
      <c r="I17" s="80">
        <f t="shared" si="7"/>
        <v>-37353.630000000005</v>
      </c>
      <c r="J17" s="32">
        <f t="shared" si="0"/>
        <v>-62.939999999995052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>
        <v>0.8</v>
      </c>
      <c r="P17" s="93">
        <v>0.77</v>
      </c>
      <c r="Q17" s="92">
        <v>0.83</v>
      </c>
      <c r="R17" s="93">
        <v>0.77</v>
      </c>
      <c r="S17" s="39">
        <f t="shared" si="8"/>
        <v>4725</v>
      </c>
      <c r="T17" s="38"/>
      <c r="U17" s="32">
        <f t="shared" ref="U17:U20" si="12">IF(OR((S17+T17-S18)&lt;0,S17&gt;S16),"0",(S17+T17-S18))</f>
        <v>140</v>
      </c>
      <c r="V17" s="44">
        <v>119186</v>
      </c>
      <c r="W17" s="32">
        <f t="shared" si="9"/>
        <v>98</v>
      </c>
      <c r="X17" s="47">
        <v>61006</v>
      </c>
      <c r="Y17" s="32">
        <f t="shared" si="10"/>
        <v>2</v>
      </c>
      <c r="Z17" s="50">
        <v>6750</v>
      </c>
      <c r="AA17" s="56">
        <v>0</v>
      </c>
      <c r="AB17" s="32">
        <f t="shared" si="11"/>
        <v>340</v>
      </c>
      <c r="AC17" s="13">
        <v>198</v>
      </c>
      <c r="AD17" s="18">
        <v>393</v>
      </c>
    </row>
    <row r="18" spans="1:30" ht="20.7" customHeight="1" x14ac:dyDescent="0.2">
      <c r="A18" s="20">
        <v>45582</v>
      </c>
      <c r="B18" s="10">
        <v>13057792</v>
      </c>
      <c r="C18" s="14">
        <f t="shared" si="3"/>
        <v>7273</v>
      </c>
      <c r="D18" s="11">
        <v>571502</v>
      </c>
      <c r="E18" s="14">
        <f t="shared" si="4"/>
        <v>894</v>
      </c>
      <c r="F18" s="27">
        <v>1704</v>
      </c>
      <c r="G18" s="74">
        <f t="shared" si="5"/>
        <v>0</v>
      </c>
      <c r="H18" s="76">
        <f t="shared" si="6"/>
        <v>8167</v>
      </c>
      <c r="I18" s="80">
        <f t="shared" si="7"/>
        <v>-37416.57</v>
      </c>
      <c r="J18" s="32">
        <f t="shared" si="0"/>
        <v>-741.90000000000146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>
        <v>0.78</v>
      </c>
      <c r="P18" s="93">
        <v>0.75</v>
      </c>
      <c r="Q18" s="92">
        <v>0.79</v>
      </c>
      <c r="R18" s="93">
        <v>0.73</v>
      </c>
      <c r="S18" s="39">
        <f t="shared" si="8"/>
        <v>4585</v>
      </c>
      <c r="T18" s="38"/>
      <c r="U18" s="32">
        <f t="shared" si="12"/>
        <v>185</v>
      </c>
      <c r="V18" s="44">
        <v>119284</v>
      </c>
      <c r="W18" s="32">
        <f t="shared" si="9"/>
        <v>79</v>
      </c>
      <c r="X18" s="47">
        <v>61008</v>
      </c>
      <c r="Y18" s="32">
        <f t="shared" si="10"/>
        <v>9</v>
      </c>
      <c r="Z18" s="50">
        <v>6410</v>
      </c>
      <c r="AA18" s="56">
        <v>0</v>
      </c>
      <c r="AB18" s="32">
        <f t="shared" si="11"/>
        <v>280</v>
      </c>
      <c r="AC18" s="13">
        <v>210</v>
      </c>
      <c r="AD18" s="18">
        <v>419</v>
      </c>
    </row>
    <row r="19" spans="1:30" ht="20.7" customHeight="1" x14ac:dyDescent="0.2">
      <c r="A19" s="20">
        <v>45583</v>
      </c>
      <c r="B19" s="10">
        <v>13065065</v>
      </c>
      <c r="C19" s="14">
        <f t="shared" si="3"/>
        <v>6491</v>
      </c>
      <c r="D19" s="11">
        <v>572396</v>
      </c>
      <c r="E19" s="14">
        <f t="shared" si="4"/>
        <v>935</v>
      </c>
      <c r="F19" s="27">
        <v>1704</v>
      </c>
      <c r="G19" s="74">
        <f t="shared" si="5"/>
        <v>0</v>
      </c>
      <c r="H19" s="76">
        <f t="shared" si="6"/>
        <v>7426</v>
      </c>
      <c r="I19" s="80">
        <f t="shared" si="7"/>
        <v>-38158.47</v>
      </c>
      <c r="J19" s="32">
        <f t="shared" si="0"/>
        <v>-238.90000000000146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>
        <v>0.74</v>
      </c>
      <c r="P19" s="93">
        <v>0.74</v>
      </c>
      <c r="Q19" s="92">
        <v>0.73</v>
      </c>
      <c r="R19" s="93">
        <v>0.67</v>
      </c>
      <c r="S19" s="39">
        <f t="shared" si="8"/>
        <v>4400</v>
      </c>
      <c r="T19" s="38"/>
      <c r="U19" s="32">
        <f t="shared" si="12"/>
        <v>150</v>
      </c>
      <c r="V19" s="44">
        <v>119363</v>
      </c>
      <c r="W19" s="32">
        <f t="shared" si="9"/>
        <v>94</v>
      </c>
      <c r="X19" s="47">
        <v>61017</v>
      </c>
      <c r="Y19" s="32">
        <f t="shared" si="10"/>
        <v>20</v>
      </c>
      <c r="Z19" s="50">
        <v>6130</v>
      </c>
      <c r="AA19" s="56">
        <v>0</v>
      </c>
      <c r="AB19" s="32">
        <f t="shared" si="11"/>
        <v>450</v>
      </c>
      <c r="AC19" s="13">
        <v>216</v>
      </c>
      <c r="AD19" s="18">
        <v>425</v>
      </c>
    </row>
    <row r="20" spans="1:30" ht="20.7" customHeight="1" x14ac:dyDescent="0.2">
      <c r="A20" s="20">
        <v>45584</v>
      </c>
      <c r="B20" s="10">
        <v>13071556</v>
      </c>
      <c r="C20" s="14">
        <f t="shared" si="3"/>
        <v>6249</v>
      </c>
      <c r="D20" s="11">
        <v>573331</v>
      </c>
      <c r="E20" s="14">
        <f t="shared" si="4"/>
        <v>939</v>
      </c>
      <c r="F20" s="27">
        <v>1704</v>
      </c>
      <c r="G20" s="74">
        <f t="shared" si="5"/>
        <v>0</v>
      </c>
      <c r="H20" s="76">
        <f t="shared" si="6"/>
        <v>7188</v>
      </c>
      <c r="I20" s="80">
        <f t="shared" si="7"/>
        <v>-38397.370000000003</v>
      </c>
      <c r="J20" s="32">
        <f t="shared" si="0"/>
        <v>-189.92999999999302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>
        <v>0.72</v>
      </c>
      <c r="P20" s="93">
        <v>0.72</v>
      </c>
      <c r="Q20" s="92">
        <v>0.65</v>
      </c>
      <c r="R20" s="93">
        <v>0.65</v>
      </c>
      <c r="S20" s="39">
        <f t="shared" si="8"/>
        <v>4250</v>
      </c>
      <c r="T20" s="38"/>
      <c r="U20" s="32">
        <f t="shared" si="12"/>
        <v>120</v>
      </c>
      <c r="V20" s="44">
        <v>119457</v>
      </c>
      <c r="W20" s="32">
        <f t="shared" si="9"/>
        <v>94</v>
      </c>
      <c r="X20" s="47">
        <v>61037</v>
      </c>
      <c r="Y20" s="32">
        <f t="shared" si="10"/>
        <v>6</v>
      </c>
      <c r="Z20" s="50">
        <v>5680</v>
      </c>
      <c r="AA20" s="56">
        <v>0</v>
      </c>
      <c r="AB20" s="32">
        <f t="shared" si="11"/>
        <v>400</v>
      </c>
      <c r="AC20" s="13">
        <v>238</v>
      </c>
      <c r="AD20" s="18">
        <v>473</v>
      </c>
    </row>
    <row r="21" spans="1:30" ht="20.7" customHeight="1" x14ac:dyDescent="0.2">
      <c r="A21" s="20">
        <v>45585</v>
      </c>
      <c r="B21" s="10">
        <v>13077805</v>
      </c>
      <c r="C21" s="14">
        <f t="shared" si="3"/>
        <v>6052</v>
      </c>
      <c r="D21" s="11">
        <v>574270</v>
      </c>
      <c r="E21" s="14">
        <f t="shared" si="4"/>
        <v>947</v>
      </c>
      <c r="F21" s="27">
        <v>1704</v>
      </c>
      <c r="G21" s="74">
        <f t="shared" si="5"/>
        <v>0</v>
      </c>
      <c r="H21" s="76">
        <f t="shared" si="6"/>
        <v>6999</v>
      </c>
      <c r="I21" s="80">
        <f t="shared" si="7"/>
        <v>-38587.299999999996</v>
      </c>
      <c r="J21" s="32">
        <f t="shared" si="0"/>
        <v>-13666073.919999998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>
        <v>0.7</v>
      </c>
      <c r="P21" s="93">
        <v>0.71</v>
      </c>
      <c r="Q21" s="92">
        <v>0.6</v>
      </c>
      <c r="R21" s="93">
        <v>0.61</v>
      </c>
      <c r="S21" s="40">
        <f t="shared" si="8"/>
        <v>4130</v>
      </c>
      <c r="T21" s="38"/>
      <c r="U21" s="32">
        <f>IF(OR((S21+T21-S22)&lt;0,S21&gt;S20),"0",(S21+T21-S22))</f>
        <v>100</v>
      </c>
      <c r="V21" s="44">
        <v>119551</v>
      </c>
      <c r="W21" s="32">
        <f t="shared" si="9"/>
        <v>86</v>
      </c>
      <c r="X21" s="47">
        <v>61043</v>
      </c>
      <c r="Y21" s="32">
        <f t="shared" si="10"/>
        <v>5</v>
      </c>
      <c r="Z21" s="50">
        <v>5280</v>
      </c>
      <c r="AA21" s="56">
        <v>0</v>
      </c>
      <c r="AB21" s="32">
        <f t="shared" si="11"/>
        <v>470</v>
      </c>
      <c r="AC21" s="13">
        <v>236</v>
      </c>
      <c r="AD21" s="18">
        <v>486</v>
      </c>
    </row>
    <row r="22" spans="1:30" ht="20.7" customHeight="1" x14ac:dyDescent="0.2">
      <c r="A22" s="20">
        <v>45586</v>
      </c>
      <c r="B22" s="10">
        <v>13083857</v>
      </c>
      <c r="C22" s="14">
        <f t="shared" si="3"/>
        <v>-13083857</v>
      </c>
      <c r="D22" s="11">
        <v>575217</v>
      </c>
      <c r="E22" s="14">
        <f t="shared" si="4"/>
        <v>-575217</v>
      </c>
      <c r="F22" s="27">
        <v>1704</v>
      </c>
      <c r="G22" s="74">
        <f t="shared" si="5"/>
        <v>0</v>
      </c>
      <c r="H22" s="76">
        <f t="shared" si="6"/>
        <v>-13659074</v>
      </c>
      <c r="I22" s="80">
        <f t="shared" si="7"/>
        <v>-13704661.219999999</v>
      </c>
      <c r="J22" s="32">
        <f t="shared" si="0"/>
        <v>13659074.219999999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>
        <v>0.7</v>
      </c>
      <c r="P22" s="93">
        <v>0.7</v>
      </c>
      <c r="Q22" s="92">
        <v>0.52</v>
      </c>
      <c r="R22" s="93">
        <v>0.54</v>
      </c>
      <c r="S22" s="40">
        <f t="shared" si="8"/>
        <v>4030</v>
      </c>
      <c r="T22" s="38">
        <v>301.55</v>
      </c>
      <c r="U22" s="32">
        <f t="shared" ref="U22:U32" si="13">IF((S22+T22-S23)&lt;0,"0",(S22+T22-S23))</f>
        <v>4331.55</v>
      </c>
      <c r="V22" s="44">
        <v>119637</v>
      </c>
      <c r="W22" s="32" t="str">
        <f t="shared" si="9"/>
        <v>0</v>
      </c>
      <c r="X22" s="47">
        <v>61048</v>
      </c>
      <c r="Y22" s="32">
        <f t="shared" si="10"/>
        <v>-61048</v>
      </c>
      <c r="Z22" s="50">
        <v>4810</v>
      </c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45587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4">
        <f t="shared" si="5"/>
        <v>0</v>
      </c>
      <c r="H23" s="76">
        <f t="shared" si="6"/>
        <v>0</v>
      </c>
      <c r="I23" s="80">
        <f t="shared" si="7"/>
        <v>-45587</v>
      </c>
      <c r="J23" s="32">
        <f t="shared" si="0"/>
        <v>-1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/>
      <c r="P23" s="93"/>
      <c r="Q23" s="92"/>
      <c r="R23" s="93"/>
      <c r="S23" s="40">
        <f t="shared" si="8"/>
        <v>0</v>
      </c>
      <c r="T23" s="38"/>
      <c r="U23" s="32">
        <f t="shared" si="13"/>
        <v>0</v>
      </c>
      <c r="V23" s="44"/>
      <c r="W23" s="32">
        <f t="shared" si="9"/>
        <v>0</v>
      </c>
      <c r="X23" s="47"/>
      <c r="Y23" s="32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45588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4">
        <f t="shared" si="5"/>
        <v>0</v>
      </c>
      <c r="H24" s="76">
        <f t="shared" si="6"/>
        <v>0</v>
      </c>
      <c r="I24" s="80">
        <f t="shared" si="7"/>
        <v>-45588</v>
      </c>
      <c r="J24" s="32">
        <f t="shared" si="0"/>
        <v>-1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/>
      <c r="P24" s="93"/>
      <c r="Q24" s="92"/>
      <c r="R24" s="93"/>
      <c r="S24" s="40">
        <f t="shared" si="8"/>
        <v>0</v>
      </c>
      <c r="T24" s="38"/>
      <c r="U24" s="32">
        <f t="shared" si="13"/>
        <v>0</v>
      </c>
      <c r="V24" s="44"/>
      <c r="W24" s="32">
        <f t="shared" si="9"/>
        <v>0</v>
      </c>
      <c r="X24" s="47"/>
      <c r="Y24" s="32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45589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4">
        <f t="shared" si="5"/>
        <v>0</v>
      </c>
      <c r="H25" s="76">
        <f t="shared" si="6"/>
        <v>0</v>
      </c>
      <c r="I25" s="80">
        <f t="shared" si="7"/>
        <v>-45589</v>
      </c>
      <c r="J25" s="32">
        <f t="shared" si="0"/>
        <v>-1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/>
      <c r="P25" s="93"/>
      <c r="Q25" s="92"/>
      <c r="R25" s="93"/>
      <c r="S25" s="40">
        <f t="shared" si="8"/>
        <v>0</v>
      </c>
      <c r="T25" s="38"/>
      <c r="U25" s="32">
        <f t="shared" si="13"/>
        <v>0</v>
      </c>
      <c r="V25" s="44"/>
      <c r="W25" s="32">
        <f t="shared" si="9"/>
        <v>0</v>
      </c>
      <c r="X25" s="47"/>
      <c r="Y25" s="32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45590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4">
        <f t="shared" si="5"/>
        <v>0</v>
      </c>
      <c r="H26" s="76">
        <f t="shared" si="6"/>
        <v>0</v>
      </c>
      <c r="I26" s="80">
        <f t="shared" si="7"/>
        <v>-45590</v>
      </c>
      <c r="J26" s="32">
        <f t="shared" si="0"/>
        <v>-1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/>
      <c r="P26" s="93"/>
      <c r="Q26" s="92"/>
      <c r="R26" s="93"/>
      <c r="S26" s="40">
        <f t="shared" si="8"/>
        <v>0</v>
      </c>
      <c r="T26" s="38"/>
      <c r="U26" s="32">
        <f t="shared" si="13"/>
        <v>0</v>
      </c>
      <c r="V26" s="44"/>
      <c r="W26" s="32">
        <f t="shared" si="9"/>
        <v>0</v>
      </c>
      <c r="X26" s="47"/>
      <c r="Y26" s="32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45591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4">
        <f t="shared" si="5"/>
        <v>0</v>
      </c>
      <c r="H27" s="76">
        <f t="shared" si="6"/>
        <v>0</v>
      </c>
      <c r="I27" s="80">
        <f t="shared" si="7"/>
        <v>-45591</v>
      </c>
      <c r="J27" s="32">
        <f t="shared" si="0"/>
        <v>-1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/>
      <c r="P27" s="93"/>
      <c r="Q27" s="92"/>
      <c r="R27" s="93"/>
      <c r="S27" s="40">
        <f t="shared" si="8"/>
        <v>0</v>
      </c>
      <c r="T27" s="38"/>
      <c r="U27" s="32">
        <f t="shared" si="13"/>
        <v>0</v>
      </c>
      <c r="V27" s="44"/>
      <c r="W27" s="32">
        <f t="shared" si="9"/>
        <v>0</v>
      </c>
      <c r="X27" s="47"/>
      <c r="Y27" s="32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45592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4">
        <f t="shared" si="5"/>
        <v>0</v>
      </c>
      <c r="H28" s="76">
        <f t="shared" si="6"/>
        <v>0</v>
      </c>
      <c r="I28" s="80">
        <f t="shared" si="7"/>
        <v>-45592</v>
      </c>
      <c r="J28" s="32">
        <f t="shared" si="0"/>
        <v>-1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/>
      <c r="P28" s="93"/>
      <c r="Q28" s="92"/>
      <c r="R28" s="93"/>
      <c r="S28" s="40">
        <f t="shared" si="8"/>
        <v>0</v>
      </c>
      <c r="T28" s="38"/>
      <c r="U28" s="32">
        <f t="shared" si="13"/>
        <v>0</v>
      </c>
      <c r="V28" s="44"/>
      <c r="W28" s="32">
        <f t="shared" si="9"/>
        <v>0</v>
      </c>
      <c r="X28" s="47"/>
      <c r="Y28" s="32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45593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4">
        <f t="shared" si="5"/>
        <v>0</v>
      </c>
      <c r="H29" s="76">
        <f t="shared" si="6"/>
        <v>0</v>
      </c>
      <c r="I29" s="80">
        <f t="shared" si="7"/>
        <v>-45593</v>
      </c>
      <c r="J29" s="32">
        <f t="shared" si="0"/>
        <v>-1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/>
      <c r="P29" s="93"/>
      <c r="Q29" s="92"/>
      <c r="R29" s="93"/>
      <c r="S29" s="40">
        <f t="shared" si="8"/>
        <v>0</v>
      </c>
      <c r="T29" s="38"/>
      <c r="U29" s="32">
        <f t="shared" si="13"/>
        <v>0</v>
      </c>
      <c r="V29" s="44"/>
      <c r="W29" s="32">
        <f t="shared" si="9"/>
        <v>0</v>
      </c>
      <c r="X29" s="47"/>
      <c r="Y29" s="32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45594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4">
        <f t="shared" si="5"/>
        <v>0</v>
      </c>
      <c r="H30" s="76">
        <f t="shared" si="6"/>
        <v>0</v>
      </c>
      <c r="I30" s="80">
        <f t="shared" si="7"/>
        <v>-45594</v>
      </c>
      <c r="J30" s="32">
        <f t="shared" si="0"/>
        <v>-1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/>
      <c r="P30" s="93"/>
      <c r="Q30" s="92"/>
      <c r="R30" s="93"/>
      <c r="S30" s="40">
        <f t="shared" si="8"/>
        <v>0</v>
      </c>
      <c r="T30" s="38"/>
      <c r="U30" s="32">
        <f t="shared" si="13"/>
        <v>0</v>
      </c>
      <c r="V30" s="44"/>
      <c r="W30" s="32">
        <f t="shared" si="9"/>
        <v>0</v>
      </c>
      <c r="X30" s="47"/>
      <c r="Y30" s="32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x14ac:dyDescent="0.2">
      <c r="A31" s="20">
        <v>45595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4">
        <f t="shared" si="5"/>
        <v>0</v>
      </c>
      <c r="H31" s="76">
        <f t="shared" si="6"/>
        <v>0</v>
      </c>
      <c r="I31" s="80">
        <f t="shared" si="7"/>
        <v>-45595</v>
      </c>
      <c r="J31" s="32">
        <f t="shared" si="0"/>
        <v>-1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/>
      <c r="P31" s="93"/>
      <c r="Q31" s="92"/>
      <c r="R31" s="93"/>
      <c r="S31" s="40">
        <f t="shared" si="8"/>
        <v>0</v>
      </c>
      <c r="T31" s="38"/>
      <c r="U31" s="32">
        <f t="shared" si="13"/>
        <v>0</v>
      </c>
      <c r="V31" s="44"/>
      <c r="W31" s="32">
        <f t="shared" si="9"/>
        <v>0</v>
      </c>
      <c r="X31" s="47"/>
      <c r="Y31" s="32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Bot="1" x14ac:dyDescent="0.25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 t="str">
        <f t="shared" si="11"/>
        <v>0</v>
      </c>
      <c r="AC32" s="60"/>
      <c r="AD32" s="61"/>
    </row>
    <row r="33" spans="1:30" ht="20.7" customHeight="1" thickTop="1" thickBot="1" x14ac:dyDescent="0.2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-12940740</v>
      </c>
      <c r="D34" s="84"/>
      <c r="E34" s="83">
        <f>SUM(E2:E33)</f>
        <v>-556855</v>
      </c>
      <c r="F34" s="85"/>
      <c r="G34" s="83">
        <f>SUM(G2:G33)</f>
        <v>0</v>
      </c>
      <c r="H34" s="84">
        <f>SUM(H2:H33)</f>
        <v>-13497595</v>
      </c>
      <c r="I34" s="83">
        <f>SUM(I2:I32)</f>
        <v>-14910636.799999999</v>
      </c>
      <c r="J34" s="83">
        <f>SUM(J2:J33)</f>
        <v>37367.650000000373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1825.55</v>
      </c>
      <c r="U34" s="83">
        <f>SUM(U2:U33)</f>
        <v>6444.55</v>
      </c>
      <c r="V34" s="82"/>
      <c r="W34" s="83">
        <f>SUM(W2:W33)</f>
        <v>2212</v>
      </c>
      <c r="X34" s="82"/>
      <c r="Y34" s="83">
        <f>SUM(Y2:Y33)</f>
        <v>-60866</v>
      </c>
      <c r="Z34" s="82"/>
      <c r="AA34" s="82">
        <f>SUM(AA2:AA33)</f>
        <v>8100</v>
      </c>
      <c r="AB34" s="83">
        <f>SUM(AB2:AB33)</f>
        <v>-10075</v>
      </c>
      <c r="AC34" s="86">
        <f>SUM(AC2:AC33)</f>
        <v>4488</v>
      </c>
      <c r="AD34" s="87">
        <f>SUM(AD2:AD33)</f>
        <v>8569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2024-10-21T07:59:23Z</dcterms:modified>
  <cp:category/>
  <cp:contentStatus/>
</cp:coreProperties>
</file>