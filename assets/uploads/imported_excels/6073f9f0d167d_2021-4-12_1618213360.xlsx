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1" i="1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05" i="4" l="1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L94" i="4"/>
  <c r="M94" i="4" s="1"/>
  <c r="L95" i="4"/>
  <c r="M95" i="4" s="1"/>
  <c r="L96" i="4"/>
  <c r="M96" i="4" s="1"/>
  <c r="L97" i="4"/>
  <c r="M97" i="4" s="1"/>
  <c r="L98" i="4"/>
  <c r="M98" i="4" s="1"/>
  <c r="L99" i="4"/>
  <c r="M99" i="4" s="1"/>
  <c r="L100" i="4"/>
  <c r="M100" i="4" s="1"/>
  <c r="L101" i="4"/>
  <c r="M101" i="4" s="1"/>
  <c r="L102" i="4"/>
  <c r="M102" i="4" s="1"/>
  <c r="L103" i="4"/>
  <c r="M103" i="4" s="1"/>
  <c r="L104" i="4"/>
  <c r="M104" i="4" s="1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K101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J94" i="4"/>
  <c r="J95" i="4"/>
  <c r="J96" i="4"/>
  <c r="J97" i="4"/>
  <c r="J98" i="4"/>
  <c r="J99" i="4"/>
  <c r="J100" i="4"/>
  <c r="J101" i="4"/>
  <c r="J102" i="4"/>
  <c r="K102" i="4" s="1"/>
  <c r="J103" i="4"/>
  <c r="J104" i="4"/>
  <c r="K104" i="4" s="1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93" i="4"/>
  <c r="L93" i="4"/>
  <c r="K93" i="4"/>
  <c r="J93" i="4"/>
  <c r="I93" i="4"/>
  <c r="K103" i="4" l="1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J362" i="4"/>
  <c r="K362" i="4" s="1"/>
  <c r="I362" i="4"/>
  <c r="E361" i="1" s="1"/>
  <c r="S361" i="4"/>
  <c r="R361" i="4"/>
  <c r="O361" i="4"/>
  <c r="L361" i="4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J359" i="4"/>
  <c r="K359" i="4" s="1"/>
  <c r="I359" i="4"/>
  <c r="S358" i="4"/>
  <c r="R358" i="4"/>
  <c r="O358" i="4"/>
  <c r="L358" i="4"/>
  <c r="J358" i="4"/>
  <c r="K358" i="4" s="1"/>
  <c r="I358" i="4"/>
  <c r="S357" i="4"/>
  <c r="R357" i="4"/>
  <c r="O357" i="4"/>
  <c r="L357" i="4"/>
  <c r="J357" i="4"/>
  <c r="K357" i="4" s="1"/>
  <c r="I357" i="4"/>
  <c r="S356" i="4"/>
  <c r="R356" i="4"/>
  <c r="O356" i="4"/>
  <c r="L356" i="4"/>
  <c r="J356" i="4"/>
  <c r="K356" i="4" s="1"/>
  <c r="I356" i="4"/>
  <c r="S355" i="4"/>
  <c r="R355" i="4"/>
  <c r="L355" i="4"/>
  <c r="J355" i="4"/>
  <c r="K355" i="4" s="1"/>
  <c r="I355" i="4"/>
  <c r="E354" i="1" s="1"/>
  <c r="S354" i="4"/>
  <c r="R354" i="4"/>
  <c r="O354" i="4"/>
  <c r="L354" i="4"/>
  <c r="J354" i="4"/>
  <c r="K354" i="4" s="1"/>
  <c r="I354" i="4"/>
  <c r="S353" i="4"/>
  <c r="R353" i="4"/>
  <c r="O353" i="4"/>
  <c r="L353" i="4"/>
  <c r="J353" i="4"/>
  <c r="K353" i="4" s="1"/>
  <c r="I353" i="4"/>
  <c r="S352" i="4"/>
  <c r="R352" i="4"/>
  <c r="O352" i="4"/>
  <c r="L352" i="4"/>
  <c r="J352" i="4"/>
  <c r="K352" i="4" s="1"/>
  <c r="I352" i="4"/>
  <c r="S351" i="4"/>
  <c r="R351" i="4"/>
  <c r="O351" i="4"/>
  <c r="L351" i="4"/>
  <c r="J351" i="4"/>
  <c r="K351" i="4" s="1"/>
  <c r="I351" i="4"/>
  <c r="S350" i="4"/>
  <c r="R350" i="4"/>
  <c r="O350" i="4"/>
  <c r="L350" i="4"/>
  <c r="J350" i="4"/>
  <c r="K350" i="4" s="1"/>
  <c r="I350" i="4"/>
  <c r="S349" i="4"/>
  <c r="R349" i="4"/>
  <c r="O349" i="4"/>
  <c r="L349" i="4"/>
  <c r="J349" i="4"/>
  <c r="K349" i="4" s="1"/>
  <c r="I349" i="4"/>
  <c r="S348" i="4"/>
  <c r="R348" i="4"/>
  <c r="O348" i="4"/>
  <c r="L348" i="4"/>
  <c r="J348" i="4"/>
  <c r="K348" i="4" s="1"/>
  <c r="I348" i="4"/>
  <c r="S347" i="4"/>
  <c r="R347" i="4"/>
  <c r="O347" i="4"/>
  <c r="L347" i="4"/>
  <c r="J347" i="4"/>
  <c r="K347" i="4" s="1"/>
  <c r="I347" i="4"/>
  <c r="S346" i="4"/>
  <c r="R346" i="4"/>
  <c r="O346" i="4"/>
  <c r="L346" i="4"/>
  <c r="J346" i="4"/>
  <c r="K346" i="4" s="1"/>
  <c r="I346" i="4"/>
  <c r="S345" i="4"/>
  <c r="R345" i="4"/>
  <c r="O345" i="4"/>
  <c r="L345" i="4"/>
  <c r="J345" i="4"/>
  <c r="K345" i="4" s="1"/>
  <c r="I345" i="4"/>
  <c r="S344" i="4"/>
  <c r="R344" i="4"/>
  <c r="O344" i="4"/>
  <c r="L344" i="4"/>
  <c r="J344" i="4"/>
  <c r="K344" i="4" s="1"/>
  <c r="I344" i="4"/>
  <c r="S343" i="4"/>
  <c r="R343" i="4"/>
  <c r="O343" i="4"/>
  <c r="L343" i="4"/>
  <c r="J343" i="4"/>
  <c r="K343" i="4" s="1"/>
  <c r="I343" i="4"/>
  <c r="S342" i="4"/>
  <c r="R342" i="4"/>
  <c r="O342" i="4"/>
  <c r="L342" i="4"/>
  <c r="J342" i="4"/>
  <c r="K342" i="4" s="1"/>
  <c r="I342" i="4"/>
  <c r="S341" i="4"/>
  <c r="R341" i="4"/>
  <c r="O341" i="4"/>
  <c r="L341" i="4"/>
  <c r="J341" i="4"/>
  <c r="K341" i="4" s="1"/>
  <c r="I341" i="4"/>
  <c r="S340" i="4"/>
  <c r="R340" i="4"/>
  <c r="O340" i="4"/>
  <c r="L340" i="4"/>
  <c r="J340" i="4"/>
  <c r="K340" i="4" s="1"/>
  <c r="I340" i="4"/>
  <c r="E339" i="1" s="1"/>
  <c r="S339" i="4"/>
  <c r="R339" i="4"/>
  <c r="O339" i="4"/>
  <c r="L339" i="4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J337" i="4"/>
  <c r="I337" i="4"/>
  <c r="E336" i="1" s="1"/>
  <c r="S336" i="4"/>
  <c r="R336" i="4"/>
  <c r="O336" i="4"/>
  <c r="L336" i="4"/>
  <c r="J336" i="4"/>
  <c r="I336" i="4"/>
  <c r="S335" i="4"/>
  <c r="R335" i="4"/>
  <c r="O335" i="4"/>
  <c r="L335" i="4"/>
  <c r="J335" i="4"/>
  <c r="I335" i="4"/>
  <c r="S334" i="4"/>
  <c r="R334" i="4"/>
  <c r="O334" i="4"/>
  <c r="L334" i="4"/>
  <c r="J334" i="4"/>
  <c r="I334" i="4"/>
  <c r="E333" i="1" s="1"/>
  <c r="S333" i="4"/>
  <c r="R333" i="4"/>
  <c r="P333" i="4"/>
  <c r="P335" i="4" s="1"/>
  <c r="O333" i="4"/>
  <c r="L333" i="4"/>
  <c r="J333" i="4"/>
  <c r="I333" i="4"/>
  <c r="S332" i="4"/>
  <c r="R332" i="4"/>
  <c r="O332" i="4"/>
  <c r="L332" i="4"/>
  <c r="J332" i="4"/>
  <c r="I332" i="4"/>
  <c r="S331" i="4"/>
  <c r="R331" i="4"/>
  <c r="P331" i="4"/>
  <c r="O331" i="4"/>
  <c r="L331" i="4"/>
  <c r="J331" i="4"/>
  <c r="I331" i="4"/>
  <c r="S330" i="4"/>
  <c r="R330" i="4"/>
  <c r="O330" i="4"/>
  <c r="L330" i="4"/>
  <c r="J330" i="4"/>
  <c r="I330" i="4"/>
  <c r="S329" i="4"/>
  <c r="R329" i="4"/>
  <c r="O329" i="4"/>
  <c r="L329" i="4"/>
  <c r="J329" i="4"/>
  <c r="I329" i="4"/>
  <c r="S328" i="4"/>
  <c r="R328" i="4"/>
  <c r="O328" i="4"/>
  <c r="L328" i="4"/>
  <c r="J328" i="4"/>
  <c r="I328" i="4"/>
  <c r="S327" i="4"/>
  <c r="R327" i="4"/>
  <c r="O327" i="4"/>
  <c r="L327" i="4"/>
  <c r="J327" i="4"/>
  <c r="I327" i="4"/>
  <c r="S326" i="4"/>
  <c r="R326" i="4"/>
  <c r="O326" i="4"/>
  <c r="L326" i="4"/>
  <c r="J326" i="4"/>
  <c r="I326" i="4"/>
  <c r="S325" i="4"/>
  <c r="R325" i="4"/>
  <c r="O325" i="4"/>
  <c r="L325" i="4"/>
  <c r="J325" i="4"/>
  <c r="I325" i="4"/>
  <c r="S324" i="4"/>
  <c r="R324" i="4"/>
  <c r="O324" i="4"/>
  <c r="L324" i="4"/>
  <c r="J324" i="4"/>
  <c r="I324" i="4"/>
  <c r="S323" i="4"/>
  <c r="R323" i="4"/>
  <c r="O323" i="4"/>
  <c r="L323" i="4"/>
  <c r="J323" i="4"/>
  <c r="I323" i="4"/>
  <c r="S322" i="4"/>
  <c r="R322" i="4"/>
  <c r="O322" i="4"/>
  <c r="L322" i="4"/>
  <c r="J322" i="4"/>
  <c r="I322" i="4"/>
  <c r="E321" i="1" s="1"/>
  <c r="S321" i="4"/>
  <c r="R321" i="4"/>
  <c r="O321" i="4"/>
  <c r="L321" i="4"/>
  <c r="J321" i="4"/>
  <c r="I321" i="4"/>
  <c r="S320" i="4"/>
  <c r="R320" i="4"/>
  <c r="O320" i="4"/>
  <c r="L320" i="4"/>
  <c r="J320" i="4"/>
  <c r="I320" i="4"/>
  <c r="E319" i="1" s="1"/>
  <c r="S319" i="4"/>
  <c r="R319" i="4"/>
  <c r="O319" i="4"/>
  <c r="L319" i="4"/>
  <c r="J319" i="4"/>
  <c r="I319" i="4"/>
  <c r="S318" i="4"/>
  <c r="R318" i="4"/>
  <c r="O318" i="4"/>
  <c r="L318" i="4"/>
  <c r="J318" i="4"/>
  <c r="I318" i="4"/>
  <c r="S317" i="4"/>
  <c r="R317" i="4"/>
  <c r="O317" i="4"/>
  <c r="L317" i="4"/>
  <c r="J317" i="4"/>
  <c r="I317" i="4"/>
  <c r="S316" i="4"/>
  <c r="R316" i="4"/>
  <c r="O316" i="4"/>
  <c r="L316" i="4"/>
  <c r="J316" i="4"/>
  <c r="I316" i="4"/>
  <c r="E315" i="1" s="1"/>
  <c r="S315" i="4"/>
  <c r="R315" i="4"/>
  <c r="O315" i="4"/>
  <c r="L315" i="4"/>
  <c r="J315" i="4"/>
  <c r="I315" i="4"/>
  <c r="E314" i="1" s="1"/>
  <c r="S314" i="4"/>
  <c r="R314" i="4"/>
  <c r="O314" i="4"/>
  <c r="L314" i="4"/>
  <c r="J314" i="4"/>
  <c r="I314" i="4"/>
  <c r="S313" i="4"/>
  <c r="R313" i="4"/>
  <c r="O313" i="4"/>
  <c r="L313" i="4"/>
  <c r="J313" i="4"/>
  <c r="I313" i="4"/>
  <c r="S312" i="4"/>
  <c r="R312" i="4"/>
  <c r="O312" i="4"/>
  <c r="L312" i="4"/>
  <c r="J312" i="4"/>
  <c r="I312" i="4"/>
  <c r="S311" i="4"/>
  <c r="R311" i="4"/>
  <c r="O311" i="4"/>
  <c r="L311" i="4"/>
  <c r="J311" i="4"/>
  <c r="I311" i="4"/>
  <c r="S310" i="4"/>
  <c r="R310" i="4"/>
  <c r="O310" i="4"/>
  <c r="L310" i="4"/>
  <c r="J310" i="4"/>
  <c r="I310" i="4"/>
  <c r="S309" i="4"/>
  <c r="R309" i="4"/>
  <c r="O309" i="4"/>
  <c r="L309" i="4"/>
  <c r="J309" i="4"/>
  <c r="I309" i="4"/>
  <c r="S308" i="4"/>
  <c r="R308" i="4"/>
  <c r="O308" i="4"/>
  <c r="L308" i="4"/>
  <c r="Q329" i="4" s="1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J306" i="4"/>
  <c r="I306" i="4"/>
  <c r="E305" i="1" s="1"/>
  <c r="S305" i="4"/>
  <c r="R305" i="4"/>
  <c r="O305" i="4"/>
  <c r="L305" i="4"/>
  <c r="J305" i="4"/>
  <c r="I305" i="4"/>
  <c r="S304" i="4"/>
  <c r="R304" i="4"/>
  <c r="O304" i="4"/>
  <c r="L304" i="4"/>
  <c r="J304" i="4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J302" i="4"/>
  <c r="I302" i="4"/>
  <c r="S301" i="4"/>
  <c r="R301" i="4"/>
  <c r="P301" i="4"/>
  <c r="O301" i="4"/>
  <c r="L301" i="4"/>
  <c r="J301" i="4"/>
  <c r="I301" i="4"/>
  <c r="E300" i="1" s="1"/>
  <c r="S300" i="4"/>
  <c r="R300" i="4"/>
  <c r="O300" i="4"/>
  <c r="L300" i="4"/>
  <c r="J300" i="4"/>
  <c r="I300" i="4"/>
  <c r="S299" i="4"/>
  <c r="R299" i="4"/>
  <c r="O299" i="4"/>
  <c r="L299" i="4"/>
  <c r="J299" i="4"/>
  <c r="I299" i="4"/>
  <c r="S298" i="4"/>
  <c r="R298" i="4"/>
  <c r="O298" i="4"/>
  <c r="L298" i="4"/>
  <c r="J298" i="4"/>
  <c r="I298" i="4"/>
  <c r="S297" i="4"/>
  <c r="R297" i="4"/>
  <c r="O297" i="4"/>
  <c r="L297" i="4"/>
  <c r="J297" i="4"/>
  <c r="I297" i="4"/>
  <c r="E296" i="1" s="1"/>
  <c r="S296" i="4"/>
  <c r="R296" i="4"/>
  <c r="O296" i="4"/>
  <c r="L296" i="4"/>
  <c r="J296" i="4"/>
  <c r="I296" i="4"/>
  <c r="S295" i="4"/>
  <c r="R295" i="4"/>
  <c r="O295" i="4"/>
  <c r="L295" i="4"/>
  <c r="J295" i="4"/>
  <c r="I295" i="4"/>
  <c r="S294" i="4"/>
  <c r="R294" i="4"/>
  <c r="O294" i="4"/>
  <c r="L294" i="4"/>
  <c r="J294" i="4"/>
  <c r="I294" i="4"/>
  <c r="S293" i="4"/>
  <c r="R293" i="4"/>
  <c r="O293" i="4"/>
  <c r="L293" i="4"/>
  <c r="J293" i="4"/>
  <c r="I293" i="4"/>
  <c r="E292" i="1" s="1"/>
  <c r="S292" i="4"/>
  <c r="R292" i="4"/>
  <c r="O292" i="4"/>
  <c r="L292" i="4"/>
  <c r="J292" i="4"/>
  <c r="I292" i="4"/>
  <c r="S291" i="4"/>
  <c r="R291" i="4"/>
  <c r="O291" i="4"/>
  <c r="L291" i="4"/>
  <c r="J291" i="4"/>
  <c r="I291" i="4"/>
  <c r="S290" i="4"/>
  <c r="R290" i="4"/>
  <c r="O290" i="4"/>
  <c r="L290" i="4"/>
  <c r="J290" i="4"/>
  <c r="I290" i="4"/>
  <c r="S289" i="4"/>
  <c r="R289" i="4"/>
  <c r="O289" i="4"/>
  <c r="L289" i="4"/>
  <c r="J289" i="4"/>
  <c r="I289" i="4"/>
  <c r="S288" i="4"/>
  <c r="R288" i="4"/>
  <c r="O288" i="4"/>
  <c r="L288" i="4"/>
  <c r="J288" i="4"/>
  <c r="I288" i="4"/>
  <c r="S287" i="4"/>
  <c r="R287" i="4"/>
  <c r="O287" i="4"/>
  <c r="L287" i="4"/>
  <c r="J287" i="4"/>
  <c r="I287" i="4"/>
  <c r="S286" i="4"/>
  <c r="R286" i="4"/>
  <c r="O286" i="4"/>
  <c r="L286" i="4"/>
  <c r="J286" i="4"/>
  <c r="I286" i="4"/>
  <c r="S285" i="4"/>
  <c r="R285" i="4"/>
  <c r="O285" i="4"/>
  <c r="L285" i="4"/>
  <c r="J285" i="4"/>
  <c r="I285" i="4"/>
  <c r="S284" i="4"/>
  <c r="R284" i="4"/>
  <c r="O284" i="4"/>
  <c r="L284" i="4"/>
  <c r="J284" i="4"/>
  <c r="I284" i="4"/>
  <c r="S283" i="4"/>
  <c r="R283" i="4"/>
  <c r="O283" i="4"/>
  <c r="L283" i="4"/>
  <c r="J283" i="4"/>
  <c r="I283" i="4"/>
  <c r="S282" i="4"/>
  <c r="R282" i="4"/>
  <c r="O282" i="4"/>
  <c r="L282" i="4"/>
  <c r="J282" i="4"/>
  <c r="I282" i="4"/>
  <c r="S281" i="4"/>
  <c r="R281" i="4"/>
  <c r="O281" i="4"/>
  <c r="L281" i="4"/>
  <c r="J281" i="4"/>
  <c r="I281" i="4"/>
  <c r="E280" i="1" s="1"/>
  <c r="S280" i="4"/>
  <c r="R280" i="4"/>
  <c r="O280" i="4"/>
  <c r="L280" i="4"/>
  <c r="J280" i="4"/>
  <c r="I280" i="4"/>
  <c r="E279" i="1" s="1"/>
  <c r="S279" i="4"/>
  <c r="R279" i="4"/>
  <c r="O279" i="4"/>
  <c r="L279" i="4"/>
  <c r="J279" i="4"/>
  <c r="I279" i="4"/>
  <c r="S278" i="4"/>
  <c r="R278" i="4"/>
  <c r="O278" i="4"/>
  <c r="L278" i="4"/>
  <c r="J278" i="4"/>
  <c r="I278" i="4"/>
  <c r="S277" i="4"/>
  <c r="R277" i="4"/>
  <c r="O277" i="4"/>
  <c r="L277" i="4"/>
  <c r="J277" i="4"/>
  <c r="I277" i="4"/>
  <c r="E276" i="1" s="1"/>
  <c r="S276" i="4"/>
  <c r="R276" i="4"/>
  <c r="O276" i="4"/>
  <c r="L276" i="4"/>
  <c r="J276" i="4"/>
  <c r="I276" i="4"/>
  <c r="E275" i="1" s="1"/>
  <c r="S275" i="4"/>
  <c r="R275" i="4"/>
  <c r="O275" i="4"/>
  <c r="L275" i="4"/>
  <c r="J275" i="4"/>
  <c r="I275" i="4"/>
  <c r="S274" i="4"/>
  <c r="R274" i="4"/>
  <c r="O274" i="4"/>
  <c r="L274" i="4"/>
  <c r="J274" i="4"/>
  <c r="I274" i="4"/>
  <c r="E273" i="1" s="1"/>
  <c r="S273" i="4"/>
  <c r="R273" i="4"/>
  <c r="O273" i="4"/>
  <c r="L273" i="4"/>
  <c r="J273" i="4"/>
  <c r="I273" i="4"/>
  <c r="E272" i="1" s="1"/>
  <c r="S272" i="4"/>
  <c r="R272" i="4"/>
  <c r="P272" i="4"/>
  <c r="P274" i="4" s="1"/>
  <c r="O272" i="4"/>
  <c r="L272" i="4"/>
  <c r="J272" i="4"/>
  <c r="I272" i="4"/>
  <c r="S271" i="4"/>
  <c r="R271" i="4"/>
  <c r="O271" i="4"/>
  <c r="L271" i="4"/>
  <c r="J271" i="4"/>
  <c r="I271" i="4"/>
  <c r="S270" i="4"/>
  <c r="R270" i="4"/>
  <c r="P270" i="4"/>
  <c r="O270" i="4"/>
  <c r="L270" i="4"/>
  <c r="J270" i="4"/>
  <c r="I270" i="4"/>
  <c r="S269" i="4"/>
  <c r="R269" i="4"/>
  <c r="O269" i="4"/>
  <c r="L269" i="4"/>
  <c r="J269" i="4"/>
  <c r="I269" i="4"/>
  <c r="E268" i="1" s="1"/>
  <c r="S268" i="4"/>
  <c r="R268" i="4"/>
  <c r="O268" i="4"/>
  <c r="L268" i="4"/>
  <c r="J268" i="4"/>
  <c r="I268" i="4"/>
  <c r="E267" i="1" s="1"/>
  <c r="S267" i="4"/>
  <c r="R267" i="4"/>
  <c r="O267" i="4"/>
  <c r="L267" i="4"/>
  <c r="J267" i="4"/>
  <c r="I267" i="4"/>
  <c r="E266" i="1" s="1"/>
  <c r="S266" i="4"/>
  <c r="R266" i="4"/>
  <c r="O266" i="4"/>
  <c r="L266" i="4"/>
  <c r="J266" i="4"/>
  <c r="I266" i="4"/>
  <c r="S265" i="4"/>
  <c r="R265" i="4"/>
  <c r="O265" i="4"/>
  <c r="L265" i="4"/>
  <c r="J265" i="4"/>
  <c r="I265" i="4"/>
  <c r="E264" i="1" s="1"/>
  <c r="S264" i="4"/>
  <c r="R264" i="4"/>
  <c r="O264" i="4"/>
  <c r="L264" i="4"/>
  <c r="J264" i="4"/>
  <c r="I264" i="4"/>
  <c r="E263" i="1" s="1"/>
  <c r="S263" i="4"/>
  <c r="R263" i="4"/>
  <c r="O263" i="4"/>
  <c r="L263" i="4"/>
  <c r="J263" i="4"/>
  <c r="I263" i="4"/>
  <c r="E262" i="1" s="1"/>
  <c r="S262" i="4"/>
  <c r="R262" i="4"/>
  <c r="O262" i="4"/>
  <c r="L262" i="4"/>
  <c r="J262" i="4"/>
  <c r="I262" i="4"/>
  <c r="S261" i="4"/>
  <c r="R261" i="4"/>
  <c r="O261" i="4"/>
  <c r="L261" i="4"/>
  <c r="J261" i="4"/>
  <c r="I261" i="4"/>
  <c r="E260" i="1" s="1"/>
  <c r="S260" i="4"/>
  <c r="R260" i="4"/>
  <c r="O260" i="4"/>
  <c r="L260" i="4"/>
  <c r="J260" i="4"/>
  <c r="I260" i="4"/>
  <c r="E259" i="1" s="1"/>
  <c r="S259" i="4"/>
  <c r="R259" i="4"/>
  <c r="O259" i="4"/>
  <c r="L259" i="4"/>
  <c r="J259" i="4"/>
  <c r="I259" i="4"/>
  <c r="E258" i="1" s="1"/>
  <c r="S258" i="4"/>
  <c r="R258" i="4"/>
  <c r="O258" i="4"/>
  <c r="L258" i="4"/>
  <c r="J258" i="4"/>
  <c r="I258" i="4"/>
  <c r="S257" i="4"/>
  <c r="R257" i="4"/>
  <c r="O257" i="4"/>
  <c r="L257" i="4"/>
  <c r="J257" i="4"/>
  <c r="I257" i="4"/>
  <c r="E256" i="1" s="1"/>
  <c r="S256" i="4"/>
  <c r="R256" i="4"/>
  <c r="O256" i="4"/>
  <c r="L256" i="4"/>
  <c r="J256" i="4"/>
  <c r="I256" i="4"/>
  <c r="E255" i="1" s="1"/>
  <c r="S255" i="4"/>
  <c r="R255" i="4"/>
  <c r="O255" i="4"/>
  <c r="L255" i="4"/>
  <c r="J255" i="4"/>
  <c r="I255" i="4"/>
  <c r="E254" i="1" s="1"/>
  <c r="S254" i="4"/>
  <c r="R254" i="4"/>
  <c r="O254" i="4"/>
  <c r="L254" i="4"/>
  <c r="J254" i="4"/>
  <c r="I254" i="4"/>
  <c r="S253" i="4"/>
  <c r="R253" i="4"/>
  <c r="O253" i="4"/>
  <c r="L253" i="4"/>
  <c r="J253" i="4"/>
  <c r="I253" i="4"/>
  <c r="E252" i="1" s="1"/>
  <c r="S252" i="4"/>
  <c r="R252" i="4"/>
  <c r="O252" i="4"/>
  <c r="L252" i="4"/>
  <c r="J252" i="4"/>
  <c r="I252" i="4"/>
  <c r="E251" i="1" s="1"/>
  <c r="S251" i="4"/>
  <c r="R251" i="4"/>
  <c r="O251" i="4"/>
  <c r="L251" i="4"/>
  <c r="J251" i="4"/>
  <c r="I251" i="4"/>
  <c r="E250" i="1" s="1"/>
  <c r="S250" i="4"/>
  <c r="R250" i="4"/>
  <c r="O250" i="4"/>
  <c r="L250" i="4"/>
  <c r="J250" i="4"/>
  <c r="I250" i="4"/>
  <c r="E249" i="1" s="1"/>
  <c r="S249" i="4"/>
  <c r="R249" i="4"/>
  <c r="O249" i="4"/>
  <c r="L249" i="4"/>
  <c r="J249" i="4"/>
  <c r="I249" i="4"/>
  <c r="S248" i="4"/>
  <c r="R248" i="4"/>
  <c r="O248" i="4"/>
  <c r="L248" i="4"/>
  <c r="J248" i="4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J246" i="4"/>
  <c r="I246" i="4"/>
  <c r="E245" i="1" s="1"/>
  <c r="S245" i="4"/>
  <c r="R245" i="4"/>
  <c r="O245" i="4"/>
  <c r="L245" i="4"/>
  <c r="J245" i="4"/>
  <c r="I245" i="4"/>
  <c r="S244" i="4"/>
  <c r="R244" i="4"/>
  <c r="O244" i="4"/>
  <c r="L244" i="4"/>
  <c r="J244" i="4"/>
  <c r="I244" i="4"/>
  <c r="E243" i="1" s="1"/>
  <c r="S243" i="4"/>
  <c r="R243" i="4"/>
  <c r="O243" i="4"/>
  <c r="L243" i="4"/>
  <c r="J243" i="4"/>
  <c r="I243" i="4"/>
  <c r="E242" i="1" s="1"/>
  <c r="S242" i="4"/>
  <c r="R242" i="4"/>
  <c r="P242" i="4"/>
  <c r="P244" i="4" s="1"/>
  <c r="O242" i="4"/>
  <c r="L242" i="4"/>
  <c r="J242" i="4"/>
  <c r="I242" i="4"/>
  <c r="S241" i="4"/>
  <c r="R241" i="4"/>
  <c r="O241" i="4"/>
  <c r="L241" i="4"/>
  <c r="J241" i="4"/>
  <c r="I241" i="4"/>
  <c r="S240" i="4"/>
  <c r="R240" i="4"/>
  <c r="P240" i="4"/>
  <c r="O240" i="4"/>
  <c r="L240" i="4"/>
  <c r="J240" i="4"/>
  <c r="I240" i="4"/>
  <c r="S239" i="4"/>
  <c r="R239" i="4"/>
  <c r="O239" i="4"/>
  <c r="L239" i="4"/>
  <c r="J239" i="4"/>
  <c r="I239" i="4"/>
  <c r="E238" i="1" s="1"/>
  <c r="S238" i="4"/>
  <c r="R238" i="4"/>
  <c r="O238" i="4"/>
  <c r="L238" i="4"/>
  <c r="J238" i="4"/>
  <c r="I238" i="4"/>
  <c r="E237" i="1" s="1"/>
  <c r="S237" i="4"/>
  <c r="R237" i="4"/>
  <c r="O237" i="4"/>
  <c r="L237" i="4"/>
  <c r="J237" i="4"/>
  <c r="I237" i="4"/>
  <c r="E236" i="1" s="1"/>
  <c r="S236" i="4"/>
  <c r="R236" i="4"/>
  <c r="O236" i="4"/>
  <c r="L236" i="4"/>
  <c r="J236" i="4"/>
  <c r="I236" i="4"/>
  <c r="S235" i="4"/>
  <c r="R235" i="4"/>
  <c r="O235" i="4"/>
  <c r="L235" i="4"/>
  <c r="J235" i="4"/>
  <c r="I235" i="4"/>
  <c r="E234" i="1" s="1"/>
  <c r="S234" i="4"/>
  <c r="R234" i="4"/>
  <c r="O234" i="4"/>
  <c r="L234" i="4"/>
  <c r="J234" i="4"/>
  <c r="I234" i="4"/>
  <c r="E233" i="1" s="1"/>
  <c r="S233" i="4"/>
  <c r="R233" i="4"/>
  <c r="O233" i="4"/>
  <c r="L233" i="4"/>
  <c r="J233" i="4"/>
  <c r="I233" i="4"/>
  <c r="E232" i="1" s="1"/>
  <c r="S232" i="4"/>
  <c r="R232" i="4"/>
  <c r="O232" i="4"/>
  <c r="L232" i="4"/>
  <c r="J232" i="4"/>
  <c r="I232" i="4"/>
  <c r="S231" i="4"/>
  <c r="R231" i="4"/>
  <c r="O231" i="4"/>
  <c r="L231" i="4"/>
  <c r="J231" i="4"/>
  <c r="I231" i="4"/>
  <c r="E230" i="1" s="1"/>
  <c r="S230" i="4"/>
  <c r="R230" i="4"/>
  <c r="O230" i="4"/>
  <c r="L230" i="4"/>
  <c r="J230" i="4"/>
  <c r="I230" i="4"/>
  <c r="E229" i="1" s="1"/>
  <c r="S229" i="4"/>
  <c r="R229" i="4"/>
  <c r="O229" i="4"/>
  <c r="L229" i="4"/>
  <c r="J229" i="4"/>
  <c r="I229" i="4"/>
  <c r="E228" i="1" s="1"/>
  <c r="S228" i="4"/>
  <c r="R228" i="4"/>
  <c r="O228" i="4"/>
  <c r="L228" i="4"/>
  <c r="J228" i="4"/>
  <c r="I228" i="4"/>
  <c r="S227" i="4"/>
  <c r="R227" i="4"/>
  <c r="O227" i="4"/>
  <c r="L227" i="4"/>
  <c r="J227" i="4"/>
  <c r="I227" i="4"/>
  <c r="S226" i="4"/>
  <c r="R226" i="4"/>
  <c r="O226" i="4"/>
  <c r="L226" i="4"/>
  <c r="J226" i="4"/>
  <c r="I226" i="4"/>
  <c r="S225" i="4"/>
  <c r="R225" i="4"/>
  <c r="O225" i="4"/>
  <c r="L225" i="4"/>
  <c r="J225" i="4"/>
  <c r="I225" i="4"/>
  <c r="S224" i="4"/>
  <c r="R224" i="4"/>
  <c r="O224" i="4"/>
  <c r="L224" i="4"/>
  <c r="J224" i="4"/>
  <c r="I224" i="4"/>
  <c r="S223" i="4"/>
  <c r="R223" i="4"/>
  <c r="O223" i="4"/>
  <c r="J223" i="4"/>
  <c r="I223" i="4"/>
  <c r="S222" i="4"/>
  <c r="R222" i="4"/>
  <c r="O222" i="4"/>
  <c r="J222" i="4"/>
  <c r="I222" i="4"/>
  <c r="E221" i="1" s="1"/>
  <c r="S221" i="4"/>
  <c r="R221" i="4"/>
  <c r="O221" i="4"/>
  <c r="J221" i="4"/>
  <c r="I221" i="4"/>
  <c r="S220" i="4"/>
  <c r="R220" i="4"/>
  <c r="O220" i="4"/>
  <c r="J220" i="4"/>
  <c r="I220" i="4"/>
  <c r="S219" i="4"/>
  <c r="R219" i="4"/>
  <c r="O219" i="4"/>
  <c r="J219" i="4"/>
  <c r="I219" i="4"/>
  <c r="S218" i="4"/>
  <c r="R218" i="4"/>
  <c r="O218" i="4"/>
  <c r="J218" i="4"/>
  <c r="I218" i="4"/>
  <c r="S217" i="4"/>
  <c r="R217" i="4"/>
  <c r="O217" i="4"/>
  <c r="J217" i="4"/>
  <c r="I217" i="4"/>
  <c r="S216" i="4"/>
  <c r="R216" i="4"/>
  <c r="O216" i="4"/>
  <c r="J216" i="4"/>
  <c r="I216" i="4"/>
  <c r="S215" i="4"/>
  <c r="R215" i="4"/>
  <c r="O215" i="4"/>
  <c r="J215" i="4"/>
  <c r="I215" i="4"/>
  <c r="S214" i="4"/>
  <c r="R214" i="4"/>
  <c r="O214" i="4"/>
  <c r="J214" i="4"/>
  <c r="I214" i="4"/>
  <c r="S213" i="4"/>
  <c r="R213" i="4"/>
  <c r="O213" i="4"/>
  <c r="J213" i="4"/>
  <c r="I213" i="4"/>
  <c r="S212" i="4"/>
  <c r="R212" i="4"/>
  <c r="O212" i="4"/>
  <c r="J212" i="4"/>
  <c r="I212" i="4"/>
  <c r="S211" i="4"/>
  <c r="R211" i="4"/>
  <c r="P211" i="4"/>
  <c r="P213" i="4" s="1"/>
  <c r="O211" i="4"/>
  <c r="J211" i="4"/>
  <c r="I211" i="4"/>
  <c r="S210" i="4"/>
  <c r="R210" i="4"/>
  <c r="O210" i="4"/>
  <c r="J210" i="4"/>
  <c r="I210" i="4"/>
  <c r="S209" i="4"/>
  <c r="R209" i="4"/>
  <c r="P209" i="4"/>
  <c r="O209" i="4"/>
  <c r="J209" i="4"/>
  <c r="I209" i="4"/>
  <c r="S208" i="4"/>
  <c r="R208" i="4"/>
  <c r="O208" i="4"/>
  <c r="J208" i="4"/>
  <c r="I208" i="4"/>
  <c r="E207" i="1" s="1"/>
  <c r="S207" i="4"/>
  <c r="R207" i="4"/>
  <c r="O207" i="4"/>
  <c r="J207" i="4"/>
  <c r="I207" i="4"/>
  <c r="S206" i="4"/>
  <c r="R206" i="4"/>
  <c r="O206" i="4"/>
  <c r="J206" i="4"/>
  <c r="I206" i="4"/>
  <c r="S205" i="4"/>
  <c r="R205" i="4"/>
  <c r="O205" i="4"/>
  <c r="J205" i="4"/>
  <c r="I205" i="4"/>
  <c r="S204" i="4"/>
  <c r="R204" i="4"/>
  <c r="O204" i="4"/>
  <c r="J204" i="4"/>
  <c r="I204" i="4"/>
  <c r="E203" i="1" s="1"/>
  <c r="S203" i="4"/>
  <c r="R203" i="4"/>
  <c r="O203" i="4"/>
  <c r="J203" i="4"/>
  <c r="I203" i="4"/>
  <c r="S202" i="4"/>
  <c r="R202" i="4"/>
  <c r="O202" i="4"/>
  <c r="J202" i="4"/>
  <c r="I202" i="4"/>
  <c r="S201" i="4"/>
  <c r="R201" i="4"/>
  <c r="O201" i="4"/>
  <c r="J201" i="4"/>
  <c r="I201" i="4"/>
  <c r="S200" i="4"/>
  <c r="R200" i="4"/>
  <c r="O200" i="4"/>
  <c r="J200" i="4"/>
  <c r="I200" i="4"/>
  <c r="S199" i="4"/>
  <c r="R199" i="4"/>
  <c r="O199" i="4"/>
  <c r="J199" i="4"/>
  <c r="I199" i="4"/>
  <c r="S198" i="4"/>
  <c r="R198" i="4"/>
  <c r="O198" i="4"/>
  <c r="J198" i="4"/>
  <c r="I198" i="4"/>
  <c r="S197" i="4"/>
  <c r="R197" i="4"/>
  <c r="O197" i="4"/>
  <c r="J197" i="4"/>
  <c r="I197" i="4"/>
  <c r="S196" i="4"/>
  <c r="R196" i="4"/>
  <c r="O196" i="4"/>
  <c r="J196" i="4"/>
  <c r="I196" i="4"/>
  <c r="S195" i="4"/>
  <c r="R195" i="4"/>
  <c r="O195" i="4"/>
  <c r="J195" i="4"/>
  <c r="I195" i="4"/>
  <c r="S194" i="4"/>
  <c r="R194" i="4"/>
  <c r="O194" i="4"/>
  <c r="J194" i="4"/>
  <c r="I194" i="4"/>
  <c r="E193" i="1" s="1"/>
  <c r="S193" i="4"/>
  <c r="R193" i="4"/>
  <c r="O193" i="4"/>
  <c r="J193" i="4"/>
  <c r="I193" i="4"/>
  <c r="S192" i="4"/>
  <c r="R192" i="4"/>
  <c r="O192" i="4"/>
  <c r="J192" i="4"/>
  <c r="I192" i="4"/>
  <c r="S191" i="4"/>
  <c r="R191" i="4"/>
  <c r="O191" i="4"/>
  <c r="J191" i="4"/>
  <c r="I191" i="4"/>
  <c r="S190" i="4"/>
  <c r="R190" i="4"/>
  <c r="O190" i="4"/>
  <c r="J190" i="4"/>
  <c r="I190" i="4"/>
  <c r="S189" i="4"/>
  <c r="R189" i="4"/>
  <c r="O189" i="4"/>
  <c r="J189" i="4"/>
  <c r="I189" i="4"/>
  <c r="S188" i="4"/>
  <c r="R188" i="4"/>
  <c r="O188" i="4"/>
  <c r="J188" i="4"/>
  <c r="I188" i="4"/>
  <c r="S187" i="4"/>
  <c r="R187" i="4"/>
  <c r="O187" i="4"/>
  <c r="J187" i="4"/>
  <c r="I187" i="4"/>
  <c r="S186" i="4"/>
  <c r="R186" i="4"/>
  <c r="O186" i="4"/>
  <c r="J186" i="4"/>
  <c r="I186" i="4"/>
  <c r="S185" i="4"/>
  <c r="R185" i="4"/>
  <c r="O185" i="4"/>
  <c r="Q207" i="4"/>
  <c r="J185" i="4"/>
  <c r="P207" i="4" s="1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E181" i="1" s="1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E176" i="1" s="1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65" i="3" l="1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E19" i="1"/>
  <c r="E69" i="1"/>
  <c r="F69" i="1" s="1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F282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15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25" i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<sst xmlns="http://schemas.openxmlformats.org/spreadsheetml/2006/main" count="606" uniqueCount="76">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</sst>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73" workbookViewId="0">
      <selection activeCell="Q97" sqref="Q9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4">
        <v>0.67</v>
      </c>
      <c r="G103" s="4" t="str">
        <f>'Gas Water'!M105</f>
        <v/>
      </c>
      <c r="H103" s="154">
        <v>1.77</v>
      </c>
      <c r="I103" s="2" t="str">
        <f>'Gas Water'!L105</f>
        <v/>
      </c>
      <c r="J103" s="154">
        <v>12.93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4">
        <v>0.67</v>
      </c>
      <c r="G104" s="4" t="str">
        <f>'Gas Water'!M106</f>
        <v/>
      </c>
      <c r="H104" s="154">
        <v>1.77</v>
      </c>
      <c r="I104" s="2" t="str">
        <f>'Gas Water'!L106</f>
        <v/>
      </c>
      <c r="J104" s="154">
        <v>12.93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4">
        <v>0.67</v>
      </c>
      <c r="G105" s="4" t="str">
        <f>'Gas Water'!M107</f>
        <v/>
      </c>
      <c r="H105" s="154">
        <v>1.77</v>
      </c>
      <c r="I105" s="2" t="str">
        <f>'Gas Water'!L107</f>
        <v/>
      </c>
      <c r="J105" s="154">
        <v>12.93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4">
        <v>0.67</v>
      </c>
      <c r="G106" s="4" t="str">
        <f>'Gas Water'!M108</f>
        <v/>
      </c>
      <c r="H106" s="154">
        <v>1.77</v>
      </c>
      <c r="I106" s="2" t="str">
        <f>'Gas Water'!L108</f>
        <v/>
      </c>
      <c r="J106" s="154">
        <v>12.93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4">
        <v>0.67</v>
      </c>
      <c r="G107" s="4" t="str">
        <f>'Gas Water'!M109</f>
        <v/>
      </c>
      <c r="H107" s="154">
        <v>1.77</v>
      </c>
      <c r="I107" s="2" t="str">
        <f>'Gas Water'!L109</f>
        <v/>
      </c>
      <c r="J107" s="154">
        <v>12.93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4">
        <v>0.67</v>
      </c>
      <c r="G108" s="4" t="str">
        <f>'Gas Water'!M110</f>
        <v/>
      </c>
      <c r="H108" s="154">
        <v>1.77</v>
      </c>
      <c r="I108" s="2" t="str">
        <f>'Gas Water'!L110</f>
        <v/>
      </c>
      <c r="J108" s="154">
        <v>12.93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4">
        <v>0.67</v>
      </c>
      <c r="G109" s="4" t="str">
        <f>'Gas Water'!M111</f>
        <v/>
      </c>
      <c r="H109" s="154">
        <v>1.77</v>
      </c>
      <c r="I109" s="2" t="str">
        <f>'Gas Water'!L111</f>
        <v/>
      </c>
      <c r="J109" s="154">
        <v>12.93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4">
        <v>0.67</v>
      </c>
      <c r="G110" s="4" t="str">
        <f>'Gas Water'!M112</f>
        <v/>
      </c>
      <c r="H110" s="154">
        <v>1.77</v>
      </c>
      <c r="I110" s="2" t="str">
        <f>'Gas Water'!L112</f>
        <v/>
      </c>
      <c r="J110" s="154">
        <v>12.93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4">
        <v>0.67</v>
      </c>
      <c r="G111" s="4" t="str">
        <f>'Gas Water'!M113</f>
        <v/>
      </c>
      <c r="H111" s="154">
        <v>1.77</v>
      </c>
      <c r="I111" s="2" t="str">
        <f>'Gas Water'!L113</f>
        <v/>
      </c>
      <c r="J111" s="154">
        <v>12.93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4">
        <v>0.67</v>
      </c>
      <c r="G112" s="4" t="str">
        <f>'Gas Water'!M114</f>
        <v/>
      </c>
      <c r="H112" s="154">
        <v>1.77</v>
      </c>
      <c r="I112" s="2" t="str">
        <f>'Gas Water'!L114</f>
        <v/>
      </c>
      <c r="J112" s="154">
        <v>12.93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4">
        <v>0.67</v>
      </c>
      <c r="G113" s="4" t="str">
        <f>'Gas Water'!M115</f>
        <v/>
      </c>
      <c r="H113" s="154">
        <v>1.77</v>
      </c>
      <c r="I113" s="2" t="str">
        <f>'Gas Water'!L115</f>
        <v/>
      </c>
      <c r="J113" s="154">
        <v>12.93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4">
        <v>0.67</v>
      </c>
      <c r="G114" s="4" t="str">
        <f>'Gas Water'!M116</f>
        <v/>
      </c>
      <c r="H114" s="154">
        <v>1.77</v>
      </c>
      <c r="I114" s="2" t="str">
        <f>'Gas Water'!L116</f>
        <v/>
      </c>
      <c r="J114" s="154">
        <v>12.93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4">
        <v>0.67</v>
      </c>
      <c r="G115" s="4" t="str">
        <f>'Gas Water'!M117</f>
        <v/>
      </c>
      <c r="H115" s="154">
        <v>1.77</v>
      </c>
      <c r="I115" s="2" t="str">
        <f>'Gas Water'!L117</f>
        <v/>
      </c>
      <c r="J115" s="154">
        <v>12.93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4">
        <v>0.67</v>
      </c>
      <c r="G116" s="4" t="str">
        <f>'Gas Water'!M118</f>
        <v/>
      </c>
      <c r="H116" s="154">
        <v>1.77</v>
      </c>
      <c r="I116" s="2" t="str">
        <f>'Gas Water'!L118</f>
        <v/>
      </c>
      <c r="J116" s="154">
        <v>12.93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4">
        <v>0.67</v>
      </c>
      <c r="G117" s="4" t="str">
        <f>'Gas Water'!M119</f>
        <v/>
      </c>
      <c r="H117" s="154">
        <v>1.77</v>
      </c>
      <c r="I117" s="2" t="str">
        <f>'Gas Water'!L119</f>
        <v/>
      </c>
      <c r="J117" s="154">
        <v>12.93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4">
        <v>0.67</v>
      </c>
      <c r="G118" s="4" t="str">
        <f>'Gas Water'!M120</f>
        <v/>
      </c>
      <c r="H118" s="154">
        <v>1.77</v>
      </c>
      <c r="I118" s="2" t="str">
        <f>'Gas Water'!L120</f>
        <v/>
      </c>
      <c r="J118" s="154">
        <v>12.93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4">
        <v>0.67</v>
      </c>
      <c r="G119" s="4" t="str">
        <f>'Gas Water'!M121</f>
        <v/>
      </c>
      <c r="H119" s="154">
        <v>1.77</v>
      </c>
      <c r="I119" s="2" t="str">
        <f>'Gas Water'!L121</f>
        <v/>
      </c>
      <c r="J119" s="154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4">
        <v>0.67</v>
      </c>
      <c r="G120" s="4" t="str">
        <f>'Gas Water'!M122</f>
        <v/>
      </c>
      <c r="H120" s="154">
        <v>1.77</v>
      </c>
      <c r="I120" s="2" t="str">
        <f>'Gas Water'!L122</f>
        <v/>
      </c>
      <c r="J120" s="154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76" workbookViewId="0">
      <selection activeCell="H104" sqref="H104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10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4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 t="shared" si="4"/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4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4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4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4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ref="L112:L134" si="10">IF(G112="","",+(G111-G112))</f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0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0"/>
        <v/>
      </c>
      <c r="M114" s="30" t="str">
        <f t="shared" si="3"/>
        <v/>
      </c>
      <c r="N114" s="197" t="s">
        <v>21</v>
      </c>
      <c r="O114" s="197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0"/>
        <v/>
      </c>
      <c r="M115" s="30" t="str">
        <f t="shared" si="3"/>
        <v/>
      </c>
      <c r="N115" s="198"/>
      <c r="O115" s="198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0"/>
        <v/>
      </c>
      <c r="M116" s="30" t="str">
        <f t="shared" si="3"/>
        <v/>
      </c>
      <c r="N116" s="199"/>
      <c r="O116" s="199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0"/>
        <v/>
      </c>
      <c r="M117" s="30" t="str">
        <f t="shared" si="3"/>
        <v/>
      </c>
      <c r="N117" s="32">
        <f>SUM(L95:L124)</f>
        <v>1614</v>
      </c>
      <c r="O117" s="32">
        <f>SUM(M95:M124)</f>
        <v>27207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0"/>
        <v/>
      </c>
      <c r="M118" s="30" t="str">
        <f t="shared" si="3"/>
        <v/>
      </c>
      <c r="N118" s="197" t="s">
        <v>23</v>
      </c>
      <c r="O118" s="197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0"/>
        <v/>
      </c>
      <c r="M119" s="30" t="str">
        <f t="shared" si="3"/>
        <v/>
      </c>
      <c r="N119" s="199"/>
      <c r="O119" s="199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0"/>
        <v/>
      </c>
      <c r="M120" s="30" t="str">
        <f t="shared" si="3"/>
        <v/>
      </c>
      <c r="N120" s="32">
        <f>AVERAGE(L95:L124)</f>
        <v>161.4</v>
      </c>
      <c r="O120" s="32">
        <f>AVERAGE(M95:M124)</f>
        <v>2720.7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0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0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0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0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0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0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0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0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0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0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1">IF(C134="","",+(C134-C133))</f>
        <v/>
      </c>
      <c r="I134" s="28" t="str">
        <f t="shared" si="11"/>
        <v/>
      </c>
      <c r="J134" s="28" t="str">
        <f t="shared" si="11"/>
        <v/>
      </c>
      <c r="K134" s="28" t="str">
        <f t="shared" si="11"/>
        <v/>
      </c>
      <c r="L134" s="29" t="str">
        <f t="shared" si="10"/>
        <v/>
      </c>
      <c r="M134" s="30" t="str">
        <f t="shared" ref="M134:M197" si="12">IF(H134="","",+(H134+I134+J134+K134))</f>
        <v/>
      </c>
      <c r="Q134" s="20">
        <f t="shared" ref="Q134:Q197" si="13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1"/>
        <v/>
      </c>
      <c r="I135" s="28" t="str">
        <f t="shared" si="11"/>
        <v/>
      </c>
      <c r="J135" s="28" t="str">
        <f t="shared" si="11"/>
        <v/>
      </c>
      <c r="K135" s="28" t="str">
        <f t="shared" si="11"/>
        <v/>
      </c>
      <c r="L135" s="29" t="str">
        <f>IF(G135="","",+(G134-G135))</f>
        <v/>
      </c>
      <c r="M135" s="30" t="str">
        <f t="shared" si="12"/>
        <v/>
      </c>
      <c r="Q135" s="20">
        <f t="shared" si="13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1"/>
        <v/>
      </c>
      <c r="I136" s="28" t="str">
        <f t="shared" si="11"/>
        <v/>
      </c>
      <c r="J136" s="28" t="str">
        <f t="shared" si="11"/>
        <v/>
      </c>
      <c r="K136" s="28" t="str">
        <f t="shared" si="11"/>
        <v/>
      </c>
      <c r="L136" s="29" t="str">
        <f>IF(G136="","",+(G135-G136))</f>
        <v/>
      </c>
      <c r="M136" s="30" t="str">
        <f t="shared" si="12"/>
        <v/>
      </c>
      <c r="Q136" s="20">
        <f t="shared" si="13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1"/>
        <v/>
      </c>
      <c r="I137" s="28" t="str">
        <f t="shared" si="11"/>
        <v/>
      </c>
      <c r="J137" s="28" t="str">
        <f t="shared" si="11"/>
        <v/>
      </c>
      <c r="K137" s="28" t="str">
        <f t="shared" si="11"/>
        <v/>
      </c>
      <c r="L137" s="29" t="str">
        <f>IF(G137="","",+(G136-G137))</f>
        <v/>
      </c>
      <c r="M137" s="30" t="str">
        <f t="shared" si="12"/>
        <v/>
      </c>
      <c r="Q137" s="20">
        <f t="shared" si="13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1"/>
        <v/>
      </c>
      <c r="I138" s="28" t="str">
        <f t="shared" si="11"/>
        <v/>
      </c>
      <c r="J138" s="28" t="str">
        <f t="shared" si="11"/>
        <v/>
      </c>
      <c r="K138" s="28" t="str">
        <f t="shared" si="11"/>
        <v/>
      </c>
      <c r="L138" s="29" t="str">
        <f t="shared" ref="L138:L144" si="14">IF(G138="","",+(G137-G138))</f>
        <v/>
      </c>
      <c r="M138" s="30" t="str">
        <f t="shared" si="12"/>
        <v/>
      </c>
      <c r="Q138" s="20">
        <f t="shared" si="13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1"/>
        <v/>
      </c>
      <c r="I139" s="28" t="str">
        <f t="shared" si="11"/>
        <v/>
      </c>
      <c r="J139" s="28" t="str">
        <f t="shared" si="11"/>
        <v/>
      </c>
      <c r="K139" s="28" t="str">
        <f t="shared" si="11"/>
        <v/>
      </c>
      <c r="L139" s="29" t="str">
        <f t="shared" si="14"/>
        <v/>
      </c>
      <c r="M139" s="30" t="str">
        <f t="shared" si="12"/>
        <v/>
      </c>
      <c r="Q139" s="20">
        <f t="shared" si="13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1"/>
        <v/>
      </c>
      <c r="I140" s="28" t="str">
        <f t="shared" si="11"/>
        <v/>
      </c>
      <c r="J140" s="28" t="str">
        <f t="shared" si="11"/>
        <v/>
      </c>
      <c r="K140" s="28" t="str">
        <f t="shared" si="11"/>
        <v/>
      </c>
      <c r="L140" s="29" t="str">
        <f t="shared" si="14"/>
        <v/>
      </c>
      <c r="M140" s="30" t="str">
        <f t="shared" si="12"/>
        <v/>
      </c>
      <c r="Q140" s="20">
        <f t="shared" si="13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1"/>
        <v/>
      </c>
      <c r="I141" s="28" t="str">
        <f t="shared" si="11"/>
        <v/>
      </c>
      <c r="J141" s="28" t="str">
        <f t="shared" si="11"/>
        <v/>
      </c>
      <c r="K141" s="28" t="str">
        <f t="shared" si="11"/>
        <v/>
      </c>
      <c r="L141" s="29" t="str">
        <f t="shared" si="14"/>
        <v/>
      </c>
      <c r="M141" s="30" t="str">
        <f t="shared" si="12"/>
        <v/>
      </c>
      <c r="Q141" s="20">
        <f t="shared" si="13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1"/>
        <v/>
      </c>
      <c r="I142" s="28" t="str">
        <f t="shared" si="11"/>
        <v/>
      </c>
      <c r="J142" s="28" t="str">
        <f t="shared" si="11"/>
        <v/>
      </c>
      <c r="K142" s="28" t="str">
        <f t="shared" si="11"/>
        <v/>
      </c>
      <c r="L142" s="29" t="str">
        <f t="shared" si="14"/>
        <v/>
      </c>
      <c r="M142" s="30" t="str">
        <f t="shared" si="12"/>
        <v/>
      </c>
      <c r="Q142" s="20">
        <f t="shared" si="13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1"/>
        <v/>
      </c>
      <c r="I143" s="28" t="str">
        <f t="shared" si="11"/>
        <v/>
      </c>
      <c r="J143" s="28" t="str">
        <f t="shared" si="11"/>
        <v/>
      </c>
      <c r="K143" s="28" t="str">
        <f t="shared" si="11"/>
        <v/>
      </c>
      <c r="L143" s="29" t="str">
        <f t="shared" si="14"/>
        <v/>
      </c>
      <c r="M143" s="30" t="str">
        <f t="shared" si="12"/>
        <v/>
      </c>
      <c r="O143" s="9" t="s">
        <v>28</v>
      </c>
      <c r="Q143" s="20">
        <f t="shared" si="13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1"/>
        <v/>
      </c>
      <c r="I144" s="28" t="str">
        <f t="shared" si="11"/>
        <v/>
      </c>
      <c r="J144" s="28" t="str">
        <f t="shared" si="11"/>
        <v/>
      </c>
      <c r="K144" s="28" t="str">
        <f t="shared" si="11"/>
        <v/>
      </c>
      <c r="L144" s="29" t="str">
        <f t="shared" si="14"/>
        <v/>
      </c>
      <c r="M144" s="30" t="str">
        <f t="shared" si="12"/>
        <v/>
      </c>
      <c r="Q144" s="20">
        <f t="shared" si="13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1"/>
        <v/>
      </c>
      <c r="I145" s="28" t="str">
        <f t="shared" si="11"/>
        <v/>
      </c>
      <c r="J145" s="28" t="str">
        <f t="shared" si="11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2"/>
        <v/>
      </c>
      <c r="N145" s="197" t="s">
        <v>21</v>
      </c>
      <c r="O145" s="197" t="s">
        <v>22</v>
      </c>
      <c r="Q145" s="20">
        <f t="shared" si="13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1"/>
        <v/>
      </c>
      <c r="I146" s="28" t="str">
        <f t="shared" si="11"/>
        <v/>
      </c>
      <c r="J146" s="28" t="str">
        <f t="shared" si="11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2"/>
        <v/>
      </c>
      <c r="N146" s="198"/>
      <c r="O146" s="198"/>
      <c r="Q146" s="20">
        <f t="shared" si="13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1"/>
        <v/>
      </c>
      <c r="I147" s="28" t="str">
        <f t="shared" si="11"/>
        <v/>
      </c>
      <c r="J147" s="28" t="str">
        <f t="shared" si="11"/>
        <v/>
      </c>
      <c r="K147" s="28" t="str">
        <f t="shared" si="11"/>
        <v/>
      </c>
      <c r="L147" s="29" t="str">
        <f t="shared" ref="L147:L196" si="15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1"/>
        <v/>
      </c>
      <c r="I148" s="28" t="str">
        <f t="shared" si="11"/>
        <v/>
      </c>
      <c r="J148" s="28" t="str">
        <f t="shared" si="11"/>
        <v/>
      </c>
      <c r="K148" s="28" t="str">
        <f t="shared" si="11"/>
        <v/>
      </c>
      <c r="L148" s="29" t="str">
        <f t="shared" si="15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297446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1"/>
        <v/>
      </c>
      <c r="I149" s="28" t="str">
        <f t="shared" si="11"/>
        <v/>
      </c>
      <c r="J149" s="28" t="str">
        <f t="shared" si="11"/>
        <v/>
      </c>
      <c r="K149" s="28" t="str">
        <f t="shared" si="11"/>
        <v/>
      </c>
      <c r="L149" s="29" t="str">
        <f t="shared" si="15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1"/>
        <v/>
      </c>
      <c r="I150" s="28" t="str">
        <f t="shared" si="11"/>
        <v/>
      </c>
      <c r="J150" s="28" t="str">
        <f t="shared" si="11"/>
        <v/>
      </c>
      <c r="K150" s="28" t="str">
        <f t="shared" si="11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1"/>
        <v/>
      </c>
      <c r="I151" s="28" t="str">
        <f t="shared" si="11"/>
        <v/>
      </c>
      <c r="J151" s="28" t="str">
        <f t="shared" si="11"/>
        <v/>
      </c>
      <c r="K151" s="28" t="str">
        <f t="shared" si="11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1"/>
        <v/>
      </c>
      <c r="I152" s="28" t="str">
        <f t="shared" si="11"/>
        <v/>
      </c>
      <c r="J152" s="28" t="str">
        <f t="shared" si="11"/>
        <v/>
      </c>
      <c r="K152" s="28" t="str">
        <f t="shared" si="11"/>
        <v/>
      </c>
      <c r="L152" s="29" t="str">
        <f>IF(G152="","",+(G151-G152))</f>
        <v/>
      </c>
      <c r="M152" s="30" t="str">
        <f t="shared" si="12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1"/>
        <v/>
      </c>
      <c r="I153" s="28" t="str">
        <f t="shared" si="11"/>
        <v/>
      </c>
      <c r="J153" s="28" t="str">
        <f t="shared" si="11"/>
        <v/>
      </c>
      <c r="K153" s="28" t="str">
        <f t="shared" si="11"/>
        <v/>
      </c>
      <c r="L153" s="29" t="str">
        <f t="shared" si="15"/>
        <v/>
      </c>
      <c r="M153" s="30" t="str">
        <f t="shared" si="12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1"/>
        <v/>
      </c>
      <c r="I154" s="28" t="str">
        <f t="shared" si="11"/>
        <v/>
      </c>
      <c r="J154" s="28" t="str">
        <f t="shared" si="11"/>
        <v/>
      </c>
      <c r="K154" s="28" t="str">
        <f t="shared" si="11"/>
        <v/>
      </c>
      <c r="L154" s="29" t="str">
        <f t="shared" si="15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1"/>
        <v/>
      </c>
      <c r="I155" s="33" t="str">
        <f t="shared" si="11"/>
        <v/>
      </c>
      <c r="J155" s="33" t="str">
        <f t="shared" si="11"/>
        <v/>
      </c>
      <c r="K155" s="33" t="str">
        <f t="shared" si="11"/>
        <v/>
      </c>
      <c r="L155" s="42" t="str">
        <f t="shared" si="15"/>
        <v/>
      </c>
      <c r="M155" s="33" t="str">
        <f t="shared" si="12"/>
        <v/>
      </c>
      <c r="Q155" s="20">
        <f t="shared" si="13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1"/>
        <v/>
      </c>
      <c r="I156" s="28" t="str">
        <f t="shared" si="11"/>
        <v/>
      </c>
      <c r="J156" s="28" t="str">
        <f t="shared" si="11"/>
        <v/>
      </c>
      <c r="K156" s="28" t="str">
        <f t="shared" si="11"/>
        <v/>
      </c>
      <c r="L156" s="29" t="str">
        <f t="shared" si="15"/>
        <v/>
      </c>
      <c r="M156" s="30" t="str">
        <f t="shared" si="12"/>
        <v/>
      </c>
      <c r="Q156" s="20">
        <f t="shared" si="13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1"/>
        <v/>
      </c>
      <c r="I157" s="28" t="str">
        <f t="shared" si="11"/>
        <v/>
      </c>
      <c r="J157" s="28" t="str">
        <f t="shared" si="11"/>
        <v/>
      </c>
      <c r="K157" s="28" t="str">
        <f t="shared" si="11"/>
        <v/>
      </c>
      <c r="L157" s="29" t="str">
        <f t="shared" si="15"/>
        <v/>
      </c>
      <c r="M157" s="30" t="str">
        <f t="shared" si="12"/>
        <v/>
      </c>
      <c r="Q157" s="20">
        <f t="shared" si="13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1"/>
        <v/>
      </c>
      <c r="I158" s="28" t="str">
        <f t="shared" si="11"/>
        <v/>
      </c>
      <c r="J158" s="28" t="str">
        <f t="shared" si="11"/>
        <v/>
      </c>
      <c r="K158" s="28" t="str">
        <f t="shared" si="11"/>
        <v/>
      </c>
      <c r="L158" s="29" t="str">
        <f t="shared" si="15"/>
        <v/>
      </c>
      <c r="M158" s="30" t="str">
        <f t="shared" si="12"/>
        <v/>
      </c>
      <c r="Q158" s="20">
        <f t="shared" si="13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1"/>
        <v/>
      </c>
      <c r="I159" s="28" t="str">
        <f t="shared" si="11"/>
        <v/>
      </c>
      <c r="J159" s="28" t="str">
        <f t="shared" si="11"/>
        <v/>
      </c>
      <c r="K159" s="28" t="str">
        <f t="shared" si="11"/>
        <v/>
      </c>
      <c r="L159" s="29" t="str">
        <f t="shared" si="15"/>
        <v/>
      </c>
      <c r="M159" s="30" t="str">
        <f t="shared" si="12"/>
        <v/>
      </c>
      <c r="Q159" s="20">
        <f t="shared" si="13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1"/>
        <v/>
      </c>
      <c r="I160" s="28" t="str">
        <f t="shared" si="11"/>
        <v/>
      </c>
      <c r="J160" s="28" t="str">
        <f t="shared" si="11"/>
        <v/>
      </c>
      <c r="K160" s="28" t="str">
        <f t="shared" si="11"/>
        <v/>
      </c>
      <c r="L160" s="29" t="str">
        <f t="shared" si="15"/>
        <v/>
      </c>
      <c r="M160" s="30" t="str">
        <f t="shared" si="12"/>
        <v/>
      </c>
      <c r="Q160" s="20">
        <f t="shared" si="13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1"/>
        <v/>
      </c>
      <c r="I161" s="28" t="str">
        <f t="shared" si="11"/>
        <v/>
      </c>
      <c r="J161" s="28" t="str">
        <f t="shared" si="11"/>
        <v/>
      </c>
      <c r="K161" s="28" t="str">
        <f t="shared" si="11"/>
        <v/>
      </c>
      <c r="L161" s="29" t="str">
        <f t="shared" si="15"/>
        <v/>
      </c>
      <c r="M161" s="30" t="str">
        <f t="shared" si="12"/>
        <v/>
      </c>
      <c r="Q161" s="20">
        <f t="shared" si="13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1"/>
        <v/>
      </c>
      <c r="I162" s="28" t="str">
        <f t="shared" si="11"/>
        <v/>
      </c>
      <c r="J162" s="28" t="str">
        <f t="shared" si="11"/>
        <v/>
      </c>
      <c r="K162" s="28" t="str">
        <f t="shared" si="11"/>
        <v/>
      </c>
      <c r="L162" s="29" t="str">
        <f t="shared" si="15"/>
        <v/>
      </c>
      <c r="M162" s="30" t="str">
        <f t="shared" si="12"/>
        <v/>
      </c>
      <c r="Q162" s="20">
        <f t="shared" si="13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1"/>
        <v/>
      </c>
      <c r="I163" s="28" t="str">
        <f t="shared" si="11"/>
        <v/>
      </c>
      <c r="J163" s="28" t="str">
        <f t="shared" si="11"/>
        <v/>
      </c>
      <c r="K163" s="28" t="str">
        <f t="shared" si="11"/>
        <v/>
      </c>
      <c r="L163" s="29" t="str">
        <f t="shared" si="15"/>
        <v/>
      </c>
      <c r="M163" s="30" t="str">
        <f t="shared" si="12"/>
        <v/>
      </c>
      <c r="Q163" s="20">
        <f t="shared" si="13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1"/>
        <v/>
      </c>
      <c r="I164" s="28" t="str">
        <f t="shared" si="11"/>
        <v/>
      </c>
      <c r="J164" s="28" t="str">
        <f t="shared" si="11"/>
        <v/>
      </c>
      <c r="K164" s="28" t="str">
        <f t="shared" si="11"/>
        <v/>
      </c>
      <c r="L164" s="29" t="str">
        <f t="shared" si="15"/>
        <v/>
      </c>
      <c r="M164" s="30" t="str">
        <f t="shared" si="12"/>
        <v/>
      </c>
      <c r="Q164" s="20">
        <f t="shared" si="13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1"/>
        <v/>
      </c>
      <c r="I165" s="28" t="str">
        <f t="shared" si="11"/>
        <v/>
      </c>
      <c r="J165" s="28" t="str">
        <f t="shared" si="11"/>
        <v/>
      </c>
      <c r="K165" s="28" t="str">
        <f t="shared" si="11"/>
        <v/>
      </c>
      <c r="L165" s="29" t="str">
        <f t="shared" si="15"/>
        <v/>
      </c>
      <c r="M165" s="30" t="str">
        <f t="shared" si="12"/>
        <v/>
      </c>
      <c r="Q165" s="20">
        <f t="shared" si="13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1"/>
        <v/>
      </c>
      <c r="I166" s="28" t="str">
        <f t="shared" si="11"/>
        <v/>
      </c>
      <c r="J166" s="28" t="str">
        <f t="shared" si="11"/>
        <v/>
      </c>
      <c r="K166" s="28" t="str">
        <f t="shared" si="11"/>
        <v/>
      </c>
      <c r="L166" s="29" t="str">
        <f t="shared" si="15"/>
        <v/>
      </c>
      <c r="M166" s="30" t="str">
        <f t="shared" si="12"/>
        <v/>
      </c>
      <c r="Q166" s="20">
        <f t="shared" si="13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1"/>
        <v/>
      </c>
      <c r="I167" s="28" t="str">
        <f t="shared" si="11"/>
        <v/>
      </c>
      <c r="J167" s="28" t="str">
        <f t="shared" si="11"/>
        <v/>
      </c>
      <c r="K167" s="28" t="str">
        <f t="shared" si="11"/>
        <v/>
      </c>
      <c r="L167" s="29" t="str">
        <f t="shared" si="15"/>
        <v/>
      </c>
      <c r="M167" s="30" t="str">
        <f t="shared" si="12"/>
        <v/>
      </c>
      <c r="Q167" s="20">
        <f t="shared" si="13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1"/>
        <v/>
      </c>
      <c r="I168" s="28" t="str">
        <f t="shared" si="11"/>
        <v/>
      </c>
      <c r="J168" s="28" t="str">
        <f t="shared" si="11"/>
        <v/>
      </c>
      <c r="K168" s="28" t="str">
        <f t="shared" si="11"/>
        <v/>
      </c>
      <c r="L168" s="29" t="str">
        <f t="shared" si="15"/>
        <v/>
      </c>
      <c r="M168" s="30" t="str">
        <f t="shared" si="12"/>
        <v/>
      </c>
      <c r="Q168" s="20">
        <f t="shared" si="13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1"/>
        <v/>
      </c>
      <c r="I169" s="28" t="str">
        <f t="shared" si="11"/>
        <v/>
      </c>
      <c r="J169" s="28" t="str">
        <f t="shared" si="11"/>
        <v/>
      </c>
      <c r="K169" s="28" t="str">
        <f t="shared" si="11"/>
        <v/>
      </c>
      <c r="L169" s="29" t="str">
        <f t="shared" si="15"/>
        <v/>
      </c>
      <c r="M169" s="30" t="str">
        <f t="shared" si="12"/>
        <v/>
      </c>
      <c r="Q169" s="20">
        <f t="shared" si="13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1"/>
        <v/>
      </c>
      <c r="I170" s="28" t="str">
        <f t="shared" si="11"/>
        <v/>
      </c>
      <c r="J170" s="28" t="str">
        <f t="shared" si="11"/>
        <v/>
      </c>
      <c r="K170" s="28" t="str">
        <f t="shared" si="11"/>
        <v/>
      </c>
      <c r="L170" s="29" t="str">
        <f t="shared" si="15"/>
        <v/>
      </c>
      <c r="M170" s="30" t="str">
        <f t="shared" si="12"/>
        <v/>
      </c>
      <c r="Q170" s="20">
        <f t="shared" si="13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1"/>
        <v/>
      </c>
      <c r="I171" s="28" t="str">
        <f t="shared" si="11"/>
        <v/>
      </c>
      <c r="J171" s="28" t="str">
        <f t="shared" si="11"/>
        <v/>
      </c>
      <c r="K171" s="28" t="str">
        <f t="shared" si="11"/>
        <v/>
      </c>
      <c r="L171" s="29" t="str">
        <f t="shared" si="15"/>
        <v/>
      </c>
      <c r="M171" s="30" t="str">
        <f t="shared" si="12"/>
        <v/>
      </c>
      <c r="Q171" s="20">
        <f t="shared" si="13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1"/>
        <v/>
      </c>
      <c r="I172" s="28" t="str">
        <f t="shared" si="11"/>
        <v/>
      </c>
      <c r="J172" s="28" t="str">
        <f t="shared" si="11"/>
        <v/>
      </c>
      <c r="K172" s="28" t="str">
        <f t="shared" si="11"/>
        <v/>
      </c>
      <c r="L172" s="29" t="str">
        <f t="shared" si="15"/>
        <v/>
      </c>
      <c r="M172" s="30" t="str">
        <f t="shared" si="12"/>
        <v/>
      </c>
      <c r="Q172" s="20">
        <f t="shared" si="13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1"/>
        <v/>
      </c>
      <c r="I173" s="28" t="str">
        <f t="shared" si="11"/>
        <v/>
      </c>
      <c r="J173" s="28" t="str">
        <f t="shared" si="11"/>
        <v/>
      </c>
      <c r="K173" s="28" t="str">
        <f t="shared" si="11"/>
        <v/>
      </c>
      <c r="L173" s="29" t="str">
        <f t="shared" si="15"/>
        <v/>
      </c>
      <c r="M173" s="30" t="str">
        <f t="shared" si="12"/>
        <v/>
      </c>
      <c r="Q173" s="20">
        <f t="shared" si="13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1"/>
        <v/>
      </c>
      <c r="I174" s="28" t="str">
        <f t="shared" si="11"/>
        <v/>
      </c>
      <c r="J174" s="28" t="str">
        <f t="shared" si="11"/>
        <v/>
      </c>
      <c r="K174" s="28" t="str">
        <f t="shared" si="11"/>
        <v/>
      </c>
      <c r="L174" s="29" t="str">
        <f t="shared" si="15"/>
        <v/>
      </c>
      <c r="M174" s="30" t="str">
        <f t="shared" si="12"/>
        <v/>
      </c>
      <c r="Q174" s="20">
        <f t="shared" si="13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1"/>
        <v/>
      </c>
      <c r="I175" s="28" t="str">
        <f t="shared" si="11"/>
        <v/>
      </c>
      <c r="J175" s="28" t="str">
        <f t="shared" si="11"/>
        <v/>
      </c>
      <c r="K175" s="28" t="str">
        <f t="shared" si="11"/>
        <v/>
      </c>
      <c r="L175" s="29" t="str">
        <f t="shared" si="15"/>
        <v/>
      </c>
      <c r="M175" s="30" t="str">
        <f t="shared" si="12"/>
        <v/>
      </c>
      <c r="N175" s="197" t="s">
        <v>21</v>
      </c>
      <c r="O175" s="197" t="s">
        <v>22</v>
      </c>
      <c r="Q175" s="20">
        <f t="shared" si="13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1"/>
        <v/>
      </c>
      <c r="I176" s="28" t="str">
        <f t="shared" si="11"/>
        <v/>
      </c>
      <c r="J176" s="28" t="str">
        <f t="shared" si="11"/>
        <v/>
      </c>
      <c r="K176" s="28" t="str">
        <f t="shared" si="11"/>
        <v/>
      </c>
      <c r="L176" s="29" t="str">
        <f t="shared" si="15"/>
        <v/>
      </c>
      <c r="M176" s="30" t="str">
        <f t="shared" si="12"/>
        <v/>
      </c>
      <c r="N176" s="198"/>
      <c r="O176" s="198"/>
      <c r="Q176" s="20">
        <f t="shared" si="13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1"/>
        <v/>
      </c>
      <c r="I177" s="28" t="str">
        <f t="shared" si="11"/>
        <v/>
      </c>
      <c r="J177" s="28" t="str">
        <f t="shared" si="11"/>
        <v/>
      </c>
      <c r="K177" s="28" t="str">
        <f t="shared" si="11"/>
        <v/>
      </c>
      <c r="L177" s="29" t="str">
        <f t="shared" si="15"/>
        <v/>
      </c>
      <c r="M177" s="30" t="str">
        <f t="shared" si="12"/>
        <v/>
      </c>
      <c r="N177" s="199"/>
      <c r="O177" s="199"/>
      <c r="Q177" s="20">
        <f t="shared" si="13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1"/>
        <v/>
      </c>
      <c r="I178" s="28" t="str">
        <f t="shared" si="11"/>
        <v/>
      </c>
      <c r="J178" s="28" t="str">
        <f t="shared" si="11"/>
        <v/>
      </c>
      <c r="K178" s="28" t="str">
        <f t="shared" si="11"/>
        <v/>
      </c>
      <c r="L178" s="29" t="str">
        <f t="shared" si="15"/>
        <v/>
      </c>
      <c r="M178" s="30" t="str">
        <f t="shared" si="12"/>
        <v/>
      </c>
      <c r="N178" s="32">
        <f>SUM(L156:L185)</f>
        <v>0</v>
      </c>
      <c r="O178" s="32">
        <f>SUM(M156:M185)</f>
        <v>0</v>
      </c>
      <c r="Q178" s="20">
        <f t="shared" si="13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1"/>
        <v/>
      </c>
      <c r="I179" s="28" t="str">
        <f t="shared" si="11"/>
        <v/>
      </c>
      <c r="J179" s="28" t="str">
        <f t="shared" si="11"/>
        <v/>
      </c>
      <c r="K179" s="28" t="str">
        <f t="shared" si="11"/>
        <v/>
      </c>
      <c r="L179" s="29" t="str">
        <f t="shared" si="15"/>
        <v/>
      </c>
      <c r="M179" s="30" t="str">
        <f t="shared" si="12"/>
        <v/>
      </c>
      <c r="N179" s="197" t="s">
        <v>23</v>
      </c>
      <c r="O179" s="197" t="s">
        <v>24</v>
      </c>
      <c r="Q179" s="20">
        <f t="shared" si="13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1"/>
        <v/>
      </c>
      <c r="I180" s="28" t="str">
        <f t="shared" si="11"/>
        <v/>
      </c>
      <c r="J180" s="28" t="str">
        <f t="shared" si="11"/>
        <v/>
      </c>
      <c r="K180" s="28" t="str">
        <f t="shared" si="11"/>
        <v/>
      </c>
      <c r="L180" s="29" t="str">
        <f t="shared" si="15"/>
        <v/>
      </c>
      <c r="M180" s="30" t="str">
        <f t="shared" si="12"/>
        <v/>
      </c>
      <c r="N180" s="199"/>
      <c r="O180" s="199"/>
      <c r="Q180" s="20">
        <f t="shared" si="13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1"/>
        <v/>
      </c>
      <c r="I181" s="28" t="str">
        <f t="shared" si="11"/>
        <v/>
      </c>
      <c r="J181" s="28" t="str">
        <f t="shared" si="11"/>
        <v/>
      </c>
      <c r="K181" s="28" t="str">
        <f t="shared" si="11"/>
        <v/>
      </c>
      <c r="L181" s="29" t="str">
        <f t="shared" si="15"/>
        <v/>
      </c>
      <c r="M181" s="30" t="str">
        <f t="shared" si="12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3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1"/>
        <v/>
      </c>
      <c r="I182" s="28" t="str">
        <f t="shared" si="11"/>
        <v/>
      </c>
      <c r="J182" s="28" t="str">
        <f t="shared" si="11"/>
        <v/>
      </c>
      <c r="K182" s="28" t="str">
        <f t="shared" si="11"/>
        <v/>
      </c>
      <c r="L182" s="29" t="str">
        <f t="shared" si="15"/>
        <v/>
      </c>
      <c r="M182" s="30" t="str">
        <f t="shared" si="12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1"/>
        <v/>
      </c>
      <c r="I183" s="28" t="str">
        <f t="shared" si="11"/>
        <v/>
      </c>
      <c r="J183" s="28" t="str">
        <f t="shared" si="11"/>
        <v/>
      </c>
      <c r="K183" s="28" t="str">
        <f t="shared" si="11"/>
        <v/>
      </c>
      <c r="L183" s="29" t="str">
        <f t="shared" si="15"/>
        <v/>
      </c>
      <c r="M183" s="30" t="str">
        <f t="shared" si="12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1"/>
        <v/>
      </c>
      <c r="I184" s="28" t="str">
        <f t="shared" si="11"/>
        <v/>
      </c>
      <c r="J184" s="28" t="str">
        <f t="shared" si="11"/>
        <v/>
      </c>
      <c r="K184" s="28" t="str">
        <f t="shared" si="11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1"/>
        <v/>
      </c>
      <c r="I185" s="35" t="str">
        <f t="shared" si="11"/>
        <v/>
      </c>
      <c r="J185" s="35" t="str">
        <f t="shared" si="11"/>
        <v/>
      </c>
      <c r="K185" s="35" t="str">
        <f t="shared" si="11"/>
        <v/>
      </c>
      <c r="L185" s="35" t="str">
        <f>IF(G185="","",+(G184-G185))</f>
        <v/>
      </c>
      <c r="M185" s="35" t="str">
        <f t="shared" si="12"/>
        <v/>
      </c>
      <c r="Q185" s="20">
        <f t="shared" si="13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2"/>
        <v/>
      </c>
      <c r="Q186" s="20">
        <f t="shared" si="13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2"/>
        <v/>
      </c>
      <c r="Q187" s="20">
        <f t="shared" si="13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2"/>
        <v/>
      </c>
      <c r="Q188" s="20">
        <f t="shared" si="13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2"/>
        <v/>
      </c>
      <c r="Q189" s="20">
        <f t="shared" si="13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2"/>
        <v/>
      </c>
      <c r="Q190" s="20">
        <f t="shared" si="13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2"/>
        <v/>
      </c>
      <c r="Q191" s="20">
        <f t="shared" si="13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2"/>
        <v/>
      </c>
      <c r="Q192" s="20">
        <f t="shared" si="13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2"/>
        <v/>
      </c>
      <c r="Q193" s="20">
        <f t="shared" si="13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2"/>
        <v/>
      </c>
      <c r="Q194" s="20">
        <f t="shared" si="13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2"/>
        <v/>
      </c>
      <c r="Q195" s="20">
        <f t="shared" si="13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2"/>
        <v/>
      </c>
      <c r="Q196" s="20">
        <f t="shared" si="13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2"/>
        <v/>
      </c>
      <c r="Q197" s="20">
        <f t="shared" si="13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286145</v>
      </c>
      <c r="J371" s="40">
        <f t="shared" si="30"/>
        <v>14352</v>
      </c>
      <c r="K371" s="40">
        <f t="shared" si="30"/>
        <v>14002</v>
      </c>
      <c r="L371" s="40">
        <f t="shared" si="30"/>
        <v>13349</v>
      </c>
      <c r="M371" s="40">
        <f t="shared" si="30"/>
        <v>314499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79" workbookViewId="0">
      <selection activeCell="Y95" sqref="Y95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 t="shared" si="14"/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/>
      <c r="E104" s="58"/>
      <c r="F104" s="59"/>
      <c r="G104" s="60"/>
      <c r="H104" s="60">
        <v>4140</v>
      </c>
      <c r="I104" s="60" t="str">
        <f t="shared" si="14"/>
        <v/>
      </c>
      <c r="J104" s="60" t="str">
        <f t="shared" si="15"/>
        <v/>
      </c>
      <c r="K104" s="61" t="str">
        <f t="shared" si="10"/>
        <v/>
      </c>
      <c r="L104" s="60" t="str">
        <f t="shared" si="11"/>
        <v/>
      </c>
      <c r="M104" s="61" t="str">
        <f t="shared" si="12"/>
        <v/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/>
      <c r="E105" s="58"/>
      <c r="F105" s="59"/>
      <c r="G105" s="60"/>
      <c r="H105" s="60">
        <v>4140</v>
      </c>
      <c r="I105" s="60" t="str">
        <f t="shared" si="14"/>
        <v/>
      </c>
      <c r="J105" s="60" t="str">
        <f t="shared" si="15"/>
        <v/>
      </c>
      <c r="K105" s="61" t="str">
        <f t="shared" si="10"/>
        <v/>
      </c>
      <c r="L105" s="60" t="str">
        <f t="shared" si="11"/>
        <v/>
      </c>
      <c r="M105" s="61" t="str">
        <f t="shared" si="12"/>
        <v/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/>
      <c r="E106" s="58"/>
      <c r="F106" s="59"/>
      <c r="G106" s="60"/>
      <c r="H106" s="60">
        <v>4140</v>
      </c>
      <c r="I106" s="60" t="str">
        <f t="shared" si="14"/>
        <v/>
      </c>
      <c r="J106" s="60" t="str">
        <f t="shared" si="15"/>
        <v/>
      </c>
      <c r="K106" s="61" t="str">
        <f t="shared" si="10"/>
        <v/>
      </c>
      <c r="L106" s="60" t="str">
        <f t="shared" si="11"/>
        <v/>
      </c>
      <c r="M106" s="61" t="str">
        <f t="shared" si="12"/>
        <v/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/>
      <c r="E107" s="58"/>
      <c r="F107" s="59"/>
      <c r="G107" s="60"/>
      <c r="H107" s="60">
        <v>4140</v>
      </c>
      <c r="I107" s="60" t="str">
        <f t="shared" si="14"/>
        <v/>
      </c>
      <c r="J107" s="60" t="str">
        <f t="shared" si="15"/>
        <v/>
      </c>
      <c r="K107" s="61" t="str">
        <f t="shared" si="10"/>
        <v/>
      </c>
      <c r="L107" s="60" t="str">
        <f t="shared" si="11"/>
        <v/>
      </c>
      <c r="M107" s="61" t="str">
        <f t="shared" si="12"/>
        <v/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/>
      <c r="E108" s="58"/>
      <c r="F108" s="59"/>
      <c r="G108" s="60"/>
      <c r="H108" s="60">
        <v>4140</v>
      </c>
      <c r="I108" s="60" t="str">
        <f t="shared" si="14"/>
        <v/>
      </c>
      <c r="J108" s="60" t="str">
        <f t="shared" si="15"/>
        <v/>
      </c>
      <c r="K108" s="61" t="str">
        <f t="shared" si="10"/>
        <v/>
      </c>
      <c r="L108" s="60" t="str">
        <f t="shared" si="11"/>
        <v/>
      </c>
      <c r="M108" s="61" t="str">
        <f t="shared" si="12"/>
        <v/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/>
      <c r="E109" s="58"/>
      <c r="F109" s="59"/>
      <c r="G109" s="60"/>
      <c r="H109" s="60">
        <v>4140</v>
      </c>
      <c r="I109" s="60" t="str">
        <f t="shared" si="14"/>
        <v/>
      </c>
      <c r="J109" s="60" t="str">
        <f t="shared" si="15"/>
        <v/>
      </c>
      <c r="K109" s="61" t="str">
        <f t="shared" si="10"/>
        <v/>
      </c>
      <c r="L109" s="60" t="str">
        <f t="shared" si="11"/>
        <v/>
      </c>
      <c r="M109" s="61" t="str">
        <f t="shared" si="12"/>
        <v/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/>
      <c r="E110" s="58"/>
      <c r="F110" s="59"/>
      <c r="G110" s="60"/>
      <c r="H110" s="60">
        <v>4140</v>
      </c>
      <c r="I110" s="60" t="str">
        <f t="shared" si="14"/>
        <v/>
      </c>
      <c r="J110" s="60" t="str">
        <f t="shared" si="15"/>
        <v/>
      </c>
      <c r="K110" s="61" t="str">
        <f t="shared" si="10"/>
        <v/>
      </c>
      <c r="L110" s="60" t="str">
        <f t="shared" si="11"/>
        <v/>
      </c>
      <c r="M110" s="61" t="str">
        <f t="shared" si="12"/>
        <v/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/>
      <c r="E111" s="58"/>
      <c r="F111" s="59"/>
      <c r="G111" s="60"/>
      <c r="H111" s="60">
        <v>4140</v>
      </c>
      <c r="I111" s="60" t="str">
        <f t="shared" si="14"/>
        <v/>
      </c>
      <c r="J111" s="60" t="str">
        <f t="shared" si="15"/>
        <v/>
      </c>
      <c r="K111" s="61" t="str">
        <f t="shared" si="10"/>
        <v/>
      </c>
      <c r="L111" s="60" t="str">
        <f t="shared" si="11"/>
        <v/>
      </c>
      <c r="M111" s="61" t="str">
        <f t="shared" si="12"/>
        <v/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/>
      <c r="E112" s="58"/>
      <c r="F112" s="59"/>
      <c r="G112" s="60"/>
      <c r="H112" s="60">
        <v>4140</v>
      </c>
      <c r="I112" s="60" t="str">
        <f t="shared" si="14"/>
        <v/>
      </c>
      <c r="J112" s="60" t="str">
        <f t="shared" si="15"/>
        <v/>
      </c>
      <c r="K112" s="61" t="str">
        <f t="shared" si="10"/>
        <v/>
      </c>
      <c r="L112" s="60" t="str">
        <f t="shared" si="11"/>
        <v/>
      </c>
      <c r="M112" s="61" t="str">
        <f t="shared" si="12"/>
        <v/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/>
      <c r="E113" s="58"/>
      <c r="F113" s="59"/>
      <c r="G113" s="60"/>
      <c r="H113" s="60">
        <v>4140</v>
      </c>
      <c r="I113" s="60" t="str">
        <f t="shared" si="14"/>
        <v/>
      </c>
      <c r="J113" s="60" t="str">
        <f t="shared" si="15"/>
        <v/>
      </c>
      <c r="K113" s="61" t="str">
        <f t="shared" si="10"/>
        <v/>
      </c>
      <c r="L113" s="60" t="str">
        <f t="shared" si="11"/>
        <v/>
      </c>
      <c r="M113" s="61" t="str">
        <f t="shared" si="12"/>
        <v/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/>
      <c r="E114" s="58"/>
      <c r="F114" s="59"/>
      <c r="G114" s="60"/>
      <c r="H114" s="60">
        <v>4140</v>
      </c>
      <c r="I114" s="60" t="str">
        <f t="shared" si="14"/>
        <v/>
      </c>
      <c r="J114" s="60" t="str">
        <f t="shared" si="15"/>
        <v/>
      </c>
      <c r="K114" s="61" t="str">
        <f t="shared" si="10"/>
        <v/>
      </c>
      <c r="L114" s="60" t="str">
        <f t="shared" si="11"/>
        <v/>
      </c>
      <c r="M114" s="61" t="str">
        <f t="shared" si="12"/>
        <v/>
      </c>
      <c r="N114" s="62">
        <v>66068309</v>
      </c>
      <c r="O114" s="62">
        <f t="shared" si="13"/>
        <v>0</v>
      </c>
      <c r="P114" s="71">
        <f>IF(J94="",0,+SUM(J94:J123)/SUM(I94:I123))</f>
        <v>3.9945090002126808E-2</v>
      </c>
      <c r="Q114" s="71">
        <f>IF(L94="",0,+SUM(L94:L123)/SUM(I94:I123))</f>
        <v>3.9945090002126808E-2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/>
      <c r="E115" s="58"/>
      <c r="F115" s="59"/>
      <c r="G115" s="60"/>
      <c r="H115" s="60">
        <v>4140</v>
      </c>
      <c r="I115" s="60" t="str">
        <f t="shared" si="14"/>
        <v/>
      </c>
      <c r="J115" s="60" t="str">
        <f t="shared" si="15"/>
        <v/>
      </c>
      <c r="K115" s="61" t="str">
        <f t="shared" si="10"/>
        <v/>
      </c>
      <c r="L115" s="60" t="str">
        <f t="shared" si="11"/>
        <v/>
      </c>
      <c r="M115" s="61" t="str">
        <f t="shared" si="12"/>
        <v/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/>
      <c r="E116" s="58"/>
      <c r="F116" s="59"/>
      <c r="G116" s="60"/>
      <c r="H116" s="60">
        <v>4140</v>
      </c>
      <c r="I116" s="60" t="str">
        <f t="shared" si="14"/>
        <v/>
      </c>
      <c r="J116" s="60" t="str">
        <f t="shared" si="15"/>
        <v/>
      </c>
      <c r="K116" s="61" t="str">
        <f t="shared" si="10"/>
        <v/>
      </c>
      <c r="L116" s="60" t="str">
        <f t="shared" si="11"/>
        <v/>
      </c>
      <c r="M116" s="61" t="str">
        <f t="shared" si="12"/>
        <v/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/>
      <c r="E117" s="58"/>
      <c r="F117" s="59"/>
      <c r="G117" s="60"/>
      <c r="H117" s="60">
        <v>4140</v>
      </c>
      <c r="I117" s="60" t="str">
        <f t="shared" si="14"/>
        <v/>
      </c>
      <c r="J117" s="60" t="str">
        <f t="shared" si="15"/>
        <v/>
      </c>
      <c r="K117" s="61" t="str">
        <f t="shared" si="10"/>
        <v/>
      </c>
      <c r="L117" s="60" t="str">
        <f t="shared" si="11"/>
        <v/>
      </c>
      <c r="M117" s="61" t="str">
        <f t="shared" si="12"/>
        <v/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/>
      <c r="E118" s="58"/>
      <c r="F118" s="59"/>
      <c r="G118" s="60"/>
      <c r="H118" s="60">
        <v>4140</v>
      </c>
      <c r="I118" s="60" t="str">
        <f t="shared" si="14"/>
        <v/>
      </c>
      <c r="J118" s="60" t="str">
        <f t="shared" si="15"/>
        <v/>
      </c>
      <c r="K118" s="61" t="str">
        <f t="shared" si="10"/>
        <v/>
      </c>
      <c r="L118" s="60" t="str">
        <f t="shared" si="11"/>
        <v/>
      </c>
      <c r="M118" s="61" t="str">
        <f t="shared" si="12"/>
        <v/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/>
      <c r="E119" s="58"/>
      <c r="F119" s="59"/>
      <c r="G119" s="60"/>
      <c r="H119" s="60">
        <v>4140</v>
      </c>
      <c r="I119" s="60" t="str">
        <f t="shared" si="14"/>
        <v/>
      </c>
      <c r="J119" s="60" t="str">
        <f t="shared" si="15"/>
        <v/>
      </c>
      <c r="K119" s="61" t="str">
        <f t="shared" si="10"/>
        <v/>
      </c>
      <c r="L119" s="60" t="str">
        <f t="shared" si="11"/>
        <v/>
      </c>
      <c r="M119" s="61" t="str">
        <f t="shared" si="12"/>
        <v/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/>
      <c r="E120" s="58"/>
      <c r="F120" s="59"/>
      <c r="G120" s="60"/>
      <c r="H120" s="60">
        <v>4140</v>
      </c>
      <c r="I120" s="60" t="str">
        <f t="shared" si="14"/>
        <v/>
      </c>
      <c r="J120" s="60" t="str">
        <f t="shared" si="15"/>
        <v/>
      </c>
      <c r="K120" s="61" t="str">
        <f t="shared" si="10"/>
        <v/>
      </c>
      <c r="L120" s="60" t="str">
        <f t="shared" si="11"/>
        <v/>
      </c>
      <c r="M120" s="61" t="str">
        <f t="shared" si="12"/>
        <v/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/>
      <c r="E121" s="58"/>
      <c r="F121" s="59"/>
      <c r="G121" s="60"/>
      <c r="H121" s="60">
        <v>4140</v>
      </c>
      <c r="I121" s="60" t="str">
        <f t="shared" si="14"/>
        <v/>
      </c>
      <c r="J121" s="60" t="str">
        <f t="shared" si="15"/>
        <v/>
      </c>
      <c r="K121" s="61" t="str">
        <f t="shared" si="10"/>
        <v/>
      </c>
      <c r="L121" s="60" t="str">
        <f t="shared" si="11"/>
        <v/>
      </c>
      <c r="M121" s="61" t="str">
        <f t="shared" si="12"/>
        <v/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2124958.0199999958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2021-04-12T07:42:00Z</dcterms:modified>
  <cp:category/>
  <cp:contentStatus/>
</cp:coreProperties>
</file>