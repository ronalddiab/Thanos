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K15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<sst xmlns="http://schemas.openxmlformats.org/spreadsheetml/2006/main" count="107" uniqueCount="38">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</sst>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N15" sqref="N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v>0</v>
      </c>
      <c r="F15" s="13">
        <v>0.11799999999999999</v>
      </c>
      <c r="G15" s="15">
        <v>0</v>
      </c>
      <c r="H15" s="13">
        <v>0.99</v>
      </c>
      <c r="I15" s="15">
        <v>0</v>
      </c>
      <c r="J15" s="13">
        <v>8.1000000000000003E-2</v>
      </c>
      <c r="K15" s="21">
        <f>'12 - 2022'!H21-'12 - 2022'!H20</f>
        <v>0</v>
      </c>
      <c r="L15" s="15"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0</v>
      </c>
      <c r="F16" s="13">
        <v>0.11799999999999999</v>
      </c>
      <c r="G16" s="15">
        <f>'12 - 2022'!D22-'12 - 2022'!D21+'12 - 2022'!E22-'12 - 2022'!E21</f>
        <v>0</v>
      </c>
      <c r="H16" s="13">
        <v>0.99</v>
      </c>
      <c r="I16" s="15">
        <f>'12 - 2022'!J22-'12 - 2022'!J21</f>
        <v>0</v>
      </c>
      <c r="J16" s="13">
        <v>8.1000000000000003E-2</v>
      </c>
      <c r="K16" s="21">
        <f>'12 - 2022'!H22-'12 - 2022'!H21</f>
        <v>0</v>
      </c>
      <c r="L16" s="15">
        <f>'12 - 2022'!I22-'12 - 2022'!I21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0</v>
      </c>
      <c r="F17" s="13">
        <v>0.11799999999999999</v>
      </c>
      <c r="G17" s="15">
        <f>'12 - 2022'!D23-'12 - 2022'!D22+'12 - 2022'!E23-'12 - 2022'!E22</f>
        <v>0</v>
      </c>
      <c r="H17" s="13">
        <v>0.99</v>
      </c>
      <c r="I17" s="15">
        <f>'12 - 2022'!J23-'12 - 2022'!J22</f>
        <v>0</v>
      </c>
      <c r="J17" s="13">
        <v>8.1000000000000003E-2</v>
      </c>
      <c r="K17" s="21">
        <f>'12 - 2022'!H23-'12 - 2022'!H22</f>
        <v>0</v>
      </c>
      <c r="L17" s="15">
        <f>'12 - 2022'!I23-'12 - 2022'!I22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5" sqref="K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v>0</v>
      </c>
      <c r="F15" s="15">
        <v>0</v>
      </c>
      <c r="G15" s="13">
        <v>0.11799999999999999</v>
      </c>
      <c r="H15" s="15">
        <v>0</v>
      </c>
      <c r="I15" s="15">
        <v>0</v>
      </c>
      <c r="J15" s="15"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0</v>
      </c>
      <c r="F16" s="15">
        <f>'12 - 2022'!C22-'12 - 2022'!C21</f>
        <v>0</v>
      </c>
      <c r="G16" s="13">
        <v>0.11799999999999999</v>
      </c>
      <c r="H16" s="15">
        <f>'12 - 2022'!E22-'12 - 2022'!E21</f>
        <v>0</v>
      </c>
      <c r="I16" s="15">
        <f>'12 - 2022'!F22-'12 - 2022'!F21</f>
        <v>0</v>
      </c>
      <c r="J16" s="15">
        <f>'12 - 2022'!G22-'12 - 2022'!G21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0</v>
      </c>
      <c r="F17" s="15">
        <f>'12 - 2022'!C23-'12 - 2022'!C22</f>
        <v>0</v>
      </c>
      <c r="G17" s="13">
        <v>0.11799999999999999</v>
      </c>
      <c r="H17" s="15">
        <f>'12 - 2022'!E23-'12 - 2022'!E22</f>
        <v>0</v>
      </c>
      <c r="I17" s="15">
        <f>'12 - 2022'!F23-'12 - 2022'!F22</f>
        <v>0</v>
      </c>
      <c r="J17" s="15">
        <f>'12 - 2022'!G23-'12 - 2022'!G22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zoomScaleNormal="100" workbookViewId="0">
      <selection activeCell="D20" sqref="D20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8" t="s">
        <v>30</v>
      </c>
      <c r="B3" s="98"/>
      <c r="C3" s="98"/>
      <c r="D3" s="98"/>
      <c r="E3" s="98"/>
      <c r="F3" s="98"/>
      <c r="G3" s="98"/>
      <c r="H3" s="98"/>
      <c r="I3" s="98"/>
      <c r="J3" s="98"/>
      <c r="K3" s="47"/>
      <c r="L3" s="47"/>
    </row>
    <row r="4" spans="1:17" ht="16.5" thickBot="1" x14ac:dyDescent="0.3">
      <c r="A4" s="99" t="s">
        <v>37</v>
      </c>
      <c r="B4" s="99"/>
      <c r="C4" s="99"/>
      <c r="D4" s="99"/>
      <c r="E4" s="99"/>
      <c r="F4" s="99"/>
      <c r="G4" s="99"/>
      <c r="H4" s="99"/>
      <c r="I4" s="99"/>
      <c r="J4" s="99"/>
      <c r="K4" s="47"/>
      <c r="L4" s="47"/>
    </row>
    <row r="5" spans="1:17" ht="16.5" thickBot="1" x14ac:dyDescent="0.3">
      <c r="A5" s="48"/>
      <c r="B5" s="100" t="s">
        <v>36</v>
      </c>
      <c r="C5" s="101"/>
      <c r="D5" s="100" t="s">
        <v>0</v>
      </c>
      <c r="E5" s="102"/>
      <c r="F5" s="102"/>
      <c r="G5" s="103"/>
      <c r="H5" s="104" t="s">
        <v>1</v>
      </c>
      <c r="I5" s="105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74">
        <v>44530</v>
      </c>
      <c r="B7" s="75">
        <v>855326</v>
      </c>
      <c r="C7" s="76">
        <v>983814</v>
      </c>
      <c r="D7" s="77">
        <v>0.5</v>
      </c>
      <c r="E7" s="78">
        <v>6408.19</v>
      </c>
      <c r="F7" s="79">
        <v>3984.34</v>
      </c>
      <c r="G7" s="79">
        <v>47991.95</v>
      </c>
      <c r="H7" s="75">
        <v>14528</v>
      </c>
      <c r="I7" s="75">
        <v>179600</v>
      </c>
      <c r="J7" s="75">
        <v>61843296</v>
      </c>
      <c r="K7" s="80"/>
      <c r="L7" s="69"/>
      <c r="M7" s="26"/>
    </row>
    <row r="8" spans="1:17" s="29" customFormat="1" ht="12.95" customHeight="1" thickTop="1" x14ac:dyDescent="0.25">
      <c r="A8" s="81">
        <f>A7+1</f>
        <v>44531</v>
      </c>
      <c r="B8" s="82">
        <v>859341</v>
      </c>
      <c r="C8" s="82">
        <v>989744</v>
      </c>
      <c r="D8" s="83">
        <v>0.47</v>
      </c>
      <c r="E8" s="84">
        <v>6433.35</v>
      </c>
      <c r="F8" s="85">
        <v>3992.88</v>
      </c>
      <c r="G8" s="82">
        <v>48026.080000000002</v>
      </c>
      <c r="H8" s="82">
        <v>14528</v>
      </c>
      <c r="I8" s="82">
        <v>179704</v>
      </c>
      <c r="J8" s="82">
        <v>61863665</v>
      </c>
      <c r="K8" s="86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7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7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7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8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7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7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/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/>
      <c r="C21" s="44"/>
      <c r="D21" s="41"/>
      <c r="E21" s="45"/>
      <c r="F21" s="40"/>
      <c r="G21" s="45"/>
      <c r="H21" s="42">
        <v>14528</v>
      </c>
      <c r="I21" s="44"/>
      <c r="J21" s="44"/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/>
      <c r="C22" s="42"/>
      <c r="D22" s="41"/>
      <c r="E22" s="40"/>
      <c r="F22" s="40"/>
      <c r="G22" s="45"/>
      <c r="H22" s="42">
        <v>14528</v>
      </c>
      <c r="I22" s="45"/>
      <c r="J22" s="44"/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9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9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0">
        <f t="shared" si="0"/>
        <v>44561</v>
      </c>
      <c r="B38" s="91"/>
      <c r="C38" s="92"/>
      <c r="D38" s="93"/>
      <c r="E38" s="94"/>
      <c r="F38" s="95"/>
      <c r="G38" s="95"/>
      <c r="H38" s="42">
        <v>14528</v>
      </c>
      <c r="I38" s="91"/>
      <c r="J38" s="91"/>
      <c r="K38" s="96"/>
      <c r="L38" s="97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4200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2022-12-13T04:20:16Z</dcterms:modified>
</cp:coreProperties>
</file>