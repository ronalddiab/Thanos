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<sst xmlns="http://schemas.openxmlformats.org/spreadsheetml/2006/main" count="101" uniqueCount="38">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</sst>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R20" sqref="R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9343</v>
      </c>
      <c r="F18" s="14">
        <v>0.11799999999999999</v>
      </c>
      <c r="G18" s="16">
        <f>'02 - 2022'!D24-'02 - 2022'!D23+'02 - 2022'!E24-'02 - 2022'!E23</f>
        <v>17.759999999999764</v>
      </c>
      <c r="H18" s="14">
        <v>0.99</v>
      </c>
      <c r="I18" s="16">
        <f>'02 - 2022'!J24-'02 - 2022'!J23</f>
        <v>13750</v>
      </c>
      <c r="J18" s="14">
        <v>8.1000000000000003E-2</v>
      </c>
      <c r="K18" s="23">
        <f>'02 - 2022'!H24-'02 - 2022'!H23</f>
        <v>0</v>
      </c>
      <c r="L18" s="16">
        <f>'02 - 2022'!I24-'02 - 2022'!I23</f>
        <v>111</v>
      </c>
      <c r="M18" s="15">
        <v>4.393629424766913</v>
      </c>
      <c r="N18" s="16">
        <v>91</v>
      </c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9577</v>
      </c>
      <c r="F19" s="14">
        <v>0.11799999999999999</v>
      </c>
      <c r="G19" s="16">
        <f>'02 - 2022'!D25-'02 - 2022'!D24+'02 - 2022'!E25-'02 - 2022'!E24</f>
        <v>19.840000000000146</v>
      </c>
      <c r="H19" s="14">
        <v>0.99</v>
      </c>
      <c r="I19" s="16">
        <f>'02 - 2022'!J25-'02 - 2022'!J24</f>
        <v>11826</v>
      </c>
      <c r="J19" s="14">
        <v>8.1000000000000003E-2</v>
      </c>
      <c r="K19" s="23">
        <f>'02 - 2022'!H25-'02 - 2022'!H24</f>
        <v>0</v>
      </c>
      <c r="L19" s="16">
        <f>'02 - 2022'!I25-'02 - 2022'!I24</f>
        <v>116</v>
      </c>
      <c r="M19" s="15">
        <v>4.393629424766913</v>
      </c>
      <c r="N19" s="16">
        <v>101</v>
      </c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v>0</v>
      </c>
      <c r="F20" s="14">
        <v>0.11799999999999999</v>
      </c>
      <c r="G20" s="16">
        <v>0</v>
      </c>
      <c r="H20" s="14">
        <v>0.99</v>
      </c>
      <c r="I20" s="16">
        <v>0</v>
      </c>
      <c r="J20" s="14">
        <v>8.1000000000000003E-2</v>
      </c>
      <c r="K20" s="23">
        <v>0</v>
      </c>
      <c r="L20" s="16"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0</v>
      </c>
      <c r="F21" s="14">
        <v>0.11799999999999999</v>
      </c>
      <c r="G21" s="16">
        <f>'02 - 2022'!D27-'02 - 2022'!D26+'02 - 2022'!E27-'02 - 2022'!E26</f>
        <v>0</v>
      </c>
      <c r="H21" s="14">
        <v>0.99</v>
      </c>
      <c r="I21" s="16">
        <f>'02 - 2022'!J27-'02 - 2022'!J26</f>
        <v>0</v>
      </c>
      <c r="J21" s="14">
        <v>8.1000000000000003E-2</v>
      </c>
      <c r="K21" s="23">
        <f>'02 - 2022'!H27-'02 - 2022'!H26</f>
        <v>0</v>
      </c>
      <c r="L21" s="16">
        <f>'02 - 2022'!I27-'02 - 2022'!I26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0</v>
      </c>
      <c r="F22" s="14">
        <v>0.11799999999999999</v>
      </c>
      <c r="G22" s="16">
        <f>'02 - 2022'!D28-'02 - 2022'!D27+'02 - 2022'!E28-'02 - 2022'!E27</f>
        <v>0</v>
      </c>
      <c r="H22" s="14">
        <v>0.99</v>
      </c>
      <c r="I22" s="16">
        <f>'02 - 2022'!J28-'02 - 2022'!J27</f>
        <v>0</v>
      </c>
      <c r="J22" s="14">
        <v>8.1000000000000003E-2</v>
      </c>
      <c r="K22" s="23">
        <f>'02 - 2022'!H28-'02 - 2022'!H27</f>
        <v>0</v>
      </c>
      <c r="L22" s="16">
        <f>'02 - 2022'!I28-'02 - 2022'!I27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0</v>
      </c>
      <c r="F23" s="14">
        <v>0.11799999999999999</v>
      </c>
      <c r="G23" s="16">
        <f>'02 - 2022'!D29-'02 - 2022'!D28+'02 - 2022'!E29-'02 - 2022'!E28</f>
        <v>0</v>
      </c>
      <c r="H23" s="14">
        <v>0.99</v>
      </c>
      <c r="I23" s="16">
        <f>'02 - 2022'!J29-'02 - 2022'!J28</f>
        <v>0</v>
      </c>
      <c r="J23" s="14">
        <v>8.1000000000000003E-2</v>
      </c>
      <c r="K23" s="23">
        <f>'02 - 2022'!H29-'02 - 2022'!H28</f>
        <v>0</v>
      </c>
      <c r="L23" s="16">
        <f>'02 - 2022'!I29-'02 - 2022'!I28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20" sqref="K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3892</v>
      </c>
      <c r="F18" s="16">
        <f>'02 - 2022'!C24-'02 - 2022'!C23</f>
        <v>5451</v>
      </c>
      <c r="G18" s="14">
        <v>0.11799999999999999</v>
      </c>
      <c r="H18" s="16">
        <f>'02 - 2022'!E24-'02 - 2022'!E23</f>
        <v>17.259999999999764</v>
      </c>
      <c r="I18" s="16">
        <f>'02 - 2022'!F24-'02 - 2022'!F23</f>
        <v>8.8900000000001</v>
      </c>
      <c r="J18" s="16">
        <f>'02 - 2022'!G24-'02 - 2022'!G23</f>
        <v>37.609999999993306</v>
      </c>
      <c r="K18" s="14">
        <v>0.74</v>
      </c>
      <c r="L18" s="16">
        <v>91</v>
      </c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4016</v>
      </c>
      <c r="F19" s="16">
        <f>'02 - 2022'!C25-'02 - 2022'!C24</f>
        <v>5561</v>
      </c>
      <c r="G19" s="14">
        <v>0.11799999999999999</v>
      </c>
      <c r="H19" s="16">
        <f>'02 - 2022'!E25-'02 - 2022'!E24</f>
        <v>19.920000000000073</v>
      </c>
      <c r="I19" s="16">
        <f>'02 - 2022'!F25-'02 - 2022'!F24</f>
        <v>8.5899999999999181</v>
      </c>
      <c r="J19" s="16">
        <f>'02 - 2022'!G25-'02 - 2022'!G24</f>
        <v>40.55000000000291</v>
      </c>
      <c r="K19" s="14">
        <v>0.74</v>
      </c>
      <c r="L19" s="16">
        <v>101</v>
      </c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v>0</v>
      </c>
      <c r="F20" s="16">
        <v>0</v>
      </c>
      <c r="G20" s="14">
        <v>0.11799999999999999</v>
      </c>
      <c r="H20" s="16">
        <v>0</v>
      </c>
      <c r="I20" s="16">
        <v>0</v>
      </c>
      <c r="J20" s="16"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0</v>
      </c>
      <c r="F21" s="16">
        <f>'02 - 2022'!C27-'02 - 2022'!C26</f>
        <v>0</v>
      </c>
      <c r="G21" s="14">
        <v>0.11799999999999999</v>
      </c>
      <c r="H21" s="16">
        <f>'02 - 2022'!E27-'02 - 2022'!E26</f>
        <v>0</v>
      </c>
      <c r="I21" s="16">
        <f>'02 - 2022'!F27-'02 - 2022'!F26</f>
        <v>0</v>
      </c>
      <c r="J21" s="16">
        <f>'02 - 2022'!G27-'02 - 2022'!G26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0</v>
      </c>
      <c r="F22" s="16">
        <f>'02 - 2022'!C28-'02 - 2022'!C27</f>
        <v>0</v>
      </c>
      <c r="G22" s="14">
        <v>0.11799999999999999</v>
      </c>
      <c r="H22" s="16">
        <f>'02 - 2022'!E28-'02 - 2022'!E27</f>
        <v>0</v>
      </c>
      <c r="I22" s="16">
        <f>'02 - 2022'!F28-'02 - 2022'!F27</f>
        <v>0</v>
      </c>
      <c r="J22" s="16">
        <f>'02 - 2022'!G28-'02 - 2022'!G27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0</v>
      </c>
      <c r="F23" s="16">
        <f>'02 - 2022'!C29-'02 - 2022'!C28</f>
        <v>0</v>
      </c>
      <c r="G23" s="14">
        <v>0.11799999999999999</v>
      </c>
      <c r="H23" s="16">
        <f>'02 - 2022'!E29-'02 - 2022'!E28</f>
        <v>0</v>
      </c>
      <c r="I23" s="16">
        <f>'02 - 2022'!F29-'02 - 2022'!F28</f>
        <v>0</v>
      </c>
      <c r="J23" s="16">
        <f>'02 - 2022'!G29-'02 - 2022'!G28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topLeftCell="A4" zoomScaleNormal="100" workbookViewId="0">
      <selection activeCell="L35" sqref="L3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75" t="s">
        <v>37</v>
      </c>
      <c r="B4" s="75"/>
      <c r="C4" s="75"/>
      <c r="D4" s="75"/>
      <c r="E4" s="75"/>
      <c r="F4" s="75"/>
      <c r="G4" s="75"/>
      <c r="H4" s="75"/>
      <c r="I4" s="75"/>
      <c r="J4" s="75"/>
    </row>
    <row r="5" spans="1:17" ht="16.5" thickBot="1" x14ac:dyDescent="0.3">
      <c r="A5" s="40"/>
      <c r="B5" s="76" t="s">
        <v>36</v>
      </c>
      <c r="C5" s="76"/>
      <c r="D5" s="76" t="s">
        <v>0</v>
      </c>
      <c r="E5" s="76"/>
      <c r="F5" s="76"/>
      <c r="G5" s="76"/>
      <c r="H5" s="76" t="s">
        <v>1</v>
      </c>
      <c r="I5" s="76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>
        <v>723005</v>
      </c>
      <c r="C24" s="62">
        <v>335119</v>
      </c>
      <c r="D24" s="29">
        <v>0.8</v>
      </c>
      <c r="E24" s="63">
        <v>2603.2399999999998</v>
      </c>
      <c r="F24" s="73">
        <v>1547.69</v>
      </c>
      <c r="G24" s="63">
        <v>38447.519999999997</v>
      </c>
      <c r="H24" s="35">
        <v>14528</v>
      </c>
      <c r="I24" s="62">
        <v>147756</v>
      </c>
      <c r="J24" s="62">
        <v>53716850</v>
      </c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>
        <v>727021</v>
      </c>
      <c r="C25" s="63">
        <v>340680</v>
      </c>
      <c r="D25" s="29">
        <v>0.72</v>
      </c>
      <c r="E25" s="63">
        <v>2623.16</v>
      </c>
      <c r="F25" s="73">
        <v>1556.28</v>
      </c>
      <c r="G25" s="63">
        <v>38488.07</v>
      </c>
      <c r="H25" s="35">
        <v>14528</v>
      </c>
      <c r="I25" s="62">
        <v>147872</v>
      </c>
      <c r="J25" s="62">
        <v>53728676</v>
      </c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/>
      <c r="C26" s="63"/>
      <c r="D26" s="29"/>
      <c r="E26" s="63"/>
      <c r="F26" s="26"/>
      <c r="G26" s="63"/>
      <c r="H26" s="37"/>
      <c r="I26" s="62"/>
      <c r="J26" s="62"/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/>
      <c r="C27" s="62"/>
      <c r="D27" s="29"/>
      <c r="E27" s="63"/>
      <c r="F27" s="26"/>
      <c r="G27" s="63"/>
      <c r="H27" s="37"/>
      <c r="I27" s="62"/>
      <c r="J27" s="62"/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/>
      <c r="C28" s="62"/>
      <c r="D28" s="29"/>
      <c r="E28" s="63"/>
      <c r="F28" s="26"/>
      <c r="G28" s="63"/>
      <c r="H28" s="37"/>
      <c r="I28" s="62"/>
      <c r="J28" s="62"/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/>
      <c r="C29" s="62"/>
      <c r="D29" s="29"/>
      <c r="E29" s="63"/>
      <c r="F29" s="26"/>
      <c r="G29" s="63"/>
      <c r="H29" s="37"/>
      <c r="I29" s="62"/>
      <c r="J29" s="62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2022-02-18T04:08:38Z</dcterms:modified>
</cp:coreProperties>
</file>